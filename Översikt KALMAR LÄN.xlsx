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45832</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45832</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45832</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45832</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45832</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45832</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45832</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45832</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45832</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45832</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45832</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45832</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45832</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45832</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45832</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45832</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45832</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45832</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45832</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45832</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45832</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45832</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45832</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45832</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45832</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45832</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45832</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45832</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45832</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45832</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45832</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45832</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45832</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45832</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45832</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45832</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45832</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45832</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45832</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45832</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45832</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45832</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45832</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45832</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45832</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45832</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45832</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45832</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45832</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45832</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45832</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45832</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45832</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45832</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45832</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45832</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45832</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45832</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45832</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45832</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45832</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45832</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45832</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45832</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45832</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45832</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45832</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45832</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45832</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45832</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45832</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45832</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45832</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45832</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45832</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45832</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45832</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45832</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45832</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45832</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45832</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45832</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45832</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45832</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45832</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45832</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45832</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45832</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45832</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45832</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45832</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45832</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45832</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45832</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45832</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45832</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45832</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45832</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45832</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45832</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45832</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45832</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45832</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45832</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45832</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45832</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45832</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45832</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45832</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45832</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45832</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45832</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45832</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45832</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45832</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45832</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45832</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45832</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45832</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45832</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45832</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45832</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45832</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45832</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45832</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45832</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45832</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45832</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45832</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45832</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45832</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45832</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45832</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45832</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45832</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45832</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45832</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45832</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45832</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45832</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45832</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45832</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45832</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45832</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45832</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45832</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45832</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45832</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45832</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45832</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45832</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45832</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45832</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45832</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45832</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45832</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45832</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45832</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45832</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45832</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45832</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45832</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45832</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45832</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45832</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45832</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45832</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45832</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45832</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45832</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45832</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45832</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45832</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45832</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45832</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45832</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45832</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45832</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45832</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45832</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45832</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45832</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45832</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45832</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45832</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45832</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45832</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45832</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45832</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45832</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45832</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45832</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45832</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45832</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45832</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45832</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45832</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45832</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45832</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45832</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45832</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45832</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45832</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45832</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45832</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45832</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45832</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45832</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45832</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45832</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45832</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45832</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45832</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45832</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45832</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45832</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45832</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45832</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45832</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45832</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45832</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45832</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45832</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45832</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45832</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45832</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45832</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45832</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45832</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45832</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45832</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45832</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45832</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45832</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45832</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45832</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45832</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45832</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45832</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45832</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45832</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45832</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45832</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45832</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45832</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45832</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45832</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45832</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45832</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45832</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45832</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45832</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45832</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45832</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45832</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45832</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45832</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45832</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45832</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45832</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45832</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45832</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45832</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45832</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45832</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45832</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45832</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45832</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45832</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45832</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45832</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45832</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45832</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45832</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45832</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45832</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45832</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45832</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45832</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45832</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45832</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45832</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45832</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45832</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45832</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45832</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45832</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45832</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45832</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45832</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45832</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45832</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45832</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45832</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45832</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45832</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45832</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45832</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45832</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45832</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45832</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45832</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45832</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45832</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45832</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45832</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45832</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45832</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45832</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45832</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45832</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45832</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45832</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45832</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45832</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45832</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45832</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45832</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45832</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45832</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45832</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45832</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45832</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45832</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45832</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45832</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45832</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45832</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45832</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45832</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45832</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45832</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45832</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45832</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45832</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45832</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45832</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45832</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45832</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45832</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45832</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45832</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45832</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45832</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45832</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45832</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45832</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45832</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45832</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45832</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45832</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45832</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45832</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45832</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45832</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45832</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45832</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45832</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45832</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45832</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45832</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45832</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45832</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45832</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45832</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45832</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45832</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45832</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45832</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45832</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45832</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45832</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45832</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45832</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45832</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45832</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45832</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45832</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45832</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45832</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45832</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45832</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45832</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45832</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45832</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45832</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45832</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45832</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45832</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45832</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45832</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45832</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45832</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45832</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45832</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45832</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45832</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45832</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45832</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45832</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45832</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45832</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45832</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45832</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45832</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45832</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45832</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45832</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45832</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45832</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45832</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45832</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45832</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45832</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45832</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45832</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45832</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45832</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45832</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45832</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45832</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45832</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45832</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45832</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45832</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45832</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45832</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45832</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45832</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45832</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45832</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45832</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45832</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45832</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45832</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45832</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45832</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45832</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45832</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45832</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45832</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45832</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45832</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45832</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45832</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45832</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45832</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45832</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45832</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45832</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45832</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45832</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45832</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45832</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45832</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45832</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45832</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45832</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45832</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45832</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45832</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45832</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45832</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45832</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45832</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45832</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45832</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45832</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45832</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45832</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45832</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45832</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45832</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45832</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45832</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45832</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45832</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45832</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45832</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45832</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45832</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45832</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45832</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45832</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45832</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45832</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45832</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45832</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45832</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45832</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45832</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45832</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45832</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45832</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45832</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45832</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45832</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45832</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45832</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45832</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45832</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45832</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45832</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45832</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45832</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45832</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45832</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45832</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45832</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45832</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45832</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45832</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45832</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45832</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45832</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45832</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45832</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45832</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45832</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45832</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45832</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45832</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45832</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45832</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45832</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45832</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45832</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45832</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45832</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45832</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45832</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45832</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45832</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45832</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45832</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45832</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45832</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45832</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45832</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45832</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45832</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45832</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45832</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45832</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45832</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45832</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45832</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45832</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45832</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45832</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45832</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45832</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45832</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45832</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45832</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45832</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45832</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45832</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45832</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45832</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45832</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45832</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45832</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45832</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45832</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45832</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45832</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45832</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45832</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45832</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45832</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45832</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45832</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45832</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45832</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45832</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45832</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45832</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45832</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45832</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45832</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45832</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45832</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45832</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45832</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45832</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45832</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45832</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45832</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45832</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45832</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45832</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45832</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45832</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45832</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45832</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45832</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45832</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45832</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45832</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45832</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45832</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45832</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45832</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45832</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45832</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45832</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45832</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45832</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45832</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45832</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45832</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45832</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45832</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45832</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45832</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45832</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45832</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45832</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45832</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45832</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45832</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45832</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45832</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45832</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45832</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45832</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45832</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45832</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45832</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45832</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45832</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45832</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45832</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45832</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45832</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45832</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45832</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45832</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45832</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45832</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45832</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45832</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45832</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45832</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45832</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45832</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45832</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45832</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45832</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45832</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45832</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45832</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45832</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45832</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45832</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45832</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45832</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45832</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45832</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45832</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45832</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45832</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45832</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45832</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45832</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45832</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45832</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45832</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45832</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45832</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45832</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4778-2025</t>
        </is>
      </c>
      <c r="B711" s="1" t="n">
        <v>45688</v>
      </c>
      <c r="C711" s="1" t="n">
        <v>45832</v>
      </c>
      <c r="D711" t="inlineStr">
        <is>
          <t>KALMAR LÄN</t>
        </is>
      </c>
      <c r="E711" t="inlineStr">
        <is>
          <t>VÄSTERVIK</t>
        </is>
      </c>
      <c r="F711" t="inlineStr">
        <is>
          <t>Holmen skog AB</t>
        </is>
      </c>
      <c r="G711" t="n">
        <v>3.8</v>
      </c>
      <c r="H711" t="n">
        <v>2</v>
      </c>
      <c r="I711" t="n">
        <v>0</v>
      </c>
      <c r="J711" t="n">
        <v>1</v>
      </c>
      <c r="K711" t="n">
        <v>1</v>
      </c>
      <c r="L711" t="n">
        <v>0</v>
      </c>
      <c r="M711" t="n">
        <v>0</v>
      </c>
      <c r="N711" t="n">
        <v>0</v>
      </c>
      <c r="O711" t="n">
        <v>2</v>
      </c>
      <c r="P711" t="n">
        <v>1</v>
      </c>
      <c r="Q711" t="n">
        <v>2</v>
      </c>
      <c r="R711" s="2" t="inlineStr">
        <is>
          <t>Knärot
Talltita</t>
        </is>
      </c>
      <c r="S711">
        <f>HYPERLINK("https://klasma.github.io/Logging_0883/artfynd/A 4778-2025 artfynd.xlsx", "A 4778-2025")</f>
        <v/>
      </c>
      <c r="T711">
        <f>HYPERLINK("https://klasma.github.io/Logging_0883/kartor/A 4778-2025 karta.png", "A 4778-2025")</f>
        <v/>
      </c>
      <c r="U711">
        <f>HYPERLINK("https://klasma.github.io/Logging_0883/knärot/A 4778-2025 karta knärot.png", "A 4778-2025")</f>
        <v/>
      </c>
      <c r="V711">
        <f>HYPERLINK("https://klasma.github.io/Logging_0883/klagomål/A 4778-2025 FSC-klagomål.docx", "A 4778-2025")</f>
        <v/>
      </c>
      <c r="W711">
        <f>HYPERLINK("https://klasma.github.io/Logging_0883/klagomålsmail/A 4778-2025 FSC-klagomål mail.docx", "A 4778-2025")</f>
        <v/>
      </c>
      <c r="X711">
        <f>HYPERLINK("https://klasma.github.io/Logging_0883/tillsyn/A 4778-2025 tillsynsbegäran.docx", "A 4778-2025")</f>
        <v/>
      </c>
      <c r="Y711">
        <f>HYPERLINK("https://klasma.github.io/Logging_0883/tillsynsmail/A 4778-2025 tillsynsbegäran mail.docx", "A 4778-2025")</f>
        <v/>
      </c>
      <c r="Z711">
        <f>HYPERLINK("https://klasma.github.io/Logging_0883/fåglar/A 4778-2025 prioriterade fågelarter.docx", "A 4778-2025")</f>
        <v/>
      </c>
    </row>
    <row r="712" ht="15" customHeight="1">
      <c r="A712" t="inlineStr">
        <is>
          <t>A 5114-2025</t>
        </is>
      </c>
      <c r="B712" s="1" t="n">
        <v>45691</v>
      </c>
      <c r="C712" s="1" t="n">
        <v>45832</v>
      </c>
      <c r="D712" t="inlineStr">
        <is>
          <t>KALMAR LÄN</t>
        </is>
      </c>
      <c r="E712" t="inlineStr">
        <is>
          <t>VÄSTERVIK</t>
        </is>
      </c>
      <c r="G712" t="n">
        <v>3.6</v>
      </c>
      <c r="H712" t="n">
        <v>2</v>
      </c>
      <c r="I712" t="n">
        <v>0</v>
      </c>
      <c r="J712" t="n">
        <v>2</v>
      </c>
      <c r="K712" t="n">
        <v>0</v>
      </c>
      <c r="L712" t="n">
        <v>0</v>
      </c>
      <c r="M712" t="n">
        <v>0</v>
      </c>
      <c r="N712" t="n">
        <v>0</v>
      </c>
      <c r="O712" t="n">
        <v>2</v>
      </c>
      <c r="P712" t="n">
        <v>0</v>
      </c>
      <c r="Q712" t="n">
        <v>2</v>
      </c>
      <c r="R712" s="2" t="inlineStr">
        <is>
          <t>Spillkråka
Talltita</t>
        </is>
      </c>
      <c r="S712">
        <f>HYPERLINK("https://klasma.github.io/Logging_0883/artfynd/A 5114-2025 artfynd.xlsx", "A 5114-2025")</f>
        <v/>
      </c>
      <c r="T712">
        <f>HYPERLINK("https://klasma.github.io/Logging_0883/kartor/A 5114-2025 karta.png", "A 5114-2025")</f>
        <v/>
      </c>
      <c r="U712">
        <f>HYPERLINK("https://klasma.github.io/Logging_0883/knärot/A 5114-2025 karta knärot.png", "A 5114-2025")</f>
        <v/>
      </c>
      <c r="V712">
        <f>HYPERLINK("https://klasma.github.io/Logging_0883/klagomål/A 5114-2025 FSC-klagomål.docx", "A 5114-2025")</f>
        <v/>
      </c>
      <c r="W712">
        <f>HYPERLINK("https://klasma.github.io/Logging_0883/klagomålsmail/A 5114-2025 FSC-klagomål mail.docx", "A 5114-2025")</f>
        <v/>
      </c>
      <c r="X712">
        <f>HYPERLINK("https://klasma.github.io/Logging_0883/tillsyn/A 5114-2025 tillsynsbegäran.docx", "A 5114-2025")</f>
        <v/>
      </c>
      <c r="Y712">
        <f>HYPERLINK("https://klasma.github.io/Logging_0883/tillsynsmail/A 5114-2025 tillsynsbegäran mail.docx", "A 5114-2025")</f>
        <v/>
      </c>
      <c r="Z712">
        <f>HYPERLINK("https://klasma.github.io/Logging_0883/fåglar/A 5114-2025 prioriterade fågelarter.docx", "A 5114-2025")</f>
        <v/>
      </c>
    </row>
    <row r="713" ht="15" customHeight="1">
      <c r="A713" t="inlineStr">
        <is>
          <t>A 5668-2025</t>
        </is>
      </c>
      <c r="B713" s="1" t="n">
        <v>45693</v>
      </c>
      <c r="C713" s="1" t="n">
        <v>45832</v>
      </c>
      <c r="D713" t="inlineStr">
        <is>
          <t>KALMAR LÄN</t>
        </is>
      </c>
      <c r="E713" t="inlineStr">
        <is>
          <t>VÄSTERVIK</t>
        </is>
      </c>
      <c r="G713" t="n">
        <v>1.2</v>
      </c>
      <c r="H713" t="n">
        <v>2</v>
      </c>
      <c r="I713" t="n">
        <v>0</v>
      </c>
      <c r="J713" t="n">
        <v>1</v>
      </c>
      <c r="K713" t="n">
        <v>0</v>
      </c>
      <c r="L713" t="n">
        <v>0</v>
      </c>
      <c r="M713" t="n">
        <v>0</v>
      </c>
      <c r="N713" t="n">
        <v>0</v>
      </c>
      <c r="O713" t="n">
        <v>1</v>
      </c>
      <c r="P713" t="n">
        <v>0</v>
      </c>
      <c r="Q713" t="n">
        <v>2</v>
      </c>
      <c r="R713" s="2" t="inlineStr">
        <is>
          <t>Talltita
Kungsfågel</t>
        </is>
      </c>
      <c r="S713">
        <f>HYPERLINK("https://klasma.github.io/Logging_0883/artfynd/A 5668-2025 artfynd.xlsx", "A 5668-2025")</f>
        <v/>
      </c>
      <c r="T713">
        <f>HYPERLINK("https://klasma.github.io/Logging_0883/kartor/A 5668-2025 karta.png", "A 5668-2025")</f>
        <v/>
      </c>
      <c r="V713">
        <f>HYPERLINK("https://klasma.github.io/Logging_0883/klagomål/A 5668-2025 FSC-klagomål.docx", "A 5668-2025")</f>
        <v/>
      </c>
      <c r="W713">
        <f>HYPERLINK("https://klasma.github.io/Logging_0883/klagomålsmail/A 5668-2025 FSC-klagomål mail.docx", "A 5668-2025")</f>
        <v/>
      </c>
      <c r="X713">
        <f>HYPERLINK("https://klasma.github.io/Logging_0883/tillsyn/A 5668-2025 tillsynsbegäran.docx", "A 5668-2025")</f>
        <v/>
      </c>
      <c r="Y713">
        <f>HYPERLINK("https://klasma.github.io/Logging_0883/tillsynsmail/A 5668-2025 tillsynsbegäran mail.docx", "A 5668-2025")</f>
        <v/>
      </c>
      <c r="Z713">
        <f>HYPERLINK("https://klasma.github.io/Logging_0883/fåglar/A 5668-2025 prioriterade fågelarter.docx", "A 5668-2025")</f>
        <v/>
      </c>
    </row>
    <row r="714" ht="15" customHeight="1">
      <c r="A714" t="inlineStr">
        <is>
          <t>A 6062-2025</t>
        </is>
      </c>
      <c r="B714" s="1" t="n">
        <v>45695</v>
      </c>
      <c r="C714" s="1" t="n">
        <v>45832</v>
      </c>
      <c r="D714" t="inlineStr">
        <is>
          <t>KALMAR LÄN</t>
        </is>
      </c>
      <c r="E714" t="inlineStr">
        <is>
          <t>NYBRO</t>
        </is>
      </c>
      <c r="G714" t="n">
        <v>5.1</v>
      </c>
      <c r="H714" t="n">
        <v>1</v>
      </c>
      <c r="I714" t="n">
        <v>1</v>
      </c>
      <c r="J714" t="n">
        <v>0</v>
      </c>
      <c r="K714" t="n">
        <v>0</v>
      </c>
      <c r="L714" t="n">
        <v>0</v>
      </c>
      <c r="M714" t="n">
        <v>0</v>
      </c>
      <c r="N714" t="n">
        <v>0</v>
      </c>
      <c r="O714" t="n">
        <v>0</v>
      </c>
      <c r="P714" t="n">
        <v>0</v>
      </c>
      <c r="Q714" t="n">
        <v>2</v>
      </c>
      <c r="R714" s="2" t="inlineStr">
        <is>
          <t>Skarp dropptaggsvamp
Blåsippa</t>
        </is>
      </c>
      <c r="S714">
        <f>HYPERLINK("https://klasma.github.io/Logging_0881/artfynd/A 6062-2025 artfynd.xlsx", "A 6062-2025")</f>
        <v/>
      </c>
      <c r="T714">
        <f>HYPERLINK("https://klasma.github.io/Logging_0881/kartor/A 6062-2025 karta.png", "A 6062-2025")</f>
        <v/>
      </c>
      <c r="U714">
        <f>HYPERLINK("https://klasma.github.io/Logging_0881/knärot/A 6062-2025 karta knärot.png", "A 6062-2025")</f>
        <v/>
      </c>
      <c r="V714">
        <f>HYPERLINK("https://klasma.github.io/Logging_0881/klagomål/A 6062-2025 FSC-klagomål.docx", "A 6062-2025")</f>
        <v/>
      </c>
      <c r="W714">
        <f>HYPERLINK("https://klasma.github.io/Logging_0881/klagomålsmail/A 6062-2025 FSC-klagomål mail.docx", "A 6062-2025")</f>
        <v/>
      </c>
      <c r="X714">
        <f>HYPERLINK("https://klasma.github.io/Logging_0881/tillsyn/A 6062-2025 tillsynsbegäran.docx", "A 6062-2025")</f>
        <v/>
      </c>
      <c r="Y714">
        <f>HYPERLINK("https://klasma.github.io/Logging_0881/tillsynsmail/A 6062-2025 tillsynsbegäran mail.docx", "A 6062-2025")</f>
        <v/>
      </c>
    </row>
    <row r="715" ht="15" customHeight="1">
      <c r="A715" t="inlineStr">
        <is>
          <t>A 7344-2025</t>
        </is>
      </c>
      <c r="B715" s="1" t="n">
        <v>45703</v>
      </c>
      <c r="C715" s="1" t="n">
        <v>45832</v>
      </c>
      <c r="D715" t="inlineStr">
        <is>
          <t>KALMAR LÄN</t>
        </is>
      </c>
      <c r="E715" t="inlineStr">
        <is>
          <t>KALMAR</t>
        </is>
      </c>
      <c r="G715" t="n">
        <v>1.7</v>
      </c>
      <c r="H715" t="n">
        <v>1</v>
      </c>
      <c r="I715" t="n">
        <v>1</v>
      </c>
      <c r="J715" t="n">
        <v>0</v>
      </c>
      <c r="K715" t="n">
        <v>0</v>
      </c>
      <c r="L715" t="n">
        <v>0</v>
      </c>
      <c r="M715" t="n">
        <v>0</v>
      </c>
      <c r="N715" t="n">
        <v>0</v>
      </c>
      <c r="O715" t="n">
        <v>0</v>
      </c>
      <c r="P715" t="n">
        <v>0</v>
      </c>
      <c r="Q715" t="n">
        <v>2</v>
      </c>
      <c r="R715" s="2" t="inlineStr">
        <is>
          <t>Fällmossa
Blåsippa</t>
        </is>
      </c>
      <c r="S715">
        <f>HYPERLINK("https://klasma.github.io/Logging_0880/artfynd/A 7344-2025 artfynd.xlsx", "A 7344-2025")</f>
        <v/>
      </c>
      <c r="T715">
        <f>HYPERLINK("https://klasma.github.io/Logging_0880/kartor/A 7344-2025 karta.png", "A 7344-2025")</f>
        <v/>
      </c>
      <c r="V715">
        <f>HYPERLINK("https://klasma.github.io/Logging_0880/klagomål/A 7344-2025 FSC-klagomål.docx", "A 7344-2025")</f>
        <v/>
      </c>
      <c r="W715">
        <f>HYPERLINK("https://klasma.github.io/Logging_0880/klagomålsmail/A 7344-2025 FSC-klagomål mail.docx", "A 7344-2025")</f>
        <v/>
      </c>
      <c r="X715">
        <f>HYPERLINK("https://klasma.github.io/Logging_0880/tillsyn/A 7344-2025 tillsynsbegäran.docx", "A 7344-2025")</f>
        <v/>
      </c>
      <c r="Y715">
        <f>HYPERLINK("https://klasma.github.io/Logging_0880/tillsynsmail/A 7344-2025 tillsynsbegäran mail.docx", "A 7344-2025")</f>
        <v/>
      </c>
    </row>
    <row r="716" ht="15" customHeight="1">
      <c r="A716" t="inlineStr">
        <is>
          <t>A 7615-2025</t>
        </is>
      </c>
      <c r="B716" s="1" t="n">
        <v>45705</v>
      </c>
      <c r="C716" s="1" t="n">
        <v>45832</v>
      </c>
      <c r="D716" t="inlineStr">
        <is>
          <t>KALMAR LÄN</t>
        </is>
      </c>
      <c r="E716" t="inlineStr">
        <is>
          <t>BORGHOLM</t>
        </is>
      </c>
      <c r="G716" t="n">
        <v>0.6</v>
      </c>
      <c r="H716" t="n">
        <v>2</v>
      </c>
      <c r="I716" t="n">
        <v>0</v>
      </c>
      <c r="J716" t="n">
        <v>1</v>
      </c>
      <c r="K716" t="n">
        <v>0</v>
      </c>
      <c r="L716" t="n">
        <v>0</v>
      </c>
      <c r="M716" t="n">
        <v>0</v>
      </c>
      <c r="N716" t="n">
        <v>0</v>
      </c>
      <c r="O716" t="n">
        <v>1</v>
      </c>
      <c r="P716" t="n">
        <v>0</v>
      </c>
      <c r="Q716" t="n">
        <v>2</v>
      </c>
      <c r="R716" s="2" t="inlineStr">
        <is>
          <t>Bredarun
Kopparödla</t>
        </is>
      </c>
      <c r="S716">
        <f>HYPERLINK("https://klasma.github.io/Logging_0885/artfynd/A 7615-2025 artfynd.xlsx", "A 7615-2025")</f>
        <v/>
      </c>
      <c r="T716">
        <f>HYPERLINK("https://klasma.github.io/Logging_0885/kartor/A 7615-2025 karta.png", "A 7615-2025")</f>
        <v/>
      </c>
      <c r="V716">
        <f>HYPERLINK("https://klasma.github.io/Logging_0885/klagomål/A 7615-2025 FSC-klagomål.docx", "A 7615-2025")</f>
        <v/>
      </c>
      <c r="W716">
        <f>HYPERLINK("https://klasma.github.io/Logging_0885/klagomålsmail/A 7615-2025 FSC-klagomål mail.docx", "A 7615-2025")</f>
        <v/>
      </c>
      <c r="X716">
        <f>HYPERLINK("https://klasma.github.io/Logging_0885/tillsyn/A 7615-2025 tillsynsbegäran.docx", "A 7615-2025")</f>
        <v/>
      </c>
      <c r="Y716">
        <f>HYPERLINK("https://klasma.github.io/Logging_0885/tillsynsmail/A 7615-2025 tillsynsbegäran mail.docx", "A 7615-2025")</f>
        <v/>
      </c>
    </row>
    <row r="717" ht="15" customHeight="1">
      <c r="A717" t="inlineStr">
        <is>
          <t>A 9499-2025</t>
        </is>
      </c>
      <c r="B717" s="1" t="n">
        <v>45715</v>
      </c>
      <c r="C717" s="1" t="n">
        <v>45832</v>
      </c>
      <c r="D717" t="inlineStr">
        <is>
          <t>KALMAR LÄN</t>
        </is>
      </c>
      <c r="E717" t="inlineStr">
        <is>
          <t>HULTSFRED</t>
        </is>
      </c>
      <c r="G717" t="n">
        <v>7.4</v>
      </c>
      <c r="H717" t="n">
        <v>2</v>
      </c>
      <c r="I717" t="n">
        <v>0</v>
      </c>
      <c r="J717" t="n">
        <v>0</v>
      </c>
      <c r="K717" t="n">
        <v>1</v>
      </c>
      <c r="L717" t="n">
        <v>0</v>
      </c>
      <c r="M717" t="n">
        <v>0</v>
      </c>
      <c r="N717" t="n">
        <v>0</v>
      </c>
      <c r="O717" t="n">
        <v>1</v>
      </c>
      <c r="P717" t="n">
        <v>1</v>
      </c>
      <c r="Q717" t="n">
        <v>2</v>
      </c>
      <c r="R717" s="2" t="inlineStr">
        <is>
          <t>Backsippa
Skogsödla</t>
        </is>
      </c>
      <c r="S717">
        <f>HYPERLINK("https://klasma.github.io/Logging_080860/artfynd/A 9499-2025 artfynd.xlsx", "A 9499-2025")</f>
        <v/>
      </c>
      <c r="T717">
        <f>HYPERLINK("https://klasma.github.io/Logging_080860/kartor/A 9499-2025 karta.png", "A 9499-2025")</f>
        <v/>
      </c>
      <c r="V717">
        <f>HYPERLINK("https://klasma.github.io/Logging_080860/klagomål/A 9499-2025 FSC-klagomål.docx", "A 9499-2025")</f>
        <v/>
      </c>
      <c r="W717">
        <f>HYPERLINK("https://klasma.github.io/Logging_080860/klagomålsmail/A 9499-2025 FSC-klagomål mail.docx", "A 9499-2025")</f>
        <v/>
      </c>
      <c r="X717">
        <f>HYPERLINK("https://klasma.github.io/Logging_080860/tillsyn/A 9499-2025 tillsynsbegäran.docx", "A 9499-2025")</f>
        <v/>
      </c>
      <c r="Y717">
        <f>HYPERLINK("https://klasma.github.io/Logging_080860/tillsynsmail/A 9499-2025 tillsynsbegäran mail.docx", "A 9499-2025")</f>
        <v/>
      </c>
    </row>
    <row r="718" ht="15" customHeight="1">
      <c r="A718" t="inlineStr">
        <is>
          <t>A 9736-2025</t>
        </is>
      </c>
      <c r="B718" s="1" t="n">
        <v>45716</v>
      </c>
      <c r="C718" s="1" t="n">
        <v>45832</v>
      </c>
      <c r="D718" t="inlineStr">
        <is>
          <t>KALMAR LÄN</t>
        </is>
      </c>
      <c r="E718" t="inlineStr">
        <is>
          <t>HULTSFRED</t>
        </is>
      </c>
      <c r="F718" t="inlineStr">
        <is>
          <t>Sveaskog</t>
        </is>
      </c>
      <c r="G718" t="n">
        <v>4.4</v>
      </c>
      <c r="H718" t="n">
        <v>2</v>
      </c>
      <c r="I718" t="n">
        <v>0</v>
      </c>
      <c r="J718" t="n">
        <v>0</v>
      </c>
      <c r="K718" t="n">
        <v>0</v>
      </c>
      <c r="L718" t="n">
        <v>0</v>
      </c>
      <c r="M718" t="n">
        <v>0</v>
      </c>
      <c r="N718" t="n">
        <v>0</v>
      </c>
      <c r="O718" t="n">
        <v>0</v>
      </c>
      <c r="P718" t="n">
        <v>0</v>
      </c>
      <c r="Q718" t="n">
        <v>2</v>
      </c>
      <c r="R718" s="2" t="inlineStr">
        <is>
          <t>Åkergroda
Revlummer</t>
        </is>
      </c>
      <c r="S718">
        <f>HYPERLINK("https://klasma.github.io/Logging_080860/artfynd/A 9736-2025 artfynd.xlsx", "A 9736-2025")</f>
        <v/>
      </c>
      <c r="T718">
        <f>HYPERLINK("https://klasma.github.io/Logging_080860/kartor/A 9736-2025 karta.png", "A 9736-2025")</f>
        <v/>
      </c>
      <c r="V718">
        <f>HYPERLINK("https://klasma.github.io/Logging_080860/klagomål/A 9736-2025 FSC-klagomål.docx", "A 9736-2025")</f>
        <v/>
      </c>
      <c r="W718">
        <f>HYPERLINK("https://klasma.github.io/Logging_080860/klagomålsmail/A 9736-2025 FSC-klagomål mail.docx", "A 9736-2025")</f>
        <v/>
      </c>
      <c r="X718">
        <f>HYPERLINK("https://klasma.github.io/Logging_080860/tillsyn/A 9736-2025 tillsynsbegäran.docx", "A 9736-2025")</f>
        <v/>
      </c>
      <c r="Y718">
        <f>HYPERLINK("https://klasma.github.io/Logging_080860/tillsynsmail/A 9736-2025 tillsynsbegäran mail.docx", "A 9736-2025")</f>
        <v/>
      </c>
    </row>
    <row r="719" ht="15" customHeight="1">
      <c r="A719" t="inlineStr">
        <is>
          <t>A 10784-2025</t>
        </is>
      </c>
      <c r="B719" s="1" t="n">
        <v>45722</v>
      </c>
      <c r="C719" s="1" t="n">
        <v>45832</v>
      </c>
      <c r="D719" t="inlineStr">
        <is>
          <t>KALMAR LÄN</t>
        </is>
      </c>
      <c r="E719" t="inlineStr">
        <is>
          <t>VÄSTERVIK</t>
        </is>
      </c>
      <c r="G719" t="n">
        <v>2.1</v>
      </c>
      <c r="H719" t="n">
        <v>2</v>
      </c>
      <c r="I719" t="n">
        <v>0</v>
      </c>
      <c r="J719" t="n">
        <v>1</v>
      </c>
      <c r="K719" t="n">
        <v>0</v>
      </c>
      <c r="L719" t="n">
        <v>0</v>
      </c>
      <c r="M719" t="n">
        <v>0</v>
      </c>
      <c r="N719" t="n">
        <v>0</v>
      </c>
      <c r="O719" t="n">
        <v>1</v>
      </c>
      <c r="P719" t="n">
        <v>0</v>
      </c>
      <c r="Q719" t="n">
        <v>2</v>
      </c>
      <c r="R719" s="2" t="inlineStr">
        <is>
          <t>Talltita
Kungsfågel</t>
        </is>
      </c>
      <c r="S719">
        <f>HYPERLINK("https://klasma.github.io/Logging_080883/artfynd/A 10784-2025 artfynd.xlsx", "A 10784-2025")</f>
        <v/>
      </c>
      <c r="T719">
        <f>HYPERLINK("https://klasma.github.io/Logging_080883/kartor/A 10784-2025 karta.png", "A 10784-2025")</f>
        <v/>
      </c>
      <c r="V719">
        <f>HYPERLINK("https://klasma.github.io/Logging_080883/klagomål/A 10784-2025 FSC-klagomål.docx", "A 10784-2025")</f>
        <v/>
      </c>
      <c r="W719">
        <f>HYPERLINK("https://klasma.github.io/Logging_080883/klagomålsmail/A 10784-2025 FSC-klagomål mail.docx", "A 10784-2025")</f>
        <v/>
      </c>
      <c r="X719">
        <f>HYPERLINK("https://klasma.github.io/Logging_080883/tillsyn/A 10784-2025 tillsynsbegäran.docx", "A 10784-2025")</f>
        <v/>
      </c>
      <c r="Y719">
        <f>HYPERLINK("https://klasma.github.io/Logging_080883/tillsynsmail/A 10784-2025 tillsynsbegäran mail.docx", "A 10784-2025")</f>
        <v/>
      </c>
      <c r="Z719">
        <f>HYPERLINK("https://klasma.github.io/Logging_080883/fåglar/A 10784-2025 prioriterade fågelarter.docx", "A 10784-2025")</f>
        <v/>
      </c>
    </row>
    <row r="720" ht="15" customHeight="1">
      <c r="A720" t="inlineStr">
        <is>
          <t>A 11002-2025</t>
        </is>
      </c>
      <c r="B720" s="1" t="n">
        <v>45723</v>
      </c>
      <c r="C720" s="1" t="n">
        <v>45832</v>
      </c>
      <c r="D720" t="inlineStr">
        <is>
          <t>KALMAR LÄN</t>
        </is>
      </c>
      <c r="E720" t="inlineStr">
        <is>
          <t>HULTSFRED</t>
        </is>
      </c>
      <c r="F720" t="inlineStr">
        <is>
          <t>Sveaskog</t>
        </is>
      </c>
      <c r="G720" t="n">
        <v>3.1</v>
      </c>
      <c r="H720" t="n">
        <v>2</v>
      </c>
      <c r="I720" t="n">
        <v>0</v>
      </c>
      <c r="J720" t="n">
        <v>2</v>
      </c>
      <c r="K720" t="n">
        <v>0</v>
      </c>
      <c r="L720" t="n">
        <v>0</v>
      </c>
      <c r="M720" t="n">
        <v>0</v>
      </c>
      <c r="N720" t="n">
        <v>0</v>
      </c>
      <c r="O720" t="n">
        <v>2</v>
      </c>
      <c r="P720" t="n">
        <v>0</v>
      </c>
      <c r="Q720" t="n">
        <v>2</v>
      </c>
      <c r="R720" s="2" t="inlineStr">
        <is>
          <t>Grönsångare
Spillkråka</t>
        </is>
      </c>
      <c r="S720">
        <f>HYPERLINK("https://klasma.github.io/Logging_080860/artfynd/A 11002-2025 artfynd.xlsx", "A 11002-2025")</f>
        <v/>
      </c>
      <c r="T720">
        <f>HYPERLINK("https://klasma.github.io/Logging_080860/kartor/A 11002-2025 karta.png", "A 11002-2025")</f>
        <v/>
      </c>
      <c r="V720">
        <f>HYPERLINK("https://klasma.github.io/Logging_080860/klagomål/A 11002-2025 FSC-klagomål.docx", "A 11002-2025")</f>
        <v/>
      </c>
      <c r="W720">
        <f>HYPERLINK("https://klasma.github.io/Logging_080860/klagomålsmail/A 11002-2025 FSC-klagomål mail.docx", "A 11002-2025")</f>
        <v/>
      </c>
      <c r="X720">
        <f>HYPERLINK("https://klasma.github.io/Logging_080860/tillsyn/A 11002-2025 tillsynsbegäran.docx", "A 11002-2025")</f>
        <v/>
      </c>
      <c r="Y720">
        <f>HYPERLINK("https://klasma.github.io/Logging_080860/tillsynsmail/A 11002-2025 tillsynsbegäran mail.docx", "A 11002-2025")</f>
        <v/>
      </c>
      <c r="Z720">
        <f>HYPERLINK("https://klasma.github.io/Logging_080860/fåglar/A 11002-2025 prioriterade fågelarter.docx", "A 11002-2025")</f>
        <v/>
      </c>
    </row>
    <row r="721" ht="15" customHeight="1">
      <c r="A721" t="inlineStr">
        <is>
          <t>A 12506-2025</t>
        </is>
      </c>
      <c r="B721" s="1" t="n">
        <v>45730</v>
      </c>
      <c r="C721" s="1" t="n">
        <v>45832</v>
      </c>
      <c r="D721" t="inlineStr">
        <is>
          <t>KALMAR LÄN</t>
        </is>
      </c>
      <c r="E721" t="inlineStr">
        <is>
          <t>NYBRO</t>
        </is>
      </c>
      <c r="F721" t="inlineStr">
        <is>
          <t>Kommuner</t>
        </is>
      </c>
      <c r="G721" t="n">
        <v>2.3</v>
      </c>
      <c r="H721" t="n">
        <v>0</v>
      </c>
      <c r="I721" t="n">
        <v>0</v>
      </c>
      <c r="J721" t="n">
        <v>1</v>
      </c>
      <c r="K721" t="n">
        <v>0</v>
      </c>
      <c r="L721" t="n">
        <v>1</v>
      </c>
      <c r="M721" t="n">
        <v>0</v>
      </c>
      <c r="N721" t="n">
        <v>0</v>
      </c>
      <c r="O721" t="n">
        <v>2</v>
      </c>
      <c r="P721" t="n">
        <v>1</v>
      </c>
      <c r="Q721" t="n">
        <v>2</v>
      </c>
      <c r="R721" s="2" t="inlineStr">
        <is>
          <t>Ask
Rödbrun blankbock</t>
        </is>
      </c>
      <c r="S721">
        <f>HYPERLINK("https://klasma.github.io/Logging_080881/artfynd/A 12506-2025 artfynd.xlsx", "A 12506-2025")</f>
        <v/>
      </c>
      <c r="T721">
        <f>HYPERLINK("https://klasma.github.io/Logging_080881/kartor/A 12506-2025 karta.png", "A 12506-2025")</f>
        <v/>
      </c>
      <c r="V721">
        <f>HYPERLINK("https://klasma.github.io/Logging_080881/klagomål/A 12506-2025 FSC-klagomål.docx", "A 12506-2025")</f>
        <v/>
      </c>
      <c r="W721">
        <f>HYPERLINK("https://klasma.github.io/Logging_080881/klagomålsmail/A 12506-2025 FSC-klagomål mail.docx", "A 12506-2025")</f>
        <v/>
      </c>
      <c r="X721">
        <f>HYPERLINK("https://klasma.github.io/Logging_080881/tillsyn/A 12506-2025 tillsynsbegäran.docx", "A 12506-2025")</f>
        <v/>
      </c>
      <c r="Y721">
        <f>HYPERLINK("https://klasma.github.io/Logging_080881/tillsynsmail/A 12506-2025 tillsynsbegäran mail.docx", "A 12506-2025")</f>
        <v/>
      </c>
    </row>
    <row r="722" ht="15" customHeight="1">
      <c r="A722" t="inlineStr">
        <is>
          <t>A 13556-2025</t>
        </is>
      </c>
      <c r="B722" s="1" t="n">
        <v>45736</v>
      </c>
      <c r="C722" s="1" t="n">
        <v>45832</v>
      </c>
      <c r="D722" t="inlineStr">
        <is>
          <t>KALMAR LÄN</t>
        </is>
      </c>
      <c r="E722" t="inlineStr">
        <is>
          <t>BORGHOLM</t>
        </is>
      </c>
      <c r="G722" t="n">
        <v>2.3</v>
      </c>
      <c r="H722" t="n">
        <v>2</v>
      </c>
      <c r="I722" t="n">
        <v>1</v>
      </c>
      <c r="J722" t="n">
        <v>0</v>
      </c>
      <c r="K722" t="n">
        <v>0</v>
      </c>
      <c r="L722" t="n">
        <v>0</v>
      </c>
      <c r="M722" t="n">
        <v>0</v>
      </c>
      <c r="N722" t="n">
        <v>0</v>
      </c>
      <c r="O722" t="n">
        <v>0</v>
      </c>
      <c r="P722" t="n">
        <v>0</v>
      </c>
      <c r="Q722" t="n">
        <v>2</v>
      </c>
      <c r="R722" s="2" t="inlineStr">
        <is>
          <t>Tvåblad
Nattviol</t>
        </is>
      </c>
      <c r="S722">
        <f>HYPERLINK("https://klasma.github.io/Logging_080885/artfynd/A 13556-2025 artfynd.xlsx", "A 13556-2025")</f>
        <v/>
      </c>
      <c r="T722">
        <f>HYPERLINK("https://klasma.github.io/Logging_080885/kartor/A 13556-2025 karta.png", "A 13556-2025")</f>
        <v/>
      </c>
      <c r="V722">
        <f>HYPERLINK("https://klasma.github.io/Logging_080885/klagomål/A 13556-2025 FSC-klagomål.docx", "A 13556-2025")</f>
        <v/>
      </c>
      <c r="W722">
        <f>HYPERLINK("https://klasma.github.io/Logging_080885/klagomålsmail/A 13556-2025 FSC-klagomål mail.docx", "A 13556-2025")</f>
        <v/>
      </c>
      <c r="X722">
        <f>HYPERLINK("https://klasma.github.io/Logging_080885/tillsyn/A 13556-2025 tillsynsbegäran.docx", "A 13556-2025")</f>
        <v/>
      </c>
      <c r="Y722">
        <f>HYPERLINK("https://klasma.github.io/Logging_080885/tillsynsmail/A 13556-2025 tillsynsbegäran mail.docx", "A 13556-2025")</f>
        <v/>
      </c>
    </row>
    <row r="723" ht="15" customHeight="1">
      <c r="A723" t="inlineStr">
        <is>
          <t>A 14126-2025</t>
        </is>
      </c>
      <c r="B723" s="1" t="n">
        <v>45740</v>
      </c>
      <c r="C723" s="1" t="n">
        <v>45832</v>
      </c>
      <c r="D723" t="inlineStr">
        <is>
          <t>KALMAR LÄN</t>
        </is>
      </c>
      <c r="E723" t="inlineStr">
        <is>
          <t>VÄSTERVIK</t>
        </is>
      </c>
      <c r="F723" t="inlineStr">
        <is>
          <t>Sveaskog</t>
        </is>
      </c>
      <c r="G723" t="n">
        <v>1.3</v>
      </c>
      <c r="H723" t="n">
        <v>2</v>
      </c>
      <c r="I723" t="n">
        <v>0</v>
      </c>
      <c r="J723" t="n">
        <v>1</v>
      </c>
      <c r="K723" t="n">
        <v>0</v>
      </c>
      <c r="L723" t="n">
        <v>0</v>
      </c>
      <c r="M723" t="n">
        <v>0</v>
      </c>
      <c r="N723" t="n">
        <v>0</v>
      </c>
      <c r="O723" t="n">
        <v>1</v>
      </c>
      <c r="P723" t="n">
        <v>0</v>
      </c>
      <c r="Q723" t="n">
        <v>2</v>
      </c>
      <c r="R723" s="2" t="inlineStr">
        <is>
          <t>Grönsångare
Blåsippa</t>
        </is>
      </c>
      <c r="S723">
        <f>HYPERLINK("https://klasma.github.io/Logging_080883/artfynd/A 14126-2025 artfynd.xlsx", "A 14126-2025")</f>
        <v/>
      </c>
      <c r="T723">
        <f>HYPERLINK("https://klasma.github.io/Logging_080883/kartor/A 14126-2025 karta.png", "A 14126-2025")</f>
        <v/>
      </c>
      <c r="V723">
        <f>HYPERLINK("https://klasma.github.io/Logging_080883/klagomål/A 14126-2025 FSC-klagomål.docx", "A 14126-2025")</f>
        <v/>
      </c>
      <c r="W723">
        <f>HYPERLINK("https://klasma.github.io/Logging_080883/klagomålsmail/A 14126-2025 FSC-klagomål mail.docx", "A 14126-2025")</f>
        <v/>
      </c>
      <c r="X723">
        <f>HYPERLINK("https://klasma.github.io/Logging_080883/tillsyn/A 14126-2025 tillsynsbegäran.docx", "A 14126-2025")</f>
        <v/>
      </c>
      <c r="Y723">
        <f>HYPERLINK("https://klasma.github.io/Logging_080883/tillsynsmail/A 14126-2025 tillsynsbegäran mail.docx", "A 14126-2025")</f>
        <v/>
      </c>
      <c r="Z723">
        <f>HYPERLINK("https://klasma.github.io/Logging_080883/fåglar/A 14126-2025 prioriterade fågelarter.docx", "A 14126-2025")</f>
        <v/>
      </c>
    </row>
    <row r="724" ht="15" customHeight="1">
      <c r="A724" t="inlineStr">
        <is>
          <t>A 14086-2025</t>
        </is>
      </c>
      <c r="B724" s="1" t="n">
        <v>45740</v>
      </c>
      <c r="C724" s="1" t="n">
        <v>45832</v>
      </c>
      <c r="D724" t="inlineStr">
        <is>
          <t>KALMAR LÄN</t>
        </is>
      </c>
      <c r="E724" t="inlineStr">
        <is>
          <t>VÄSTERVIK</t>
        </is>
      </c>
      <c r="F724" t="inlineStr">
        <is>
          <t>Sveaskog</t>
        </is>
      </c>
      <c r="G724" t="n">
        <v>3.2</v>
      </c>
      <c r="H724" t="n">
        <v>1</v>
      </c>
      <c r="I724" t="n">
        <v>1</v>
      </c>
      <c r="J724" t="n">
        <v>0</v>
      </c>
      <c r="K724" t="n">
        <v>0</v>
      </c>
      <c r="L724" t="n">
        <v>0</v>
      </c>
      <c r="M724" t="n">
        <v>0</v>
      </c>
      <c r="N724" t="n">
        <v>0</v>
      </c>
      <c r="O724" t="n">
        <v>0</v>
      </c>
      <c r="P724" t="n">
        <v>0</v>
      </c>
      <c r="Q724" t="n">
        <v>2</v>
      </c>
      <c r="R724" s="2" t="inlineStr">
        <is>
          <t>Skogsbräsma
Åkergroda</t>
        </is>
      </c>
      <c r="S724">
        <f>HYPERLINK("https://klasma.github.io/Logging_080883/artfynd/A 14086-2025 artfynd.xlsx", "A 14086-2025")</f>
        <v/>
      </c>
      <c r="T724">
        <f>HYPERLINK("https://klasma.github.io/Logging_080883/kartor/A 14086-2025 karta.png", "A 14086-2025")</f>
        <v/>
      </c>
      <c r="V724">
        <f>HYPERLINK("https://klasma.github.io/Logging_080883/klagomål/A 14086-2025 FSC-klagomål.docx", "A 14086-2025")</f>
        <v/>
      </c>
      <c r="W724">
        <f>HYPERLINK("https://klasma.github.io/Logging_080883/klagomålsmail/A 14086-2025 FSC-klagomål mail.docx", "A 14086-2025")</f>
        <v/>
      </c>
      <c r="X724">
        <f>HYPERLINK("https://klasma.github.io/Logging_080883/tillsyn/A 14086-2025 tillsynsbegäran.docx", "A 14086-2025")</f>
        <v/>
      </c>
      <c r="Y724">
        <f>HYPERLINK("https://klasma.github.io/Logging_080883/tillsynsmail/A 14086-2025 tillsynsbegäran mail.docx", "A 14086-2025")</f>
        <v/>
      </c>
    </row>
    <row r="725" ht="15" customHeight="1">
      <c r="A725" t="inlineStr">
        <is>
          <t>A 14090-2025</t>
        </is>
      </c>
      <c r="B725" s="1" t="n">
        <v>45740</v>
      </c>
      <c r="C725" s="1" t="n">
        <v>45832</v>
      </c>
      <c r="D725" t="inlineStr">
        <is>
          <t>KALMAR LÄN</t>
        </is>
      </c>
      <c r="E725" t="inlineStr">
        <is>
          <t>VÄSTERVIK</t>
        </is>
      </c>
      <c r="F725" t="inlineStr">
        <is>
          <t>Sveaskog</t>
        </is>
      </c>
      <c r="G725" t="n">
        <v>1</v>
      </c>
      <c r="H725" t="n">
        <v>2</v>
      </c>
      <c r="I725" t="n">
        <v>0</v>
      </c>
      <c r="J725" t="n">
        <v>1</v>
      </c>
      <c r="K725" t="n">
        <v>0</v>
      </c>
      <c r="L725" t="n">
        <v>0</v>
      </c>
      <c r="M725" t="n">
        <v>0</v>
      </c>
      <c r="N725" t="n">
        <v>0</v>
      </c>
      <c r="O725" t="n">
        <v>1</v>
      </c>
      <c r="P725" t="n">
        <v>0</v>
      </c>
      <c r="Q725" t="n">
        <v>2</v>
      </c>
      <c r="R725" s="2" t="inlineStr">
        <is>
          <t>Grönsångare
Åkergroda</t>
        </is>
      </c>
      <c r="S725">
        <f>HYPERLINK("https://klasma.github.io/Logging_080883/artfynd/A 14090-2025 artfynd.xlsx", "A 14090-2025")</f>
        <v/>
      </c>
      <c r="T725">
        <f>HYPERLINK("https://klasma.github.io/Logging_080883/kartor/A 14090-2025 karta.png", "A 14090-2025")</f>
        <v/>
      </c>
      <c r="V725">
        <f>HYPERLINK("https://klasma.github.io/Logging_080883/klagomål/A 14090-2025 FSC-klagomål.docx", "A 14090-2025")</f>
        <v/>
      </c>
      <c r="W725">
        <f>HYPERLINK("https://klasma.github.io/Logging_080883/klagomålsmail/A 14090-2025 FSC-klagomål mail.docx", "A 14090-2025")</f>
        <v/>
      </c>
      <c r="X725">
        <f>HYPERLINK("https://klasma.github.io/Logging_080883/tillsyn/A 14090-2025 tillsynsbegäran.docx", "A 14090-2025")</f>
        <v/>
      </c>
      <c r="Y725">
        <f>HYPERLINK("https://klasma.github.io/Logging_080883/tillsynsmail/A 14090-2025 tillsynsbegäran mail.docx", "A 14090-2025")</f>
        <v/>
      </c>
      <c r="Z725">
        <f>HYPERLINK("https://klasma.github.io/Logging_080883/fåglar/A 14090-2025 prioriterade fågelarter.docx", "A 14090-2025")</f>
        <v/>
      </c>
    </row>
    <row r="726" ht="15" customHeight="1">
      <c r="A726" t="inlineStr">
        <is>
          <t>A 14448-2025</t>
        </is>
      </c>
      <c r="B726" s="1" t="n">
        <v>45741</v>
      </c>
      <c r="C726" s="1" t="n">
        <v>45832</v>
      </c>
      <c r="D726" t="inlineStr">
        <is>
          <t>KALMAR LÄN</t>
        </is>
      </c>
      <c r="E726" t="inlineStr">
        <is>
          <t>KALMAR</t>
        </is>
      </c>
      <c r="G726" t="n">
        <v>0.7</v>
      </c>
      <c r="H726" t="n">
        <v>1</v>
      </c>
      <c r="I726" t="n">
        <v>1</v>
      </c>
      <c r="J726" t="n">
        <v>0</v>
      </c>
      <c r="K726" t="n">
        <v>0</v>
      </c>
      <c r="L726" t="n">
        <v>0</v>
      </c>
      <c r="M726" t="n">
        <v>0</v>
      </c>
      <c r="N726" t="n">
        <v>0</v>
      </c>
      <c r="O726" t="n">
        <v>0</v>
      </c>
      <c r="P726" t="n">
        <v>0</v>
      </c>
      <c r="Q726" t="n">
        <v>2</v>
      </c>
      <c r="R726" s="2" t="inlineStr">
        <is>
          <t>Grönpyrola
Nattviol</t>
        </is>
      </c>
      <c r="S726">
        <f>HYPERLINK("https://klasma.github.io/Logging_080880/artfynd/A 14448-2025 artfynd.xlsx", "A 14448-2025")</f>
        <v/>
      </c>
      <c r="T726">
        <f>HYPERLINK("https://klasma.github.io/Logging_080880/kartor/A 14448-2025 karta.png", "A 14448-2025")</f>
        <v/>
      </c>
      <c r="V726">
        <f>HYPERLINK("https://klasma.github.io/Logging_080880/klagomål/A 14448-2025 FSC-klagomål.docx", "A 14448-2025")</f>
        <v/>
      </c>
      <c r="W726">
        <f>HYPERLINK("https://klasma.github.io/Logging_080880/klagomålsmail/A 14448-2025 FSC-klagomål mail.docx", "A 14448-2025")</f>
        <v/>
      </c>
      <c r="X726">
        <f>HYPERLINK("https://klasma.github.io/Logging_080880/tillsyn/A 14448-2025 tillsynsbegäran.docx", "A 14448-2025")</f>
        <v/>
      </c>
      <c r="Y726">
        <f>HYPERLINK("https://klasma.github.io/Logging_080880/tillsynsmail/A 14448-2025 tillsynsbegäran mail.docx", "A 14448-2025")</f>
        <v/>
      </c>
    </row>
    <row r="727" ht="15" customHeight="1">
      <c r="A727" t="inlineStr">
        <is>
          <t>A 15018-2025</t>
        </is>
      </c>
      <c r="B727" s="1" t="n">
        <v>45743</v>
      </c>
      <c r="C727" s="1" t="n">
        <v>45832</v>
      </c>
      <c r="D727" t="inlineStr">
        <is>
          <t>KALMAR LÄN</t>
        </is>
      </c>
      <c r="E727" t="inlineStr">
        <is>
          <t>VÄSTERVIK</t>
        </is>
      </c>
      <c r="G727" t="n">
        <v>1.7</v>
      </c>
      <c r="H727" t="n">
        <v>2</v>
      </c>
      <c r="I727" t="n">
        <v>0</v>
      </c>
      <c r="J727" t="n">
        <v>1</v>
      </c>
      <c r="K727" t="n">
        <v>0</v>
      </c>
      <c r="L727" t="n">
        <v>0</v>
      </c>
      <c r="M727" t="n">
        <v>0</v>
      </c>
      <c r="N727" t="n">
        <v>0</v>
      </c>
      <c r="O727" t="n">
        <v>1</v>
      </c>
      <c r="P727" t="n">
        <v>0</v>
      </c>
      <c r="Q727" t="n">
        <v>2</v>
      </c>
      <c r="R727" s="2" t="inlineStr">
        <is>
          <t>Fjällvråk
Nattskärra</t>
        </is>
      </c>
      <c r="S727">
        <f>HYPERLINK("https://klasma.github.io/Logging_080883/artfynd/A 15018-2025 artfynd.xlsx", "A 15018-2025")</f>
        <v/>
      </c>
      <c r="T727">
        <f>HYPERLINK("https://klasma.github.io/Logging_080883/kartor/A 15018-2025 karta.png", "A 15018-2025")</f>
        <v/>
      </c>
      <c r="V727">
        <f>HYPERLINK("https://klasma.github.io/Logging_080883/klagomål/A 15018-2025 FSC-klagomål.docx", "A 15018-2025")</f>
        <v/>
      </c>
      <c r="W727">
        <f>HYPERLINK("https://klasma.github.io/Logging_080883/klagomålsmail/A 15018-2025 FSC-klagomål mail.docx", "A 15018-2025")</f>
        <v/>
      </c>
      <c r="X727">
        <f>HYPERLINK("https://klasma.github.io/Logging_080883/tillsyn/A 15018-2025 tillsynsbegäran.docx", "A 15018-2025")</f>
        <v/>
      </c>
      <c r="Y727">
        <f>HYPERLINK("https://klasma.github.io/Logging_080883/tillsynsmail/A 15018-2025 tillsynsbegäran mail.docx", "A 15018-2025")</f>
        <v/>
      </c>
      <c r="Z727">
        <f>HYPERLINK("https://klasma.github.io/Logging_080883/fåglar/A 15018-2025 prioriterade fågelarter.docx", "A 15018-2025")</f>
        <v/>
      </c>
    </row>
    <row r="728" ht="15" customHeight="1">
      <c r="A728" t="inlineStr">
        <is>
          <t>A 15600-2025</t>
        </is>
      </c>
      <c r="B728" s="1" t="n">
        <v>45748</v>
      </c>
      <c r="C728" s="1" t="n">
        <v>45832</v>
      </c>
      <c r="D728" t="inlineStr">
        <is>
          <t>KALMAR LÄN</t>
        </is>
      </c>
      <c r="E728" t="inlineStr">
        <is>
          <t>MÖRBYLÅNGA</t>
        </is>
      </c>
      <c r="G728" t="n">
        <v>1.1</v>
      </c>
      <c r="H728" t="n">
        <v>0</v>
      </c>
      <c r="I728" t="n">
        <v>2</v>
      </c>
      <c r="J728" t="n">
        <v>0</v>
      </c>
      <c r="K728" t="n">
        <v>0</v>
      </c>
      <c r="L728" t="n">
        <v>0</v>
      </c>
      <c r="M728" t="n">
        <v>0</v>
      </c>
      <c r="N728" t="n">
        <v>0</v>
      </c>
      <c r="O728" t="n">
        <v>0</v>
      </c>
      <c r="P728" t="n">
        <v>0</v>
      </c>
      <c r="Q728" t="n">
        <v>2</v>
      </c>
      <c r="R728" s="2" t="inlineStr">
        <is>
          <t>Murgröna
Scharlakansvårskål agg.</t>
        </is>
      </c>
      <c r="S728">
        <f>HYPERLINK("https://klasma.github.io/Logging_080840/artfynd/A 15600-2025 artfynd.xlsx", "A 15600-2025")</f>
        <v/>
      </c>
      <c r="T728">
        <f>HYPERLINK("https://klasma.github.io/Logging_080840/kartor/A 15600-2025 karta.png", "A 15600-2025")</f>
        <v/>
      </c>
      <c r="V728">
        <f>HYPERLINK("https://klasma.github.io/Logging_080840/klagomål/A 15600-2025 FSC-klagomål.docx", "A 15600-2025")</f>
        <v/>
      </c>
      <c r="W728">
        <f>HYPERLINK("https://klasma.github.io/Logging_080840/klagomålsmail/A 15600-2025 FSC-klagomål mail.docx", "A 15600-2025")</f>
        <v/>
      </c>
      <c r="X728">
        <f>HYPERLINK("https://klasma.github.io/Logging_080840/tillsyn/A 15600-2025 tillsynsbegäran.docx", "A 15600-2025")</f>
        <v/>
      </c>
      <c r="Y728">
        <f>HYPERLINK("https://klasma.github.io/Logging_080840/tillsynsmail/A 15600-2025 tillsynsbegäran mail.docx", "A 15600-2025")</f>
        <v/>
      </c>
    </row>
    <row r="729" ht="15" customHeight="1">
      <c r="A729" t="inlineStr">
        <is>
          <t>A 16700-2025</t>
        </is>
      </c>
      <c r="B729" s="1" t="n">
        <v>45754</v>
      </c>
      <c r="C729" s="1" t="n">
        <v>45832</v>
      </c>
      <c r="D729" t="inlineStr">
        <is>
          <t>KALMAR LÄN</t>
        </is>
      </c>
      <c r="E729" t="inlineStr">
        <is>
          <t>VÄSTERVIK</t>
        </is>
      </c>
      <c r="F729" t="inlineStr">
        <is>
          <t>Sveaskog</t>
        </is>
      </c>
      <c r="G729" t="n">
        <v>1.7</v>
      </c>
      <c r="H729" t="n">
        <v>2</v>
      </c>
      <c r="I729" t="n">
        <v>0</v>
      </c>
      <c r="J729" t="n">
        <v>1</v>
      </c>
      <c r="K729" t="n">
        <v>0</v>
      </c>
      <c r="L729" t="n">
        <v>0</v>
      </c>
      <c r="M729" t="n">
        <v>0</v>
      </c>
      <c r="N729" t="n">
        <v>0</v>
      </c>
      <c r="O729" t="n">
        <v>1</v>
      </c>
      <c r="P729" t="n">
        <v>0</v>
      </c>
      <c r="Q729" t="n">
        <v>2</v>
      </c>
      <c r="R729" s="2" t="inlineStr">
        <is>
          <t>Spillkråka
Kungsfågel</t>
        </is>
      </c>
      <c r="S729">
        <f>HYPERLINK("https://klasma.github.io/Logging_080883/artfynd/A 16700-2025 artfynd.xlsx", "A 16700-2025")</f>
        <v/>
      </c>
      <c r="T729">
        <f>HYPERLINK("https://klasma.github.io/Logging_080883/kartor/A 16700-2025 karta.png", "A 16700-2025")</f>
        <v/>
      </c>
      <c r="V729">
        <f>HYPERLINK("https://klasma.github.io/Logging_080883/klagomål/A 16700-2025 FSC-klagomål.docx", "A 16700-2025")</f>
        <v/>
      </c>
      <c r="W729">
        <f>HYPERLINK("https://klasma.github.io/Logging_080883/klagomålsmail/A 16700-2025 FSC-klagomål mail.docx", "A 16700-2025")</f>
        <v/>
      </c>
      <c r="X729">
        <f>HYPERLINK("https://klasma.github.io/Logging_080883/tillsyn/A 16700-2025 tillsynsbegäran.docx", "A 16700-2025")</f>
        <v/>
      </c>
      <c r="Y729">
        <f>HYPERLINK("https://klasma.github.io/Logging_080883/tillsynsmail/A 16700-2025 tillsynsbegäran mail.docx", "A 16700-2025")</f>
        <v/>
      </c>
      <c r="Z729">
        <f>HYPERLINK("https://klasma.github.io/Logging_080883/fåglar/A 16700-2025 prioriterade fågelarter.docx", "A 16700-2025")</f>
        <v/>
      </c>
    </row>
    <row r="730" ht="15" customHeight="1">
      <c r="A730" t="inlineStr">
        <is>
          <t>A 17528-2025</t>
        </is>
      </c>
      <c r="B730" s="1" t="n">
        <v>45757</v>
      </c>
      <c r="C730" s="1" t="n">
        <v>45832</v>
      </c>
      <c r="D730" t="inlineStr">
        <is>
          <t>KALMAR LÄN</t>
        </is>
      </c>
      <c r="E730" t="inlineStr">
        <is>
          <t>MÖNSTERÅS</t>
        </is>
      </c>
      <c r="F730" t="inlineStr">
        <is>
          <t>Kyrkan</t>
        </is>
      </c>
      <c r="G730" t="n">
        <v>5.5</v>
      </c>
      <c r="H730" t="n">
        <v>2</v>
      </c>
      <c r="I730" t="n">
        <v>0</v>
      </c>
      <c r="J730" t="n">
        <v>1</v>
      </c>
      <c r="K730" t="n">
        <v>0</v>
      </c>
      <c r="L730" t="n">
        <v>0</v>
      </c>
      <c r="M730" t="n">
        <v>0</v>
      </c>
      <c r="N730" t="n">
        <v>0</v>
      </c>
      <c r="O730" t="n">
        <v>1</v>
      </c>
      <c r="P730" t="n">
        <v>0</v>
      </c>
      <c r="Q730" t="n">
        <v>2</v>
      </c>
      <c r="R730" s="2" t="inlineStr">
        <is>
          <t>Spillkråka
Sparvuggla</t>
        </is>
      </c>
      <c r="S730">
        <f>HYPERLINK("https://klasma.github.io/Logging_080861/artfynd/A 17528-2025 artfynd.xlsx", "A 17528-2025")</f>
        <v/>
      </c>
      <c r="T730">
        <f>HYPERLINK("https://klasma.github.io/Logging_080861/kartor/A 17528-2025 karta.png", "A 17528-2025")</f>
        <v/>
      </c>
      <c r="V730">
        <f>HYPERLINK("https://klasma.github.io/Logging_080861/klagomål/A 17528-2025 FSC-klagomål.docx", "A 17528-2025")</f>
        <v/>
      </c>
      <c r="W730">
        <f>HYPERLINK("https://klasma.github.io/Logging_080861/klagomålsmail/A 17528-2025 FSC-klagomål mail.docx", "A 17528-2025")</f>
        <v/>
      </c>
      <c r="X730">
        <f>HYPERLINK("https://klasma.github.io/Logging_080861/tillsyn/A 17528-2025 tillsynsbegäran.docx", "A 17528-2025")</f>
        <v/>
      </c>
      <c r="Y730">
        <f>HYPERLINK("https://klasma.github.io/Logging_080861/tillsynsmail/A 17528-2025 tillsynsbegäran mail.docx", "A 17528-2025")</f>
        <v/>
      </c>
      <c r="Z730">
        <f>HYPERLINK("https://klasma.github.io/Logging_080861/fåglar/A 17528-2025 prioriterade fågelarter.docx", "A 17528-2025")</f>
        <v/>
      </c>
    </row>
    <row r="731" ht="15" customHeight="1">
      <c r="A731" t="inlineStr">
        <is>
          <t>A 17935-2025</t>
        </is>
      </c>
      <c r="B731" s="1" t="n">
        <v>45760</v>
      </c>
      <c r="C731" s="1" t="n">
        <v>45832</v>
      </c>
      <c r="D731" t="inlineStr">
        <is>
          <t>KALMAR LÄN</t>
        </is>
      </c>
      <c r="E731" t="inlineStr">
        <is>
          <t>VIMMERBY</t>
        </is>
      </c>
      <c r="G731" t="n">
        <v>2.2</v>
      </c>
      <c r="H731" t="n">
        <v>1</v>
      </c>
      <c r="I731" t="n">
        <v>1</v>
      </c>
      <c r="J731" t="n">
        <v>0</v>
      </c>
      <c r="K731" t="n">
        <v>0</v>
      </c>
      <c r="L731" t="n">
        <v>0</v>
      </c>
      <c r="M731" t="n">
        <v>0</v>
      </c>
      <c r="N731" t="n">
        <v>0</v>
      </c>
      <c r="O731" t="n">
        <v>0</v>
      </c>
      <c r="P731" t="n">
        <v>0</v>
      </c>
      <c r="Q731" t="n">
        <v>2</v>
      </c>
      <c r="R731" s="2" t="inlineStr">
        <is>
          <t>Gräsull
Fläcknycklar</t>
        </is>
      </c>
      <c r="S731">
        <f>HYPERLINK("https://klasma.github.io/Logging_080884/artfynd/A 17935-2025 artfynd.xlsx", "A 17935-2025")</f>
        <v/>
      </c>
      <c r="T731">
        <f>HYPERLINK("https://klasma.github.io/Logging_080884/kartor/A 17935-2025 karta.png", "A 17935-2025")</f>
        <v/>
      </c>
      <c r="V731">
        <f>HYPERLINK("https://klasma.github.io/Logging_080884/klagomål/A 17935-2025 FSC-klagomål.docx", "A 17935-2025")</f>
        <v/>
      </c>
      <c r="W731">
        <f>HYPERLINK("https://klasma.github.io/Logging_080884/klagomålsmail/A 17935-2025 FSC-klagomål mail.docx", "A 17935-2025")</f>
        <v/>
      </c>
      <c r="X731">
        <f>HYPERLINK("https://klasma.github.io/Logging_080884/tillsyn/A 17935-2025 tillsynsbegäran.docx", "A 17935-2025")</f>
        <v/>
      </c>
      <c r="Y731">
        <f>HYPERLINK("https://klasma.github.io/Logging_080884/tillsynsmail/A 17935-2025 tillsynsbegäran mail.docx", "A 17935-2025")</f>
        <v/>
      </c>
    </row>
    <row r="732" ht="15" customHeight="1">
      <c r="A732" t="inlineStr">
        <is>
          <t>A 18165-2025</t>
        </is>
      </c>
      <c r="B732" s="1" t="n">
        <v>45761</v>
      </c>
      <c r="C732" s="1" t="n">
        <v>45832</v>
      </c>
      <c r="D732" t="inlineStr">
        <is>
          <t>KALMAR LÄN</t>
        </is>
      </c>
      <c r="E732" t="inlineStr">
        <is>
          <t>MÖNSTERÅS</t>
        </is>
      </c>
      <c r="G732" t="n">
        <v>0.8</v>
      </c>
      <c r="H732" t="n">
        <v>2</v>
      </c>
      <c r="I732" t="n">
        <v>0</v>
      </c>
      <c r="J732" t="n">
        <v>0</v>
      </c>
      <c r="K732" t="n">
        <v>1</v>
      </c>
      <c r="L732" t="n">
        <v>0</v>
      </c>
      <c r="M732" t="n">
        <v>0</v>
      </c>
      <c r="N732" t="n">
        <v>0</v>
      </c>
      <c r="O732" t="n">
        <v>1</v>
      </c>
      <c r="P732" t="n">
        <v>1</v>
      </c>
      <c r="Q732" t="n">
        <v>2</v>
      </c>
      <c r="R732" s="2" t="inlineStr">
        <is>
          <t>Knärot
Mattlummer</t>
        </is>
      </c>
      <c r="S732">
        <f>HYPERLINK("https://klasma.github.io/Logging_080861/artfynd/A 18165-2025 artfynd.xlsx", "A 18165-2025")</f>
        <v/>
      </c>
      <c r="T732">
        <f>HYPERLINK("https://klasma.github.io/Logging_080861/kartor/A 18165-2025 karta.png", "A 18165-2025")</f>
        <v/>
      </c>
      <c r="U732">
        <f>HYPERLINK("https://klasma.github.io/Logging_080861/knärot/A 18165-2025 karta knärot.png", "A 18165-2025")</f>
        <v/>
      </c>
      <c r="V732">
        <f>HYPERLINK("https://klasma.github.io/Logging_080861/klagomål/A 18165-2025 FSC-klagomål.docx", "A 18165-2025")</f>
        <v/>
      </c>
      <c r="W732">
        <f>HYPERLINK("https://klasma.github.io/Logging_080861/klagomålsmail/A 18165-2025 FSC-klagomål mail.docx", "A 18165-2025")</f>
        <v/>
      </c>
      <c r="X732">
        <f>HYPERLINK("https://klasma.github.io/Logging_080861/tillsyn/A 18165-2025 tillsynsbegäran.docx", "A 18165-2025")</f>
        <v/>
      </c>
      <c r="Y732">
        <f>HYPERLINK("https://klasma.github.io/Logging_080861/tillsynsmail/A 18165-2025 tillsynsbegäran mail.docx", "A 18165-2025")</f>
        <v/>
      </c>
    </row>
    <row r="733" ht="15" customHeight="1">
      <c r="A733" t="inlineStr">
        <is>
          <t>A 17978-2025</t>
        </is>
      </c>
      <c r="B733" s="1" t="n">
        <v>45761</v>
      </c>
      <c r="C733" s="1" t="n">
        <v>45832</v>
      </c>
      <c r="D733" t="inlineStr">
        <is>
          <t>KALMAR LÄN</t>
        </is>
      </c>
      <c r="E733" t="inlineStr">
        <is>
          <t>VIMMERBY</t>
        </is>
      </c>
      <c r="G733" t="n">
        <v>3.8</v>
      </c>
      <c r="H733" t="n">
        <v>2</v>
      </c>
      <c r="I733" t="n">
        <v>0</v>
      </c>
      <c r="J733" t="n">
        <v>0</v>
      </c>
      <c r="K733" t="n">
        <v>1</v>
      </c>
      <c r="L733" t="n">
        <v>0</v>
      </c>
      <c r="M733" t="n">
        <v>0</v>
      </c>
      <c r="N733" t="n">
        <v>0</v>
      </c>
      <c r="O733" t="n">
        <v>1</v>
      </c>
      <c r="P733" t="n">
        <v>1</v>
      </c>
      <c r="Q733" t="n">
        <v>2</v>
      </c>
      <c r="R733" s="2" t="inlineStr">
        <is>
          <t>Knärot
Kungsfågel</t>
        </is>
      </c>
      <c r="S733">
        <f>HYPERLINK("https://klasma.github.io/Logging_080884/artfynd/A 17978-2025 artfynd.xlsx", "A 17978-2025")</f>
        <v/>
      </c>
      <c r="T733">
        <f>HYPERLINK("https://klasma.github.io/Logging_080884/kartor/A 17978-2025 karta.png", "A 17978-2025")</f>
        <v/>
      </c>
      <c r="U733">
        <f>HYPERLINK("https://klasma.github.io/Logging_080884/knärot/A 17978-2025 karta knärot.png", "A 17978-2025")</f>
        <v/>
      </c>
      <c r="V733">
        <f>HYPERLINK("https://klasma.github.io/Logging_080884/klagomål/A 17978-2025 FSC-klagomål.docx", "A 17978-2025")</f>
        <v/>
      </c>
      <c r="W733">
        <f>HYPERLINK("https://klasma.github.io/Logging_080884/klagomålsmail/A 17978-2025 FSC-klagomål mail.docx", "A 17978-2025")</f>
        <v/>
      </c>
      <c r="X733">
        <f>HYPERLINK("https://klasma.github.io/Logging_080884/tillsyn/A 17978-2025 tillsynsbegäran.docx", "A 17978-2025")</f>
        <v/>
      </c>
      <c r="Y733">
        <f>HYPERLINK("https://klasma.github.io/Logging_080884/tillsynsmail/A 17978-2025 tillsynsbegäran mail.docx", "A 17978-2025")</f>
        <v/>
      </c>
      <c r="Z733">
        <f>HYPERLINK("https://klasma.github.io/Logging_080884/fåglar/A 17978-2025 prioriterade fågelarter.docx", "A 17978-2025")</f>
        <v/>
      </c>
    </row>
    <row r="734" ht="15" customHeight="1">
      <c r="A734" t="inlineStr">
        <is>
          <t>A 19334-2025</t>
        </is>
      </c>
      <c r="B734" s="1" t="n">
        <v>45769</v>
      </c>
      <c r="C734" s="1" t="n">
        <v>45832</v>
      </c>
      <c r="D734" t="inlineStr">
        <is>
          <t>KALMAR LÄN</t>
        </is>
      </c>
      <c r="E734" t="inlineStr">
        <is>
          <t>OSKARSHAMN</t>
        </is>
      </c>
      <c r="G734" t="n">
        <v>14.9</v>
      </c>
      <c r="H734" t="n">
        <v>0</v>
      </c>
      <c r="I734" t="n">
        <v>0</v>
      </c>
      <c r="J734" t="n">
        <v>2</v>
      </c>
      <c r="K734" t="n">
        <v>0</v>
      </c>
      <c r="L734" t="n">
        <v>0</v>
      </c>
      <c r="M734" t="n">
        <v>0</v>
      </c>
      <c r="N734" t="n">
        <v>0</v>
      </c>
      <c r="O734" t="n">
        <v>2</v>
      </c>
      <c r="P734" t="n">
        <v>0</v>
      </c>
      <c r="Q734" t="n">
        <v>2</v>
      </c>
      <c r="R734" s="2" t="inlineStr">
        <is>
          <t>Backtimjan
Flentimotej</t>
        </is>
      </c>
      <c r="S734">
        <f>HYPERLINK("https://klasma.github.io/Logging_080882/artfynd/A 19334-2025 artfynd.xlsx", "A 19334-2025")</f>
        <v/>
      </c>
      <c r="T734">
        <f>HYPERLINK("https://klasma.github.io/Logging_080882/kartor/A 19334-2025 karta.png", "A 19334-2025")</f>
        <v/>
      </c>
      <c r="V734">
        <f>HYPERLINK("https://klasma.github.io/Logging_080882/klagomål/A 19334-2025 FSC-klagomål.docx", "A 19334-2025")</f>
        <v/>
      </c>
      <c r="W734">
        <f>HYPERLINK("https://klasma.github.io/Logging_080882/klagomålsmail/A 19334-2025 FSC-klagomål mail.docx", "A 19334-2025")</f>
        <v/>
      </c>
      <c r="X734">
        <f>HYPERLINK("https://klasma.github.io/Logging_080882/tillsyn/A 19334-2025 tillsynsbegäran.docx", "A 19334-2025")</f>
        <v/>
      </c>
      <c r="Y734">
        <f>HYPERLINK("https://klasma.github.io/Logging_080882/tillsynsmail/A 19334-2025 tillsynsbegäran mail.docx", "A 19334-2025")</f>
        <v/>
      </c>
    </row>
    <row r="735" ht="15" customHeight="1">
      <c r="A735" t="inlineStr">
        <is>
          <t>A 21081-2025</t>
        </is>
      </c>
      <c r="B735" s="1" t="n">
        <v>45777</v>
      </c>
      <c r="C735" s="1" t="n">
        <v>45832</v>
      </c>
      <c r="D735" t="inlineStr">
        <is>
          <t>KALMAR LÄN</t>
        </is>
      </c>
      <c r="E735" t="inlineStr">
        <is>
          <t>VÄSTERVIK</t>
        </is>
      </c>
      <c r="G735" t="n">
        <v>1</v>
      </c>
      <c r="H735" t="n">
        <v>1</v>
      </c>
      <c r="I735" t="n">
        <v>0</v>
      </c>
      <c r="J735" t="n">
        <v>1</v>
      </c>
      <c r="K735" t="n">
        <v>1</v>
      </c>
      <c r="L735" t="n">
        <v>0</v>
      </c>
      <c r="M735" t="n">
        <v>0</v>
      </c>
      <c r="N735" t="n">
        <v>0</v>
      </c>
      <c r="O735" t="n">
        <v>2</v>
      </c>
      <c r="P735" t="n">
        <v>1</v>
      </c>
      <c r="Q735" t="n">
        <v>2</v>
      </c>
      <c r="R735" s="2" t="inlineStr">
        <is>
          <t>Knärot
Ullticka</t>
        </is>
      </c>
      <c r="S735">
        <f>HYPERLINK("https://klasma.github.io/Logging_080883/artfynd/A 21081-2025 artfynd.xlsx", "A 21081-2025")</f>
        <v/>
      </c>
      <c r="T735">
        <f>HYPERLINK("https://klasma.github.io/Logging_080883/kartor/A 21081-2025 karta.png", "A 21081-2025")</f>
        <v/>
      </c>
      <c r="U735">
        <f>HYPERLINK("https://klasma.github.io/Logging_080883/knärot/A 21081-2025 karta knärot.png", "A 21081-2025")</f>
        <v/>
      </c>
      <c r="V735">
        <f>HYPERLINK("https://klasma.github.io/Logging_080883/klagomål/A 21081-2025 FSC-klagomål.docx", "A 21081-2025")</f>
        <v/>
      </c>
      <c r="W735">
        <f>HYPERLINK("https://klasma.github.io/Logging_080883/klagomålsmail/A 21081-2025 FSC-klagomål mail.docx", "A 21081-2025")</f>
        <v/>
      </c>
      <c r="X735">
        <f>HYPERLINK("https://klasma.github.io/Logging_080883/tillsyn/A 21081-2025 tillsynsbegäran.docx", "A 21081-2025")</f>
        <v/>
      </c>
      <c r="Y735">
        <f>HYPERLINK("https://klasma.github.io/Logging_080883/tillsynsmail/A 21081-2025 tillsynsbegäran mail.docx", "A 21081-2025")</f>
        <v/>
      </c>
    </row>
    <row r="736" ht="15" customHeight="1">
      <c r="A736" t="inlineStr">
        <is>
          <t>A 22396-2025</t>
        </is>
      </c>
      <c r="B736" s="1" t="n">
        <v>45786</v>
      </c>
      <c r="C736" s="1" t="n">
        <v>45832</v>
      </c>
      <c r="D736" t="inlineStr">
        <is>
          <t>KALMAR LÄN</t>
        </is>
      </c>
      <c r="E736" t="inlineStr">
        <is>
          <t>VIMMERBY</t>
        </is>
      </c>
      <c r="G736" t="n">
        <v>2.5</v>
      </c>
      <c r="H736" t="n">
        <v>2</v>
      </c>
      <c r="I736" t="n">
        <v>0</v>
      </c>
      <c r="J736" t="n">
        <v>0</v>
      </c>
      <c r="K736" t="n">
        <v>1</v>
      </c>
      <c r="L736" t="n">
        <v>0</v>
      </c>
      <c r="M736" t="n">
        <v>0</v>
      </c>
      <c r="N736" t="n">
        <v>0</v>
      </c>
      <c r="O736" t="n">
        <v>1</v>
      </c>
      <c r="P736" t="n">
        <v>1</v>
      </c>
      <c r="Q736" t="n">
        <v>2</v>
      </c>
      <c r="R736" s="2" t="inlineStr">
        <is>
          <t>Knärot
Kungsfågel</t>
        </is>
      </c>
      <c r="S736">
        <f>HYPERLINK("https://klasma.github.io/Logging_080884/artfynd/A 22396-2025 artfynd.xlsx", "A 22396-2025")</f>
        <v/>
      </c>
      <c r="T736">
        <f>HYPERLINK("https://klasma.github.io/Logging_080884/kartor/A 22396-2025 karta.png", "A 22396-2025")</f>
        <v/>
      </c>
      <c r="U736">
        <f>HYPERLINK("https://klasma.github.io/Logging_080884/knärot/A 22396-2025 karta knärot.png", "A 22396-2025")</f>
        <v/>
      </c>
      <c r="V736">
        <f>HYPERLINK("https://klasma.github.io/Logging_080884/klagomål/A 22396-2025 FSC-klagomål.docx", "A 22396-2025")</f>
        <v/>
      </c>
      <c r="W736">
        <f>HYPERLINK("https://klasma.github.io/Logging_080884/klagomålsmail/A 22396-2025 FSC-klagomål mail.docx", "A 22396-2025")</f>
        <v/>
      </c>
      <c r="X736">
        <f>HYPERLINK("https://klasma.github.io/Logging_080884/tillsyn/A 22396-2025 tillsynsbegäran.docx", "A 22396-2025")</f>
        <v/>
      </c>
      <c r="Y736">
        <f>HYPERLINK("https://klasma.github.io/Logging_080884/tillsynsmail/A 22396-2025 tillsynsbegäran mail.docx", "A 22396-2025")</f>
        <v/>
      </c>
      <c r="Z736">
        <f>HYPERLINK("https://klasma.github.io/Logging_080884/fåglar/A 22396-2025 prioriterade fågelarter.docx", "A 22396-2025")</f>
        <v/>
      </c>
    </row>
    <row r="737" ht="15" customHeight="1">
      <c r="A737" t="inlineStr">
        <is>
          <t>A 26672-2025</t>
        </is>
      </c>
      <c r="B737" s="1" t="n">
        <v>45810</v>
      </c>
      <c r="C737" s="1" t="n">
        <v>45832</v>
      </c>
      <c r="D737" t="inlineStr">
        <is>
          <t>KALMAR LÄN</t>
        </is>
      </c>
      <c r="E737" t="inlineStr">
        <is>
          <t>HULTSFRED</t>
        </is>
      </c>
      <c r="G737" t="n">
        <v>3.5</v>
      </c>
      <c r="H737" t="n">
        <v>0</v>
      </c>
      <c r="I737" t="n">
        <v>1</v>
      </c>
      <c r="J737" t="n">
        <v>1</v>
      </c>
      <c r="K737" t="n">
        <v>0</v>
      </c>
      <c r="L737" t="n">
        <v>0</v>
      </c>
      <c r="M737" t="n">
        <v>0</v>
      </c>
      <c r="N737" t="n">
        <v>0</v>
      </c>
      <c r="O737" t="n">
        <v>1</v>
      </c>
      <c r="P737" t="n">
        <v>0</v>
      </c>
      <c r="Q737" t="n">
        <v>2</v>
      </c>
      <c r="R737" s="2" t="inlineStr">
        <is>
          <t>Gropticka
Kornig nållav</t>
        </is>
      </c>
      <c r="S737">
        <f>HYPERLINK("https://klasma.github.io/Logging_080860/artfynd/A 26672-2025 artfynd.xlsx", "A 26672-2025")</f>
        <v/>
      </c>
      <c r="T737">
        <f>HYPERLINK("https://klasma.github.io/Logging_080860/kartor/A 26672-2025 karta.png", "A 26672-2025")</f>
        <v/>
      </c>
      <c r="V737">
        <f>HYPERLINK("https://klasma.github.io/Logging_080860/klagomål/A 26672-2025 FSC-klagomål.docx", "A 26672-2025")</f>
        <v/>
      </c>
      <c r="W737">
        <f>HYPERLINK("https://klasma.github.io/Logging_080860/klagomålsmail/A 26672-2025 FSC-klagomål mail.docx", "A 26672-2025")</f>
        <v/>
      </c>
      <c r="X737">
        <f>HYPERLINK("https://klasma.github.io/Logging_080860/tillsyn/A 26672-2025 tillsynsbegäran.docx", "A 26672-2025")</f>
        <v/>
      </c>
      <c r="Y737">
        <f>HYPERLINK("https://klasma.github.io/Logging_080860/tillsynsmail/A 26672-2025 tillsynsbegäran mail.docx", "A 26672-2025")</f>
        <v/>
      </c>
    </row>
    <row r="738" ht="15" customHeight="1">
      <c r="A738" t="inlineStr">
        <is>
          <t>A 28187-2025</t>
        </is>
      </c>
      <c r="B738" s="1" t="n">
        <v>45818</v>
      </c>
      <c r="C738" s="1" t="n">
        <v>45832</v>
      </c>
      <c r="D738" t="inlineStr">
        <is>
          <t>KALMAR LÄN</t>
        </is>
      </c>
      <c r="E738" t="inlineStr">
        <is>
          <t>EMMABODA</t>
        </is>
      </c>
      <c r="G738" t="n">
        <v>10.8</v>
      </c>
      <c r="H738" t="n">
        <v>1</v>
      </c>
      <c r="I738" t="n">
        <v>0</v>
      </c>
      <c r="J738" t="n">
        <v>1</v>
      </c>
      <c r="K738" t="n">
        <v>0</v>
      </c>
      <c r="L738" t="n">
        <v>0</v>
      </c>
      <c r="M738" t="n">
        <v>0</v>
      </c>
      <c r="N738" t="n">
        <v>0</v>
      </c>
      <c r="O738" t="n">
        <v>1</v>
      </c>
      <c r="P738" t="n">
        <v>0</v>
      </c>
      <c r="Q738" t="n">
        <v>2</v>
      </c>
      <c r="R738" s="2" t="inlineStr">
        <is>
          <t>Gullklöver
Hasselmus</t>
        </is>
      </c>
      <c r="S738">
        <f>HYPERLINK("https://klasma.github.io/Logging_080862/artfynd/A 28187-2025 artfynd.xlsx", "A 28187-2025")</f>
        <v/>
      </c>
      <c r="T738">
        <f>HYPERLINK("https://klasma.github.io/Logging_080862/kartor/A 28187-2025 karta.png", "A 28187-2025")</f>
        <v/>
      </c>
      <c r="V738">
        <f>HYPERLINK("https://klasma.github.io/Logging_080862/klagomål/A 28187-2025 FSC-klagomål.docx", "A 28187-2025")</f>
        <v/>
      </c>
      <c r="W738">
        <f>HYPERLINK("https://klasma.github.io/Logging_080862/klagomålsmail/A 28187-2025 FSC-klagomål mail.docx", "A 28187-2025")</f>
        <v/>
      </c>
      <c r="X738">
        <f>HYPERLINK("https://klasma.github.io/Logging_080862/tillsyn/A 28187-2025 tillsynsbegäran.docx", "A 28187-2025")</f>
        <v/>
      </c>
      <c r="Y738">
        <f>HYPERLINK("https://klasma.github.io/Logging_080862/tillsynsmail/A 28187-2025 tillsynsbegäran mail.docx", "A 28187-2025")</f>
        <v/>
      </c>
    </row>
    <row r="739" ht="15" customHeight="1">
      <c r="A739" t="inlineStr">
        <is>
          <t>A 28779-2025</t>
        </is>
      </c>
      <c r="B739" s="1" t="n">
        <v>45820</v>
      </c>
      <c r="C739" s="1" t="n">
        <v>45832</v>
      </c>
      <c r="D739" t="inlineStr">
        <is>
          <t>KALMAR LÄN</t>
        </is>
      </c>
      <c r="E739" t="inlineStr">
        <is>
          <t>BORGHOLM</t>
        </is>
      </c>
      <c r="F739" t="inlineStr">
        <is>
          <t>Sveaskog</t>
        </is>
      </c>
      <c r="G739" t="n">
        <v>4.1</v>
      </c>
      <c r="H739" t="n">
        <v>2</v>
      </c>
      <c r="I739" t="n">
        <v>1</v>
      </c>
      <c r="J739" t="n">
        <v>1</v>
      </c>
      <c r="K739" t="n">
        <v>0</v>
      </c>
      <c r="L739" t="n">
        <v>0</v>
      </c>
      <c r="M739" t="n">
        <v>0</v>
      </c>
      <c r="N739" t="n">
        <v>0</v>
      </c>
      <c r="O739" t="n">
        <v>1</v>
      </c>
      <c r="P739" t="n">
        <v>0</v>
      </c>
      <c r="Q739" t="n">
        <v>2</v>
      </c>
      <c r="R739" s="2" t="inlineStr">
        <is>
          <t>Havsörn
Skogsknipprot</t>
        </is>
      </c>
      <c r="S739">
        <f>HYPERLINK("https://klasma.github.io/Logging_080885/artfynd/A 28779-2025 artfynd.xlsx", "A 28779-2025")</f>
        <v/>
      </c>
      <c r="T739">
        <f>HYPERLINK("https://klasma.github.io/Logging_080885/kartor/A 28779-2025 karta.png", "A 28779-2025")</f>
        <v/>
      </c>
      <c r="V739">
        <f>HYPERLINK("https://klasma.github.io/Logging_080885/klagomål/A 28779-2025 FSC-klagomål.docx", "A 28779-2025")</f>
        <v/>
      </c>
      <c r="W739">
        <f>HYPERLINK("https://klasma.github.io/Logging_080885/klagomålsmail/A 28779-2025 FSC-klagomål mail.docx", "A 28779-2025")</f>
        <v/>
      </c>
      <c r="X739">
        <f>HYPERLINK("https://klasma.github.io/Logging_080885/tillsyn/A 28779-2025 tillsynsbegäran.docx", "A 28779-2025")</f>
        <v/>
      </c>
      <c r="Y739">
        <f>HYPERLINK("https://klasma.github.io/Logging_080885/tillsynsmail/A 28779-2025 tillsynsbegäran mail.docx", "A 28779-2025")</f>
        <v/>
      </c>
      <c r="Z739">
        <f>HYPERLINK("https://klasma.github.io/Logging_080885/fåglar/A 28779-2025 prioriterade fågelarter.docx", "A 28779-2025")</f>
        <v/>
      </c>
    </row>
    <row r="740" ht="15" customHeight="1">
      <c r="A740" t="inlineStr">
        <is>
          <t>A 17819-2019</t>
        </is>
      </c>
      <c r="B740" s="1" t="n">
        <v>43556</v>
      </c>
      <c r="C740" s="1" t="n">
        <v>45832</v>
      </c>
      <c r="D740" t="inlineStr">
        <is>
          <t>KALMAR LÄN</t>
        </is>
      </c>
      <c r="E740" t="inlineStr">
        <is>
          <t>NYBRO</t>
        </is>
      </c>
      <c r="G740" t="n">
        <v>3.8</v>
      </c>
      <c r="H740" t="n">
        <v>0</v>
      </c>
      <c r="I740" t="n">
        <v>1</v>
      </c>
      <c r="J740" t="n">
        <v>0</v>
      </c>
      <c r="K740" t="n">
        <v>0</v>
      </c>
      <c r="L740" t="n">
        <v>0</v>
      </c>
      <c r="M740" t="n">
        <v>0</v>
      </c>
      <c r="N740" t="n">
        <v>0</v>
      </c>
      <c r="O740" t="n">
        <v>0</v>
      </c>
      <c r="P740" t="n">
        <v>0</v>
      </c>
      <c r="Q740" t="n">
        <v>1</v>
      </c>
      <c r="R740" s="2" t="inlineStr">
        <is>
          <t>Sårläka</t>
        </is>
      </c>
      <c r="S740">
        <f>HYPERLINK("https://klasma.github.io/Logging_0881/artfynd/A 17819-2019 artfynd.xlsx", "A 17819-2019")</f>
        <v/>
      </c>
      <c r="T740">
        <f>HYPERLINK("https://klasma.github.io/Logging_0881/kartor/A 17819-2019 karta.png", "A 17819-2019")</f>
        <v/>
      </c>
      <c r="V740">
        <f>HYPERLINK("https://klasma.github.io/Logging_0881/klagomål/A 17819-2019 FSC-klagomål.docx", "A 17819-2019")</f>
        <v/>
      </c>
      <c r="W740">
        <f>HYPERLINK("https://klasma.github.io/Logging_0881/klagomålsmail/A 17819-2019 FSC-klagomål mail.docx", "A 17819-2019")</f>
        <v/>
      </c>
      <c r="X740">
        <f>HYPERLINK("https://klasma.github.io/Logging_0881/tillsyn/A 17819-2019 tillsynsbegäran.docx", "A 17819-2019")</f>
        <v/>
      </c>
      <c r="Y740">
        <f>HYPERLINK("https://klasma.github.io/Logging_0881/tillsynsmail/A 17819-2019 tillsynsbegäran mail.docx", "A 17819-2019")</f>
        <v/>
      </c>
    </row>
    <row r="741" ht="15" customHeight="1">
      <c r="A741" t="inlineStr">
        <is>
          <t>A 19055-2019</t>
        </is>
      </c>
      <c r="B741" s="1" t="n">
        <v>43563</v>
      </c>
      <c r="C741" s="1" t="n">
        <v>45832</v>
      </c>
      <c r="D741" t="inlineStr">
        <is>
          <t>KALMAR LÄN</t>
        </is>
      </c>
      <c r="E741" t="inlineStr">
        <is>
          <t>VIMMERBY</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HYPERLINK("https://klasma.github.io/Logging_0884/artfynd/A 19055-2019 artfynd.xlsx", "A 19055-2019")</f>
        <v/>
      </c>
      <c r="T741">
        <f>HYPERLINK("https://klasma.github.io/Logging_0884/kartor/A 19055-2019 karta.png", "A 19055-2019")</f>
        <v/>
      </c>
      <c r="V741">
        <f>HYPERLINK("https://klasma.github.io/Logging_0884/klagomål/A 19055-2019 FSC-klagomål.docx", "A 19055-2019")</f>
        <v/>
      </c>
      <c r="W741">
        <f>HYPERLINK("https://klasma.github.io/Logging_0884/klagomålsmail/A 19055-2019 FSC-klagomål mail.docx", "A 19055-2019")</f>
        <v/>
      </c>
      <c r="X741">
        <f>HYPERLINK("https://klasma.github.io/Logging_0884/tillsyn/A 19055-2019 tillsynsbegäran.docx", "A 19055-2019")</f>
        <v/>
      </c>
      <c r="Y741">
        <f>HYPERLINK("https://klasma.github.io/Logging_0884/tillsynsmail/A 19055-2019 tillsynsbegäran mail.docx", "A 19055-2019")</f>
        <v/>
      </c>
    </row>
    <row r="742" ht="15" customHeight="1">
      <c r="A742" t="inlineStr">
        <is>
          <t>A 20056-2019</t>
        </is>
      </c>
      <c r="B742" s="1" t="n">
        <v>43570</v>
      </c>
      <c r="C742" s="1" t="n">
        <v>45832</v>
      </c>
      <c r="D742" t="inlineStr">
        <is>
          <t>KALMAR LÄN</t>
        </is>
      </c>
      <c r="E742" t="inlineStr">
        <is>
          <t>MÖNSTERÅS</t>
        </is>
      </c>
      <c r="G742" t="n">
        <v>3.6</v>
      </c>
      <c r="H742" t="n">
        <v>1</v>
      </c>
      <c r="I742" t="n">
        <v>0</v>
      </c>
      <c r="J742" t="n">
        <v>0</v>
      </c>
      <c r="K742" t="n">
        <v>0</v>
      </c>
      <c r="L742" t="n">
        <v>0</v>
      </c>
      <c r="M742" t="n">
        <v>0</v>
      </c>
      <c r="N742" t="n">
        <v>0</v>
      </c>
      <c r="O742" t="n">
        <v>0</v>
      </c>
      <c r="P742" t="n">
        <v>0</v>
      </c>
      <c r="Q742" t="n">
        <v>1</v>
      </c>
      <c r="R742" s="2" t="inlineStr">
        <is>
          <t>Fiskgjuse</t>
        </is>
      </c>
      <c r="S742">
        <f>HYPERLINK("https://klasma.github.io/Logging_0861/artfynd/A 20056-2019 artfynd.xlsx", "A 20056-2019")</f>
        <v/>
      </c>
      <c r="T742">
        <f>HYPERLINK("https://klasma.github.io/Logging_0861/kartor/A 20056-2019 karta.png", "A 20056-2019")</f>
        <v/>
      </c>
      <c r="V742">
        <f>HYPERLINK("https://klasma.github.io/Logging_0861/klagomål/A 20056-2019 FSC-klagomål.docx", "A 20056-2019")</f>
        <v/>
      </c>
      <c r="W742">
        <f>HYPERLINK("https://klasma.github.io/Logging_0861/klagomålsmail/A 20056-2019 FSC-klagomål mail.docx", "A 20056-2019")</f>
        <v/>
      </c>
      <c r="X742">
        <f>HYPERLINK("https://klasma.github.io/Logging_0861/tillsyn/A 20056-2019 tillsynsbegäran.docx", "A 20056-2019")</f>
        <v/>
      </c>
      <c r="Y742">
        <f>HYPERLINK("https://klasma.github.io/Logging_0861/tillsynsmail/A 20056-2019 tillsynsbegäran mail.docx", "A 20056-2019")</f>
        <v/>
      </c>
      <c r="Z742">
        <f>HYPERLINK("https://klasma.github.io/Logging_0861/fåglar/A 20056-2019 prioriterade fågelarter.docx", "A 20056-2019")</f>
        <v/>
      </c>
    </row>
    <row r="743" ht="15" customHeight="1">
      <c r="A743" t="inlineStr">
        <is>
          <t>A 20046-2019</t>
        </is>
      </c>
      <c r="B743" s="1" t="n">
        <v>43570</v>
      </c>
      <c r="C743" s="1" t="n">
        <v>45832</v>
      </c>
      <c r="D743" t="inlineStr">
        <is>
          <t>KALMAR LÄN</t>
        </is>
      </c>
      <c r="E743" t="inlineStr">
        <is>
          <t>NYBRO</t>
        </is>
      </c>
      <c r="G743" t="n">
        <v>3.3</v>
      </c>
      <c r="H743" t="n">
        <v>0</v>
      </c>
      <c r="I743" t="n">
        <v>0</v>
      </c>
      <c r="J743" t="n">
        <v>1</v>
      </c>
      <c r="K743" t="n">
        <v>0</v>
      </c>
      <c r="L743" t="n">
        <v>0</v>
      </c>
      <c r="M743" t="n">
        <v>0</v>
      </c>
      <c r="N743" t="n">
        <v>0</v>
      </c>
      <c r="O743" t="n">
        <v>1</v>
      </c>
      <c r="P743" t="n">
        <v>0</v>
      </c>
      <c r="Q743" t="n">
        <v>1</v>
      </c>
      <c r="R743" s="2" t="inlineStr">
        <is>
          <t>Solvända</t>
        </is>
      </c>
      <c r="S743">
        <f>HYPERLINK("https://klasma.github.io/Logging_0881/artfynd/A 20046-2019 artfynd.xlsx", "A 20046-2019")</f>
        <v/>
      </c>
      <c r="T743">
        <f>HYPERLINK("https://klasma.github.io/Logging_0881/kartor/A 20046-2019 karta.png", "A 20046-2019")</f>
        <v/>
      </c>
      <c r="V743">
        <f>HYPERLINK("https://klasma.github.io/Logging_0881/klagomål/A 20046-2019 FSC-klagomål.docx", "A 20046-2019")</f>
        <v/>
      </c>
      <c r="W743">
        <f>HYPERLINK("https://klasma.github.io/Logging_0881/klagomålsmail/A 20046-2019 FSC-klagomål mail.docx", "A 20046-2019")</f>
        <v/>
      </c>
      <c r="X743">
        <f>HYPERLINK("https://klasma.github.io/Logging_0881/tillsyn/A 20046-2019 tillsynsbegäran.docx", "A 20046-2019")</f>
        <v/>
      </c>
      <c r="Y743">
        <f>HYPERLINK("https://klasma.github.io/Logging_0881/tillsynsmail/A 20046-2019 tillsynsbegäran mail.docx", "A 20046-2019")</f>
        <v/>
      </c>
    </row>
    <row r="744" ht="15" customHeight="1">
      <c r="A744" t="inlineStr">
        <is>
          <t>A 21100-2019</t>
        </is>
      </c>
      <c r="B744" s="1" t="n">
        <v>43578</v>
      </c>
      <c r="C744" s="1" t="n">
        <v>45832</v>
      </c>
      <c r="D744" t="inlineStr">
        <is>
          <t>KALMAR LÄN</t>
        </is>
      </c>
      <c r="E744" t="inlineStr">
        <is>
          <t>HÖGSBY</t>
        </is>
      </c>
      <c r="G744" t="n">
        <v>7.3</v>
      </c>
      <c r="H744" t="n">
        <v>1</v>
      </c>
      <c r="I744" t="n">
        <v>0</v>
      </c>
      <c r="J744" t="n">
        <v>0</v>
      </c>
      <c r="K744" t="n">
        <v>0</v>
      </c>
      <c r="L744" t="n">
        <v>0</v>
      </c>
      <c r="M744" t="n">
        <v>0</v>
      </c>
      <c r="N744" t="n">
        <v>0</v>
      </c>
      <c r="O744" t="n">
        <v>0</v>
      </c>
      <c r="P744" t="n">
        <v>0</v>
      </c>
      <c r="Q744" t="n">
        <v>1</v>
      </c>
      <c r="R744" s="2" t="inlineStr">
        <is>
          <t>Blåsippa</t>
        </is>
      </c>
      <c r="S744">
        <f>HYPERLINK("https://klasma.github.io/Logging_0821/artfynd/A 21100-2019 artfynd.xlsx", "A 21100-2019")</f>
        <v/>
      </c>
      <c r="T744">
        <f>HYPERLINK("https://klasma.github.io/Logging_0821/kartor/A 21100-2019 karta.png", "A 21100-2019")</f>
        <v/>
      </c>
      <c r="V744">
        <f>HYPERLINK("https://klasma.github.io/Logging_0821/klagomål/A 21100-2019 FSC-klagomål.docx", "A 21100-2019")</f>
        <v/>
      </c>
      <c r="W744">
        <f>HYPERLINK("https://klasma.github.io/Logging_0821/klagomålsmail/A 21100-2019 FSC-klagomål mail.docx", "A 21100-2019")</f>
        <v/>
      </c>
      <c r="X744">
        <f>HYPERLINK("https://klasma.github.io/Logging_0821/tillsyn/A 21100-2019 tillsynsbegäran.docx", "A 21100-2019")</f>
        <v/>
      </c>
      <c r="Y744">
        <f>HYPERLINK("https://klasma.github.io/Logging_0821/tillsynsmail/A 21100-2019 tillsynsbegäran mail.docx", "A 21100-2019")</f>
        <v/>
      </c>
    </row>
    <row r="745" ht="15" customHeight="1">
      <c r="A745" t="inlineStr">
        <is>
          <t>A 21143-2019</t>
        </is>
      </c>
      <c r="B745" s="1" t="n">
        <v>43579</v>
      </c>
      <c r="C745" s="1" t="n">
        <v>45832</v>
      </c>
      <c r="D745" t="inlineStr">
        <is>
          <t>KALMAR LÄN</t>
        </is>
      </c>
      <c r="E745" t="inlineStr">
        <is>
          <t>TORSÅS</t>
        </is>
      </c>
      <c r="G745" t="n">
        <v>2</v>
      </c>
      <c r="H745" t="n">
        <v>1</v>
      </c>
      <c r="I745" t="n">
        <v>0</v>
      </c>
      <c r="J745" t="n">
        <v>0</v>
      </c>
      <c r="K745" t="n">
        <v>0</v>
      </c>
      <c r="L745" t="n">
        <v>0</v>
      </c>
      <c r="M745" t="n">
        <v>0</v>
      </c>
      <c r="N745" t="n">
        <v>0</v>
      </c>
      <c r="O745" t="n">
        <v>0</v>
      </c>
      <c r="P745" t="n">
        <v>0</v>
      </c>
      <c r="Q745" t="n">
        <v>1</v>
      </c>
      <c r="R745" s="2" t="inlineStr">
        <is>
          <t>Mattlummer</t>
        </is>
      </c>
      <c r="S745">
        <f>HYPERLINK("https://klasma.github.io/Logging_0834/artfynd/A 21143-2019 artfynd.xlsx", "A 21143-2019")</f>
        <v/>
      </c>
      <c r="T745">
        <f>HYPERLINK("https://klasma.github.io/Logging_0834/kartor/A 21143-2019 karta.png", "A 21143-2019")</f>
        <v/>
      </c>
      <c r="V745">
        <f>HYPERLINK("https://klasma.github.io/Logging_0834/klagomål/A 21143-2019 FSC-klagomål.docx", "A 21143-2019")</f>
        <v/>
      </c>
      <c r="W745">
        <f>HYPERLINK("https://klasma.github.io/Logging_0834/klagomålsmail/A 21143-2019 FSC-klagomål mail.docx", "A 21143-2019")</f>
        <v/>
      </c>
      <c r="X745">
        <f>HYPERLINK("https://klasma.github.io/Logging_0834/tillsyn/A 21143-2019 tillsynsbegäran.docx", "A 21143-2019")</f>
        <v/>
      </c>
      <c r="Y745">
        <f>HYPERLINK("https://klasma.github.io/Logging_0834/tillsynsmail/A 21143-2019 tillsynsbegäran mail.docx", "A 21143-2019")</f>
        <v/>
      </c>
    </row>
    <row r="746" ht="15" customHeight="1">
      <c r="A746" t="inlineStr">
        <is>
          <t>A 21406-2019</t>
        </is>
      </c>
      <c r="B746" s="1" t="n">
        <v>43580</v>
      </c>
      <c r="C746" s="1" t="n">
        <v>45832</v>
      </c>
      <c r="D746" t="inlineStr">
        <is>
          <t>KALMAR LÄN</t>
        </is>
      </c>
      <c r="E746" t="inlineStr">
        <is>
          <t>NYBRO</t>
        </is>
      </c>
      <c r="G746" t="n">
        <v>0.7</v>
      </c>
      <c r="H746" t="n">
        <v>0</v>
      </c>
      <c r="I746" t="n">
        <v>0</v>
      </c>
      <c r="J746" t="n">
        <v>1</v>
      </c>
      <c r="K746" t="n">
        <v>0</v>
      </c>
      <c r="L746" t="n">
        <v>0</v>
      </c>
      <c r="M746" t="n">
        <v>0</v>
      </c>
      <c r="N746" t="n">
        <v>0</v>
      </c>
      <c r="O746" t="n">
        <v>1</v>
      </c>
      <c r="P746" t="n">
        <v>0</v>
      </c>
      <c r="Q746" t="n">
        <v>1</v>
      </c>
      <c r="R746" s="2" t="inlineStr">
        <is>
          <t>Slåtterfibbla</t>
        </is>
      </c>
      <c r="S746">
        <f>HYPERLINK("https://klasma.github.io/Logging_0881/artfynd/A 21406-2019 artfynd.xlsx", "A 21406-2019")</f>
        <v/>
      </c>
      <c r="T746">
        <f>HYPERLINK("https://klasma.github.io/Logging_0881/kartor/A 21406-2019 karta.png", "A 21406-2019")</f>
        <v/>
      </c>
      <c r="V746">
        <f>HYPERLINK("https://klasma.github.io/Logging_0881/klagomål/A 21406-2019 FSC-klagomål.docx", "A 21406-2019")</f>
        <v/>
      </c>
      <c r="W746">
        <f>HYPERLINK("https://klasma.github.io/Logging_0881/klagomålsmail/A 21406-2019 FSC-klagomål mail.docx", "A 21406-2019")</f>
        <v/>
      </c>
      <c r="X746">
        <f>HYPERLINK("https://klasma.github.io/Logging_0881/tillsyn/A 21406-2019 tillsynsbegäran.docx", "A 21406-2019")</f>
        <v/>
      </c>
      <c r="Y746">
        <f>HYPERLINK("https://klasma.github.io/Logging_0881/tillsynsmail/A 21406-2019 tillsynsbegäran mail.docx", "A 21406-2019")</f>
        <v/>
      </c>
    </row>
    <row r="747" ht="15" customHeight="1">
      <c r="A747" t="inlineStr">
        <is>
          <t>A 22903-2019</t>
        </is>
      </c>
      <c r="B747" s="1" t="n">
        <v>43591</v>
      </c>
      <c r="C747" s="1" t="n">
        <v>45832</v>
      </c>
      <c r="D747" t="inlineStr">
        <is>
          <t>KALMAR LÄN</t>
        </is>
      </c>
      <c r="E747" t="inlineStr">
        <is>
          <t>HULTSFRED</t>
        </is>
      </c>
      <c r="G747" t="n">
        <v>3.5</v>
      </c>
      <c r="H747" t="n">
        <v>1</v>
      </c>
      <c r="I747" t="n">
        <v>0</v>
      </c>
      <c r="J747" t="n">
        <v>0</v>
      </c>
      <c r="K747" t="n">
        <v>1</v>
      </c>
      <c r="L747" t="n">
        <v>0</v>
      </c>
      <c r="M747" t="n">
        <v>0</v>
      </c>
      <c r="N747" t="n">
        <v>0</v>
      </c>
      <c r="O747" t="n">
        <v>1</v>
      </c>
      <c r="P747" t="n">
        <v>1</v>
      </c>
      <c r="Q747" t="n">
        <v>1</v>
      </c>
      <c r="R747" s="2" t="inlineStr">
        <is>
          <t>Knärot</t>
        </is>
      </c>
      <c r="S747">
        <f>HYPERLINK("https://klasma.github.io/Logging_0860/artfynd/A 22903-2019 artfynd.xlsx", "A 22903-2019")</f>
        <v/>
      </c>
      <c r="T747">
        <f>HYPERLINK("https://klasma.github.io/Logging_0860/kartor/A 22903-2019 karta.png", "A 22903-2019")</f>
        <v/>
      </c>
      <c r="U747">
        <f>HYPERLINK("https://klasma.github.io/Logging_0860/knärot/A 22903-2019 karta knärot.png", "A 22903-2019")</f>
        <v/>
      </c>
      <c r="V747">
        <f>HYPERLINK("https://klasma.github.io/Logging_0860/klagomål/A 22903-2019 FSC-klagomål.docx", "A 22903-2019")</f>
        <v/>
      </c>
      <c r="W747">
        <f>HYPERLINK("https://klasma.github.io/Logging_0860/klagomålsmail/A 22903-2019 FSC-klagomål mail.docx", "A 22903-2019")</f>
        <v/>
      </c>
      <c r="X747">
        <f>HYPERLINK("https://klasma.github.io/Logging_0860/tillsyn/A 22903-2019 tillsynsbegäran.docx", "A 22903-2019")</f>
        <v/>
      </c>
      <c r="Y747">
        <f>HYPERLINK("https://klasma.github.io/Logging_0860/tillsynsmail/A 22903-2019 tillsynsbegäran mail.docx", "A 22903-2019")</f>
        <v/>
      </c>
    </row>
    <row r="748" ht="15" customHeight="1">
      <c r="A748" t="inlineStr">
        <is>
          <t>A 23194-2019</t>
        </is>
      </c>
      <c r="B748" s="1" t="n">
        <v>43592</v>
      </c>
      <c r="C748" s="1" t="n">
        <v>45832</v>
      </c>
      <c r="D748" t="inlineStr">
        <is>
          <t>KALMAR LÄN</t>
        </is>
      </c>
      <c r="E748" t="inlineStr">
        <is>
          <t>BORGHOLM</t>
        </is>
      </c>
      <c r="G748" t="n">
        <v>1.6</v>
      </c>
      <c r="H748" t="n">
        <v>1</v>
      </c>
      <c r="I748" t="n">
        <v>0</v>
      </c>
      <c r="J748" t="n">
        <v>0</v>
      </c>
      <c r="K748" t="n">
        <v>0</v>
      </c>
      <c r="L748" t="n">
        <v>0</v>
      </c>
      <c r="M748" t="n">
        <v>0</v>
      </c>
      <c r="N748" t="n">
        <v>0</v>
      </c>
      <c r="O748" t="n">
        <v>0</v>
      </c>
      <c r="P748" t="n">
        <v>0</v>
      </c>
      <c r="Q748" t="n">
        <v>1</v>
      </c>
      <c r="R748" s="2" t="inlineStr">
        <is>
          <t>Blåsippa</t>
        </is>
      </c>
      <c r="S748">
        <f>HYPERLINK("https://klasma.github.io/Logging_0885/artfynd/A 23194-2019 artfynd.xlsx", "A 23194-2019")</f>
        <v/>
      </c>
      <c r="T748">
        <f>HYPERLINK("https://klasma.github.io/Logging_0885/kartor/A 23194-2019 karta.png", "A 23194-2019")</f>
        <v/>
      </c>
      <c r="V748">
        <f>HYPERLINK("https://klasma.github.io/Logging_0885/klagomål/A 23194-2019 FSC-klagomål.docx", "A 23194-2019")</f>
        <v/>
      </c>
      <c r="W748">
        <f>HYPERLINK("https://klasma.github.io/Logging_0885/klagomålsmail/A 23194-2019 FSC-klagomål mail.docx", "A 23194-2019")</f>
        <v/>
      </c>
      <c r="X748">
        <f>HYPERLINK("https://klasma.github.io/Logging_0885/tillsyn/A 23194-2019 tillsynsbegäran.docx", "A 23194-2019")</f>
        <v/>
      </c>
      <c r="Y748">
        <f>HYPERLINK("https://klasma.github.io/Logging_0885/tillsynsmail/A 23194-2019 tillsynsbegäran mail.docx", "A 23194-2019")</f>
        <v/>
      </c>
    </row>
    <row r="749" ht="15" customHeight="1">
      <c r="A749" t="inlineStr">
        <is>
          <t>A 25190-2019</t>
        </is>
      </c>
      <c r="B749" s="1" t="n">
        <v>43605</v>
      </c>
      <c r="C749" s="1" t="n">
        <v>45832</v>
      </c>
      <c r="D749" t="inlineStr">
        <is>
          <t>KALMAR LÄN</t>
        </is>
      </c>
      <c r="E749" t="inlineStr">
        <is>
          <t>HÖGSBY</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HYPERLINK("https://klasma.github.io/Logging_0821/artfynd/A 25190-2019 artfynd.xlsx", "A 25190-2019")</f>
        <v/>
      </c>
      <c r="T749">
        <f>HYPERLINK("https://klasma.github.io/Logging_0821/kartor/A 25190-2019 karta.png", "A 25190-2019")</f>
        <v/>
      </c>
      <c r="U749">
        <f>HYPERLINK("https://klasma.github.io/Logging_0821/knärot/A 25190-2019 karta knärot.png", "A 25190-2019")</f>
        <v/>
      </c>
      <c r="V749">
        <f>HYPERLINK("https://klasma.github.io/Logging_0821/klagomål/A 25190-2019 FSC-klagomål.docx", "A 25190-2019")</f>
        <v/>
      </c>
      <c r="W749">
        <f>HYPERLINK("https://klasma.github.io/Logging_0821/klagomålsmail/A 25190-2019 FSC-klagomål mail.docx", "A 25190-2019")</f>
        <v/>
      </c>
      <c r="X749">
        <f>HYPERLINK("https://klasma.github.io/Logging_0821/tillsyn/A 25190-2019 tillsynsbegäran.docx", "A 25190-2019")</f>
        <v/>
      </c>
      <c r="Y749">
        <f>HYPERLINK("https://klasma.github.io/Logging_0821/tillsynsmail/A 25190-2019 tillsynsbegäran mail.docx", "A 25190-2019")</f>
        <v/>
      </c>
    </row>
    <row r="750" ht="15" customHeight="1">
      <c r="A750" t="inlineStr">
        <is>
          <t>A 25168-2019</t>
        </is>
      </c>
      <c r="B750" s="1" t="n">
        <v>43605</v>
      </c>
      <c r="C750" s="1" t="n">
        <v>45832</v>
      </c>
      <c r="D750" t="inlineStr">
        <is>
          <t>KALMAR LÄN</t>
        </is>
      </c>
      <c r="E750" t="inlineStr">
        <is>
          <t>KALMAR</t>
        </is>
      </c>
      <c r="G750" t="n">
        <v>5.2</v>
      </c>
      <c r="H750" t="n">
        <v>1</v>
      </c>
      <c r="I750" t="n">
        <v>0</v>
      </c>
      <c r="J750" t="n">
        <v>0</v>
      </c>
      <c r="K750" t="n">
        <v>0</v>
      </c>
      <c r="L750" t="n">
        <v>0</v>
      </c>
      <c r="M750" t="n">
        <v>0</v>
      </c>
      <c r="N750" t="n">
        <v>0</v>
      </c>
      <c r="O750" t="n">
        <v>0</v>
      </c>
      <c r="P750" t="n">
        <v>0</v>
      </c>
      <c r="Q750" t="n">
        <v>1</v>
      </c>
      <c r="R750" s="2" t="inlineStr">
        <is>
          <t>Större vattensalamander</t>
        </is>
      </c>
      <c r="S750">
        <f>HYPERLINK("https://klasma.github.io/Logging_0880/artfynd/A 25168-2019 artfynd.xlsx", "A 25168-2019")</f>
        <v/>
      </c>
      <c r="T750">
        <f>HYPERLINK("https://klasma.github.io/Logging_0880/kartor/A 25168-2019 karta.png", "A 25168-2019")</f>
        <v/>
      </c>
      <c r="V750">
        <f>HYPERLINK("https://klasma.github.io/Logging_0880/klagomål/A 25168-2019 FSC-klagomål.docx", "A 25168-2019")</f>
        <v/>
      </c>
      <c r="W750">
        <f>HYPERLINK("https://klasma.github.io/Logging_0880/klagomålsmail/A 25168-2019 FSC-klagomål mail.docx", "A 25168-2019")</f>
        <v/>
      </c>
      <c r="X750">
        <f>HYPERLINK("https://klasma.github.io/Logging_0880/tillsyn/A 25168-2019 tillsynsbegäran.docx", "A 25168-2019")</f>
        <v/>
      </c>
      <c r="Y750">
        <f>HYPERLINK("https://klasma.github.io/Logging_0880/tillsynsmail/A 25168-2019 tillsynsbegäran mail.docx", "A 25168-2019")</f>
        <v/>
      </c>
    </row>
    <row r="751" ht="15" customHeight="1">
      <c r="A751" t="inlineStr">
        <is>
          <t>A 25676-2019</t>
        </is>
      </c>
      <c r="B751" s="1" t="n">
        <v>43607</v>
      </c>
      <c r="C751" s="1" t="n">
        <v>45832</v>
      </c>
      <c r="D751" t="inlineStr">
        <is>
          <t>KALMAR LÄN</t>
        </is>
      </c>
      <c r="E751" t="inlineStr">
        <is>
          <t>NYBRO</t>
        </is>
      </c>
      <c r="G751" t="n">
        <v>7.6</v>
      </c>
      <c r="H751" t="n">
        <v>1</v>
      </c>
      <c r="I751" t="n">
        <v>0</v>
      </c>
      <c r="J751" t="n">
        <v>0</v>
      </c>
      <c r="K751" t="n">
        <v>0</v>
      </c>
      <c r="L751" t="n">
        <v>0</v>
      </c>
      <c r="M751" t="n">
        <v>0</v>
      </c>
      <c r="N751" t="n">
        <v>0</v>
      </c>
      <c r="O751" t="n">
        <v>0</v>
      </c>
      <c r="P751" t="n">
        <v>0</v>
      </c>
      <c r="Q751" t="n">
        <v>1</v>
      </c>
      <c r="R751" s="2" t="inlineStr">
        <is>
          <t>Nattskärra</t>
        </is>
      </c>
      <c r="S751">
        <f>HYPERLINK("https://klasma.github.io/Logging_0881/artfynd/A 25676-2019 artfynd.xlsx", "A 25676-2019")</f>
        <v/>
      </c>
      <c r="T751">
        <f>HYPERLINK("https://klasma.github.io/Logging_0881/kartor/A 25676-2019 karta.png", "A 25676-2019")</f>
        <v/>
      </c>
      <c r="V751">
        <f>HYPERLINK("https://klasma.github.io/Logging_0881/klagomål/A 25676-2019 FSC-klagomål.docx", "A 25676-2019")</f>
        <v/>
      </c>
      <c r="W751">
        <f>HYPERLINK("https://klasma.github.io/Logging_0881/klagomålsmail/A 25676-2019 FSC-klagomål mail.docx", "A 25676-2019")</f>
        <v/>
      </c>
      <c r="X751">
        <f>HYPERLINK("https://klasma.github.io/Logging_0881/tillsyn/A 25676-2019 tillsynsbegäran.docx", "A 25676-2019")</f>
        <v/>
      </c>
      <c r="Y751">
        <f>HYPERLINK("https://klasma.github.io/Logging_0881/tillsynsmail/A 25676-2019 tillsynsbegäran mail.docx", "A 25676-2019")</f>
        <v/>
      </c>
      <c r="Z751">
        <f>HYPERLINK("https://klasma.github.io/Logging_0881/fåglar/A 25676-2019 prioriterade fågelarter.docx", "A 25676-2019")</f>
        <v/>
      </c>
    </row>
    <row r="752" ht="15" customHeight="1">
      <c r="A752" t="inlineStr">
        <is>
          <t>A 26389-2019</t>
        </is>
      </c>
      <c r="B752" s="1" t="n">
        <v>43612</v>
      </c>
      <c r="C752" s="1" t="n">
        <v>45832</v>
      </c>
      <c r="D752" t="inlineStr">
        <is>
          <t>KALMAR LÄN</t>
        </is>
      </c>
      <c r="E752" t="inlineStr">
        <is>
          <t>KALMAR</t>
        </is>
      </c>
      <c r="G752" t="n">
        <v>10.9</v>
      </c>
      <c r="H752" t="n">
        <v>1</v>
      </c>
      <c r="I752" t="n">
        <v>0</v>
      </c>
      <c r="J752" t="n">
        <v>1</v>
      </c>
      <c r="K752" t="n">
        <v>0</v>
      </c>
      <c r="L752" t="n">
        <v>0</v>
      </c>
      <c r="M752" t="n">
        <v>0</v>
      </c>
      <c r="N752" t="n">
        <v>0</v>
      </c>
      <c r="O752" t="n">
        <v>1</v>
      </c>
      <c r="P752" t="n">
        <v>0</v>
      </c>
      <c r="Q752" t="n">
        <v>1</v>
      </c>
      <c r="R752" s="2" t="inlineStr">
        <is>
          <t>Långbensgroda</t>
        </is>
      </c>
      <c r="S752">
        <f>HYPERLINK("https://klasma.github.io/Logging_0880/artfynd/A 26389-2019 artfynd.xlsx", "A 26389-2019")</f>
        <v/>
      </c>
      <c r="T752">
        <f>HYPERLINK("https://klasma.github.io/Logging_0880/kartor/A 26389-2019 karta.png", "A 26389-2019")</f>
        <v/>
      </c>
      <c r="V752">
        <f>HYPERLINK("https://klasma.github.io/Logging_0880/klagomål/A 26389-2019 FSC-klagomål.docx", "A 26389-2019")</f>
        <v/>
      </c>
      <c r="W752">
        <f>HYPERLINK("https://klasma.github.io/Logging_0880/klagomålsmail/A 26389-2019 FSC-klagomål mail.docx", "A 26389-2019")</f>
        <v/>
      </c>
      <c r="X752">
        <f>HYPERLINK("https://klasma.github.io/Logging_0880/tillsyn/A 26389-2019 tillsynsbegäran.docx", "A 26389-2019")</f>
        <v/>
      </c>
      <c r="Y752">
        <f>HYPERLINK("https://klasma.github.io/Logging_0880/tillsynsmail/A 26389-2019 tillsynsbegäran mail.docx", "A 26389-2019")</f>
        <v/>
      </c>
    </row>
    <row r="753" ht="15" customHeight="1">
      <c r="A753" t="inlineStr">
        <is>
          <t>A 26448-2019</t>
        </is>
      </c>
      <c r="B753" s="1" t="n">
        <v>43612</v>
      </c>
      <c r="C753" s="1" t="n">
        <v>45832</v>
      </c>
      <c r="D753" t="inlineStr">
        <is>
          <t>KALMAR LÄN</t>
        </is>
      </c>
      <c r="E753" t="inlineStr">
        <is>
          <t>HÖGSBY</t>
        </is>
      </c>
      <c r="G753" t="n">
        <v>0.9</v>
      </c>
      <c r="H753" t="n">
        <v>1</v>
      </c>
      <c r="I753" t="n">
        <v>0</v>
      </c>
      <c r="J753" t="n">
        <v>0</v>
      </c>
      <c r="K753" t="n">
        <v>0</v>
      </c>
      <c r="L753" t="n">
        <v>1</v>
      </c>
      <c r="M753" t="n">
        <v>0</v>
      </c>
      <c r="N753" t="n">
        <v>0</v>
      </c>
      <c r="O753" t="n">
        <v>1</v>
      </c>
      <c r="P753" t="n">
        <v>1</v>
      </c>
      <c r="Q753" t="n">
        <v>1</v>
      </c>
      <c r="R753" s="2" t="inlineStr">
        <is>
          <t>Mosippa</t>
        </is>
      </c>
      <c r="S753">
        <f>HYPERLINK("https://klasma.github.io/Logging_0821/artfynd/A 26448-2019 artfynd.xlsx", "A 26448-2019")</f>
        <v/>
      </c>
      <c r="T753">
        <f>HYPERLINK("https://klasma.github.io/Logging_0821/kartor/A 26448-2019 karta.png", "A 26448-2019")</f>
        <v/>
      </c>
      <c r="V753">
        <f>HYPERLINK("https://klasma.github.io/Logging_0821/klagomål/A 26448-2019 FSC-klagomål.docx", "A 26448-2019")</f>
        <v/>
      </c>
      <c r="W753">
        <f>HYPERLINK("https://klasma.github.io/Logging_0821/klagomålsmail/A 26448-2019 FSC-klagomål mail.docx", "A 26448-2019")</f>
        <v/>
      </c>
      <c r="X753">
        <f>HYPERLINK("https://klasma.github.io/Logging_0821/tillsyn/A 26448-2019 tillsynsbegäran.docx", "A 26448-2019")</f>
        <v/>
      </c>
      <c r="Y753">
        <f>HYPERLINK("https://klasma.github.io/Logging_0821/tillsynsmail/A 26448-2019 tillsynsbegäran mail.docx", "A 26448-2019")</f>
        <v/>
      </c>
    </row>
    <row r="754" ht="15" customHeight="1">
      <c r="A754" t="inlineStr">
        <is>
          <t>A 27200-2019</t>
        </is>
      </c>
      <c r="B754" s="1" t="n">
        <v>43614</v>
      </c>
      <c r="C754" s="1" t="n">
        <v>45832</v>
      </c>
      <c r="D754" t="inlineStr">
        <is>
          <t>KALMAR LÄN</t>
        </is>
      </c>
      <c r="E754" t="inlineStr">
        <is>
          <t>VÄSTERVIK</t>
        </is>
      </c>
      <c r="F754" t="inlineStr">
        <is>
          <t>Sveaskog</t>
        </is>
      </c>
      <c r="G754" t="n">
        <v>8.5</v>
      </c>
      <c r="H754" t="n">
        <v>0</v>
      </c>
      <c r="I754" t="n">
        <v>1</v>
      </c>
      <c r="J754" t="n">
        <v>0</v>
      </c>
      <c r="K754" t="n">
        <v>0</v>
      </c>
      <c r="L754" t="n">
        <v>0</v>
      </c>
      <c r="M754" t="n">
        <v>0</v>
      </c>
      <c r="N754" t="n">
        <v>0</v>
      </c>
      <c r="O754" t="n">
        <v>0</v>
      </c>
      <c r="P754" t="n">
        <v>0</v>
      </c>
      <c r="Q754" t="n">
        <v>1</v>
      </c>
      <c r="R754" s="2" t="inlineStr">
        <is>
          <t>Myskmadra</t>
        </is>
      </c>
      <c r="S754">
        <f>HYPERLINK("https://klasma.github.io/Logging_0883/artfynd/A 27200-2019 artfynd.xlsx", "A 27200-2019")</f>
        <v/>
      </c>
      <c r="T754">
        <f>HYPERLINK("https://klasma.github.io/Logging_0883/kartor/A 27200-2019 karta.png", "A 27200-2019")</f>
        <v/>
      </c>
      <c r="V754">
        <f>HYPERLINK("https://klasma.github.io/Logging_0883/klagomål/A 27200-2019 FSC-klagomål.docx", "A 27200-2019")</f>
        <v/>
      </c>
      <c r="W754">
        <f>HYPERLINK("https://klasma.github.io/Logging_0883/klagomålsmail/A 27200-2019 FSC-klagomål mail.docx", "A 27200-2019")</f>
        <v/>
      </c>
      <c r="X754">
        <f>HYPERLINK("https://klasma.github.io/Logging_0883/tillsyn/A 27200-2019 tillsynsbegäran.docx", "A 27200-2019")</f>
        <v/>
      </c>
      <c r="Y754">
        <f>HYPERLINK("https://klasma.github.io/Logging_0883/tillsynsmail/A 27200-2019 tillsynsbegäran mail.docx", "A 27200-2019")</f>
        <v/>
      </c>
    </row>
    <row r="755" ht="15" customHeight="1">
      <c r="A755" t="inlineStr">
        <is>
          <t>A 27204-2019</t>
        </is>
      </c>
      <c r="B755" s="1" t="n">
        <v>43614</v>
      </c>
      <c r="C755" s="1" t="n">
        <v>45832</v>
      </c>
      <c r="D755" t="inlineStr">
        <is>
          <t>KALMAR LÄN</t>
        </is>
      </c>
      <c r="E755" t="inlineStr">
        <is>
          <t>VÄSTERVIK</t>
        </is>
      </c>
      <c r="F755" t="inlineStr">
        <is>
          <t>Sveaskog</t>
        </is>
      </c>
      <c r="G755" t="n">
        <v>12.9</v>
      </c>
      <c r="H755" t="n">
        <v>0</v>
      </c>
      <c r="I755" t="n">
        <v>1</v>
      </c>
      <c r="J755" t="n">
        <v>0</v>
      </c>
      <c r="K755" t="n">
        <v>0</v>
      </c>
      <c r="L755" t="n">
        <v>0</v>
      </c>
      <c r="M755" t="n">
        <v>0</v>
      </c>
      <c r="N755" t="n">
        <v>0</v>
      </c>
      <c r="O755" t="n">
        <v>0</v>
      </c>
      <c r="P755" t="n">
        <v>0</v>
      </c>
      <c r="Q755" t="n">
        <v>1</v>
      </c>
      <c r="R755" s="2" t="inlineStr">
        <is>
          <t>Platt fjädermossa</t>
        </is>
      </c>
      <c r="S755">
        <f>HYPERLINK("https://klasma.github.io/Logging_0883/artfynd/A 27204-2019 artfynd.xlsx", "A 27204-2019")</f>
        <v/>
      </c>
      <c r="T755">
        <f>HYPERLINK("https://klasma.github.io/Logging_0883/kartor/A 27204-2019 karta.png", "A 27204-2019")</f>
        <v/>
      </c>
      <c r="V755">
        <f>HYPERLINK("https://klasma.github.io/Logging_0883/klagomål/A 27204-2019 FSC-klagomål.docx", "A 27204-2019")</f>
        <v/>
      </c>
      <c r="W755">
        <f>HYPERLINK("https://klasma.github.io/Logging_0883/klagomålsmail/A 27204-2019 FSC-klagomål mail.docx", "A 27204-2019")</f>
        <v/>
      </c>
      <c r="X755">
        <f>HYPERLINK("https://klasma.github.io/Logging_0883/tillsyn/A 27204-2019 tillsynsbegäran.docx", "A 27204-2019")</f>
        <v/>
      </c>
      <c r="Y755">
        <f>HYPERLINK("https://klasma.github.io/Logging_0883/tillsynsmail/A 27204-2019 tillsynsbegäran mail.docx", "A 27204-2019")</f>
        <v/>
      </c>
    </row>
    <row r="756" ht="15" customHeight="1">
      <c r="A756" t="inlineStr">
        <is>
          <t>A 27203-2019</t>
        </is>
      </c>
      <c r="B756" s="1" t="n">
        <v>43614</v>
      </c>
      <c r="C756" s="1" t="n">
        <v>45832</v>
      </c>
      <c r="D756" t="inlineStr">
        <is>
          <t>KALMAR LÄN</t>
        </is>
      </c>
      <c r="E756" t="inlineStr">
        <is>
          <t>VÄSTERVIK</t>
        </is>
      </c>
      <c r="F756" t="inlineStr">
        <is>
          <t>Sveaskog</t>
        </is>
      </c>
      <c r="G756" t="n">
        <v>4.8</v>
      </c>
      <c r="H756" t="n">
        <v>0</v>
      </c>
      <c r="I756" t="n">
        <v>1</v>
      </c>
      <c r="J756" t="n">
        <v>0</v>
      </c>
      <c r="K756" t="n">
        <v>0</v>
      </c>
      <c r="L756" t="n">
        <v>0</v>
      </c>
      <c r="M756" t="n">
        <v>0</v>
      </c>
      <c r="N756" t="n">
        <v>0</v>
      </c>
      <c r="O756" t="n">
        <v>0</v>
      </c>
      <c r="P756" t="n">
        <v>0</v>
      </c>
      <c r="Q756" t="n">
        <v>1</v>
      </c>
      <c r="R756" s="2" t="inlineStr">
        <is>
          <t>Blomskägglav</t>
        </is>
      </c>
      <c r="S756">
        <f>HYPERLINK("https://klasma.github.io/Logging_0883/artfynd/A 27203-2019 artfynd.xlsx", "A 27203-2019")</f>
        <v/>
      </c>
      <c r="T756">
        <f>HYPERLINK("https://klasma.github.io/Logging_0883/kartor/A 27203-2019 karta.png", "A 27203-2019")</f>
        <v/>
      </c>
      <c r="V756">
        <f>HYPERLINK("https://klasma.github.io/Logging_0883/klagomål/A 27203-2019 FSC-klagomål.docx", "A 27203-2019")</f>
        <v/>
      </c>
      <c r="W756">
        <f>HYPERLINK("https://klasma.github.io/Logging_0883/klagomålsmail/A 27203-2019 FSC-klagomål mail.docx", "A 27203-2019")</f>
        <v/>
      </c>
      <c r="X756">
        <f>HYPERLINK("https://klasma.github.io/Logging_0883/tillsyn/A 27203-2019 tillsynsbegäran.docx", "A 27203-2019")</f>
        <v/>
      </c>
      <c r="Y756">
        <f>HYPERLINK("https://klasma.github.io/Logging_0883/tillsynsmail/A 27203-2019 tillsynsbegäran mail.docx", "A 27203-2019")</f>
        <v/>
      </c>
    </row>
    <row r="757" ht="15" customHeight="1">
      <c r="A757" t="inlineStr">
        <is>
          <t>A 26976-2019</t>
        </is>
      </c>
      <c r="B757" s="1" t="n">
        <v>43614</v>
      </c>
      <c r="C757" s="1" t="n">
        <v>45832</v>
      </c>
      <c r="D757" t="inlineStr">
        <is>
          <t>KALMAR LÄN</t>
        </is>
      </c>
      <c r="E757" t="inlineStr">
        <is>
          <t>KALMAR</t>
        </is>
      </c>
      <c r="G757" t="n">
        <v>1.7</v>
      </c>
      <c r="H757" t="n">
        <v>0</v>
      </c>
      <c r="I757" t="n">
        <v>1</v>
      </c>
      <c r="J757" t="n">
        <v>0</v>
      </c>
      <c r="K757" t="n">
        <v>0</v>
      </c>
      <c r="L757" t="n">
        <v>0</v>
      </c>
      <c r="M757" t="n">
        <v>0</v>
      </c>
      <c r="N757" t="n">
        <v>0</v>
      </c>
      <c r="O757" t="n">
        <v>0</v>
      </c>
      <c r="P757" t="n">
        <v>0</v>
      </c>
      <c r="Q757" t="n">
        <v>1</v>
      </c>
      <c r="R757" s="2" t="inlineStr">
        <is>
          <t>Vätteros</t>
        </is>
      </c>
      <c r="S757">
        <f>HYPERLINK("https://klasma.github.io/Logging_0880/artfynd/A 26976-2019 artfynd.xlsx", "A 26976-2019")</f>
        <v/>
      </c>
      <c r="T757">
        <f>HYPERLINK("https://klasma.github.io/Logging_0880/kartor/A 26976-2019 karta.png", "A 26976-2019")</f>
        <v/>
      </c>
      <c r="V757">
        <f>HYPERLINK("https://klasma.github.io/Logging_0880/klagomål/A 26976-2019 FSC-klagomål.docx", "A 26976-2019")</f>
        <v/>
      </c>
      <c r="W757">
        <f>HYPERLINK("https://klasma.github.io/Logging_0880/klagomålsmail/A 26976-2019 FSC-klagomål mail.docx", "A 26976-2019")</f>
        <v/>
      </c>
      <c r="X757">
        <f>HYPERLINK("https://klasma.github.io/Logging_0880/tillsyn/A 26976-2019 tillsynsbegäran.docx", "A 26976-2019")</f>
        <v/>
      </c>
      <c r="Y757">
        <f>HYPERLINK("https://klasma.github.io/Logging_0880/tillsynsmail/A 26976-2019 tillsynsbegäran mail.docx", "A 26976-2019")</f>
        <v/>
      </c>
    </row>
    <row r="758" ht="15" customHeight="1">
      <c r="A758" t="inlineStr">
        <is>
          <t>A 27556-2019</t>
        </is>
      </c>
      <c r="B758" s="1" t="n">
        <v>43619</v>
      </c>
      <c r="C758" s="1" t="n">
        <v>45832</v>
      </c>
      <c r="D758" t="inlineStr">
        <is>
          <t>KALMAR LÄN</t>
        </is>
      </c>
      <c r="E758" t="inlineStr">
        <is>
          <t>MÖNSTERÅS</t>
        </is>
      </c>
      <c r="G758" t="n">
        <v>6.4</v>
      </c>
      <c r="H758" t="n">
        <v>1</v>
      </c>
      <c r="I758" t="n">
        <v>0</v>
      </c>
      <c r="J758" t="n">
        <v>1</v>
      </c>
      <c r="K758" t="n">
        <v>0</v>
      </c>
      <c r="L758" t="n">
        <v>0</v>
      </c>
      <c r="M758" t="n">
        <v>0</v>
      </c>
      <c r="N758" t="n">
        <v>0</v>
      </c>
      <c r="O758" t="n">
        <v>1</v>
      </c>
      <c r="P758" t="n">
        <v>0</v>
      </c>
      <c r="Q758" t="n">
        <v>1</v>
      </c>
      <c r="R758" s="2" t="inlineStr">
        <is>
          <t>Havsörn</t>
        </is>
      </c>
      <c r="S758">
        <f>HYPERLINK("https://klasma.github.io/Logging_0861/artfynd/A 27556-2019 artfynd.xlsx", "A 27556-2019")</f>
        <v/>
      </c>
      <c r="T758">
        <f>HYPERLINK("https://klasma.github.io/Logging_0861/kartor/A 27556-2019 karta.png", "A 27556-2019")</f>
        <v/>
      </c>
      <c r="V758">
        <f>HYPERLINK("https://klasma.github.io/Logging_0861/klagomål/A 27556-2019 FSC-klagomål.docx", "A 27556-2019")</f>
        <v/>
      </c>
      <c r="W758">
        <f>HYPERLINK("https://klasma.github.io/Logging_0861/klagomålsmail/A 27556-2019 FSC-klagomål mail.docx", "A 27556-2019")</f>
        <v/>
      </c>
      <c r="X758">
        <f>HYPERLINK("https://klasma.github.io/Logging_0861/tillsyn/A 27556-2019 tillsynsbegäran.docx", "A 27556-2019")</f>
        <v/>
      </c>
      <c r="Y758">
        <f>HYPERLINK("https://klasma.github.io/Logging_0861/tillsynsmail/A 27556-2019 tillsynsbegäran mail.docx", "A 27556-2019")</f>
        <v/>
      </c>
      <c r="Z758">
        <f>HYPERLINK("https://klasma.github.io/Logging_0861/fåglar/A 27556-2019 prioriterade fågelarter.docx", "A 27556-2019")</f>
        <v/>
      </c>
    </row>
    <row r="759" ht="15" customHeight="1">
      <c r="A759" t="inlineStr">
        <is>
          <t>A 29605-2019</t>
        </is>
      </c>
      <c r="B759" s="1" t="n">
        <v>43630</v>
      </c>
      <c r="C759" s="1" t="n">
        <v>45832</v>
      </c>
      <c r="D759" t="inlineStr">
        <is>
          <t>KALMAR LÄN</t>
        </is>
      </c>
      <c r="E759" t="inlineStr">
        <is>
          <t>OSKARSHAMN</t>
        </is>
      </c>
      <c r="G759" t="n">
        <v>2</v>
      </c>
      <c r="H759" t="n">
        <v>1</v>
      </c>
      <c r="I759" t="n">
        <v>0</v>
      </c>
      <c r="J759" t="n">
        <v>0</v>
      </c>
      <c r="K759" t="n">
        <v>0</v>
      </c>
      <c r="L759" t="n">
        <v>0</v>
      </c>
      <c r="M759" t="n">
        <v>0</v>
      </c>
      <c r="N759" t="n">
        <v>0</v>
      </c>
      <c r="O759" t="n">
        <v>0</v>
      </c>
      <c r="P759" t="n">
        <v>0</v>
      </c>
      <c r="Q759" t="n">
        <v>1</v>
      </c>
      <c r="R759" s="2" t="inlineStr">
        <is>
          <t>Kopparödla</t>
        </is>
      </c>
      <c r="S759">
        <f>HYPERLINK("https://klasma.github.io/Logging_0882/artfynd/A 29605-2019 artfynd.xlsx", "A 29605-2019")</f>
        <v/>
      </c>
      <c r="T759">
        <f>HYPERLINK("https://klasma.github.io/Logging_0882/kartor/A 29605-2019 karta.png", "A 29605-2019")</f>
        <v/>
      </c>
      <c r="V759">
        <f>HYPERLINK("https://klasma.github.io/Logging_0882/klagomål/A 29605-2019 FSC-klagomål.docx", "A 29605-2019")</f>
        <v/>
      </c>
      <c r="W759">
        <f>HYPERLINK("https://klasma.github.io/Logging_0882/klagomålsmail/A 29605-2019 FSC-klagomål mail.docx", "A 29605-2019")</f>
        <v/>
      </c>
      <c r="X759">
        <f>HYPERLINK("https://klasma.github.io/Logging_0882/tillsyn/A 29605-2019 tillsynsbegäran.docx", "A 29605-2019")</f>
        <v/>
      </c>
      <c r="Y759">
        <f>HYPERLINK("https://klasma.github.io/Logging_0882/tillsynsmail/A 29605-2019 tillsynsbegäran mail.docx", "A 29605-2019")</f>
        <v/>
      </c>
    </row>
    <row r="760" ht="15" customHeight="1">
      <c r="A760" t="inlineStr">
        <is>
          <t>A 32015-2019</t>
        </is>
      </c>
      <c r="B760" s="1" t="n">
        <v>43643</v>
      </c>
      <c r="C760" s="1" t="n">
        <v>45832</v>
      </c>
      <c r="D760" t="inlineStr">
        <is>
          <t>KALMAR LÄN</t>
        </is>
      </c>
      <c r="E760" t="inlineStr">
        <is>
          <t>HULTSFRED</t>
        </is>
      </c>
      <c r="G760" t="n">
        <v>6.7</v>
      </c>
      <c r="H760" t="n">
        <v>1</v>
      </c>
      <c r="I760" t="n">
        <v>0</v>
      </c>
      <c r="J760" t="n">
        <v>0</v>
      </c>
      <c r="K760" t="n">
        <v>0</v>
      </c>
      <c r="L760" t="n">
        <v>0</v>
      </c>
      <c r="M760" t="n">
        <v>0</v>
      </c>
      <c r="N760" t="n">
        <v>0</v>
      </c>
      <c r="O760" t="n">
        <v>0</v>
      </c>
      <c r="P760" t="n">
        <v>0</v>
      </c>
      <c r="Q760" t="n">
        <v>1</v>
      </c>
      <c r="R760" s="2" t="inlineStr">
        <is>
          <t>Blåsippa</t>
        </is>
      </c>
      <c r="S760">
        <f>HYPERLINK("https://klasma.github.io/Logging_0860/artfynd/A 32015-2019 artfynd.xlsx", "A 32015-2019")</f>
        <v/>
      </c>
      <c r="T760">
        <f>HYPERLINK("https://klasma.github.io/Logging_0860/kartor/A 32015-2019 karta.png", "A 32015-2019")</f>
        <v/>
      </c>
      <c r="V760">
        <f>HYPERLINK("https://klasma.github.io/Logging_0860/klagomål/A 32015-2019 FSC-klagomål.docx", "A 32015-2019")</f>
        <v/>
      </c>
      <c r="W760">
        <f>HYPERLINK("https://klasma.github.io/Logging_0860/klagomålsmail/A 32015-2019 FSC-klagomål mail.docx", "A 32015-2019")</f>
        <v/>
      </c>
      <c r="X760">
        <f>HYPERLINK("https://klasma.github.io/Logging_0860/tillsyn/A 32015-2019 tillsynsbegäran.docx", "A 32015-2019")</f>
        <v/>
      </c>
      <c r="Y760">
        <f>HYPERLINK("https://klasma.github.io/Logging_0860/tillsynsmail/A 32015-2019 tillsynsbegäran mail.docx", "A 32015-2019")</f>
        <v/>
      </c>
    </row>
    <row r="761" ht="15" customHeight="1">
      <c r="A761" t="inlineStr">
        <is>
          <t>A 32001-2019</t>
        </is>
      </c>
      <c r="B761" s="1" t="n">
        <v>43643</v>
      </c>
      <c r="C761" s="1" t="n">
        <v>45832</v>
      </c>
      <c r="D761" t="inlineStr">
        <is>
          <t>KALMAR LÄN</t>
        </is>
      </c>
      <c r="E761" t="inlineStr">
        <is>
          <t>HULTSFRED</t>
        </is>
      </c>
      <c r="G761" t="n">
        <v>9.1</v>
      </c>
      <c r="H761" t="n">
        <v>0</v>
      </c>
      <c r="I761" t="n">
        <v>1</v>
      </c>
      <c r="J761" t="n">
        <v>0</v>
      </c>
      <c r="K761" t="n">
        <v>0</v>
      </c>
      <c r="L761" t="n">
        <v>0</v>
      </c>
      <c r="M761" t="n">
        <v>0</v>
      </c>
      <c r="N761" t="n">
        <v>0</v>
      </c>
      <c r="O761" t="n">
        <v>0</v>
      </c>
      <c r="P761" t="n">
        <v>0</v>
      </c>
      <c r="Q761" t="n">
        <v>1</v>
      </c>
      <c r="R761" s="2" t="inlineStr">
        <is>
          <t>Fällmossa</t>
        </is>
      </c>
      <c r="S761">
        <f>HYPERLINK("https://klasma.github.io/Logging_0860/artfynd/A 32001-2019 artfynd.xlsx", "A 32001-2019")</f>
        <v/>
      </c>
      <c r="T761">
        <f>HYPERLINK("https://klasma.github.io/Logging_0860/kartor/A 32001-2019 karta.png", "A 32001-2019")</f>
        <v/>
      </c>
      <c r="V761">
        <f>HYPERLINK("https://klasma.github.io/Logging_0860/klagomål/A 32001-2019 FSC-klagomål.docx", "A 32001-2019")</f>
        <v/>
      </c>
      <c r="W761">
        <f>HYPERLINK("https://klasma.github.io/Logging_0860/klagomålsmail/A 32001-2019 FSC-klagomål mail.docx", "A 32001-2019")</f>
        <v/>
      </c>
      <c r="X761">
        <f>HYPERLINK("https://klasma.github.io/Logging_0860/tillsyn/A 32001-2019 tillsynsbegäran.docx", "A 32001-2019")</f>
        <v/>
      </c>
      <c r="Y761">
        <f>HYPERLINK("https://klasma.github.io/Logging_0860/tillsynsmail/A 32001-2019 tillsynsbegäran mail.docx", "A 32001-2019")</f>
        <v/>
      </c>
    </row>
    <row r="762" ht="15" customHeight="1">
      <c r="A762" t="inlineStr">
        <is>
          <t>A 34728-2019</t>
        </is>
      </c>
      <c r="B762" s="1" t="n">
        <v>43648</v>
      </c>
      <c r="C762" s="1" t="n">
        <v>45832</v>
      </c>
      <c r="D762" t="inlineStr">
        <is>
          <t>KALMAR LÄN</t>
        </is>
      </c>
      <c r="E762" t="inlineStr">
        <is>
          <t>MÖNSTERÅS</t>
        </is>
      </c>
      <c r="G762" t="n">
        <v>1</v>
      </c>
      <c r="H762" t="n">
        <v>0</v>
      </c>
      <c r="I762" t="n">
        <v>0</v>
      </c>
      <c r="J762" t="n">
        <v>1</v>
      </c>
      <c r="K762" t="n">
        <v>0</v>
      </c>
      <c r="L762" t="n">
        <v>0</v>
      </c>
      <c r="M762" t="n">
        <v>0</v>
      </c>
      <c r="N762" t="n">
        <v>0</v>
      </c>
      <c r="O762" t="n">
        <v>1</v>
      </c>
      <c r="P762" t="n">
        <v>0</v>
      </c>
      <c r="Q762" t="n">
        <v>1</v>
      </c>
      <c r="R762" s="2" t="inlineStr">
        <is>
          <t>Tallticka</t>
        </is>
      </c>
      <c r="S762">
        <f>HYPERLINK("https://klasma.github.io/Logging_0861/artfynd/A 34728-2019 artfynd.xlsx", "A 34728-2019")</f>
        <v/>
      </c>
      <c r="T762">
        <f>HYPERLINK("https://klasma.github.io/Logging_0861/kartor/A 34728-2019 karta.png", "A 34728-2019")</f>
        <v/>
      </c>
      <c r="V762">
        <f>HYPERLINK("https://klasma.github.io/Logging_0861/klagomål/A 34728-2019 FSC-klagomål.docx", "A 34728-2019")</f>
        <v/>
      </c>
      <c r="W762">
        <f>HYPERLINK("https://klasma.github.io/Logging_0861/klagomålsmail/A 34728-2019 FSC-klagomål mail.docx", "A 34728-2019")</f>
        <v/>
      </c>
      <c r="X762">
        <f>HYPERLINK("https://klasma.github.io/Logging_0861/tillsyn/A 34728-2019 tillsynsbegäran.docx", "A 34728-2019")</f>
        <v/>
      </c>
      <c r="Y762">
        <f>HYPERLINK("https://klasma.github.io/Logging_0861/tillsynsmail/A 34728-2019 tillsynsbegäran mail.docx", "A 34728-2019")</f>
        <v/>
      </c>
    </row>
    <row r="763" ht="15" customHeight="1">
      <c r="A763" t="inlineStr">
        <is>
          <t>A 34678-2019</t>
        </is>
      </c>
      <c r="B763" s="1" t="n">
        <v>43657</v>
      </c>
      <c r="C763" s="1" t="n">
        <v>45832</v>
      </c>
      <c r="D763" t="inlineStr">
        <is>
          <t>KALMAR LÄN</t>
        </is>
      </c>
      <c r="E763" t="inlineStr">
        <is>
          <t>OSKARSHAMN</t>
        </is>
      </c>
      <c r="G763" t="n">
        <v>4.1</v>
      </c>
      <c r="H763" t="n">
        <v>0</v>
      </c>
      <c r="I763" t="n">
        <v>1</v>
      </c>
      <c r="J763" t="n">
        <v>0</v>
      </c>
      <c r="K763" t="n">
        <v>0</v>
      </c>
      <c r="L763" t="n">
        <v>0</v>
      </c>
      <c r="M763" t="n">
        <v>0</v>
      </c>
      <c r="N763" t="n">
        <v>0</v>
      </c>
      <c r="O763" t="n">
        <v>0</v>
      </c>
      <c r="P763" t="n">
        <v>0</v>
      </c>
      <c r="Q763" t="n">
        <v>1</v>
      </c>
      <c r="R763" s="2" t="inlineStr">
        <is>
          <t>Rävticka</t>
        </is>
      </c>
      <c r="S763">
        <f>HYPERLINK("https://klasma.github.io/Logging_0882/artfynd/A 34678-2019 artfynd.xlsx", "A 34678-2019")</f>
        <v/>
      </c>
      <c r="T763">
        <f>HYPERLINK("https://klasma.github.io/Logging_0882/kartor/A 34678-2019 karta.png", "A 34678-2019")</f>
        <v/>
      </c>
      <c r="V763">
        <f>HYPERLINK("https://klasma.github.io/Logging_0882/klagomål/A 34678-2019 FSC-klagomål.docx", "A 34678-2019")</f>
        <v/>
      </c>
      <c r="W763">
        <f>HYPERLINK("https://klasma.github.io/Logging_0882/klagomålsmail/A 34678-2019 FSC-klagomål mail.docx", "A 34678-2019")</f>
        <v/>
      </c>
      <c r="X763">
        <f>HYPERLINK("https://klasma.github.io/Logging_0882/tillsyn/A 34678-2019 tillsynsbegäran.docx", "A 34678-2019")</f>
        <v/>
      </c>
      <c r="Y763">
        <f>HYPERLINK("https://klasma.github.io/Logging_0882/tillsynsmail/A 34678-2019 tillsynsbegäran mail.docx", "A 34678-2019")</f>
        <v/>
      </c>
    </row>
    <row r="764" ht="15" customHeight="1">
      <c r="A764" t="inlineStr">
        <is>
          <t>A 36218-2019</t>
        </is>
      </c>
      <c r="B764" s="1" t="n">
        <v>43669</v>
      </c>
      <c r="C764" s="1" t="n">
        <v>45832</v>
      </c>
      <c r="D764" t="inlineStr">
        <is>
          <t>KALMAR LÄN</t>
        </is>
      </c>
      <c r="E764" t="inlineStr">
        <is>
          <t>TORSÅS</t>
        </is>
      </c>
      <c r="G764" t="n">
        <v>15.5</v>
      </c>
      <c r="H764" t="n">
        <v>0</v>
      </c>
      <c r="I764" t="n">
        <v>0</v>
      </c>
      <c r="J764" t="n">
        <v>1</v>
      </c>
      <c r="K764" t="n">
        <v>0</v>
      </c>
      <c r="L764" t="n">
        <v>0</v>
      </c>
      <c r="M764" t="n">
        <v>0</v>
      </c>
      <c r="N764" t="n">
        <v>0</v>
      </c>
      <c r="O764" t="n">
        <v>1</v>
      </c>
      <c r="P764" t="n">
        <v>0</v>
      </c>
      <c r="Q764" t="n">
        <v>1</v>
      </c>
      <c r="R764" s="2" t="inlineStr">
        <is>
          <t>Rödlånke</t>
        </is>
      </c>
      <c r="S764">
        <f>HYPERLINK("https://klasma.github.io/Logging_0834/artfynd/A 36218-2019 artfynd.xlsx", "A 36218-2019")</f>
        <v/>
      </c>
      <c r="T764">
        <f>HYPERLINK("https://klasma.github.io/Logging_0834/kartor/A 36218-2019 karta.png", "A 36218-2019")</f>
        <v/>
      </c>
      <c r="V764">
        <f>HYPERLINK("https://klasma.github.io/Logging_0834/klagomål/A 36218-2019 FSC-klagomål.docx", "A 36218-2019")</f>
        <v/>
      </c>
      <c r="W764">
        <f>HYPERLINK("https://klasma.github.io/Logging_0834/klagomålsmail/A 36218-2019 FSC-klagomål mail.docx", "A 36218-2019")</f>
        <v/>
      </c>
      <c r="X764">
        <f>HYPERLINK("https://klasma.github.io/Logging_0834/tillsyn/A 36218-2019 tillsynsbegäran.docx", "A 36218-2019")</f>
        <v/>
      </c>
      <c r="Y764">
        <f>HYPERLINK("https://klasma.github.io/Logging_0834/tillsynsmail/A 36218-2019 tillsynsbegäran mail.docx", "A 36218-2019")</f>
        <v/>
      </c>
    </row>
    <row r="765" ht="15" customHeight="1">
      <c r="A765" t="inlineStr">
        <is>
          <t>A 36540-2019</t>
        </is>
      </c>
      <c r="B765" s="1" t="n">
        <v>43671</v>
      </c>
      <c r="C765" s="1" t="n">
        <v>45832</v>
      </c>
      <c r="D765" t="inlineStr">
        <is>
          <t>KALMAR LÄN</t>
        </is>
      </c>
      <c r="E765" t="inlineStr">
        <is>
          <t>OSKARSHAMN</t>
        </is>
      </c>
      <c r="F765" t="inlineStr">
        <is>
          <t>Sveaskog</t>
        </is>
      </c>
      <c r="G765" t="n">
        <v>3.3</v>
      </c>
      <c r="H765" t="n">
        <v>1</v>
      </c>
      <c r="I765" t="n">
        <v>0</v>
      </c>
      <c r="J765" t="n">
        <v>0</v>
      </c>
      <c r="K765" t="n">
        <v>0</v>
      </c>
      <c r="L765" t="n">
        <v>0</v>
      </c>
      <c r="M765" t="n">
        <v>0</v>
      </c>
      <c r="N765" t="n">
        <v>0</v>
      </c>
      <c r="O765" t="n">
        <v>0</v>
      </c>
      <c r="P765" t="n">
        <v>0</v>
      </c>
      <c r="Q765" t="n">
        <v>1</v>
      </c>
      <c r="R765" s="2" t="inlineStr">
        <is>
          <t>Fläcknycklar</t>
        </is>
      </c>
      <c r="S765">
        <f>HYPERLINK("https://klasma.github.io/Logging_0882/artfynd/A 36540-2019 artfynd.xlsx", "A 36540-2019")</f>
        <v/>
      </c>
      <c r="T765">
        <f>HYPERLINK("https://klasma.github.io/Logging_0882/kartor/A 36540-2019 karta.png", "A 36540-2019")</f>
        <v/>
      </c>
      <c r="V765">
        <f>HYPERLINK("https://klasma.github.io/Logging_0882/klagomål/A 36540-2019 FSC-klagomål.docx", "A 36540-2019")</f>
        <v/>
      </c>
      <c r="W765">
        <f>HYPERLINK("https://klasma.github.io/Logging_0882/klagomålsmail/A 36540-2019 FSC-klagomål mail.docx", "A 36540-2019")</f>
        <v/>
      </c>
      <c r="X765">
        <f>HYPERLINK("https://klasma.github.io/Logging_0882/tillsyn/A 36540-2019 tillsynsbegäran.docx", "A 36540-2019")</f>
        <v/>
      </c>
      <c r="Y765">
        <f>HYPERLINK("https://klasma.github.io/Logging_0882/tillsynsmail/A 36540-2019 tillsynsbegäran mail.docx", "A 36540-2019")</f>
        <v/>
      </c>
    </row>
    <row r="766" ht="15" customHeight="1">
      <c r="A766" t="inlineStr">
        <is>
          <t>A 36542-2019</t>
        </is>
      </c>
      <c r="B766" s="1" t="n">
        <v>43671</v>
      </c>
      <c r="C766" s="1" t="n">
        <v>45832</v>
      </c>
      <c r="D766" t="inlineStr">
        <is>
          <t>KALMAR LÄN</t>
        </is>
      </c>
      <c r="E766" t="inlineStr">
        <is>
          <t>OSKARSHAMN</t>
        </is>
      </c>
      <c r="F766" t="inlineStr">
        <is>
          <t>Sveaskog</t>
        </is>
      </c>
      <c r="G766" t="n">
        <v>0.8</v>
      </c>
      <c r="H766" t="n">
        <v>1</v>
      </c>
      <c r="I766" t="n">
        <v>0</v>
      </c>
      <c r="J766" t="n">
        <v>0</v>
      </c>
      <c r="K766" t="n">
        <v>0</v>
      </c>
      <c r="L766" t="n">
        <v>0</v>
      </c>
      <c r="M766" t="n">
        <v>0</v>
      </c>
      <c r="N766" t="n">
        <v>0</v>
      </c>
      <c r="O766" t="n">
        <v>0</v>
      </c>
      <c r="P766" t="n">
        <v>0</v>
      </c>
      <c r="Q766" t="n">
        <v>1</v>
      </c>
      <c r="R766" s="2" t="inlineStr">
        <is>
          <t>Mattlummer</t>
        </is>
      </c>
      <c r="S766">
        <f>HYPERLINK("https://klasma.github.io/Logging_0882/artfynd/A 36542-2019 artfynd.xlsx", "A 36542-2019")</f>
        <v/>
      </c>
      <c r="T766">
        <f>HYPERLINK("https://klasma.github.io/Logging_0882/kartor/A 36542-2019 karta.png", "A 36542-2019")</f>
        <v/>
      </c>
      <c r="V766">
        <f>HYPERLINK("https://klasma.github.io/Logging_0882/klagomål/A 36542-2019 FSC-klagomål.docx", "A 36542-2019")</f>
        <v/>
      </c>
      <c r="W766">
        <f>HYPERLINK("https://klasma.github.io/Logging_0882/klagomålsmail/A 36542-2019 FSC-klagomål mail.docx", "A 36542-2019")</f>
        <v/>
      </c>
      <c r="X766">
        <f>HYPERLINK("https://klasma.github.io/Logging_0882/tillsyn/A 36542-2019 tillsynsbegäran.docx", "A 36542-2019")</f>
        <v/>
      </c>
      <c r="Y766">
        <f>HYPERLINK("https://klasma.github.io/Logging_0882/tillsynsmail/A 36542-2019 tillsynsbegäran mail.docx", "A 36542-2019")</f>
        <v/>
      </c>
    </row>
    <row r="767" ht="15" customHeight="1">
      <c r="A767" t="inlineStr">
        <is>
          <t>A 37605-2019</t>
        </is>
      </c>
      <c r="B767" s="1" t="n">
        <v>43680</v>
      </c>
      <c r="C767" s="1" t="n">
        <v>45832</v>
      </c>
      <c r="D767" t="inlineStr">
        <is>
          <t>KALMAR LÄN</t>
        </is>
      </c>
      <c r="E767" t="inlineStr">
        <is>
          <t>KALMAR</t>
        </is>
      </c>
      <c r="G767" t="n">
        <v>0.9</v>
      </c>
      <c r="H767" t="n">
        <v>0</v>
      </c>
      <c r="I767" t="n">
        <v>1</v>
      </c>
      <c r="J767" t="n">
        <v>0</v>
      </c>
      <c r="K767" t="n">
        <v>0</v>
      </c>
      <c r="L767" t="n">
        <v>0</v>
      </c>
      <c r="M767" t="n">
        <v>0</v>
      </c>
      <c r="N767" t="n">
        <v>0</v>
      </c>
      <c r="O767" t="n">
        <v>0</v>
      </c>
      <c r="P767" t="n">
        <v>0</v>
      </c>
      <c r="Q767" t="n">
        <v>1</v>
      </c>
      <c r="R767" s="2" t="inlineStr">
        <is>
          <t>Vedticka</t>
        </is>
      </c>
      <c r="S767">
        <f>HYPERLINK("https://klasma.github.io/Logging_0880/artfynd/A 37605-2019 artfynd.xlsx", "A 37605-2019")</f>
        <v/>
      </c>
      <c r="T767">
        <f>HYPERLINK("https://klasma.github.io/Logging_0880/kartor/A 37605-2019 karta.png", "A 37605-2019")</f>
        <v/>
      </c>
      <c r="V767">
        <f>HYPERLINK("https://klasma.github.io/Logging_0880/klagomål/A 37605-2019 FSC-klagomål.docx", "A 37605-2019")</f>
        <v/>
      </c>
      <c r="W767">
        <f>HYPERLINK("https://klasma.github.io/Logging_0880/klagomålsmail/A 37605-2019 FSC-klagomål mail.docx", "A 37605-2019")</f>
        <v/>
      </c>
      <c r="X767">
        <f>HYPERLINK("https://klasma.github.io/Logging_0880/tillsyn/A 37605-2019 tillsynsbegäran.docx", "A 37605-2019")</f>
        <v/>
      </c>
      <c r="Y767">
        <f>HYPERLINK("https://klasma.github.io/Logging_0880/tillsynsmail/A 37605-2019 tillsynsbegäran mail.docx", "A 37605-2019")</f>
        <v/>
      </c>
    </row>
    <row r="768" ht="15" customHeight="1">
      <c r="A768" t="inlineStr">
        <is>
          <t>A 37689-2019</t>
        </is>
      </c>
      <c r="B768" s="1" t="n">
        <v>43682</v>
      </c>
      <c r="C768" s="1" t="n">
        <v>45832</v>
      </c>
      <c r="D768" t="inlineStr">
        <is>
          <t>KALMAR LÄN</t>
        </is>
      </c>
      <c r="E768" t="inlineStr">
        <is>
          <t>TORSÅS</t>
        </is>
      </c>
      <c r="G768" t="n">
        <v>7</v>
      </c>
      <c r="H768" t="n">
        <v>0</v>
      </c>
      <c r="I768" t="n">
        <v>0</v>
      </c>
      <c r="J768" t="n">
        <v>1</v>
      </c>
      <c r="K768" t="n">
        <v>0</v>
      </c>
      <c r="L768" t="n">
        <v>0</v>
      </c>
      <c r="M768" t="n">
        <v>0</v>
      </c>
      <c r="N768" t="n">
        <v>0</v>
      </c>
      <c r="O768" t="n">
        <v>1</v>
      </c>
      <c r="P768" t="n">
        <v>0</v>
      </c>
      <c r="Q768" t="n">
        <v>1</v>
      </c>
      <c r="R768" s="2" t="inlineStr">
        <is>
          <t>Sumpviol</t>
        </is>
      </c>
      <c r="S768">
        <f>HYPERLINK("https://klasma.github.io/Logging_0834/artfynd/A 37689-2019 artfynd.xlsx", "A 37689-2019")</f>
        <v/>
      </c>
      <c r="T768">
        <f>HYPERLINK("https://klasma.github.io/Logging_0834/kartor/A 37689-2019 karta.png", "A 37689-2019")</f>
        <v/>
      </c>
      <c r="V768">
        <f>HYPERLINK("https://klasma.github.io/Logging_0834/klagomål/A 37689-2019 FSC-klagomål.docx", "A 37689-2019")</f>
        <v/>
      </c>
      <c r="W768">
        <f>HYPERLINK("https://klasma.github.io/Logging_0834/klagomålsmail/A 37689-2019 FSC-klagomål mail.docx", "A 37689-2019")</f>
        <v/>
      </c>
      <c r="X768">
        <f>HYPERLINK("https://klasma.github.io/Logging_0834/tillsyn/A 37689-2019 tillsynsbegäran.docx", "A 37689-2019")</f>
        <v/>
      </c>
      <c r="Y768">
        <f>HYPERLINK("https://klasma.github.io/Logging_0834/tillsynsmail/A 37689-2019 tillsynsbegäran mail.docx", "A 37689-2019")</f>
        <v/>
      </c>
    </row>
    <row r="769" ht="15" customHeight="1">
      <c r="A769" t="inlineStr">
        <is>
          <t>A 38893-2019</t>
        </is>
      </c>
      <c r="B769" s="1" t="n">
        <v>43686</v>
      </c>
      <c r="C769" s="1" t="n">
        <v>45832</v>
      </c>
      <c r="D769" t="inlineStr">
        <is>
          <t>KALMAR LÄN</t>
        </is>
      </c>
      <c r="E769" t="inlineStr">
        <is>
          <t>HÖGSBY</t>
        </is>
      </c>
      <c r="G769" t="n">
        <v>8.699999999999999</v>
      </c>
      <c r="H769" t="n">
        <v>0</v>
      </c>
      <c r="I769" t="n">
        <v>0</v>
      </c>
      <c r="J769" t="n">
        <v>1</v>
      </c>
      <c r="K769" t="n">
        <v>0</v>
      </c>
      <c r="L769" t="n">
        <v>0</v>
      </c>
      <c r="M769" t="n">
        <v>0</v>
      </c>
      <c r="N769" t="n">
        <v>0</v>
      </c>
      <c r="O769" t="n">
        <v>1</v>
      </c>
      <c r="P769" t="n">
        <v>0</v>
      </c>
      <c r="Q769" t="n">
        <v>1</v>
      </c>
      <c r="R769" s="2" t="inlineStr">
        <is>
          <t>Bergjohannesört</t>
        </is>
      </c>
      <c r="S769">
        <f>HYPERLINK("https://klasma.github.io/Logging_0821/artfynd/A 38893-2019 artfynd.xlsx", "A 38893-2019")</f>
        <v/>
      </c>
      <c r="T769">
        <f>HYPERLINK("https://klasma.github.io/Logging_0821/kartor/A 38893-2019 karta.png", "A 38893-2019")</f>
        <v/>
      </c>
      <c r="V769">
        <f>HYPERLINK("https://klasma.github.io/Logging_0821/klagomål/A 38893-2019 FSC-klagomål.docx", "A 38893-2019")</f>
        <v/>
      </c>
      <c r="W769">
        <f>HYPERLINK("https://klasma.github.io/Logging_0821/klagomålsmail/A 38893-2019 FSC-klagomål mail.docx", "A 38893-2019")</f>
        <v/>
      </c>
      <c r="X769">
        <f>HYPERLINK("https://klasma.github.io/Logging_0821/tillsyn/A 38893-2019 tillsynsbegäran.docx", "A 38893-2019")</f>
        <v/>
      </c>
      <c r="Y769">
        <f>HYPERLINK("https://klasma.github.io/Logging_0821/tillsynsmail/A 38893-2019 tillsynsbegäran mail.docx", "A 38893-2019")</f>
        <v/>
      </c>
    </row>
    <row r="770" ht="15" customHeight="1">
      <c r="A770" t="inlineStr">
        <is>
          <t>A 39360-2019</t>
        </is>
      </c>
      <c r="B770" s="1" t="n">
        <v>43690</v>
      </c>
      <c r="C770" s="1" t="n">
        <v>45832</v>
      </c>
      <c r="D770" t="inlineStr">
        <is>
          <t>KALMAR LÄN</t>
        </is>
      </c>
      <c r="E770" t="inlineStr">
        <is>
          <t>NYBRO</t>
        </is>
      </c>
      <c r="G770" t="n">
        <v>0.6</v>
      </c>
      <c r="H770" t="n">
        <v>1</v>
      </c>
      <c r="I770" t="n">
        <v>0</v>
      </c>
      <c r="J770" t="n">
        <v>0</v>
      </c>
      <c r="K770" t="n">
        <v>0</v>
      </c>
      <c r="L770" t="n">
        <v>0</v>
      </c>
      <c r="M770" t="n">
        <v>0</v>
      </c>
      <c r="N770" t="n">
        <v>0</v>
      </c>
      <c r="O770" t="n">
        <v>0</v>
      </c>
      <c r="P770" t="n">
        <v>0</v>
      </c>
      <c r="Q770" t="n">
        <v>1</v>
      </c>
      <c r="R770" s="2" t="inlineStr">
        <is>
          <t>Revlummer</t>
        </is>
      </c>
      <c r="S770">
        <f>HYPERLINK("https://klasma.github.io/Logging_0881/artfynd/A 39360-2019 artfynd.xlsx", "A 39360-2019")</f>
        <v/>
      </c>
      <c r="T770">
        <f>HYPERLINK("https://klasma.github.io/Logging_0881/kartor/A 39360-2019 karta.png", "A 39360-2019")</f>
        <v/>
      </c>
      <c r="U770">
        <f>HYPERLINK("https://klasma.github.io/Logging_0881/knärot/A 39360-2019 karta knärot.png", "A 39360-2019")</f>
        <v/>
      </c>
      <c r="V770">
        <f>HYPERLINK("https://klasma.github.io/Logging_0881/klagomål/A 39360-2019 FSC-klagomål.docx", "A 39360-2019")</f>
        <v/>
      </c>
      <c r="W770">
        <f>HYPERLINK("https://klasma.github.io/Logging_0881/klagomålsmail/A 39360-2019 FSC-klagomål mail.docx", "A 39360-2019")</f>
        <v/>
      </c>
      <c r="X770">
        <f>HYPERLINK("https://klasma.github.io/Logging_0881/tillsyn/A 39360-2019 tillsynsbegäran.docx", "A 39360-2019")</f>
        <v/>
      </c>
      <c r="Y770">
        <f>HYPERLINK("https://klasma.github.io/Logging_0881/tillsynsmail/A 39360-2019 tillsynsbegäran mail.docx", "A 39360-2019")</f>
        <v/>
      </c>
    </row>
    <row r="771" ht="15" customHeight="1">
      <c r="A771" t="inlineStr">
        <is>
          <t>A 39367-2019</t>
        </is>
      </c>
      <c r="B771" s="1" t="n">
        <v>43690</v>
      </c>
      <c r="C771" s="1" t="n">
        <v>45832</v>
      </c>
      <c r="D771" t="inlineStr">
        <is>
          <t>KALMAR LÄN</t>
        </is>
      </c>
      <c r="E771" t="inlineStr">
        <is>
          <t>MÖRBYLÅNGA</t>
        </is>
      </c>
      <c r="G771" t="n">
        <v>1</v>
      </c>
      <c r="H771" t="n">
        <v>1</v>
      </c>
      <c r="I771" t="n">
        <v>0</v>
      </c>
      <c r="J771" t="n">
        <v>0</v>
      </c>
      <c r="K771" t="n">
        <v>0</v>
      </c>
      <c r="L771" t="n">
        <v>0</v>
      </c>
      <c r="M771" t="n">
        <v>0</v>
      </c>
      <c r="N771" t="n">
        <v>0</v>
      </c>
      <c r="O771" t="n">
        <v>0</v>
      </c>
      <c r="P771" t="n">
        <v>0</v>
      </c>
      <c r="Q771" t="n">
        <v>1</v>
      </c>
      <c r="R771" s="2" t="inlineStr">
        <is>
          <t>Blåsippa</t>
        </is>
      </c>
      <c r="S771">
        <f>HYPERLINK("https://klasma.github.io/Logging_0840/artfynd/A 39367-2019 artfynd.xlsx", "A 39367-2019")</f>
        <v/>
      </c>
      <c r="T771">
        <f>HYPERLINK("https://klasma.github.io/Logging_0840/kartor/A 39367-2019 karta.png", "A 39367-2019")</f>
        <v/>
      </c>
      <c r="V771">
        <f>HYPERLINK("https://klasma.github.io/Logging_0840/klagomål/A 39367-2019 FSC-klagomål.docx", "A 39367-2019")</f>
        <v/>
      </c>
      <c r="W771">
        <f>HYPERLINK("https://klasma.github.io/Logging_0840/klagomålsmail/A 39367-2019 FSC-klagomål mail.docx", "A 39367-2019")</f>
        <v/>
      </c>
      <c r="X771">
        <f>HYPERLINK("https://klasma.github.io/Logging_0840/tillsyn/A 39367-2019 tillsynsbegäran.docx", "A 39367-2019")</f>
        <v/>
      </c>
      <c r="Y771">
        <f>HYPERLINK("https://klasma.github.io/Logging_0840/tillsynsmail/A 39367-2019 tillsynsbegäran mail.docx", "A 39367-2019")</f>
        <v/>
      </c>
    </row>
    <row r="772" ht="15" customHeight="1">
      <c r="A772" t="inlineStr">
        <is>
          <t>A 39421-2019</t>
        </is>
      </c>
      <c r="B772" s="1" t="n">
        <v>43690</v>
      </c>
      <c r="C772" s="1" t="n">
        <v>45832</v>
      </c>
      <c r="D772" t="inlineStr">
        <is>
          <t>KALMAR LÄN</t>
        </is>
      </c>
      <c r="E772" t="inlineStr">
        <is>
          <t>HÖGSBY</t>
        </is>
      </c>
      <c r="G772" t="n">
        <v>10.7</v>
      </c>
      <c r="H772" t="n">
        <v>0</v>
      </c>
      <c r="I772" t="n">
        <v>0</v>
      </c>
      <c r="J772" t="n">
        <v>1</v>
      </c>
      <c r="K772" t="n">
        <v>0</v>
      </c>
      <c r="L772" t="n">
        <v>0</v>
      </c>
      <c r="M772" t="n">
        <v>0</v>
      </c>
      <c r="N772" t="n">
        <v>0</v>
      </c>
      <c r="O772" t="n">
        <v>1</v>
      </c>
      <c r="P772" t="n">
        <v>0</v>
      </c>
      <c r="Q772" t="n">
        <v>1</v>
      </c>
      <c r="R772" s="2" t="inlineStr">
        <is>
          <t>Sandviol</t>
        </is>
      </c>
      <c r="S772">
        <f>HYPERLINK("https://klasma.github.io/Logging_0821/artfynd/A 39421-2019 artfynd.xlsx", "A 39421-2019")</f>
        <v/>
      </c>
      <c r="T772">
        <f>HYPERLINK("https://klasma.github.io/Logging_0821/kartor/A 39421-2019 karta.png", "A 39421-2019")</f>
        <v/>
      </c>
      <c r="V772">
        <f>HYPERLINK("https://klasma.github.io/Logging_0821/klagomål/A 39421-2019 FSC-klagomål.docx", "A 39421-2019")</f>
        <v/>
      </c>
      <c r="W772">
        <f>HYPERLINK("https://klasma.github.io/Logging_0821/klagomålsmail/A 39421-2019 FSC-klagomål mail.docx", "A 39421-2019")</f>
        <v/>
      </c>
      <c r="X772">
        <f>HYPERLINK("https://klasma.github.io/Logging_0821/tillsyn/A 39421-2019 tillsynsbegäran.docx", "A 39421-2019")</f>
        <v/>
      </c>
      <c r="Y772">
        <f>HYPERLINK("https://klasma.github.io/Logging_0821/tillsynsmail/A 39421-2019 tillsynsbegäran mail.docx", "A 39421-2019")</f>
        <v/>
      </c>
    </row>
    <row r="773" ht="15" customHeight="1">
      <c r="A773" t="inlineStr">
        <is>
          <t>A 39728-2019</t>
        </is>
      </c>
      <c r="B773" s="1" t="n">
        <v>43691</v>
      </c>
      <c r="C773" s="1" t="n">
        <v>45832</v>
      </c>
      <c r="D773" t="inlineStr">
        <is>
          <t>KALMAR LÄN</t>
        </is>
      </c>
      <c r="E773" t="inlineStr">
        <is>
          <t>TORSÅS</t>
        </is>
      </c>
      <c r="G773" t="n">
        <v>4.6</v>
      </c>
      <c r="H773" t="n">
        <v>1</v>
      </c>
      <c r="I773" t="n">
        <v>0</v>
      </c>
      <c r="J773" t="n">
        <v>0</v>
      </c>
      <c r="K773" t="n">
        <v>0</v>
      </c>
      <c r="L773" t="n">
        <v>0</v>
      </c>
      <c r="M773" t="n">
        <v>0</v>
      </c>
      <c r="N773" t="n">
        <v>0</v>
      </c>
      <c r="O773" t="n">
        <v>0</v>
      </c>
      <c r="P773" t="n">
        <v>0</v>
      </c>
      <c r="Q773" t="n">
        <v>1</v>
      </c>
      <c r="R773" s="2" t="inlineStr">
        <is>
          <t>Gullviva</t>
        </is>
      </c>
      <c r="S773">
        <f>HYPERLINK("https://klasma.github.io/Logging_0834/artfynd/A 39728-2019 artfynd.xlsx", "A 39728-2019")</f>
        <v/>
      </c>
      <c r="T773">
        <f>HYPERLINK("https://klasma.github.io/Logging_0834/kartor/A 39728-2019 karta.png", "A 39728-2019")</f>
        <v/>
      </c>
      <c r="V773">
        <f>HYPERLINK("https://klasma.github.io/Logging_0834/klagomål/A 39728-2019 FSC-klagomål.docx", "A 39728-2019")</f>
        <v/>
      </c>
      <c r="W773">
        <f>HYPERLINK("https://klasma.github.io/Logging_0834/klagomålsmail/A 39728-2019 FSC-klagomål mail.docx", "A 39728-2019")</f>
        <v/>
      </c>
      <c r="X773">
        <f>HYPERLINK("https://klasma.github.io/Logging_0834/tillsyn/A 39728-2019 tillsynsbegäran.docx", "A 39728-2019")</f>
        <v/>
      </c>
      <c r="Y773">
        <f>HYPERLINK("https://klasma.github.io/Logging_0834/tillsynsmail/A 39728-2019 tillsynsbegäran mail.docx", "A 39728-2019")</f>
        <v/>
      </c>
    </row>
    <row r="774" ht="15" customHeight="1">
      <c r="A774" t="inlineStr">
        <is>
          <t>A 41664-2019</t>
        </is>
      </c>
      <c r="B774" s="1" t="n">
        <v>43699</v>
      </c>
      <c r="C774" s="1" t="n">
        <v>45832</v>
      </c>
      <c r="D774" t="inlineStr">
        <is>
          <t>KALMAR LÄN</t>
        </is>
      </c>
      <c r="E774" t="inlineStr">
        <is>
          <t>MÖNSTERÅS</t>
        </is>
      </c>
      <c r="G774" t="n">
        <v>10.2</v>
      </c>
      <c r="H774" t="n">
        <v>0</v>
      </c>
      <c r="I774" t="n">
        <v>1</v>
      </c>
      <c r="J774" t="n">
        <v>0</v>
      </c>
      <c r="K774" t="n">
        <v>0</v>
      </c>
      <c r="L774" t="n">
        <v>0</v>
      </c>
      <c r="M774" t="n">
        <v>0</v>
      </c>
      <c r="N774" t="n">
        <v>0</v>
      </c>
      <c r="O774" t="n">
        <v>0</v>
      </c>
      <c r="P774" t="n">
        <v>0</v>
      </c>
      <c r="Q774" t="n">
        <v>1</v>
      </c>
      <c r="R774" s="2" t="inlineStr">
        <is>
          <t>Underviol</t>
        </is>
      </c>
      <c r="S774">
        <f>HYPERLINK("https://klasma.github.io/Logging_0861/artfynd/A 41664-2019 artfynd.xlsx", "A 41664-2019")</f>
        <v/>
      </c>
      <c r="T774">
        <f>HYPERLINK("https://klasma.github.io/Logging_0861/kartor/A 41664-2019 karta.png", "A 41664-2019")</f>
        <v/>
      </c>
      <c r="V774">
        <f>HYPERLINK("https://klasma.github.io/Logging_0861/klagomål/A 41664-2019 FSC-klagomål.docx", "A 41664-2019")</f>
        <v/>
      </c>
      <c r="W774">
        <f>HYPERLINK("https://klasma.github.io/Logging_0861/klagomålsmail/A 41664-2019 FSC-klagomål mail.docx", "A 41664-2019")</f>
        <v/>
      </c>
      <c r="X774">
        <f>HYPERLINK("https://klasma.github.io/Logging_0861/tillsyn/A 41664-2019 tillsynsbegäran.docx", "A 41664-2019")</f>
        <v/>
      </c>
      <c r="Y774">
        <f>HYPERLINK("https://klasma.github.io/Logging_0861/tillsynsmail/A 41664-2019 tillsynsbegäran mail.docx", "A 41664-2019")</f>
        <v/>
      </c>
    </row>
    <row r="775" ht="15" customHeight="1">
      <c r="A775" t="inlineStr">
        <is>
          <t>A 42104-2019</t>
        </is>
      </c>
      <c r="B775" s="1" t="n">
        <v>43702</v>
      </c>
      <c r="C775" s="1" t="n">
        <v>45832</v>
      </c>
      <c r="D775" t="inlineStr">
        <is>
          <t>KALMAR LÄN</t>
        </is>
      </c>
      <c r="E775" t="inlineStr">
        <is>
          <t>HULTSFRED</t>
        </is>
      </c>
      <c r="G775" t="n">
        <v>29.4</v>
      </c>
      <c r="H775" t="n">
        <v>0</v>
      </c>
      <c r="I775" t="n">
        <v>1</v>
      </c>
      <c r="J775" t="n">
        <v>0</v>
      </c>
      <c r="K775" t="n">
        <v>0</v>
      </c>
      <c r="L775" t="n">
        <v>0</v>
      </c>
      <c r="M775" t="n">
        <v>0</v>
      </c>
      <c r="N775" t="n">
        <v>0</v>
      </c>
      <c r="O775" t="n">
        <v>0</v>
      </c>
      <c r="P775" t="n">
        <v>0</v>
      </c>
      <c r="Q775" t="n">
        <v>1</v>
      </c>
      <c r="R775" s="2" t="inlineStr">
        <is>
          <t>Murgröna</t>
        </is>
      </c>
      <c r="S775">
        <f>HYPERLINK("https://klasma.github.io/Logging_0860/artfynd/A 42104-2019 artfynd.xlsx", "A 42104-2019")</f>
        <v/>
      </c>
      <c r="T775">
        <f>HYPERLINK("https://klasma.github.io/Logging_0860/kartor/A 42104-2019 karta.png", "A 42104-2019")</f>
        <v/>
      </c>
      <c r="V775">
        <f>HYPERLINK("https://klasma.github.io/Logging_0860/klagomål/A 42104-2019 FSC-klagomål.docx", "A 42104-2019")</f>
        <v/>
      </c>
      <c r="W775">
        <f>HYPERLINK("https://klasma.github.io/Logging_0860/klagomålsmail/A 42104-2019 FSC-klagomål mail.docx", "A 42104-2019")</f>
        <v/>
      </c>
      <c r="X775">
        <f>HYPERLINK("https://klasma.github.io/Logging_0860/tillsyn/A 42104-2019 tillsynsbegäran.docx", "A 42104-2019")</f>
        <v/>
      </c>
      <c r="Y775">
        <f>HYPERLINK("https://klasma.github.io/Logging_0860/tillsynsmail/A 42104-2019 tillsynsbegäran mail.docx", "A 42104-2019")</f>
        <v/>
      </c>
    </row>
    <row r="776" ht="15" customHeight="1">
      <c r="A776" t="inlineStr">
        <is>
          <t>A 42211-2019</t>
        </is>
      </c>
      <c r="B776" s="1" t="n">
        <v>43703</v>
      </c>
      <c r="C776" s="1" t="n">
        <v>45832</v>
      </c>
      <c r="D776" t="inlineStr">
        <is>
          <t>KALMAR LÄN</t>
        </is>
      </c>
      <c r="E776" t="inlineStr">
        <is>
          <t>TORSÅS</t>
        </is>
      </c>
      <c r="G776" t="n">
        <v>2.3</v>
      </c>
      <c r="H776" t="n">
        <v>0</v>
      </c>
      <c r="I776" t="n">
        <v>0</v>
      </c>
      <c r="J776" t="n">
        <v>0</v>
      </c>
      <c r="K776" t="n">
        <v>0</v>
      </c>
      <c r="L776" t="n">
        <v>0</v>
      </c>
      <c r="M776" t="n">
        <v>0</v>
      </c>
      <c r="N776" t="n">
        <v>1</v>
      </c>
      <c r="O776" t="n">
        <v>1</v>
      </c>
      <c r="P776" t="n">
        <v>0</v>
      </c>
      <c r="Q776" t="n">
        <v>1</v>
      </c>
      <c r="R776" s="2" t="inlineStr">
        <is>
          <t>Pimpinellros</t>
        </is>
      </c>
      <c r="S776">
        <f>HYPERLINK("https://klasma.github.io/Logging_0834/artfynd/A 42211-2019 artfynd.xlsx", "A 42211-2019")</f>
        <v/>
      </c>
      <c r="T776">
        <f>HYPERLINK("https://klasma.github.io/Logging_0834/kartor/A 42211-2019 karta.png", "A 42211-2019")</f>
        <v/>
      </c>
      <c r="V776">
        <f>HYPERLINK("https://klasma.github.io/Logging_0834/klagomål/A 42211-2019 FSC-klagomål.docx", "A 42211-2019")</f>
        <v/>
      </c>
      <c r="W776">
        <f>HYPERLINK("https://klasma.github.io/Logging_0834/klagomålsmail/A 42211-2019 FSC-klagomål mail.docx", "A 42211-2019")</f>
        <v/>
      </c>
      <c r="X776">
        <f>HYPERLINK("https://klasma.github.io/Logging_0834/tillsyn/A 42211-2019 tillsynsbegäran.docx", "A 42211-2019")</f>
        <v/>
      </c>
      <c r="Y776">
        <f>HYPERLINK("https://klasma.github.io/Logging_0834/tillsynsmail/A 42211-2019 tillsynsbegäran mail.docx", "A 42211-2019")</f>
        <v/>
      </c>
    </row>
    <row r="777" ht="15" customHeight="1">
      <c r="A777" t="inlineStr">
        <is>
          <t>A 42206-2019</t>
        </is>
      </c>
      <c r="B777" s="1" t="n">
        <v>43703</v>
      </c>
      <c r="C777" s="1" t="n">
        <v>45832</v>
      </c>
      <c r="D777" t="inlineStr">
        <is>
          <t>KALMAR LÄN</t>
        </is>
      </c>
      <c r="E777" t="inlineStr">
        <is>
          <t>TORSÅS</t>
        </is>
      </c>
      <c r="G777" t="n">
        <v>13.3</v>
      </c>
      <c r="H777" t="n">
        <v>1</v>
      </c>
      <c r="I777" t="n">
        <v>0</v>
      </c>
      <c r="J777" t="n">
        <v>0</v>
      </c>
      <c r="K777" t="n">
        <v>0</v>
      </c>
      <c r="L777" t="n">
        <v>0</v>
      </c>
      <c r="M777" t="n">
        <v>0</v>
      </c>
      <c r="N777" t="n">
        <v>0</v>
      </c>
      <c r="O777" t="n">
        <v>0</v>
      </c>
      <c r="P777" t="n">
        <v>0</v>
      </c>
      <c r="Q777" t="n">
        <v>1</v>
      </c>
      <c r="R777" s="2" t="inlineStr">
        <is>
          <t>Hasselmus</t>
        </is>
      </c>
      <c r="S777">
        <f>HYPERLINK("https://klasma.github.io/Logging_0834/artfynd/A 42206-2019 artfynd.xlsx", "A 42206-2019")</f>
        <v/>
      </c>
      <c r="T777">
        <f>HYPERLINK("https://klasma.github.io/Logging_0834/kartor/A 42206-2019 karta.png", "A 42206-2019")</f>
        <v/>
      </c>
      <c r="V777">
        <f>HYPERLINK("https://klasma.github.io/Logging_0834/klagomål/A 42206-2019 FSC-klagomål.docx", "A 42206-2019")</f>
        <v/>
      </c>
      <c r="W777">
        <f>HYPERLINK("https://klasma.github.io/Logging_0834/klagomålsmail/A 42206-2019 FSC-klagomål mail.docx", "A 42206-2019")</f>
        <v/>
      </c>
      <c r="X777">
        <f>HYPERLINK("https://klasma.github.io/Logging_0834/tillsyn/A 42206-2019 tillsynsbegäran.docx", "A 42206-2019")</f>
        <v/>
      </c>
      <c r="Y777">
        <f>HYPERLINK("https://klasma.github.io/Logging_0834/tillsynsmail/A 42206-2019 tillsynsbegäran mail.docx", "A 42206-2019")</f>
        <v/>
      </c>
    </row>
    <row r="778" ht="15" customHeight="1">
      <c r="A778" t="inlineStr">
        <is>
          <t>A 43503-2019</t>
        </is>
      </c>
      <c r="B778" s="1" t="n">
        <v>43706</v>
      </c>
      <c r="C778" s="1" t="n">
        <v>45832</v>
      </c>
      <c r="D778" t="inlineStr">
        <is>
          <t>KALMAR LÄN</t>
        </is>
      </c>
      <c r="E778" t="inlineStr">
        <is>
          <t>MÖNSTERÅS</t>
        </is>
      </c>
      <c r="G778" t="n">
        <v>7.5</v>
      </c>
      <c r="H778" t="n">
        <v>0</v>
      </c>
      <c r="I778" t="n">
        <v>0</v>
      </c>
      <c r="J778" t="n">
        <v>1</v>
      </c>
      <c r="K778" t="n">
        <v>0</v>
      </c>
      <c r="L778" t="n">
        <v>0</v>
      </c>
      <c r="M778" t="n">
        <v>0</v>
      </c>
      <c r="N778" t="n">
        <v>0</v>
      </c>
      <c r="O778" t="n">
        <v>1</v>
      </c>
      <c r="P778" t="n">
        <v>0</v>
      </c>
      <c r="Q778" t="n">
        <v>1</v>
      </c>
      <c r="R778" s="2" t="inlineStr">
        <is>
          <t>Ekgetingbock</t>
        </is>
      </c>
      <c r="S778">
        <f>HYPERLINK("https://klasma.github.io/Logging_0861/artfynd/A 43503-2019 artfynd.xlsx", "A 43503-2019")</f>
        <v/>
      </c>
      <c r="T778">
        <f>HYPERLINK("https://klasma.github.io/Logging_0861/kartor/A 43503-2019 karta.png", "A 43503-2019")</f>
        <v/>
      </c>
      <c r="V778">
        <f>HYPERLINK("https://klasma.github.io/Logging_0861/klagomål/A 43503-2019 FSC-klagomål.docx", "A 43503-2019")</f>
        <v/>
      </c>
      <c r="W778">
        <f>HYPERLINK("https://klasma.github.io/Logging_0861/klagomålsmail/A 43503-2019 FSC-klagomål mail.docx", "A 43503-2019")</f>
        <v/>
      </c>
      <c r="X778">
        <f>HYPERLINK("https://klasma.github.io/Logging_0861/tillsyn/A 43503-2019 tillsynsbegäran.docx", "A 43503-2019")</f>
        <v/>
      </c>
      <c r="Y778">
        <f>HYPERLINK("https://klasma.github.io/Logging_0861/tillsynsmail/A 43503-2019 tillsynsbegäran mail.docx", "A 43503-2019")</f>
        <v/>
      </c>
    </row>
    <row r="779" ht="15" customHeight="1">
      <c r="A779" t="inlineStr">
        <is>
          <t>A 45720-2019</t>
        </is>
      </c>
      <c r="B779" s="1" t="n">
        <v>43717</v>
      </c>
      <c r="C779" s="1" t="n">
        <v>45832</v>
      </c>
      <c r="D779" t="inlineStr">
        <is>
          <t>KALMAR LÄN</t>
        </is>
      </c>
      <c r="E779" t="inlineStr">
        <is>
          <t>KALMAR</t>
        </is>
      </c>
      <c r="G779" t="n">
        <v>7.1</v>
      </c>
      <c r="H779" t="n">
        <v>1</v>
      </c>
      <c r="I779" t="n">
        <v>0</v>
      </c>
      <c r="J779" t="n">
        <v>0</v>
      </c>
      <c r="K779" t="n">
        <v>0</v>
      </c>
      <c r="L779" t="n">
        <v>0</v>
      </c>
      <c r="M779" t="n">
        <v>0</v>
      </c>
      <c r="N779" t="n">
        <v>0</v>
      </c>
      <c r="O779" t="n">
        <v>0</v>
      </c>
      <c r="P779" t="n">
        <v>0</v>
      </c>
      <c r="Q779" t="n">
        <v>1</v>
      </c>
      <c r="R779" s="2" t="inlineStr">
        <is>
          <t>Nattskärra</t>
        </is>
      </c>
      <c r="S779">
        <f>HYPERLINK("https://klasma.github.io/Logging_0880/artfynd/A 45720-2019 artfynd.xlsx", "A 45720-2019")</f>
        <v/>
      </c>
      <c r="T779">
        <f>HYPERLINK("https://klasma.github.io/Logging_0880/kartor/A 45720-2019 karta.png", "A 45720-2019")</f>
        <v/>
      </c>
      <c r="V779">
        <f>HYPERLINK("https://klasma.github.io/Logging_0880/klagomål/A 45720-2019 FSC-klagomål.docx", "A 45720-2019")</f>
        <v/>
      </c>
      <c r="W779">
        <f>HYPERLINK("https://klasma.github.io/Logging_0880/klagomålsmail/A 45720-2019 FSC-klagomål mail.docx", "A 45720-2019")</f>
        <v/>
      </c>
      <c r="X779">
        <f>HYPERLINK("https://klasma.github.io/Logging_0880/tillsyn/A 45720-2019 tillsynsbegäran.docx", "A 45720-2019")</f>
        <v/>
      </c>
      <c r="Y779">
        <f>HYPERLINK("https://klasma.github.io/Logging_0880/tillsynsmail/A 45720-2019 tillsynsbegäran mail.docx", "A 45720-2019")</f>
        <v/>
      </c>
      <c r="Z779">
        <f>HYPERLINK("https://klasma.github.io/Logging_0880/fåglar/A 45720-2019 prioriterade fågelarter.docx", "A 45720-2019")</f>
        <v/>
      </c>
    </row>
    <row r="780" ht="15" customHeight="1">
      <c r="A780" t="inlineStr">
        <is>
          <t>A 46847-2019</t>
        </is>
      </c>
      <c r="B780" s="1" t="n">
        <v>43720</v>
      </c>
      <c r="C780" s="1" t="n">
        <v>45832</v>
      </c>
      <c r="D780" t="inlineStr">
        <is>
          <t>KALMAR LÄN</t>
        </is>
      </c>
      <c r="E780" t="inlineStr">
        <is>
          <t>MÖNSTERÅS</t>
        </is>
      </c>
      <c r="G780" t="n">
        <v>7.2</v>
      </c>
      <c r="H780" t="n">
        <v>1</v>
      </c>
      <c r="I780" t="n">
        <v>0</v>
      </c>
      <c r="J780" t="n">
        <v>1</v>
      </c>
      <c r="K780" t="n">
        <v>0</v>
      </c>
      <c r="L780" t="n">
        <v>0</v>
      </c>
      <c r="M780" t="n">
        <v>0</v>
      </c>
      <c r="N780" t="n">
        <v>0</v>
      </c>
      <c r="O780" t="n">
        <v>1</v>
      </c>
      <c r="P780" t="n">
        <v>0</v>
      </c>
      <c r="Q780" t="n">
        <v>1</v>
      </c>
      <c r="R780" s="2" t="inlineStr">
        <is>
          <t>Havsörn</t>
        </is>
      </c>
      <c r="S780">
        <f>HYPERLINK("https://klasma.github.io/Logging_0861/artfynd/A 46847-2019 artfynd.xlsx", "A 46847-2019")</f>
        <v/>
      </c>
      <c r="T780">
        <f>HYPERLINK("https://klasma.github.io/Logging_0861/kartor/A 46847-2019 karta.png", "A 46847-2019")</f>
        <v/>
      </c>
      <c r="V780">
        <f>HYPERLINK("https://klasma.github.io/Logging_0861/klagomål/A 46847-2019 FSC-klagomål.docx", "A 46847-2019")</f>
        <v/>
      </c>
      <c r="W780">
        <f>HYPERLINK("https://klasma.github.io/Logging_0861/klagomålsmail/A 46847-2019 FSC-klagomål mail.docx", "A 46847-2019")</f>
        <v/>
      </c>
      <c r="X780">
        <f>HYPERLINK("https://klasma.github.io/Logging_0861/tillsyn/A 46847-2019 tillsynsbegäran.docx", "A 46847-2019")</f>
        <v/>
      </c>
      <c r="Y780">
        <f>HYPERLINK("https://klasma.github.io/Logging_0861/tillsynsmail/A 46847-2019 tillsynsbegäran mail.docx", "A 46847-2019")</f>
        <v/>
      </c>
      <c r="Z780">
        <f>HYPERLINK("https://klasma.github.io/Logging_0861/fåglar/A 46847-2019 prioriterade fågelarter.docx", "A 46847-2019")</f>
        <v/>
      </c>
    </row>
    <row r="781" ht="15" customHeight="1">
      <c r="A781" t="inlineStr">
        <is>
          <t>A 47710-2019</t>
        </is>
      </c>
      <c r="B781" s="1" t="n">
        <v>43724</v>
      </c>
      <c r="C781" s="1" t="n">
        <v>45832</v>
      </c>
      <c r="D781" t="inlineStr">
        <is>
          <t>KALMAR LÄN</t>
        </is>
      </c>
      <c r="E781" t="inlineStr">
        <is>
          <t>TORSÅS</t>
        </is>
      </c>
      <c r="G781" t="n">
        <v>8.9</v>
      </c>
      <c r="H781" t="n">
        <v>1</v>
      </c>
      <c r="I781" t="n">
        <v>0</v>
      </c>
      <c r="J781" t="n">
        <v>0</v>
      </c>
      <c r="K781" t="n">
        <v>0</v>
      </c>
      <c r="L781" t="n">
        <v>0</v>
      </c>
      <c r="M781" t="n">
        <v>0</v>
      </c>
      <c r="N781" t="n">
        <v>0</v>
      </c>
      <c r="O781" t="n">
        <v>0</v>
      </c>
      <c r="P781" t="n">
        <v>0</v>
      </c>
      <c r="Q781" t="n">
        <v>1</v>
      </c>
      <c r="R781" s="2" t="inlineStr">
        <is>
          <t>Gullviva</t>
        </is>
      </c>
      <c r="S781">
        <f>HYPERLINK("https://klasma.github.io/Logging_0834/artfynd/A 47710-2019 artfynd.xlsx", "A 47710-2019")</f>
        <v/>
      </c>
      <c r="T781">
        <f>HYPERLINK("https://klasma.github.io/Logging_0834/kartor/A 47710-2019 karta.png", "A 47710-2019")</f>
        <v/>
      </c>
      <c r="V781">
        <f>HYPERLINK("https://klasma.github.io/Logging_0834/klagomål/A 47710-2019 FSC-klagomål.docx", "A 47710-2019")</f>
        <v/>
      </c>
      <c r="W781">
        <f>HYPERLINK("https://klasma.github.io/Logging_0834/klagomålsmail/A 47710-2019 FSC-klagomål mail.docx", "A 47710-2019")</f>
        <v/>
      </c>
      <c r="X781">
        <f>HYPERLINK("https://klasma.github.io/Logging_0834/tillsyn/A 47710-2019 tillsynsbegäran.docx", "A 47710-2019")</f>
        <v/>
      </c>
      <c r="Y781">
        <f>HYPERLINK("https://klasma.github.io/Logging_0834/tillsynsmail/A 47710-2019 tillsynsbegäran mail.docx", "A 47710-2019")</f>
        <v/>
      </c>
    </row>
    <row r="782" ht="15" customHeight="1">
      <c r="A782" t="inlineStr">
        <is>
          <t>A 48001-2019</t>
        </is>
      </c>
      <c r="B782" s="1" t="n">
        <v>43725</v>
      </c>
      <c r="C782" s="1" t="n">
        <v>45832</v>
      </c>
      <c r="D782" t="inlineStr">
        <is>
          <t>KALMAR LÄN</t>
        </is>
      </c>
      <c r="E782" t="inlineStr">
        <is>
          <t>MÖRBYLÅNGA</t>
        </is>
      </c>
      <c r="G782" t="n">
        <v>2.6</v>
      </c>
      <c r="H782" t="n">
        <v>0</v>
      </c>
      <c r="I782" t="n">
        <v>1</v>
      </c>
      <c r="J782" t="n">
        <v>0</v>
      </c>
      <c r="K782" t="n">
        <v>0</v>
      </c>
      <c r="L782" t="n">
        <v>0</v>
      </c>
      <c r="M782" t="n">
        <v>0</v>
      </c>
      <c r="N782" t="n">
        <v>0</v>
      </c>
      <c r="O782" t="n">
        <v>0</v>
      </c>
      <c r="P782" t="n">
        <v>0</v>
      </c>
      <c r="Q782" t="n">
        <v>1</v>
      </c>
      <c r="R782" s="2" t="inlineStr">
        <is>
          <t>Murgröna</t>
        </is>
      </c>
      <c r="S782">
        <f>HYPERLINK("https://klasma.github.io/Logging_0840/artfynd/A 48001-2019 artfynd.xlsx", "A 48001-2019")</f>
        <v/>
      </c>
      <c r="T782">
        <f>HYPERLINK("https://klasma.github.io/Logging_0840/kartor/A 48001-2019 karta.png", "A 48001-2019")</f>
        <v/>
      </c>
      <c r="V782">
        <f>HYPERLINK("https://klasma.github.io/Logging_0840/klagomål/A 48001-2019 FSC-klagomål.docx", "A 48001-2019")</f>
        <v/>
      </c>
      <c r="W782">
        <f>HYPERLINK("https://klasma.github.io/Logging_0840/klagomålsmail/A 48001-2019 FSC-klagomål mail.docx", "A 48001-2019")</f>
        <v/>
      </c>
      <c r="X782">
        <f>HYPERLINK("https://klasma.github.io/Logging_0840/tillsyn/A 48001-2019 tillsynsbegäran.docx", "A 48001-2019")</f>
        <v/>
      </c>
      <c r="Y782">
        <f>HYPERLINK("https://klasma.github.io/Logging_0840/tillsynsmail/A 48001-2019 tillsynsbegäran mail.docx", "A 48001-2019")</f>
        <v/>
      </c>
    </row>
    <row r="783" ht="15" customHeight="1">
      <c r="A783" t="inlineStr">
        <is>
          <t>A 49015-2019</t>
        </is>
      </c>
      <c r="B783" s="1" t="n">
        <v>43731</v>
      </c>
      <c r="C783" s="1" t="n">
        <v>45832</v>
      </c>
      <c r="D783" t="inlineStr">
        <is>
          <t>KALMAR LÄN</t>
        </is>
      </c>
      <c r="E783" t="inlineStr">
        <is>
          <t>KALMAR</t>
        </is>
      </c>
      <c r="G783" t="n">
        <v>0.5</v>
      </c>
      <c r="H783" t="n">
        <v>1</v>
      </c>
      <c r="I783" t="n">
        <v>0</v>
      </c>
      <c r="J783" t="n">
        <v>0</v>
      </c>
      <c r="K783" t="n">
        <v>1</v>
      </c>
      <c r="L783" t="n">
        <v>0</v>
      </c>
      <c r="M783" t="n">
        <v>0</v>
      </c>
      <c r="N783" t="n">
        <v>0</v>
      </c>
      <c r="O783" t="n">
        <v>1</v>
      </c>
      <c r="P783" t="n">
        <v>1</v>
      </c>
      <c r="Q783" t="n">
        <v>1</v>
      </c>
      <c r="R783" s="2" t="inlineStr">
        <is>
          <t>Knärot</t>
        </is>
      </c>
      <c r="S783">
        <f>HYPERLINK("https://klasma.github.io/Logging_0880/artfynd/A 49015-2019 artfynd.xlsx", "A 49015-2019")</f>
        <v/>
      </c>
      <c r="T783">
        <f>HYPERLINK("https://klasma.github.io/Logging_0880/kartor/A 49015-2019 karta.png", "A 49015-2019")</f>
        <v/>
      </c>
      <c r="U783">
        <f>HYPERLINK("https://klasma.github.io/Logging_0880/knärot/A 49015-2019 karta knärot.png", "A 49015-2019")</f>
        <v/>
      </c>
      <c r="V783">
        <f>HYPERLINK("https://klasma.github.io/Logging_0880/klagomål/A 49015-2019 FSC-klagomål.docx", "A 49015-2019")</f>
        <v/>
      </c>
      <c r="W783">
        <f>HYPERLINK("https://klasma.github.io/Logging_0880/klagomålsmail/A 49015-2019 FSC-klagomål mail.docx", "A 49015-2019")</f>
        <v/>
      </c>
      <c r="X783">
        <f>HYPERLINK("https://klasma.github.io/Logging_0880/tillsyn/A 49015-2019 tillsynsbegäran.docx", "A 49015-2019")</f>
        <v/>
      </c>
      <c r="Y783">
        <f>HYPERLINK("https://klasma.github.io/Logging_0880/tillsynsmail/A 49015-2019 tillsynsbegäran mail.docx", "A 49015-2019")</f>
        <v/>
      </c>
    </row>
    <row r="784" ht="15" customHeight="1">
      <c r="A784" t="inlineStr">
        <is>
          <t>A 50067-2019</t>
        </is>
      </c>
      <c r="B784" s="1" t="n">
        <v>43734</v>
      </c>
      <c r="C784" s="1" t="n">
        <v>45832</v>
      </c>
      <c r="D784" t="inlineStr">
        <is>
          <t>KALMAR LÄN</t>
        </is>
      </c>
      <c r="E784" t="inlineStr">
        <is>
          <t>KALMAR</t>
        </is>
      </c>
      <c r="G784" t="n">
        <v>4</v>
      </c>
      <c r="H784" t="n">
        <v>0</v>
      </c>
      <c r="I784" t="n">
        <v>1</v>
      </c>
      <c r="J784" t="n">
        <v>0</v>
      </c>
      <c r="K784" t="n">
        <v>0</v>
      </c>
      <c r="L784" t="n">
        <v>0</v>
      </c>
      <c r="M784" t="n">
        <v>0</v>
      </c>
      <c r="N784" t="n">
        <v>0</v>
      </c>
      <c r="O784" t="n">
        <v>0</v>
      </c>
      <c r="P784" t="n">
        <v>0</v>
      </c>
      <c r="Q784" t="n">
        <v>1</v>
      </c>
      <c r="R784" s="2" t="inlineStr">
        <is>
          <t>Murgröna</t>
        </is>
      </c>
      <c r="S784">
        <f>HYPERLINK("https://klasma.github.io/Logging_0880/artfynd/A 50067-2019 artfynd.xlsx", "A 50067-2019")</f>
        <v/>
      </c>
      <c r="T784">
        <f>HYPERLINK("https://klasma.github.io/Logging_0880/kartor/A 50067-2019 karta.png", "A 50067-2019")</f>
        <v/>
      </c>
      <c r="V784">
        <f>HYPERLINK("https://klasma.github.io/Logging_0880/klagomål/A 50067-2019 FSC-klagomål.docx", "A 50067-2019")</f>
        <v/>
      </c>
      <c r="W784">
        <f>HYPERLINK("https://klasma.github.io/Logging_0880/klagomålsmail/A 50067-2019 FSC-klagomål mail.docx", "A 50067-2019")</f>
        <v/>
      </c>
      <c r="X784">
        <f>HYPERLINK("https://klasma.github.io/Logging_0880/tillsyn/A 50067-2019 tillsynsbegäran.docx", "A 50067-2019")</f>
        <v/>
      </c>
      <c r="Y784">
        <f>HYPERLINK("https://klasma.github.io/Logging_0880/tillsynsmail/A 50067-2019 tillsynsbegäran mail.docx", "A 50067-2019")</f>
        <v/>
      </c>
    </row>
    <row r="785" ht="15" customHeight="1">
      <c r="A785" t="inlineStr">
        <is>
          <t>A 50161-2019</t>
        </is>
      </c>
      <c r="B785" s="1" t="n">
        <v>43734</v>
      </c>
      <c r="C785" s="1" t="n">
        <v>45832</v>
      </c>
      <c r="D785" t="inlineStr">
        <is>
          <t>KALMAR LÄN</t>
        </is>
      </c>
      <c r="E785" t="inlineStr">
        <is>
          <t>NYBRO</t>
        </is>
      </c>
      <c r="G785" t="n">
        <v>1.6</v>
      </c>
      <c r="H785" t="n">
        <v>1</v>
      </c>
      <c r="I785" t="n">
        <v>1</v>
      </c>
      <c r="J785" t="n">
        <v>0</v>
      </c>
      <c r="K785" t="n">
        <v>0</v>
      </c>
      <c r="L785" t="n">
        <v>0</v>
      </c>
      <c r="M785" t="n">
        <v>0</v>
      </c>
      <c r="N785" t="n">
        <v>0</v>
      </c>
      <c r="O785" t="n">
        <v>0</v>
      </c>
      <c r="P785" t="n">
        <v>0</v>
      </c>
      <c r="Q785" t="n">
        <v>1</v>
      </c>
      <c r="R785" s="2" t="inlineStr">
        <is>
          <t>Korallrot</t>
        </is>
      </c>
      <c r="S785">
        <f>HYPERLINK("https://klasma.github.io/Logging_0881/artfynd/A 50161-2019 artfynd.xlsx", "A 50161-2019")</f>
        <v/>
      </c>
      <c r="T785">
        <f>HYPERLINK("https://klasma.github.io/Logging_0881/kartor/A 50161-2019 karta.png", "A 50161-2019")</f>
        <v/>
      </c>
      <c r="V785">
        <f>HYPERLINK("https://klasma.github.io/Logging_0881/klagomål/A 50161-2019 FSC-klagomål.docx", "A 50161-2019")</f>
        <v/>
      </c>
      <c r="W785">
        <f>HYPERLINK("https://klasma.github.io/Logging_0881/klagomålsmail/A 50161-2019 FSC-klagomål mail.docx", "A 50161-2019")</f>
        <v/>
      </c>
      <c r="X785">
        <f>HYPERLINK("https://klasma.github.io/Logging_0881/tillsyn/A 50161-2019 tillsynsbegäran.docx", "A 50161-2019")</f>
        <v/>
      </c>
      <c r="Y785">
        <f>HYPERLINK("https://klasma.github.io/Logging_0881/tillsynsmail/A 50161-2019 tillsynsbegäran mail.docx", "A 50161-2019")</f>
        <v/>
      </c>
    </row>
    <row r="786" ht="15" customHeight="1">
      <c r="A786" t="inlineStr">
        <is>
          <t>A 50457-2019</t>
        </is>
      </c>
      <c r="B786" s="1" t="n">
        <v>43735</v>
      </c>
      <c r="C786" s="1" t="n">
        <v>45832</v>
      </c>
      <c r="D786" t="inlineStr">
        <is>
          <t>KALMAR LÄN</t>
        </is>
      </c>
      <c r="E786" t="inlineStr">
        <is>
          <t>HÖGSBY</t>
        </is>
      </c>
      <c r="G786" t="n">
        <v>11.9</v>
      </c>
      <c r="H786" t="n">
        <v>1</v>
      </c>
      <c r="I786" t="n">
        <v>0</v>
      </c>
      <c r="J786" t="n">
        <v>0</v>
      </c>
      <c r="K786" t="n">
        <v>0</v>
      </c>
      <c r="L786" t="n">
        <v>0</v>
      </c>
      <c r="M786" t="n">
        <v>0</v>
      </c>
      <c r="N786" t="n">
        <v>0</v>
      </c>
      <c r="O786" t="n">
        <v>0</v>
      </c>
      <c r="P786" t="n">
        <v>0</v>
      </c>
      <c r="Q786" t="n">
        <v>1</v>
      </c>
      <c r="R786" s="2" t="inlineStr">
        <is>
          <t>Blåsippa</t>
        </is>
      </c>
      <c r="S786">
        <f>HYPERLINK("https://klasma.github.io/Logging_0821/artfynd/A 50457-2019 artfynd.xlsx", "A 50457-2019")</f>
        <v/>
      </c>
      <c r="T786">
        <f>HYPERLINK("https://klasma.github.io/Logging_0821/kartor/A 50457-2019 karta.png", "A 50457-2019")</f>
        <v/>
      </c>
      <c r="U786">
        <f>HYPERLINK("https://klasma.github.io/Logging_0821/knärot/A 50457-2019 karta knärot.png", "A 50457-2019")</f>
        <v/>
      </c>
      <c r="V786">
        <f>HYPERLINK("https://klasma.github.io/Logging_0821/klagomål/A 50457-2019 FSC-klagomål.docx", "A 50457-2019")</f>
        <v/>
      </c>
      <c r="W786">
        <f>HYPERLINK("https://klasma.github.io/Logging_0821/klagomålsmail/A 50457-2019 FSC-klagomål mail.docx", "A 50457-2019")</f>
        <v/>
      </c>
      <c r="X786">
        <f>HYPERLINK("https://klasma.github.io/Logging_0821/tillsyn/A 50457-2019 tillsynsbegäran.docx", "A 50457-2019")</f>
        <v/>
      </c>
      <c r="Y786">
        <f>HYPERLINK("https://klasma.github.io/Logging_0821/tillsynsmail/A 50457-2019 tillsynsbegäran mail.docx", "A 50457-2019")</f>
        <v/>
      </c>
    </row>
    <row r="787" ht="15" customHeight="1">
      <c r="A787" t="inlineStr">
        <is>
          <t>A 51735-2019</t>
        </is>
      </c>
      <c r="B787" s="1" t="n">
        <v>43740</v>
      </c>
      <c r="C787" s="1" t="n">
        <v>45832</v>
      </c>
      <c r="D787" t="inlineStr">
        <is>
          <t>KALMAR LÄN</t>
        </is>
      </c>
      <c r="E787" t="inlineStr">
        <is>
          <t>NYBRO</t>
        </is>
      </c>
      <c r="F787" t="inlineStr">
        <is>
          <t>Kyrkan</t>
        </is>
      </c>
      <c r="G787" t="n">
        <v>2.9</v>
      </c>
      <c r="H787" t="n">
        <v>1</v>
      </c>
      <c r="I787" t="n">
        <v>0</v>
      </c>
      <c r="J787" t="n">
        <v>1</v>
      </c>
      <c r="K787" t="n">
        <v>0</v>
      </c>
      <c r="L787" t="n">
        <v>0</v>
      </c>
      <c r="M787" t="n">
        <v>0</v>
      </c>
      <c r="N787" t="n">
        <v>0</v>
      </c>
      <c r="O787" t="n">
        <v>1</v>
      </c>
      <c r="P787" t="n">
        <v>0</v>
      </c>
      <c r="Q787" t="n">
        <v>1</v>
      </c>
      <c r="R787" s="2" t="inlineStr">
        <is>
          <t>Havsörn</t>
        </is>
      </c>
      <c r="S787">
        <f>HYPERLINK("https://klasma.github.io/Logging_0881/artfynd/A 51735-2019 artfynd.xlsx", "A 51735-2019")</f>
        <v/>
      </c>
      <c r="T787">
        <f>HYPERLINK("https://klasma.github.io/Logging_0881/kartor/A 51735-2019 karta.png", "A 51735-2019")</f>
        <v/>
      </c>
      <c r="V787">
        <f>HYPERLINK("https://klasma.github.io/Logging_0881/klagomål/A 51735-2019 FSC-klagomål.docx", "A 51735-2019")</f>
        <v/>
      </c>
      <c r="W787">
        <f>HYPERLINK("https://klasma.github.io/Logging_0881/klagomålsmail/A 51735-2019 FSC-klagomål mail.docx", "A 51735-2019")</f>
        <v/>
      </c>
      <c r="X787">
        <f>HYPERLINK("https://klasma.github.io/Logging_0881/tillsyn/A 51735-2019 tillsynsbegäran.docx", "A 51735-2019")</f>
        <v/>
      </c>
      <c r="Y787">
        <f>HYPERLINK("https://klasma.github.io/Logging_0881/tillsynsmail/A 51735-2019 tillsynsbegäran mail.docx", "A 51735-2019")</f>
        <v/>
      </c>
      <c r="Z787">
        <f>HYPERLINK("https://klasma.github.io/Logging_0881/fåglar/A 51735-2019 prioriterade fågelarter.docx", "A 51735-2019")</f>
        <v/>
      </c>
    </row>
    <row r="788" ht="15" customHeight="1">
      <c r="A788" t="inlineStr">
        <is>
          <t>A 52156-2019</t>
        </is>
      </c>
      <c r="B788" s="1" t="n">
        <v>43742</v>
      </c>
      <c r="C788" s="1" t="n">
        <v>45832</v>
      </c>
      <c r="D788" t="inlineStr">
        <is>
          <t>KALMAR LÄN</t>
        </is>
      </c>
      <c r="E788" t="inlineStr">
        <is>
          <t>VIMMERBY</t>
        </is>
      </c>
      <c r="G788" t="n">
        <v>3.7</v>
      </c>
      <c r="H788" t="n">
        <v>1</v>
      </c>
      <c r="I788" t="n">
        <v>0</v>
      </c>
      <c r="J788" t="n">
        <v>0</v>
      </c>
      <c r="K788" t="n">
        <v>0</v>
      </c>
      <c r="L788" t="n">
        <v>0</v>
      </c>
      <c r="M788" t="n">
        <v>0</v>
      </c>
      <c r="N788" t="n">
        <v>0</v>
      </c>
      <c r="O788" t="n">
        <v>0</v>
      </c>
      <c r="P788" t="n">
        <v>0</v>
      </c>
      <c r="Q788" t="n">
        <v>1</v>
      </c>
      <c r="R788" s="2" t="inlineStr">
        <is>
          <t>Blåsippa</t>
        </is>
      </c>
      <c r="S788">
        <f>HYPERLINK("https://klasma.github.io/Logging_0884/artfynd/A 52156-2019 artfynd.xlsx", "A 52156-2019")</f>
        <v/>
      </c>
      <c r="T788">
        <f>HYPERLINK("https://klasma.github.io/Logging_0884/kartor/A 52156-2019 karta.png", "A 52156-2019")</f>
        <v/>
      </c>
      <c r="U788">
        <f>HYPERLINK("https://klasma.github.io/Logging_0884/knärot/A 52156-2019 karta knärot.png", "A 52156-2019")</f>
        <v/>
      </c>
      <c r="V788">
        <f>HYPERLINK("https://klasma.github.io/Logging_0884/klagomål/A 52156-2019 FSC-klagomål.docx", "A 52156-2019")</f>
        <v/>
      </c>
      <c r="W788">
        <f>HYPERLINK("https://klasma.github.io/Logging_0884/klagomålsmail/A 52156-2019 FSC-klagomål mail.docx", "A 52156-2019")</f>
        <v/>
      </c>
      <c r="X788">
        <f>HYPERLINK("https://klasma.github.io/Logging_0884/tillsyn/A 52156-2019 tillsynsbegäran.docx", "A 52156-2019")</f>
        <v/>
      </c>
      <c r="Y788">
        <f>HYPERLINK("https://klasma.github.io/Logging_0884/tillsynsmail/A 52156-2019 tillsynsbegäran mail.docx", "A 52156-2019")</f>
        <v/>
      </c>
    </row>
    <row r="789" ht="15" customHeight="1">
      <c r="A789" t="inlineStr">
        <is>
          <t>A 57302-2019</t>
        </is>
      </c>
      <c r="B789" s="1" t="n">
        <v>43760</v>
      </c>
      <c r="C789" s="1" t="n">
        <v>45832</v>
      </c>
      <c r="D789" t="inlineStr">
        <is>
          <t>KALMAR LÄN</t>
        </is>
      </c>
      <c r="E789" t="inlineStr">
        <is>
          <t>MÖNSTERÅS</t>
        </is>
      </c>
      <c r="G789" t="n">
        <v>11.3</v>
      </c>
      <c r="H789" t="n">
        <v>0</v>
      </c>
      <c r="I789" t="n">
        <v>0</v>
      </c>
      <c r="J789" t="n">
        <v>1</v>
      </c>
      <c r="K789" t="n">
        <v>0</v>
      </c>
      <c r="L789" t="n">
        <v>0</v>
      </c>
      <c r="M789" t="n">
        <v>0</v>
      </c>
      <c r="N789" t="n">
        <v>0</v>
      </c>
      <c r="O789" t="n">
        <v>1</v>
      </c>
      <c r="P789" t="n">
        <v>0</v>
      </c>
      <c r="Q789" t="n">
        <v>1</v>
      </c>
      <c r="R789" s="2" t="inlineStr">
        <is>
          <t>Spetspraktbagge</t>
        </is>
      </c>
      <c r="S789">
        <f>HYPERLINK("https://klasma.github.io/Logging_0861/artfynd/A 57302-2019 artfynd.xlsx", "A 57302-2019")</f>
        <v/>
      </c>
      <c r="T789">
        <f>HYPERLINK("https://klasma.github.io/Logging_0861/kartor/A 57302-2019 karta.png", "A 57302-2019")</f>
        <v/>
      </c>
      <c r="V789">
        <f>HYPERLINK("https://klasma.github.io/Logging_0861/klagomål/A 57302-2019 FSC-klagomål.docx", "A 57302-2019")</f>
        <v/>
      </c>
      <c r="W789">
        <f>HYPERLINK("https://klasma.github.io/Logging_0861/klagomålsmail/A 57302-2019 FSC-klagomål mail.docx", "A 57302-2019")</f>
        <v/>
      </c>
      <c r="X789">
        <f>HYPERLINK("https://klasma.github.io/Logging_0861/tillsyn/A 57302-2019 tillsynsbegäran.docx", "A 57302-2019")</f>
        <v/>
      </c>
      <c r="Y789">
        <f>HYPERLINK("https://klasma.github.io/Logging_0861/tillsynsmail/A 57302-2019 tillsynsbegäran mail.docx", "A 57302-2019")</f>
        <v/>
      </c>
    </row>
    <row r="790" ht="15" customHeight="1">
      <c r="A790" t="inlineStr">
        <is>
          <t>A 57756-2019</t>
        </is>
      </c>
      <c r="B790" s="1" t="n">
        <v>43762</v>
      </c>
      <c r="C790" s="1" t="n">
        <v>45832</v>
      </c>
      <c r="D790" t="inlineStr">
        <is>
          <t>KALMAR LÄN</t>
        </is>
      </c>
      <c r="E790" t="inlineStr">
        <is>
          <t>BORGHOLM</t>
        </is>
      </c>
      <c r="G790" t="n">
        <v>3.3</v>
      </c>
      <c r="H790" t="n">
        <v>0</v>
      </c>
      <c r="I790" t="n">
        <v>0</v>
      </c>
      <c r="J790" t="n">
        <v>0</v>
      </c>
      <c r="K790" t="n">
        <v>0</v>
      </c>
      <c r="L790" t="n">
        <v>1</v>
      </c>
      <c r="M790" t="n">
        <v>0</v>
      </c>
      <c r="N790" t="n">
        <v>0</v>
      </c>
      <c r="O790" t="n">
        <v>1</v>
      </c>
      <c r="P790" t="n">
        <v>1</v>
      </c>
      <c r="Q790" t="n">
        <v>1</v>
      </c>
      <c r="R790" s="2" t="inlineStr">
        <is>
          <t>Ask</t>
        </is>
      </c>
      <c r="S790">
        <f>HYPERLINK("https://klasma.github.io/Logging_0885/artfynd/A 57756-2019 artfynd.xlsx", "A 57756-2019")</f>
        <v/>
      </c>
      <c r="T790">
        <f>HYPERLINK("https://klasma.github.io/Logging_0885/kartor/A 57756-2019 karta.png", "A 57756-2019")</f>
        <v/>
      </c>
      <c r="V790">
        <f>HYPERLINK("https://klasma.github.io/Logging_0885/klagomål/A 57756-2019 FSC-klagomål.docx", "A 57756-2019")</f>
        <v/>
      </c>
      <c r="W790">
        <f>HYPERLINK("https://klasma.github.io/Logging_0885/klagomålsmail/A 57756-2019 FSC-klagomål mail.docx", "A 57756-2019")</f>
        <v/>
      </c>
      <c r="X790">
        <f>HYPERLINK("https://klasma.github.io/Logging_0885/tillsyn/A 57756-2019 tillsynsbegäran.docx", "A 57756-2019")</f>
        <v/>
      </c>
      <c r="Y790">
        <f>HYPERLINK("https://klasma.github.io/Logging_0885/tillsynsmail/A 57756-2019 tillsynsbegäran mail.docx", "A 57756-2019")</f>
        <v/>
      </c>
    </row>
    <row r="791" ht="15" customHeight="1">
      <c r="A791" t="inlineStr">
        <is>
          <t>A 57165-2019</t>
        </is>
      </c>
      <c r="B791" s="1" t="n">
        <v>43766</v>
      </c>
      <c r="C791" s="1" t="n">
        <v>45832</v>
      </c>
      <c r="D791" t="inlineStr">
        <is>
          <t>KALMAR LÄN</t>
        </is>
      </c>
      <c r="E791" t="inlineStr">
        <is>
          <t>NYBRO</t>
        </is>
      </c>
      <c r="G791" t="n">
        <v>2.9</v>
      </c>
      <c r="H791" t="n">
        <v>1</v>
      </c>
      <c r="I791" t="n">
        <v>0</v>
      </c>
      <c r="J791" t="n">
        <v>0</v>
      </c>
      <c r="K791" t="n">
        <v>0</v>
      </c>
      <c r="L791" t="n">
        <v>0</v>
      </c>
      <c r="M791" t="n">
        <v>0</v>
      </c>
      <c r="N791" t="n">
        <v>0</v>
      </c>
      <c r="O791" t="n">
        <v>0</v>
      </c>
      <c r="P791" t="n">
        <v>0</v>
      </c>
      <c r="Q791" t="n">
        <v>1</v>
      </c>
      <c r="R791" s="2" t="inlineStr">
        <is>
          <t>Nattskärra</t>
        </is>
      </c>
      <c r="S791">
        <f>HYPERLINK("https://klasma.github.io/Logging_0881/artfynd/A 57165-2019 artfynd.xlsx", "A 57165-2019")</f>
        <v/>
      </c>
      <c r="T791">
        <f>HYPERLINK("https://klasma.github.io/Logging_0881/kartor/A 57165-2019 karta.png", "A 57165-2019")</f>
        <v/>
      </c>
      <c r="V791">
        <f>HYPERLINK("https://klasma.github.io/Logging_0881/klagomål/A 57165-2019 FSC-klagomål.docx", "A 57165-2019")</f>
        <v/>
      </c>
      <c r="W791">
        <f>HYPERLINK("https://klasma.github.io/Logging_0881/klagomålsmail/A 57165-2019 FSC-klagomål mail.docx", "A 57165-2019")</f>
        <v/>
      </c>
      <c r="X791">
        <f>HYPERLINK("https://klasma.github.io/Logging_0881/tillsyn/A 57165-2019 tillsynsbegäran.docx", "A 57165-2019")</f>
        <v/>
      </c>
      <c r="Y791">
        <f>HYPERLINK("https://klasma.github.io/Logging_0881/tillsynsmail/A 57165-2019 tillsynsbegäran mail.docx", "A 57165-2019")</f>
        <v/>
      </c>
      <c r="Z791">
        <f>HYPERLINK("https://klasma.github.io/Logging_0881/fåglar/A 57165-2019 prioriterade fågelarter.docx", "A 57165-2019")</f>
        <v/>
      </c>
    </row>
    <row r="792" ht="15" customHeight="1">
      <c r="A792" t="inlineStr">
        <is>
          <t>A 57390-2019</t>
        </is>
      </c>
      <c r="B792" s="1" t="n">
        <v>43767</v>
      </c>
      <c r="C792" s="1" t="n">
        <v>45832</v>
      </c>
      <c r="D792" t="inlineStr">
        <is>
          <t>KALMAR LÄN</t>
        </is>
      </c>
      <c r="E792" t="inlineStr">
        <is>
          <t>HÖGSBY</t>
        </is>
      </c>
      <c r="G792" t="n">
        <v>4.9</v>
      </c>
      <c r="H792" t="n">
        <v>1</v>
      </c>
      <c r="I792" t="n">
        <v>0</v>
      </c>
      <c r="J792" t="n">
        <v>0</v>
      </c>
      <c r="K792" t="n">
        <v>0</v>
      </c>
      <c r="L792" t="n">
        <v>0</v>
      </c>
      <c r="M792" t="n">
        <v>0</v>
      </c>
      <c r="N792" t="n">
        <v>0</v>
      </c>
      <c r="O792" t="n">
        <v>0</v>
      </c>
      <c r="P792" t="n">
        <v>0</v>
      </c>
      <c r="Q792" t="n">
        <v>1</v>
      </c>
      <c r="R792" s="2" t="inlineStr">
        <is>
          <t>Gullviva</t>
        </is>
      </c>
      <c r="S792">
        <f>HYPERLINK("https://klasma.github.io/Logging_0821/artfynd/A 57390-2019 artfynd.xlsx", "A 57390-2019")</f>
        <v/>
      </c>
      <c r="T792">
        <f>HYPERLINK("https://klasma.github.io/Logging_0821/kartor/A 57390-2019 karta.png", "A 57390-2019")</f>
        <v/>
      </c>
      <c r="V792">
        <f>HYPERLINK("https://klasma.github.io/Logging_0821/klagomål/A 57390-2019 FSC-klagomål.docx", "A 57390-2019")</f>
        <v/>
      </c>
      <c r="W792">
        <f>HYPERLINK("https://klasma.github.io/Logging_0821/klagomålsmail/A 57390-2019 FSC-klagomål mail.docx", "A 57390-2019")</f>
        <v/>
      </c>
      <c r="X792">
        <f>HYPERLINK("https://klasma.github.io/Logging_0821/tillsyn/A 57390-2019 tillsynsbegäran.docx", "A 57390-2019")</f>
        <v/>
      </c>
      <c r="Y792">
        <f>HYPERLINK("https://klasma.github.io/Logging_0821/tillsynsmail/A 57390-2019 tillsynsbegäran mail.docx", "A 57390-2019")</f>
        <v/>
      </c>
    </row>
    <row r="793" ht="15" customHeight="1">
      <c r="A793" t="inlineStr">
        <is>
          <t>A 58275-2019</t>
        </is>
      </c>
      <c r="B793" s="1" t="n">
        <v>43770</v>
      </c>
      <c r="C793" s="1" t="n">
        <v>45832</v>
      </c>
      <c r="D793" t="inlineStr">
        <is>
          <t>KALMAR LÄN</t>
        </is>
      </c>
      <c r="E793" t="inlineStr">
        <is>
          <t>BORGHOLM</t>
        </is>
      </c>
      <c r="G793" t="n">
        <v>3.8</v>
      </c>
      <c r="H793" t="n">
        <v>0</v>
      </c>
      <c r="I793" t="n">
        <v>0</v>
      </c>
      <c r="J793" t="n">
        <v>1</v>
      </c>
      <c r="K793" t="n">
        <v>0</v>
      </c>
      <c r="L793" t="n">
        <v>0</v>
      </c>
      <c r="M793" t="n">
        <v>0</v>
      </c>
      <c r="N793" t="n">
        <v>0</v>
      </c>
      <c r="O793" t="n">
        <v>1</v>
      </c>
      <c r="P793" t="n">
        <v>0</v>
      </c>
      <c r="Q793" t="n">
        <v>1</v>
      </c>
      <c r="R793" s="2" t="inlineStr">
        <is>
          <t>Stor sotdyna</t>
        </is>
      </c>
      <c r="S793">
        <f>HYPERLINK("https://klasma.github.io/Logging_0885/artfynd/A 58275-2019 artfynd.xlsx", "A 58275-2019")</f>
        <v/>
      </c>
      <c r="T793">
        <f>HYPERLINK("https://klasma.github.io/Logging_0885/kartor/A 58275-2019 karta.png", "A 58275-2019")</f>
        <v/>
      </c>
      <c r="V793">
        <f>HYPERLINK("https://klasma.github.io/Logging_0885/klagomål/A 58275-2019 FSC-klagomål.docx", "A 58275-2019")</f>
        <v/>
      </c>
      <c r="W793">
        <f>HYPERLINK("https://klasma.github.io/Logging_0885/klagomålsmail/A 58275-2019 FSC-klagomål mail.docx", "A 58275-2019")</f>
        <v/>
      </c>
      <c r="X793">
        <f>HYPERLINK("https://klasma.github.io/Logging_0885/tillsyn/A 58275-2019 tillsynsbegäran.docx", "A 58275-2019")</f>
        <v/>
      </c>
      <c r="Y793">
        <f>HYPERLINK("https://klasma.github.io/Logging_0885/tillsynsmail/A 58275-2019 tillsynsbegäran mail.docx", "A 58275-2019")</f>
        <v/>
      </c>
    </row>
    <row r="794" ht="15" customHeight="1">
      <c r="A794" t="inlineStr">
        <is>
          <t>A 59193-2019</t>
        </is>
      </c>
      <c r="B794" s="1" t="n">
        <v>43775</v>
      </c>
      <c r="C794" s="1" t="n">
        <v>45832</v>
      </c>
      <c r="D794" t="inlineStr">
        <is>
          <t>KALMAR LÄN</t>
        </is>
      </c>
      <c r="E794" t="inlineStr">
        <is>
          <t>VÄSTERVIK</t>
        </is>
      </c>
      <c r="G794" t="n">
        <v>3.8</v>
      </c>
      <c r="H794" t="n">
        <v>0</v>
      </c>
      <c r="I794" t="n">
        <v>0</v>
      </c>
      <c r="J794" t="n">
        <v>1</v>
      </c>
      <c r="K794" t="n">
        <v>0</v>
      </c>
      <c r="L794" t="n">
        <v>0</v>
      </c>
      <c r="M794" t="n">
        <v>0</v>
      </c>
      <c r="N794" t="n">
        <v>0</v>
      </c>
      <c r="O794" t="n">
        <v>1</v>
      </c>
      <c r="P794" t="n">
        <v>0</v>
      </c>
      <c r="Q794" t="n">
        <v>1</v>
      </c>
      <c r="R794" s="2" t="inlineStr">
        <is>
          <t>Åkerkulla</t>
        </is>
      </c>
      <c r="S794">
        <f>HYPERLINK("https://klasma.github.io/Logging_0883/artfynd/A 59193-2019 artfynd.xlsx", "A 59193-2019")</f>
        <v/>
      </c>
      <c r="T794">
        <f>HYPERLINK("https://klasma.github.io/Logging_0883/kartor/A 59193-2019 karta.png", "A 59193-2019")</f>
        <v/>
      </c>
      <c r="V794">
        <f>HYPERLINK("https://klasma.github.io/Logging_0883/klagomål/A 59193-2019 FSC-klagomål.docx", "A 59193-2019")</f>
        <v/>
      </c>
      <c r="W794">
        <f>HYPERLINK("https://klasma.github.io/Logging_0883/klagomålsmail/A 59193-2019 FSC-klagomål mail.docx", "A 59193-2019")</f>
        <v/>
      </c>
      <c r="X794">
        <f>HYPERLINK("https://klasma.github.io/Logging_0883/tillsyn/A 59193-2019 tillsynsbegäran.docx", "A 59193-2019")</f>
        <v/>
      </c>
      <c r="Y794">
        <f>HYPERLINK("https://klasma.github.io/Logging_0883/tillsynsmail/A 59193-2019 tillsynsbegäran mail.docx", "A 59193-2019")</f>
        <v/>
      </c>
    </row>
    <row r="795" ht="15" customHeight="1">
      <c r="A795" t="inlineStr">
        <is>
          <t>A 59630-2019</t>
        </is>
      </c>
      <c r="B795" s="1" t="n">
        <v>43776</v>
      </c>
      <c r="C795" s="1" t="n">
        <v>45832</v>
      </c>
      <c r="D795" t="inlineStr">
        <is>
          <t>KALMAR LÄN</t>
        </is>
      </c>
      <c r="E795" t="inlineStr">
        <is>
          <t>HULTSFRED</t>
        </is>
      </c>
      <c r="F795" t="inlineStr">
        <is>
          <t>Kyrkan</t>
        </is>
      </c>
      <c r="G795" t="n">
        <v>4.2</v>
      </c>
      <c r="H795" t="n">
        <v>0</v>
      </c>
      <c r="I795" t="n">
        <v>1</v>
      </c>
      <c r="J795" t="n">
        <v>0</v>
      </c>
      <c r="K795" t="n">
        <v>0</v>
      </c>
      <c r="L795" t="n">
        <v>0</v>
      </c>
      <c r="M795" t="n">
        <v>0</v>
      </c>
      <c r="N795" t="n">
        <v>0</v>
      </c>
      <c r="O795" t="n">
        <v>0</v>
      </c>
      <c r="P795" t="n">
        <v>0</v>
      </c>
      <c r="Q795" t="n">
        <v>1</v>
      </c>
      <c r="R795" s="2" t="inlineStr">
        <is>
          <t>Thomsons trägnagare</t>
        </is>
      </c>
      <c r="S795">
        <f>HYPERLINK("https://klasma.github.io/Logging_0860/artfynd/A 59630-2019 artfynd.xlsx", "A 59630-2019")</f>
        <v/>
      </c>
      <c r="T795">
        <f>HYPERLINK("https://klasma.github.io/Logging_0860/kartor/A 59630-2019 karta.png", "A 59630-2019")</f>
        <v/>
      </c>
      <c r="V795">
        <f>HYPERLINK("https://klasma.github.io/Logging_0860/klagomål/A 59630-2019 FSC-klagomål.docx", "A 59630-2019")</f>
        <v/>
      </c>
      <c r="W795">
        <f>HYPERLINK("https://klasma.github.io/Logging_0860/klagomålsmail/A 59630-2019 FSC-klagomål mail.docx", "A 59630-2019")</f>
        <v/>
      </c>
      <c r="X795">
        <f>HYPERLINK("https://klasma.github.io/Logging_0860/tillsyn/A 59630-2019 tillsynsbegäran.docx", "A 59630-2019")</f>
        <v/>
      </c>
      <c r="Y795">
        <f>HYPERLINK("https://klasma.github.io/Logging_0860/tillsynsmail/A 59630-2019 tillsynsbegäran mail.docx", "A 59630-2019")</f>
        <v/>
      </c>
    </row>
    <row r="796" ht="15" customHeight="1">
      <c r="A796" t="inlineStr">
        <is>
          <t>A 61674-2019</t>
        </is>
      </c>
      <c r="B796" s="1" t="n">
        <v>43784</v>
      </c>
      <c r="C796" s="1" t="n">
        <v>45832</v>
      </c>
      <c r="D796" t="inlineStr">
        <is>
          <t>KALMAR LÄN</t>
        </is>
      </c>
      <c r="E796" t="inlineStr">
        <is>
          <t>EMMABODA</t>
        </is>
      </c>
      <c r="G796" t="n">
        <v>1.7</v>
      </c>
      <c r="H796" t="n">
        <v>1</v>
      </c>
      <c r="I796" t="n">
        <v>0</v>
      </c>
      <c r="J796" t="n">
        <v>0</v>
      </c>
      <c r="K796" t="n">
        <v>0</v>
      </c>
      <c r="L796" t="n">
        <v>0</v>
      </c>
      <c r="M796" t="n">
        <v>0</v>
      </c>
      <c r="N796" t="n">
        <v>0</v>
      </c>
      <c r="O796" t="n">
        <v>0</v>
      </c>
      <c r="P796" t="n">
        <v>0</v>
      </c>
      <c r="Q796" t="n">
        <v>1</v>
      </c>
      <c r="R796" s="2" t="inlineStr">
        <is>
          <t>Skogsduva</t>
        </is>
      </c>
      <c r="S796">
        <f>HYPERLINK("https://klasma.github.io/Logging_0862/artfynd/A 61674-2019 artfynd.xlsx", "A 61674-2019")</f>
        <v/>
      </c>
      <c r="T796">
        <f>HYPERLINK("https://klasma.github.io/Logging_0862/kartor/A 61674-2019 karta.png", "A 61674-2019")</f>
        <v/>
      </c>
      <c r="V796">
        <f>HYPERLINK("https://klasma.github.io/Logging_0862/klagomål/A 61674-2019 FSC-klagomål.docx", "A 61674-2019")</f>
        <v/>
      </c>
      <c r="W796">
        <f>HYPERLINK("https://klasma.github.io/Logging_0862/klagomålsmail/A 61674-2019 FSC-klagomål mail.docx", "A 61674-2019")</f>
        <v/>
      </c>
      <c r="X796">
        <f>HYPERLINK("https://klasma.github.io/Logging_0862/tillsyn/A 61674-2019 tillsynsbegäran.docx", "A 61674-2019")</f>
        <v/>
      </c>
      <c r="Y796">
        <f>HYPERLINK("https://klasma.github.io/Logging_0862/tillsynsmail/A 61674-2019 tillsynsbegäran mail.docx", "A 61674-2019")</f>
        <v/>
      </c>
      <c r="Z796">
        <f>HYPERLINK("https://klasma.github.io/Logging_0862/fåglar/A 61674-2019 prioriterade fågelarter.docx", "A 61674-2019")</f>
        <v/>
      </c>
    </row>
    <row r="797" ht="15" customHeight="1">
      <c r="A797" t="inlineStr">
        <is>
          <t>A 63075-2019</t>
        </is>
      </c>
      <c r="B797" s="1" t="n">
        <v>43790</v>
      </c>
      <c r="C797" s="1" t="n">
        <v>45832</v>
      </c>
      <c r="D797" t="inlineStr">
        <is>
          <t>KALMAR LÄN</t>
        </is>
      </c>
      <c r="E797" t="inlineStr">
        <is>
          <t>HÖGSBY</t>
        </is>
      </c>
      <c r="G797" t="n">
        <v>11.8</v>
      </c>
      <c r="H797" t="n">
        <v>0</v>
      </c>
      <c r="I797" t="n">
        <v>1</v>
      </c>
      <c r="J797" t="n">
        <v>0</v>
      </c>
      <c r="K797" t="n">
        <v>0</v>
      </c>
      <c r="L797" t="n">
        <v>0</v>
      </c>
      <c r="M797" t="n">
        <v>0</v>
      </c>
      <c r="N797" t="n">
        <v>0</v>
      </c>
      <c r="O797" t="n">
        <v>0</v>
      </c>
      <c r="P797" t="n">
        <v>0</v>
      </c>
      <c r="Q797" t="n">
        <v>1</v>
      </c>
      <c r="R797" s="2" t="inlineStr">
        <is>
          <t>Fällmossa</t>
        </is>
      </c>
      <c r="S797">
        <f>HYPERLINK("https://klasma.github.io/Logging_0821/artfynd/A 63075-2019 artfynd.xlsx", "A 63075-2019")</f>
        <v/>
      </c>
      <c r="T797">
        <f>HYPERLINK("https://klasma.github.io/Logging_0821/kartor/A 63075-2019 karta.png", "A 63075-2019")</f>
        <v/>
      </c>
      <c r="V797">
        <f>HYPERLINK("https://klasma.github.io/Logging_0821/klagomål/A 63075-2019 FSC-klagomål.docx", "A 63075-2019")</f>
        <v/>
      </c>
      <c r="W797">
        <f>HYPERLINK("https://klasma.github.io/Logging_0821/klagomålsmail/A 63075-2019 FSC-klagomål mail.docx", "A 63075-2019")</f>
        <v/>
      </c>
      <c r="X797">
        <f>HYPERLINK("https://klasma.github.io/Logging_0821/tillsyn/A 63075-2019 tillsynsbegäran.docx", "A 63075-2019")</f>
        <v/>
      </c>
      <c r="Y797">
        <f>HYPERLINK("https://klasma.github.io/Logging_0821/tillsynsmail/A 63075-2019 tillsynsbegäran mail.docx", "A 63075-2019")</f>
        <v/>
      </c>
    </row>
    <row r="798" ht="15" customHeight="1">
      <c r="A798" t="inlineStr">
        <is>
          <t>A 64121-2019</t>
        </is>
      </c>
      <c r="B798" s="1" t="n">
        <v>43796</v>
      </c>
      <c r="C798" s="1" t="n">
        <v>45832</v>
      </c>
      <c r="D798" t="inlineStr">
        <is>
          <t>KALMAR LÄN</t>
        </is>
      </c>
      <c r="E798" t="inlineStr">
        <is>
          <t>BORGHOLM</t>
        </is>
      </c>
      <c r="G798" t="n">
        <v>4</v>
      </c>
      <c r="H798" t="n">
        <v>0</v>
      </c>
      <c r="I798" t="n">
        <v>0</v>
      </c>
      <c r="J798" t="n">
        <v>0</v>
      </c>
      <c r="K798" t="n">
        <v>1</v>
      </c>
      <c r="L798" t="n">
        <v>0</v>
      </c>
      <c r="M798" t="n">
        <v>0</v>
      </c>
      <c r="N798" t="n">
        <v>0</v>
      </c>
      <c r="O798" t="n">
        <v>1</v>
      </c>
      <c r="P798" t="n">
        <v>1</v>
      </c>
      <c r="Q798" t="n">
        <v>1</v>
      </c>
      <c r="R798" s="2" t="inlineStr">
        <is>
          <t>Klosterlav</t>
        </is>
      </c>
      <c r="S798">
        <f>HYPERLINK("https://klasma.github.io/Logging_0885/artfynd/A 64121-2019 artfynd.xlsx", "A 64121-2019")</f>
        <v/>
      </c>
      <c r="T798">
        <f>HYPERLINK("https://klasma.github.io/Logging_0885/kartor/A 64121-2019 karta.png", "A 64121-2019")</f>
        <v/>
      </c>
      <c r="V798">
        <f>HYPERLINK("https://klasma.github.io/Logging_0885/klagomål/A 64121-2019 FSC-klagomål.docx", "A 64121-2019")</f>
        <v/>
      </c>
      <c r="W798">
        <f>HYPERLINK("https://klasma.github.io/Logging_0885/klagomålsmail/A 64121-2019 FSC-klagomål mail.docx", "A 64121-2019")</f>
        <v/>
      </c>
      <c r="X798">
        <f>HYPERLINK("https://klasma.github.io/Logging_0885/tillsyn/A 64121-2019 tillsynsbegäran.docx", "A 64121-2019")</f>
        <v/>
      </c>
      <c r="Y798">
        <f>HYPERLINK("https://klasma.github.io/Logging_0885/tillsynsmail/A 64121-2019 tillsynsbegäran mail.docx", "A 64121-2019")</f>
        <v/>
      </c>
    </row>
    <row r="799" ht="15" customHeight="1">
      <c r="A799" t="inlineStr">
        <is>
          <t>A 64120-2019</t>
        </is>
      </c>
      <c r="B799" s="1" t="n">
        <v>43796</v>
      </c>
      <c r="C799" s="1" t="n">
        <v>45832</v>
      </c>
      <c r="D799" t="inlineStr">
        <is>
          <t>KALMAR LÄN</t>
        </is>
      </c>
      <c r="E799" t="inlineStr">
        <is>
          <t>BORGHOLM</t>
        </is>
      </c>
      <c r="G799" t="n">
        <v>1</v>
      </c>
      <c r="H799" t="n">
        <v>0</v>
      </c>
      <c r="I799" t="n">
        <v>0</v>
      </c>
      <c r="J799" t="n">
        <v>1</v>
      </c>
      <c r="K799" t="n">
        <v>0</v>
      </c>
      <c r="L799" t="n">
        <v>0</v>
      </c>
      <c r="M799" t="n">
        <v>0</v>
      </c>
      <c r="N799" t="n">
        <v>0</v>
      </c>
      <c r="O799" t="n">
        <v>1</v>
      </c>
      <c r="P799" t="n">
        <v>0</v>
      </c>
      <c r="Q799" t="n">
        <v>1</v>
      </c>
      <c r="R799" s="2" t="inlineStr">
        <is>
          <t>Skogsklocka</t>
        </is>
      </c>
      <c r="S799">
        <f>HYPERLINK("https://klasma.github.io/Logging_0885/artfynd/A 64120-2019 artfynd.xlsx", "A 64120-2019")</f>
        <v/>
      </c>
      <c r="T799">
        <f>HYPERLINK("https://klasma.github.io/Logging_0885/kartor/A 64120-2019 karta.png", "A 64120-2019")</f>
        <v/>
      </c>
      <c r="V799">
        <f>HYPERLINK("https://klasma.github.io/Logging_0885/klagomål/A 64120-2019 FSC-klagomål.docx", "A 64120-2019")</f>
        <v/>
      </c>
      <c r="W799">
        <f>HYPERLINK("https://klasma.github.io/Logging_0885/klagomålsmail/A 64120-2019 FSC-klagomål mail.docx", "A 64120-2019")</f>
        <v/>
      </c>
      <c r="X799">
        <f>HYPERLINK("https://klasma.github.io/Logging_0885/tillsyn/A 64120-2019 tillsynsbegäran.docx", "A 64120-2019")</f>
        <v/>
      </c>
      <c r="Y799">
        <f>HYPERLINK("https://klasma.github.io/Logging_0885/tillsynsmail/A 64120-2019 tillsynsbegäran mail.docx", "A 64120-2019")</f>
        <v/>
      </c>
    </row>
    <row r="800" ht="15" customHeight="1">
      <c r="A800" t="inlineStr">
        <is>
          <t>A 64356-2019</t>
        </is>
      </c>
      <c r="B800" s="1" t="n">
        <v>43797</v>
      </c>
      <c r="C800" s="1" t="n">
        <v>45832</v>
      </c>
      <c r="D800" t="inlineStr">
        <is>
          <t>KALMAR LÄN</t>
        </is>
      </c>
      <c r="E800" t="inlineStr">
        <is>
          <t>VIMMERBY</t>
        </is>
      </c>
      <c r="G800" t="n">
        <v>1.4</v>
      </c>
      <c r="H800" t="n">
        <v>0</v>
      </c>
      <c r="I800" t="n">
        <v>1</v>
      </c>
      <c r="J800" t="n">
        <v>0</v>
      </c>
      <c r="K800" t="n">
        <v>0</v>
      </c>
      <c r="L800" t="n">
        <v>0</v>
      </c>
      <c r="M800" t="n">
        <v>0</v>
      </c>
      <c r="N800" t="n">
        <v>0</v>
      </c>
      <c r="O800" t="n">
        <v>0</v>
      </c>
      <c r="P800" t="n">
        <v>0</v>
      </c>
      <c r="Q800" t="n">
        <v>1</v>
      </c>
      <c r="R800" s="2" t="inlineStr">
        <is>
          <t>Fällmossa</t>
        </is>
      </c>
      <c r="S800">
        <f>HYPERLINK("https://klasma.github.io/Logging_0884/artfynd/A 64356-2019 artfynd.xlsx", "A 64356-2019")</f>
        <v/>
      </c>
      <c r="T800">
        <f>HYPERLINK("https://klasma.github.io/Logging_0884/kartor/A 64356-2019 karta.png", "A 64356-2019")</f>
        <v/>
      </c>
      <c r="V800">
        <f>HYPERLINK("https://klasma.github.io/Logging_0884/klagomål/A 64356-2019 FSC-klagomål.docx", "A 64356-2019")</f>
        <v/>
      </c>
      <c r="W800">
        <f>HYPERLINK("https://klasma.github.io/Logging_0884/klagomålsmail/A 64356-2019 FSC-klagomål mail.docx", "A 64356-2019")</f>
        <v/>
      </c>
      <c r="X800">
        <f>HYPERLINK("https://klasma.github.io/Logging_0884/tillsyn/A 64356-2019 tillsynsbegäran.docx", "A 64356-2019")</f>
        <v/>
      </c>
      <c r="Y800">
        <f>HYPERLINK("https://klasma.github.io/Logging_0884/tillsynsmail/A 64356-2019 tillsynsbegäran mail.docx", "A 64356-2019")</f>
        <v/>
      </c>
    </row>
    <row r="801" ht="15" customHeight="1">
      <c r="A801" t="inlineStr">
        <is>
          <t>A 64844-2019</t>
        </is>
      </c>
      <c r="B801" s="1" t="n">
        <v>43801</v>
      </c>
      <c r="C801" s="1" t="n">
        <v>45832</v>
      </c>
      <c r="D801" t="inlineStr">
        <is>
          <t>KALMAR LÄN</t>
        </is>
      </c>
      <c r="E801" t="inlineStr">
        <is>
          <t>NYBRO</t>
        </is>
      </c>
      <c r="G801" t="n">
        <v>11.9</v>
      </c>
      <c r="H801" t="n">
        <v>1</v>
      </c>
      <c r="I801" t="n">
        <v>0</v>
      </c>
      <c r="J801" t="n">
        <v>1</v>
      </c>
      <c r="K801" t="n">
        <v>0</v>
      </c>
      <c r="L801" t="n">
        <v>0</v>
      </c>
      <c r="M801" t="n">
        <v>0</v>
      </c>
      <c r="N801" t="n">
        <v>0</v>
      </c>
      <c r="O801" t="n">
        <v>1</v>
      </c>
      <c r="P801" t="n">
        <v>0</v>
      </c>
      <c r="Q801" t="n">
        <v>1</v>
      </c>
      <c r="R801" s="2" t="inlineStr">
        <is>
          <t>Mindre hackspett</t>
        </is>
      </c>
      <c r="S801">
        <f>HYPERLINK("https://klasma.github.io/Logging_0881/artfynd/A 64844-2019 artfynd.xlsx", "A 64844-2019")</f>
        <v/>
      </c>
      <c r="T801">
        <f>HYPERLINK("https://klasma.github.io/Logging_0881/kartor/A 64844-2019 karta.png", "A 64844-2019")</f>
        <v/>
      </c>
      <c r="V801">
        <f>HYPERLINK("https://klasma.github.io/Logging_0881/klagomål/A 64844-2019 FSC-klagomål.docx", "A 64844-2019")</f>
        <v/>
      </c>
      <c r="W801">
        <f>HYPERLINK("https://klasma.github.io/Logging_0881/klagomålsmail/A 64844-2019 FSC-klagomål mail.docx", "A 64844-2019")</f>
        <v/>
      </c>
      <c r="X801">
        <f>HYPERLINK("https://klasma.github.io/Logging_0881/tillsyn/A 64844-2019 tillsynsbegäran.docx", "A 64844-2019")</f>
        <v/>
      </c>
      <c r="Y801">
        <f>HYPERLINK("https://klasma.github.io/Logging_0881/tillsynsmail/A 64844-2019 tillsynsbegäran mail.docx", "A 64844-2019")</f>
        <v/>
      </c>
      <c r="Z801">
        <f>HYPERLINK("https://klasma.github.io/Logging_0881/fåglar/A 64844-2019 prioriterade fågelarter.docx", "A 64844-2019")</f>
        <v/>
      </c>
    </row>
    <row r="802" ht="15" customHeight="1">
      <c r="A802" t="inlineStr">
        <is>
          <t>A 65105-2019</t>
        </is>
      </c>
      <c r="B802" s="1" t="n">
        <v>43802</v>
      </c>
      <c r="C802" s="1" t="n">
        <v>45832</v>
      </c>
      <c r="D802" t="inlineStr">
        <is>
          <t>KALMAR LÄN</t>
        </is>
      </c>
      <c r="E802" t="inlineStr">
        <is>
          <t>MÖNSTERÅS</t>
        </is>
      </c>
      <c r="G802" t="n">
        <v>11.6</v>
      </c>
      <c r="H802" t="n">
        <v>0</v>
      </c>
      <c r="I802" t="n">
        <v>1</v>
      </c>
      <c r="J802" t="n">
        <v>0</v>
      </c>
      <c r="K802" t="n">
        <v>0</v>
      </c>
      <c r="L802" t="n">
        <v>0</v>
      </c>
      <c r="M802" t="n">
        <v>0</v>
      </c>
      <c r="N802" t="n">
        <v>0</v>
      </c>
      <c r="O802" t="n">
        <v>0</v>
      </c>
      <c r="P802" t="n">
        <v>0</v>
      </c>
      <c r="Q802" t="n">
        <v>1</v>
      </c>
      <c r="R802" s="2" t="inlineStr">
        <is>
          <t>Grönpyrola</t>
        </is>
      </c>
      <c r="S802">
        <f>HYPERLINK("https://klasma.github.io/Logging_0861/artfynd/A 65105-2019 artfynd.xlsx", "A 65105-2019")</f>
        <v/>
      </c>
      <c r="T802">
        <f>HYPERLINK("https://klasma.github.io/Logging_0861/kartor/A 65105-2019 karta.png", "A 65105-2019")</f>
        <v/>
      </c>
      <c r="V802">
        <f>HYPERLINK("https://klasma.github.io/Logging_0861/klagomål/A 65105-2019 FSC-klagomål.docx", "A 65105-2019")</f>
        <v/>
      </c>
      <c r="W802">
        <f>HYPERLINK("https://klasma.github.io/Logging_0861/klagomålsmail/A 65105-2019 FSC-klagomål mail.docx", "A 65105-2019")</f>
        <v/>
      </c>
      <c r="X802">
        <f>HYPERLINK("https://klasma.github.io/Logging_0861/tillsyn/A 65105-2019 tillsynsbegäran.docx", "A 65105-2019")</f>
        <v/>
      </c>
      <c r="Y802">
        <f>HYPERLINK("https://klasma.github.io/Logging_0861/tillsynsmail/A 65105-2019 tillsynsbegäran mail.docx", "A 65105-2019")</f>
        <v/>
      </c>
    </row>
    <row r="803" ht="15" customHeight="1">
      <c r="A803" t="inlineStr">
        <is>
          <t>A 67520-2019</t>
        </is>
      </c>
      <c r="B803" s="1" t="n">
        <v>43815</v>
      </c>
      <c r="C803" s="1" t="n">
        <v>45832</v>
      </c>
      <c r="D803" t="inlineStr">
        <is>
          <t>KALMAR LÄN</t>
        </is>
      </c>
      <c r="E803" t="inlineStr">
        <is>
          <t>NYBRO</t>
        </is>
      </c>
      <c r="F803" t="inlineStr">
        <is>
          <t>Kommuner</t>
        </is>
      </c>
      <c r="G803" t="n">
        <v>1.3</v>
      </c>
      <c r="H803" t="n">
        <v>0</v>
      </c>
      <c r="I803" t="n">
        <v>0</v>
      </c>
      <c r="J803" t="n">
        <v>1</v>
      </c>
      <c r="K803" t="n">
        <v>0</v>
      </c>
      <c r="L803" t="n">
        <v>0</v>
      </c>
      <c r="M803" t="n">
        <v>0</v>
      </c>
      <c r="N803" t="n">
        <v>0</v>
      </c>
      <c r="O803" t="n">
        <v>1</v>
      </c>
      <c r="P803" t="n">
        <v>0</v>
      </c>
      <c r="Q803" t="n">
        <v>1</v>
      </c>
      <c r="R803" s="2" t="inlineStr">
        <is>
          <t>Mjukdån</t>
        </is>
      </c>
      <c r="S803">
        <f>HYPERLINK("https://klasma.github.io/Logging_0881/artfynd/A 67520-2019 artfynd.xlsx", "A 67520-2019")</f>
        <v/>
      </c>
      <c r="T803">
        <f>HYPERLINK("https://klasma.github.io/Logging_0881/kartor/A 67520-2019 karta.png", "A 67520-2019")</f>
        <v/>
      </c>
      <c r="V803">
        <f>HYPERLINK("https://klasma.github.io/Logging_0881/klagomål/A 67520-2019 FSC-klagomål.docx", "A 67520-2019")</f>
        <v/>
      </c>
      <c r="W803">
        <f>HYPERLINK("https://klasma.github.io/Logging_0881/klagomålsmail/A 67520-2019 FSC-klagomål mail.docx", "A 67520-2019")</f>
        <v/>
      </c>
      <c r="X803">
        <f>HYPERLINK("https://klasma.github.io/Logging_0881/tillsyn/A 67520-2019 tillsynsbegäran.docx", "A 67520-2019")</f>
        <v/>
      </c>
      <c r="Y803">
        <f>HYPERLINK("https://klasma.github.io/Logging_0881/tillsynsmail/A 67520-2019 tillsynsbegäran mail.docx", "A 67520-2019")</f>
        <v/>
      </c>
    </row>
    <row r="804" ht="15" customHeight="1">
      <c r="A804" t="inlineStr">
        <is>
          <t>A 69121-2019</t>
        </is>
      </c>
      <c r="B804" s="1" t="n">
        <v>43815</v>
      </c>
      <c r="C804" s="1" t="n">
        <v>45832</v>
      </c>
      <c r="D804" t="inlineStr">
        <is>
          <t>KALMAR LÄN</t>
        </is>
      </c>
      <c r="E804" t="inlineStr">
        <is>
          <t>MÖNSTERÅS</t>
        </is>
      </c>
      <c r="F804" t="inlineStr">
        <is>
          <t>Övriga Aktiebolag</t>
        </is>
      </c>
      <c r="G804" t="n">
        <v>0.9</v>
      </c>
      <c r="H804" t="n">
        <v>0</v>
      </c>
      <c r="I804" t="n">
        <v>0</v>
      </c>
      <c r="J804" t="n">
        <v>1</v>
      </c>
      <c r="K804" t="n">
        <v>0</v>
      </c>
      <c r="L804" t="n">
        <v>0</v>
      </c>
      <c r="M804" t="n">
        <v>0</v>
      </c>
      <c r="N804" t="n">
        <v>0</v>
      </c>
      <c r="O804" t="n">
        <v>1</v>
      </c>
      <c r="P804" t="n">
        <v>0</v>
      </c>
      <c r="Q804" t="n">
        <v>1</v>
      </c>
      <c r="R804" s="2" t="inlineStr">
        <is>
          <t>Skogslysing</t>
        </is>
      </c>
      <c r="S804">
        <f>HYPERLINK("https://klasma.github.io/Logging_0861/artfynd/A 69121-2019 artfynd.xlsx", "A 69121-2019")</f>
        <v/>
      </c>
      <c r="T804">
        <f>HYPERLINK("https://klasma.github.io/Logging_0861/kartor/A 69121-2019 karta.png", "A 69121-2019")</f>
        <v/>
      </c>
      <c r="V804">
        <f>HYPERLINK("https://klasma.github.io/Logging_0861/klagomål/A 69121-2019 FSC-klagomål.docx", "A 69121-2019")</f>
        <v/>
      </c>
      <c r="W804">
        <f>HYPERLINK("https://klasma.github.io/Logging_0861/klagomålsmail/A 69121-2019 FSC-klagomål mail.docx", "A 69121-2019")</f>
        <v/>
      </c>
      <c r="X804">
        <f>HYPERLINK("https://klasma.github.io/Logging_0861/tillsyn/A 69121-2019 tillsynsbegäran.docx", "A 69121-2019")</f>
        <v/>
      </c>
      <c r="Y804">
        <f>HYPERLINK("https://klasma.github.io/Logging_0861/tillsynsmail/A 69121-2019 tillsynsbegäran mail.docx", "A 69121-2019")</f>
        <v/>
      </c>
    </row>
    <row r="805" ht="15" customHeight="1">
      <c r="A805" t="inlineStr">
        <is>
          <t>A 764-2020</t>
        </is>
      </c>
      <c r="B805" s="1" t="n">
        <v>43817</v>
      </c>
      <c r="C805" s="1" t="n">
        <v>45832</v>
      </c>
      <c r="D805" t="inlineStr">
        <is>
          <t>KALMAR LÄN</t>
        </is>
      </c>
      <c r="E805" t="inlineStr">
        <is>
          <t>NYBRO</t>
        </is>
      </c>
      <c r="G805" t="n">
        <v>2</v>
      </c>
      <c r="H805" t="n">
        <v>1</v>
      </c>
      <c r="I805" t="n">
        <v>1</v>
      </c>
      <c r="J805" t="n">
        <v>0</v>
      </c>
      <c r="K805" t="n">
        <v>0</v>
      </c>
      <c r="L805" t="n">
        <v>0</v>
      </c>
      <c r="M805" t="n">
        <v>0</v>
      </c>
      <c r="N805" t="n">
        <v>0</v>
      </c>
      <c r="O805" t="n">
        <v>0</v>
      </c>
      <c r="P805" t="n">
        <v>0</v>
      </c>
      <c r="Q805" t="n">
        <v>1</v>
      </c>
      <c r="R805" s="2" t="inlineStr">
        <is>
          <t>Purpurknipprot</t>
        </is>
      </c>
      <c r="S805">
        <f>HYPERLINK("https://klasma.github.io/Logging_0881/artfynd/A 764-2020 artfynd.xlsx", "A 764-2020")</f>
        <v/>
      </c>
      <c r="T805">
        <f>HYPERLINK("https://klasma.github.io/Logging_0881/kartor/A 764-2020 karta.png", "A 764-2020")</f>
        <v/>
      </c>
      <c r="V805">
        <f>HYPERLINK("https://klasma.github.io/Logging_0881/klagomål/A 764-2020 FSC-klagomål.docx", "A 764-2020")</f>
        <v/>
      </c>
      <c r="W805">
        <f>HYPERLINK("https://klasma.github.io/Logging_0881/klagomålsmail/A 764-2020 FSC-klagomål mail.docx", "A 764-2020")</f>
        <v/>
      </c>
      <c r="X805">
        <f>HYPERLINK("https://klasma.github.io/Logging_0881/tillsyn/A 764-2020 tillsynsbegäran.docx", "A 764-2020")</f>
        <v/>
      </c>
      <c r="Y805">
        <f>HYPERLINK("https://klasma.github.io/Logging_0881/tillsynsmail/A 764-2020 tillsynsbegäran mail.docx", "A 764-2020")</f>
        <v/>
      </c>
    </row>
    <row r="806" ht="15" customHeight="1">
      <c r="A806" t="inlineStr">
        <is>
          <t>A 3928-2020</t>
        </is>
      </c>
      <c r="B806" s="1" t="n">
        <v>43854</v>
      </c>
      <c r="C806" s="1" t="n">
        <v>45832</v>
      </c>
      <c r="D806" t="inlineStr">
        <is>
          <t>KALMAR LÄN</t>
        </is>
      </c>
      <c r="E806" t="inlineStr">
        <is>
          <t>KALMAR</t>
        </is>
      </c>
      <c r="G806" t="n">
        <v>2.3</v>
      </c>
      <c r="H806" t="n">
        <v>0</v>
      </c>
      <c r="I806" t="n">
        <v>0</v>
      </c>
      <c r="J806" t="n">
        <v>0</v>
      </c>
      <c r="K806" t="n">
        <v>0</v>
      </c>
      <c r="L806" t="n">
        <v>1</v>
      </c>
      <c r="M806" t="n">
        <v>0</v>
      </c>
      <c r="N806" t="n">
        <v>0</v>
      </c>
      <c r="O806" t="n">
        <v>1</v>
      </c>
      <c r="P806" t="n">
        <v>1</v>
      </c>
      <c r="Q806" t="n">
        <v>1</v>
      </c>
      <c r="R806" s="2" t="inlineStr">
        <is>
          <t>Ask</t>
        </is>
      </c>
      <c r="S806">
        <f>HYPERLINK("https://klasma.github.io/Logging_0880/artfynd/A 3928-2020 artfynd.xlsx", "A 3928-2020")</f>
        <v/>
      </c>
      <c r="T806">
        <f>HYPERLINK("https://klasma.github.io/Logging_0880/kartor/A 3928-2020 karta.png", "A 3928-2020")</f>
        <v/>
      </c>
      <c r="V806">
        <f>HYPERLINK("https://klasma.github.io/Logging_0880/klagomål/A 3928-2020 FSC-klagomål.docx", "A 3928-2020")</f>
        <v/>
      </c>
      <c r="W806">
        <f>HYPERLINK("https://klasma.github.io/Logging_0880/klagomålsmail/A 3928-2020 FSC-klagomål mail.docx", "A 3928-2020")</f>
        <v/>
      </c>
      <c r="X806">
        <f>HYPERLINK("https://klasma.github.io/Logging_0880/tillsyn/A 3928-2020 tillsynsbegäran.docx", "A 3928-2020")</f>
        <v/>
      </c>
      <c r="Y806">
        <f>HYPERLINK("https://klasma.github.io/Logging_0880/tillsynsmail/A 3928-2020 tillsynsbegäran mail.docx", "A 3928-2020")</f>
        <v/>
      </c>
    </row>
    <row r="807" ht="15" customHeight="1">
      <c r="A807" t="inlineStr">
        <is>
          <t>A 5038-2020</t>
        </is>
      </c>
      <c r="B807" s="1" t="n">
        <v>43859</v>
      </c>
      <c r="C807" s="1" t="n">
        <v>45832</v>
      </c>
      <c r="D807" t="inlineStr">
        <is>
          <t>KALMAR LÄN</t>
        </is>
      </c>
      <c r="E807" t="inlineStr">
        <is>
          <t>MÖNSTERÅS</t>
        </is>
      </c>
      <c r="G807" t="n">
        <v>13.6</v>
      </c>
      <c r="H807" t="n">
        <v>1</v>
      </c>
      <c r="I807" t="n">
        <v>0</v>
      </c>
      <c r="J807" t="n">
        <v>0</v>
      </c>
      <c r="K807" t="n">
        <v>1</v>
      </c>
      <c r="L807" t="n">
        <v>0</v>
      </c>
      <c r="M807" t="n">
        <v>0</v>
      </c>
      <c r="N807" t="n">
        <v>0</v>
      </c>
      <c r="O807" t="n">
        <v>1</v>
      </c>
      <c r="P807" t="n">
        <v>1</v>
      </c>
      <c r="Q807" t="n">
        <v>1</v>
      </c>
      <c r="R807" s="2" t="inlineStr">
        <is>
          <t>Knärot</t>
        </is>
      </c>
      <c r="S807">
        <f>HYPERLINK("https://klasma.github.io/Logging_0861/artfynd/A 5038-2020 artfynd.xlsx", "A 5038-2020")</f>
        <v/>
      </c>
      <c r="T807">
        <f>HYPERLINK("https://klasma.github.io/Logging_0861/kartor/A 5038-2020 karta.png", "A 5038-2020")</f>
        <v/>
      </c>
      <c r="U807">
        <f>HYPERLINK("https://klasma.github.io/Logging_0861/knärot/A 5038-2020 karta knärot.png", "A 5038-2020")</f>
        <v/>
      </c>
      <c r="V807">
        <f>HYPERLINK("https://klasma.github.io/Logging_0861/klagomål/A 5038-2020 FSC-klagomål.docx", "A 5038-2020")</f>
        <v/>
      </c>
      <c r="W807">
        <f>HYPERLINK("https://klasma.github.io/Logging_0861/klagomålsmail/A 5038-2020 FSC-klagomål mail.docx", "A 5038-2020")</f>
        <v/>
      </c>
      <c r="X807">
        <f>HYPERLINK("https://klasma.github.io/Logging_0861/tillsyn/A 5038-2020 tillsynsbegäran.docx", "A 5038-2020")</f>
        <v/>
      </c>
      <c r="Y807">
        <f>HYPERLINK("https://klasma.github.io/Logging_0861/tillsynsmail/A 5038-2020 tillsynsbegäran mail.docx", "A 5038-2020")</f>
        <v/>
      </c>
    </row>
    <row r="808" ht="15" customHeight="1">
      <c r="A808" t="inlineStr">
        <is>
          <t>A 7371-2020</t>
        </is>
      </c>
      <c r="B808" s="1" t="n">
        <v>43871</v>
      </c>
      <c r="C808" s="1" t="n">
        <v>45832</v>
      </c>
      <c r="D808" t="inlineStr">
        <is>
          <t>KALMAR LÄN</t>
        </is>
      </c>
      <c r="E808" t="inlineStr">
        <is>
          <t>MÖNSTERÅS</t>
        </is>
      </c>
      <c r="G808" t="n">
        <v>7.1</v>
      </c>
      <c r="H808" t="n">
        <v>0</v>
      </c>
      <c r="I808" t="n">
        <v>0</v>
      </c>
      <c r="J808" t="n">
        <v>1</v>
      </c>
      <c r="K808" t="n">
        <v>0</v>
      </c>
      <c r="L808" t="n">
        <v>0</v>
      </c>
      <c r="M808" t="n">
        <v>0</v>
      </c>
      <c r="N808" t="n">
        <v>0</v>
      </c>
      <c r="O808" t="n">
        <v>1</v>
      </c>
      <c r="P808" t="n">
        <v>0</v>
      </c>
      <c r="Q808" t="n">
        <v>1</v>
      </c>
      <c r="R808" s="2" t="inlineStr">
        <is>
          <t>Rödbrun blankbock</t>
        </is>
      </c>
      <c r="S808">
        <f>HYPERLINK("https://klasma.github.io/Logging_0861/artfynd/A 7371-2020 artfynd.xlsx", "A 7371-2020")</f>
        <v/>
      </c>
      <c r="T808">
        <f>HYPERLINK("https://klasma.github.io/Logging_0861/kartor/A 7371-2020 karta.png", "A 7371-2020")</f>
        <v/>
      </c>
      <c r="V808">
        <f>HYPERLINK("https://klasma.github.io/Logging_0861/klagomål/A 7371-2020 FSC-klagomål.docx", "A 7371-2020")</f>
        <v/>
      </c>
      <c r="W808">
        <f>HYPERLINK("https://klasma.github.io/Logging_0861/klagomålsmail/A 7371-2020 FSC-klagomål mail.docx", "A 7371-2020")</f>
        <v/>
      </c>
      <c r="X808">
        <f>HYPERLINK("https://klasma.github.io/Logging_0861/tillsyn/A 7371-2020 tillsynsbegäran.docx", "A 7371-2020")</f>
        <v/>
      </c>
      <c r="Y808">
        <f>HYPERLINK("https://klasma.github.io/Logging_0861/tillsynsmail/A 7371-2020 tillsynsbegäran mail.docx", "A 7371-2020")</f>
        <v/>
      </c>
    </row>
    <row r="809" ht="15" customHeight="1">
      <c r="A809" t="inlineStr">
        <is>
          <t>A 8898-2020</t>
        </is>
      </c>
      <c r="B809" s="1" t="n">
        <v>43878</v>
      </c>
      <c r="C809" s="1" t="n">
        <v>45832</v>
      </c>
      <c r="D809" t="inlineStr">
        <is>
          <t>KALMAR LÄN</t>
        </is>
      </c>
      <c r="E809" t="inlineStr">
        <is>
          <t>MÖNSTERÅS</t>
        </is>
      </c>
      <c r="G809" t="n">
        <v>5.1</v>
      </c>
      <c r="H809" t="n">
        <v>1</v>
      </c>
      <c r="I809" t="n">
        <v>0</v>
      </c>
      <c r="J809" t="n">
        <v>0</v>
      </c>
      <c r="K809" t="n">
        <v>0</v>
      </c>
      <c r="L809" t="n">
        <v>0</v>
      </c>
      <c r="M809" t="n">
        <v>0</v>
      </c>
      <c r="N809" t="n">
        <v>0</v>
      </c>
      <c r="O809" t="n">
        <v>0</v>
      </c>
      <c r="P809" t="n">
        <v>0</v>
      </c>
      <c r="Q809" t="n">
        <v>1</v>
      </c>
      <c r="R809" s="2" t="inlineStr">
        <is>
          <t>Nattviol</t>
        </is>
      </c>
      <c r="S809">
        <f>HYPERLINK("https://klasma.github.io/Logging_0861/artfynd/A 8898-2020 artfynd.xlsx", "A 8898-2020")</f>
        <v/>
      </c>
      <c r="T809">
        <f>HYPERLINK("https://klasma.github.io/Logging_0861/kartor/A 8898-2020 karta.png", "A 8898-2020")</f>
        <v/>
      </c>
      <c r="V809">
        <f>HYPERLINK("https://klasma.github.io/Logging_0861/klagomål/A 8898-2020 FSC-klagomål.docx", "A 8898-2020")</f>
        <v/>
      </c>
      <c r="W809">
        <f>HYPERLINK("https://klasma.github.io/Logging_0861/klagomålsmail/A 8898-2020 FSC-klagomål mail.docx", "A 8898-2020")</f>
        <v/>
      </c>
      <c r="X809">
        <f>HYPERLINK("https://klasma.github.io/Logging_0861/tillsyn/A 8898-2020 tillsynsbegäran.docx", "A 8898-2020")</f>
        <v/>
      </c>
      <c r="Y809">
        <f>HYPERLINK("https://klasma.github.io/Logging_0861/tillsynsmail/A 8898-2020 tillsynsbegäran mail.docx", "A 8898-2020")</f>
        <v/>
      </c>
    </row>
    <row r="810" ht="15" customHeight="1">
      <c r="A810" t="inlineStr">
        <is>
          <t>A 10900-2020</t>
        </is>
      </c>
      <c r="B810" s="1" t="n">
        <v>43885</v>
      </c>
      <c r="C810" s="1" t="n">
        <v>45832</v>
      </c>
      <c r="D810" t="inlineStr">
        <is>
          <t>KALMAR LÄN</t>
        </is>
      </c>
      <c r="E810" t="inlineStr">
        <is>
          <t>NYBRO</t>
        </is>
      </c>
      <c r="G810" t="n">
        <v>1.1</v>
      </c>
      <c r="H810" t="n">
        <v>1</v>
      </c>
      <c r="I810" t="n">
        <v>0</v>
      </c>
      <c r="J810" t="n">
        <v>0</v>
      </c>
      <c r="K810" t="n">
        <v>1</v>
      </c>
      <c r="L810" t="n">
        <v>0</v>
      </c>
      <c r="M810" t="n">
        <v>0</v>
      </c>
      <c r="N810" t="n">
        <v>0</v>
      </c>
      <c r="O810" t="n">
        <v>1</v>
      </c>
      <c r="P810" t="n">
        <v>1</v>
      </c>
      <c r="Q810" t="n">
        <v>1</v>
      </c>
      <c r="R810" s="2" t="inlineStr">
        <is>
          <t>Knärot</t>
        </is>
      </c>
      <c r="S810">
        <f>HYPERLINK("https://klasma.github.io/Logging_0881/artfynd/A 10900-2020 artfynd.xlsx", "A 10900-2020")</f>
        <v/>
      </c>
      <c r="T810">
        <f>HYPERLINK("https://klasma.github.io/Logging_0881/kartor/A 10900-2020 karta.png", "A 10900-2020")</f>
        <v/>
      </c>
      <c r="U810">
        <f>HYPERLINK("https://klasma.github.io/Logging_0881/knärot/A 10900-2020 karta knärot.png", "A 10900-2020")</f>
        <v/>
      </c>
      <c r="V810">
        <f>HYPERLINK("https://klasma.github.io/Logging_0881/klagomål/A 10900-2020 FSC-klagomål.docx", "A 10900-2020")</f>
        <v/>
      </c>
      <c r="W810">
        <f>HYPERLINK("https://klasma.github.io/Logging_0881/klagomålsmail/A 10900-2020 FSC-klagomål mail.docx", "A 10900-2020")</f>
        <v/>
      </c>
      <c r="X810">
        <f>HYPERLINK("https://klasma.github.io/Logging_0881/tillsyn/A 10900-2020 tillsynsbegäran.docx", "A 10900-2020")</f>
        <v/>
      </c>
      <c r="Y810">
        <f>HYPERLINK("https://klasma.github.io/Logging_0881/tillsynsmail/A 10900-2020 tillsynsbegäran mail.docx", "A 10900-2020")</f>
        <v/>
      </c>
    </row>
    <row r="811" ht="15" customHeight="1">
      <c r="A811" t="inlineStr">
        <is>
          <t>A 10864-2020</t>
        </is>
      </c>
      <c r="B811" s="1" t="n">
        <v>43889</v>
      </c>
      <c r="C811" s="1" t="n">
        <v>45832</v>
      </c>
      <c r="D811" t="inlineStr">
        <is>
          <t>KALMAR LÄN</t>
        </is>
      </c>
      <c r="E811" t="inlineStr">
        <is>
          <t>HULTSFRED</t>
        </is>
      </c>
      <c r="F811" t="inlineStr">
        <is>
          <t>Sveaskog</t>
        </is>
      </c>
      <c r="G811" t="n">
        <v>1</v>
      </c>
      <c r="H811" t="n">
        <v>0</v>
      </c>
      <c r="I811" t="n">
        <v>0</v>
      </c>
      <c r="J811" t="n">
        <v>0</v>
      </c>
      <c r="K811" t="n">
        <v>0</v>
      </c>
      <c r="L811" t="n">
        <v>0</v>
      </c>
      <c r="M811" t="n">
        <v>1</v>
      </c>
      <c r="N811" t="n">
        <v>0</v>
      </c>
      <c r="O811" t="n">
        <v>1</v>
      </c>
      <c r="P811" t="n">
        <v>1</v>
      </c>
      <c r="Q811" t="n">
        <v>1</v>
      </c>
      <c r="R811" s="2" t="inlineStr">
        <is>
          <t>Skogsalm</t>
        </is>
      </c>
      <c r="S811">
        <f>HYPERLINK("https://klasma.github.io/Logging_0860/artfynd/A 10864-2020 artfynd.xlsx", "A 10864-2020")</f>
        <v/>
      </c>
      <c r="T811">
        <f>HYPERLINK("https://klasma.github.io/Logging_0860/kartor/A 10864-2020 karta.png", "A 10864-2020")</f>
        <v/>
      </c>
      <c r="V811">
        <f>HYPERLINK("https://klasma.github.io/Logging_0860/klagomål/A 10864-2020 FSC-klagomål.docx", "A 10864-2020")</f>
        <v/>
      </c>
      <c r="W811">
        <f>HYPERLINK("https://klasma.github.io/Logging_0860/klagomålsmail/A 10864-2020 FSC-klagomål mail.docx", "A 10864-2020")</f>
        <v/>
      </c>
      <c r="X811">
        <f>HYPERLINK("https://klasma.github.io/Logging_0860/tillsyn/A 10864-2020 tillsynsbegäran.docx", "A 10864-2020")</f>
        <v/>
      </c>
      <c r="Y811">
        <f>HYPERLINK("https://klasma.github.io/Logging_0860/tillsynsmail/A 10864-2020 tillsynsbegäran mail.docx", "A 10864-2020")</f>
        <v/>
      </c>
    </row>
    <row r="812" ht="15" customHeight="1">
      <c r="A812" t="inlineStr">
        <is>
          <t>A 13471-2020</t>
        </is>
      </c>
      <c r="B812" s="1" t="n">
        <v>43902</v>
      </c>
      <c r="C812" s="1" t="n">
        <v>45832</v>
      </c>
      <c r="D812" t="inlineStr">
        <is>
          <t>KALMAR LÄN</t>
        </is>
      </c>
      <c r="E812" t="inlineStr">
        <is>
          <t>HULTSFRED</t>
        </is>
      </c>
      <c r="G812" t="n">
        <v>1.2</v>
      </c>
      <c r="H812" t="n">
        <v>1</v>
      </c>
      <c r="I812" t="n">
        <v>0</v>
      </c>
      <c r="J812" t="n">
        <v>0</v>
      </c>
      <c r="K812" t="n">
        <v>1</v>
      </c>
      <c r="L812" t="n">
        <v>0</v>
      </c>
      <c r="M812" t="n">
        <v>0</v>
      </c>
      <c r="N812" t="n">
        <v>0</v>
      </c>
      <c r="O812" t="n">
        <v>1</v>
      </c>
      <c r="P812" t="n">
        <v>1</v>
      </c>
      <c r="Q812" t="n">
        <v>1</v>
      </c>
      <c r="R812" s="2" t="inlineStr">
        <is>
          <t>Knärot</t>
        </is>
      </c>
      <c r="S812">
        <f>HYPERLINK("https://klasma.github.io/Logging_0860/artfynd/A 13471-2020 artfynd.xlsx", "A 13471-2020")</f>
        <v/>
      </c>
      <c r="T812">
        <f>HYPERLINK("https://klasma.github.io/Logging_0860/kartor/A 13471-2020 karta.png", "A 13471-2020")</f>
        <v/>
      </c>
      <c r="U812">
        <f>HYPERLINK("https://klasma.github.io/Logging_0860/knärot/A 13471-2020 karta knärot.png", "A 13471-2020")</f>
        <v/>
      </c>
      <c r="V812">
        <f>HYPERLINK("https://klasma.github.io/Logging_0860/klagomål/A 13471-2020 FSC-klagomål.docx", "A 13471-2020")</f>
        <v/>
      </c>
      <c r="W812">
        <f>HYPERLINK("https://klasma.github.io/Logging_0860/klagomålsmail/A 13471-2020 FSC-klagomål mail.docx", "A 13471-2020")</f>
        <v/>
      </c>
      <c r="X812">
        <f>HYPERLINK("https://klasma.github.io/Logging_0860/tillsyn/A 13471-2020 tillsynsbegäran.docx", "A 13471-2020")</f>
        <v/>
      </c>
      <c r="Y812">
        <f>HYPERLINK("https://klasma.github.io/Logging_0860/tillsynsmail/A 13471-2020 tillsynsbegäran mail.docx", "A 13471-2020")</f>
        <v/>
      </c>
    </row>
    <row r="813" ht="15" customHeight="1">
      <c r="A813" t="inlineStr">
        <is>
          <t>A 16608-2020</t>
        </is>
      </c>
      <c r="B813" s="1" t="n">
        <v>43908</v>
      </c>
      <c r="C813" s="1" t="n">
        <v>45832</v>
      </c>
      <c r="D813" t="inlineStr">
        <is>
          <t>KALMAR LÄN</t>
        </is>
      </c>
      <c r="E813" t="inlineStr">
        <is>
          <t>VÄSTERVIK</t>
        </is>
      </c>
      <c r="F813" t="inlineStr">
        <is>
          <t>Övriga Aktiebolag</t>
        </is>
      </c>
      <c r="G813" t="n">
        <v>1.7</v>
      </c>
      <c r="H813" t="n">
        <v>0</v>
      </c>
      <c r="I813" t="n">
        <v>0</v>
      </c>
      <c r="J813" t="n">
        <v>1</v>
      </c>
      <c r="K813" t="n">
        <v>0</v>
      </c>
      <c r="L813" t="n">
        <v>0</v>
      </c>
      <c r="M813" t="n">
        <v>0</v>
      </c>
      <c r="N813" t="n">
        <v>0</v>
      </c>
      <c r="O813" t="n">
        <v>1</v>
      </c>
      <c r="P813" t="n">
        <v>0</v>
      </c>
      <c r="Q813" t="n">
        <v>1</v>
      </c>
      <c r="R813" s="2" t="inlineStr">
        <is>
          <t>Skogsklocka</t>
        </is>
      </c>
      <c r="S813">
        <f>HYPERLINK("https://klasma.github.io/Logging_0883/artfynd/A 16608-2020 artfynd.xlsx", "A 16608-2020")</f>
        <v/>
      </c>
      <c r="T813">
        <f>HYPERLINK("https://klasma.github.io/Logging_0883/kartor/A 16608-2020 karta.png", "A 16608-2020")</f>
        <v/>
      </c>
      <c r="V813">
        <f>HYPERLINK("https://klasma.github.io/Logging_0883/klagomål/A 16608-2020 FSC-klagomål.docx", "A 16608-2020")</f>
        <v/>
      </c>
      <c r="W813">
        <f>HYPERLINK("https://klasma.github.io/Logging_0883/klagomålsmail/A 16608-2020 FSC-klagomål mail.docx", "A 16608-2020")</f>
        <v/>
      </c>
      <c r="X813">
        <f>HYPERLINK("https://klasma.github.io/Logging_0883/tillsyn/A 16608-2020 tillsynsbegäran.docx", "A 16608-2020")</f>
        <v/>
      </c>
      <c r="Y813">
        <f>HYPERLINK("https://klasma.github.io/Logging_0883/tillsynsmail/A 16608-2020 tillsynsbegäran mail.docx", "A 16608-2020")</f>
        <v/>
      </c>
    </row>
    <row r="814" ht="15" customHeight="1">
      <c r="A814" t="inlineStr">
        <is>
          <t>A 15136-2020</t>
        </is>
      </c>
      <c r="B814" s="1" t="n">
        <v>43911</v>
      </c>
      <c r="C814" s="1" t="n">
        <v>45832</v>
      </c>
      <c r="D814" t="inlineStr">
        <is>
          <t>KALMAR LÄN</t>
        </is>
      </c>
      <c r="E814" t="inlineStr">
        <is>
          <t>TORSÅS</t>
        </is>
      </c>
      <c r="G814" t="n">
        <v>2.3</v>
      </c>
      <c r="H814" t="n">
        <v>1</v>
      </c>
      <c r="I814" t="n">
        <v>0</v>
      </c>
      <c r="J814" t="n">
        <v>1</v>
      </c>
      <c r="K814" t="n">
        <v>0</v>
      </c>
      <c r="L814" t="n">
        <v>0</v>
      </c>
      <c r="M814" t="n">
        <v>0</v>
      </c>
      <c r="N814" t="n">
        <v>0</v>
      </c>
      <c r="O814" t="n">
        <v>1</v>
      </c>
      <c r="P814" t="n">
        <v>0</v>
      </c>
      <c r="Q814" t="n">
        <v>1</v>
      </c>
      <c r="R814" s="2" t="inlineStr">
        <is>
          <t>Mindre hackspett</t>
        </is>
      </c>
      <c r="S814">
        <f>HYPERLINK("https://klasma.github.io/Logging_0834/artfynd/A 15136-2020 artfynd.xlsx", "A 15136-2020")</f>
        <v/>
      </c>
      <c r="T814">
        <f>HYPERLINK("https://klasma.github.io/Logging_0834/kartor/A 15136-2020 karta.png", "A 15136-2020")</f>
        <v/>
      </c>
      <c r="V814">
        <f>HYPERLINK("https://klasma.github.io/Logging_0834/klagomål/A 15136-2020 FSC-klagomål.docx", "A 15136-2020")</f>
        <v/>
      </c>
      <c r="W814">
        <f>HYPERLINK("https://klasma.github.io/Logging_0834/klagomålsmail/A 15136-2020 FSC-klagomål mail.docx", "A 15136-2020")</f>
        <v/>
      </c>
      <c r="X814">
        <f>HYPERLINK("https://klasma.github.io/Logging_0834/tillsyn/A 15136-2020 tillsynsbegäran.docx", "A 15136-2020")</f>
        <v/>
      </c>
      <c r="Y814">
        <f>HYPERLINK("https://klasma.github.io/Logging_0834/tillsynsmail/A 15136-2020 tillsynsbegäran mail.docx", "A 15136-2020")</f>
        <v/>
      </c>
      <c r="Z814">
        <f>HYPERLINK("https://klasma.github.io/Logging_0834/fåglar/A 15136-2020 prioriterade fågelarter.docx", "A 15136-2020")</f>
        <v/>
      </c>
    </row>
    <row r="815" ht="15" customHeight="1">
      <c r="A815" t="inlineStr">
        <is>
          <t>A 15357-2020</t>
        </is>
      </c>
      <c r="B815" s="1" t="n">
        <v>43913</v>
      </c>
      <c r="C815" s="1" t="n">
        <v>45832</v>
      </c>
      <c r="D815" t="inlineStr">
        <is>
          <t>KALMAR LÄN</t>
        </is>
      </c>
      <c r="E815" t="inlineStr">
        <is>
          <t>VÄSTERVIK</t>
        </is>
      </c>
      <c r="G815" t="n">
        <v>2.9</v>
      </c>
      <c r="H815" t="n">
        <v>0</v>
      </c>
      <c r="I815" t="n">
        <v>1</v>
      </c>
      <c r="J815" t="n">
        <v>0</v>
      </c>
      <c r="K815" t="n">
        <v>0</v>
      </c>
      <c r="L815" t="n">
        <v>0</v>
      </c>
      <c r="M815" t="n">
        <v>0</v>
      </c>
      <c r="N815" t="n">
        <v>0</v>
      </c>
      <c r="O815" t="n">
        <v>0</v>
      </c>
      <c r="P815" t="n">
        <v>0</v>
      </c>
      <c r="Q815" t="n">
        <v>1</v>
      </c>
      <c r="R815" s="2" t="inlineStr">
        <is>
          <t>Grönpyrola</t>
        </is>
      </c>
      <c r="S815">
        <f>HYPERLINK("https://klasma.github.io/Logging_0883/artfynd/A 15357-2020 artfynd.xlsx", "A 15357-2020")</f>
        <v/>
      </c>
      <c r="T815">
        <f>HYPERLINK("https://klasma.github.io/Logging_0883/kartor/A 15357-2020 karta.png", "A 15357-2020")</f>
        <v/>
      </c>
      <c r="U815">
        <f>HYPERLINK("https://klasma.github.io/Logging_0883/knärot/A 15357-2020 karta knärot.png", "A 15357-2020")</f>
        <v/>
      </c>
      <c r="V815">
        <f>HYPERLINK("https://klasma.github.io/Logging_0883/klagomål/A 15357-2020 FSC-klagomål.docx", "A 15357-2020")</f>
        <v/>
      </c>
      <c r="W815">
        <f>HYPERLINK("https://klasma.github.io/Logging_0883/klagomålsmail/A 15357-2020 FSC-klagomål mail.docx", "A 15357-2020")</f>
        <v/>
      </c>
      <c r="X815">
        <f>HYPERLINK("https://klasma.github.io/Logging_0883/tillsyn/A 15357-2020 tillsynsbegäran.docx", "A 15357-2020")</f>
        <v/>
      </c>
      <c r="Y815">
        <f>HYPERLINK("https://klasma.github.io/Logging_0883/tillsynsmail/A 15357-2020 tillsynsbegäran mail.docx", "A 15357-2020")</f>
        <v/>
      </c>
    </row>
    <row r="816" ht="15" customHeight="1">
      <c r="A816" t="inlineStr">
        <is>
          <t>A 18186-2020</t>
        </is>
      </c>
      <c r="B816" s="1" t="n">
        <v>43927</v>
      </c>
      <c r="C816" s="1" t="n">
        <v>45832</v>
      </c>
      <c r="D816" t="inlineStr">
        <is>
          <t>KALMAR LÄN</t>
        </is>
      </c>
      <c r="E816" t="inlineStr">
        <is>
          <t>KALMAR</t>
        </is>
      </c>
      <c r="G816" t="n">
        <v>4.1</v>
      </c>
      <c r="H816" t="n">
        <v>0</v>
      </c>
      <c r="I816" t="n">
        <v>0</v>
      </c>
      <c r="J816" t="n">
        <v>1</v>
      </c>
      <c r="K816" t="n">
        <v>0</v>
      </c>
      <c r="L816" t="n">
        <v>0</v>
      </c>
      <c r="M816" t="n">
        <v>0</v>
      </c>
      <c r="N816" t="n">
        <v>0</v>
      </c>
      <c r="O816" t="n">
        <v>1</v>
      </c>
      <c r="P816" t="n">
        <v>0</v>
      </c>
      <c r="Q816" t="n">
        <v>1</v>
      </c>
      <c r="R816" s="2" t="inlineStr">
        <is>
          <t>Linmåra/småsnärjmåra</t>
        </is>
      </c>
      <c r="S816">
        <f>HYPERLINK("https://klasma.github.io/Logging_0880/artfynd/A 18186-2020 artfynd.xlsx", "A 18186-2020")</f>
        <v/>
      </c>
      <c r="T816">
        <f>HYPERLINK("https://klasma.github.io/Logging_0880/kartor/A 18186-2020 karta.png", "A 18186-2020")</f>
        <v/>
      </c>
      <c r="V816">
        <f>HYPERLINK("https://klasma.github.io/Logging_0880/klagomål/A 18186-2020 FSC-klagomål.docx", "A 18186-2020")</f>
        <v/>
      </c>
      <c r="W816">
        <f>HYPERLINK("https://klasma.github.io/Logging_0880/klagomålsmail/A 18186-2020 FSC-klagomål mail.docx", "A 18186-2020")</f>
        <v/>
      </c>
      <c r="X816">
        <f>HYPERLINK("https://klasma.github.io/Logging_0880/tillsyn/A 18186-2020 tillsynsbegäran.docx", "A 18186-2020")</f>
        <v/>
      </c>
      <c r="Y816">
        <f>HYPERLINK("https://klasma.github.io/Logging_0880/tillsynsmail/A 18186-2020 tillsynsbegäran mail.docx", "A 18186-2020")</f>
        <v/>
      </c>
    </row>
    <row r="817" ht="15" customHeight="1">
      <c r="A817" t="inlineStr">
        <is>
          <t>A 18351-2020</t>
        </is>
      </c>
      <c r="B817" s="1" t="n">
        <v>43928</v>
      </c>
      <c r="C817" s="1" t="n">
        <v>45832</v>
      </c>
      <c r="D817" t="inlineStr">
        <is>
          <t>KALMAR LÄN</t>
        </is>
      </c>
      <c r="E817" t="inlineStr">
        <is>
          <t>KALMAR</t>
        </is>
      </c>
      <c r="G817" t="n">
        <v>1.8</v>
      </c>
      <c r="H817" t="n">
        <v>0</v>
      </c>
      <c r="I817" t="n">
        <v>0</v>
      </c>
      <c r="J817" t="n">
        <v>1</v>
      </c>
      <c r="K817" t="n">
        <v>0</v>
      </c>
      <c r="L817" t="n">
        <v>0</v>
      </c>
      <c r="M817" t="n">
        <v>0</v>
      </c>
      <c r="N817" t="n">
        <v>0</v>
      </c>
      <c r="O817" t="n">
        <v>1</v>
      </c>
      <c r="P817" t="n">
        <v>0</v>
      </c>
      <c r="Q817" t="n">
        <v>1</v>
      </c>
      <c r="R817" s="2" t="inlineStr">
        <is>
          <t>Korskovall</t>
        </is>
      </c>
      <c r="S817">
        <f>HYPERLINK("https://klasma.github.io/Logging_0880/artfynd/A 18351-2020 artfynd.xlsx", "A 18351-2020")</f>
        <v/>
      </c>
      <c r="T817">
        <f>HYPERLINK("https://klasma.github.io/Logging_0880/kartor/A 18351-2020 karta.png", "A 18351-2020")</f>
        <v/>
      </c>
      <c r="V817">
        <f>HYPERLINK("https://klasma.github.io/Logging_0880/klagomål/A 18351-2020 FSC-klagomål.docx", "A 18351-2020")</f>
        <v/>
      </c>
      <c r="W817">
        <f>HYPERLINK("https://klasma.github.io/Logging_0880/klagomålsmail/A 18351-2020 FSC-klagomål mail.docx", "A 18351-2020")</f>
        <v/>
      </c>
      <c r="X817">
        <f>HYPERLINK("https://klasma.github.io/Logging_0880/tillsyn/A 18351-2020 tillsynsbegäran.docx", "A 18351-2020")</f>
        <v/>
      </c>
      <c r="Y817">
        <f>HYPERLINK("https://klasma.github.io/Logging_0880/tillsynsmail/A 18351-2020 tillsynsbegäran mail.docx", "A 18351-2020")</f>
        <v/>
      </c>
    </row>
    <row r="818" ht="15" customHeight="1">
      <c r="A818" t="inlineStr">
        <is>
          <t>A 22170-2020</t>
        </is>
      </c>
      <c r="B818" s="1" t="n">
        <v>43956</v>
      </c>
      <c r="C818" s="1" t="n">
        <v>45832</v>
      </c>
      <c r="D818" t="inlineStr">
        <is>
          <t>KALMAR LÄN</t>
        </is>
      </c>
      <c r="E818" t="inlineStr">
        <is>
          <t>MÖRBYLÅNGA</t>
        </is>
      </c>
      <c r="G818" t="n">
        <v>1.4</v>
      </c>
      <c r="H818" t="n">
        <v>0</v>
      </c>
      <c r="I818" t="n">
        <v>1</v>
      </c>
      <c r="J818" t="n">
        <v>0</v>
      </c>
      <c r="K818" t="n">
        <v>0</v>
      </c>
      <c r="L818" t="n">
        <v>0</v>
      </c>
      <c r="M818" t="n">
        <v>0</v>
      </c>
      <c r="N818" t="n">
        <v>0</v>
      </c>
      <c r="O818" t="n">
        <v>0</v>
      </c>
      <c r="P818" t="n">
        <v>0</v>
      </c>
      <c r="Q818" t="n">
        <v>1</v>
      </c>
      <c r="R818" s="2" t="inlineStr">
        <is>
          <t>Hässleklocka</t>
        </is>
      </c>
      <c r="S818">
        <f>HYPERLINK("https://klasma.github.io/Logging_0840/artfynd/A 22170-2020 artfynd.xlsx", "A 22170-2020")</f>
        <v/>
      </c>
      <c r="T818">
        <f>HYPERLINK("https://klasma.github.io/Logging_0840/kartor/A 22170-2020 karta.png", "A 22170-2020")</f>
        <v/>
      </c>
      <c r="V818">
        <f>HYPERLINK("https://klasma.github.io/Logging_0840/klagomål/A 22170-2020 FSC-klagomål.docx", "A 22170-2020")</f>
        <v/>
      </c>
      <c r="W818">
        <f>HYPERLINK("https://klasma.github.io/Logging_0840/klagomålsmail/A 22170-2020 FSC-klagomål mail.docx", "A 22170-2020")</f>
        <v/>
      </c>
      <c r="X818">
        <f>HYPERLINK("https://klasma.github.io/Logging_0840/tillsyn/A 22170-2020 tillsynsbegäran.docx", "A 22170-2020")</f>
        <v/>
      </c>
      <c r="Y818">
        <f>HYPERLINK("https://klasma.github.io/Logging_0840/tillsynsmail/A 22170-2020 tillsynsbegäran mail.docx", "A 22170-2020")</f>
        <v/>
      </c>
    </row>
    <row r="819" ht="15" customHeight="1">
      <c r="A819" t="inlineStr">
        <is>
          <t>A 22149-2020</t>
        </is>
      </c>
      <c r="B819" s="1" t="n">
        <v>43961</v>
      </c>
      <c r="C819" s="1" t="n">
        <v>45832</v>
      </c>
      <c r="D819" t="inlineStr">
        <is>
          <t>KALMAR LÄN</t>
        </is>
      </c>
      <c r="E819" t="inlineStr">
        <is>
          <t>NYBRO</t>
        </is>
      </c>
      <c r="G819" t="n">
        <v>11.4</v>
      </c>
      <c r="H819" t="n">
        <v>0</v>
      </c>
      <c r="I819" t="n">
        <v>0</v>
      </c>
      <c r="J819" t="n">
        <v>1</v>
      </c>
      <c r="K819" t="n">
        <v>0</v>
      </c>
      <c r="L819" t="n">
        <v>0</v>
      </c>
      <c r="M819" t="n">
        <v>0</v>
      </c>
      <c r="N819" t="n">
        <v>0</v>
      </c>
      <c r="O819" t="n">
        <v>1</v>
      </c>
      <c r="P819" t="n">
        <v>0</v>
      </c>
      <c r="Q819" t="n">
        <v>1</v>
      </c>
      <c r="R819" s="2" t="inlineStr">
        <is>
          <t>Småjungfrukam</t>
        </is>
      </c>
      <c r="S819">
        <f>HYPERLINK("https://klasma.github.io/Logging_0881/artfynd/A 22149-2020 artfynd.xlsx", "A 22149-2020")</f>
        <v/>
      </c>
      <c r="T819">
        <f>HYPERLINK("https://klasma.github.io/Logging_0881/kartor/A 22149-2020 karta.png", "A 22149-2020")</f>
        <v/>
      </c>
      <c r="V819">
        <f>HYPERLINK("https://klasma.github.io/Logging_0881/klagomål/A 22149-2020 FSC-klagomål.docx", "A 22149-2020")</f>
        <v/>
      </c>
      <c r="W819">
        <f>HYPERLINK("https://klasma.github.io/Logging_0881/klagomålsmail/A 22149-2020 FSC-klagomål mail.docx", "A 22149-2020")</f>
        <v/>
      </c>
      <c r="X819">
        <f>HYPERLINK("https://klasma.github.io/Logging_0881/tillsyn/A 22149-2020 tillsynsbegäran.docx", "A 22149-2020")</f>
        <v/>
      </c>
      <c r="Y819">
        <f>HYPERLINK("https://klasma.github.io/Logging_0881/tillsynsmail/A 22149-2020 tillsynsbegäran mail.docx", "A 22149-2020")</f>
        <v/>
      </c>
    </row>
    <row r="820" ht="15" customHeight="1">
      <c r="A820" t="inlineStr">
        <is>
          <t>A 22391-2020</t>
        </is>
      </c>
      <c r="B820" s="1" t="n">
        <v>43962</v>
      </c>
      <c r="C820" s="1" t="n">
        <v>45832</v>
      </c>
      <c r="D820" t="inlineStr">
        <is>
          <t>KALMAR LÄN</t>
        </is>
      </c>
      <c r="E820" t="inlineStr">
        <is>
          <t>HULTSFRED</t>
        </is>
      </c>
      <c r="G820" t="n">
        <v>1.8</v>
      </c>
      <c r="H820" t="n">
        <v>0</v>
      </c>
      <c r="I820" t="n">
        <v>0</v>
      </c>
      <c r="J820" t="n">
        <v>0</v>
      </c>
      <c r="K820" t="n">
        <v>0</v>
      </c>
      <c r="L820" t="n">
        <v>1</v>
      </c>
      <c r="M820" t="n">
        <v>0</v>
      </c>
      <c r="N820" t="n">
        <v>0</v>
      </c>
      <c r="O820" t="n">
        <v>1</v>
      </c>
      <c r="P820" t="n">
        <v>1</v>
      </c>
      <c r="Q820" t="n">
        <v>1</v>
      </c>
      <c r="R820" s="2" t="inlineStr">
        <is>
          <t>Ryl</t>
        </is>
      </c>
      <c r="S820">
        <f>HYPERLINK("https://klasma.github.io/Logging_0860/artfynd/A 22391-2020 artfynd.xlsx", "A 22391-2020")</f>
        <v/>
      </c>
      <c r="T820">
        <f>HYPERLINK("https://klasma.github.io/Logging_0860/kartor/A 22391-2020 karta.png", "A 22391-2020")</f>
        <v/>
      </c>
      <c r="V820">
        <f>HYPERLINK("https://klasma.github.io/Logging_0860/klagomål/A 22391-2020 FSC-klagomål.docx", "A 22391-2020")</f>
        <v/>
      </c>
      <c r="W820">
        <f>HYPERLINK("https://klasma.github.io/Logging_0860/klagomålsmail/A 22391-2020 FSC-klagomål mail.docx", "A 22391-2020")</f>
        <v/>
      </c>
      <c r="X820">
        <f>HYPERLINK("https://klasma.github.io/Logging_0860/tillsyn/A 22391-2020 tillsynsbegäran.docx", "A 22391-2020")</f>
        <v/>
      </c>
      <c r="Y820">
        <f>HYPERLINK("https://klasma.github.io/Logging_0860/tillsynsmail/A 22391-2020 tillsynsbegäran mail.docx", "A 22391-2020")</f>
        <v/>
      </c>
    </row>
    <row r="821" ht="15" customHeight="1">
      <c r="A821" t="inlineStr">
        <is>
          <t>A 22439-2020</t>
        </is>
      </c>
      <c r="B821" s="1" t="n">
        <v>43963</v>
      </c>
      <c r="C821" s="1" t="n">
        <v>45832</v>
      </c>
      <c r="D821" t="inlineStr">
        <is>
          <t>KALMAR LÄN</t>
        </is>
      </c>
      <c r="E821" t="inlineStr">
        <is>
          <t>VIMMERBY</t>
        </is>
      </c>
      <c r="G821" t="n">
        <v>13.8</v>
      </c>
      <c r="H821" t="n">
        <v>0</v>
      </c>
      <c r="I821" t="n">
        <v>0</v>
      </c>
      <c r="J821" t="n">
        <v>1</v>
      </c>
      <c r="K821" t="n">
        <v>0</v>
      </c>
      <c r="L821" t="n">
        <v>0</v>
      </c>
      <c r="M821" t="n">
        <v>0</v>
      </c>
      <c r="N821" t="n">
        <v>0</v>
      </c>
      <c r="O821" t="n">
        <v>1</v>
      </c>
      <c r="P821" t="n">
        <v>0</v>
      </c>
      <c r="Q821" t="n">
        <v>1</v>
      </c>
      <c r="R821" s="2" t="inlineStr">
        <is>
          <t>Tallticka</t>
        </is>
      </c>
      <c r="S821">
        <f>HYPERLINK("https://klasma.github.io/Logging_0884/artfynd/A 22439-2020 artfynd.xlsx", "A 22439-2020")</f>
        <v/>
      </c>
      <c r="T821">
        <f>HYPERLINK("https://klasma.github.io/Logging_0884/kartor/A 22439-2020 karta.png", "A 22439-2020")</f>
        <v/>
      </c>
      <c r="V821">
        <f>HYPERLINK("https://klasma.github.io/Logging_0884/klagomål/A 22439-2020 FSC-klagomål.docx", "A 22439-2020")</f>
        <v/>
      </c>
      <c r="W821">
        <f>HYPERLINK("https://klasma.github.io/Logging_0884/klagomålsmail/A 22439-2020 FSC-klagomål mail.docx", "A 22439-2020")</f>
        <v/>
      </c>
      <c r="X821">
        <f>HYPERLINK("https://klasma.github.io/Logging_0884/tillsyn/A 22439-2020 tillsynsbegäran.docx", "A 22439-2020")</f>
        <v/>
      </c>
      <c r="Y821">
        <f>HYPERLINK("https://klasma.github.io/Logging_0884/tillsynsmail/A 22439-2020 tillsynsbegäran mail.docx", "A 22439-2020")</f>
        <v/>
      </c>
    </row>
    <row r="822" ht="15" customHeight="1">
      <c r="A822" t="inlineStr">
        <is>
          <t>A 25736-2020</t>
        </is>
      </c>
      <c r="B822" s="1" t="n">
        <v>43984</v>
      </c>
      <c r="C822" s="1" t="n">
        <v>45832</v>
      </c>
      <c r="D822" t="inlineStr">
        <is>
          <t>KALMAR LÄN</t>
        </is>
      </c>
      <c r="E822" t="inlineStr">
        <is>
          <t>NYBRO</t>
        </is>
      </c>
      <c r="G822" t="n">
        <v>1.2</v>
      </c>
      <c r="H822" t="n">
        <v>0</v>
      </c>
      <c r="I822" t="n">
        <v>1</v>
      </c>
      <c r="J822" t="n">
        <v>0</v>
      </c>
      <c r="K822" t="n">
        <v>0</v>
      </c>
      <c r="L822" t="n">
        <v>0</v>
      </c>
      <c r="M822" t="n">
        <v>0</v>
      </c>
      <c r="N822" t="n">
        <v>0</v>
      </c>
      <c r="O822" t="n">
        <v>0</v>
      </c>
      <c r="P822" t="n">
        <v>0</v>
      </c>
      <c r="Q822" t="n">
        <v>1</v>
      </c>
      <c r="R822" s="2" t="inlineStr">
        <is>
          <t>Blåmossa</t>
        </is>
      </c>
      <c r="S822">
        <f>HYPERLINK("https://klasma.github.io/Logging_0881/artfynd/A 25736-2020 artfynd.xlsx", "A 25736-2020")</f>
        <v/>
      </c>
      <c r="T822">
        <f>HYPERLINK("https://klasma.github.io/Logging_0881/kartor/A 25736-2020 karta.png", "A 25736-2020")</f>
        <v/>
      </c>
      <c r="V822">
        <f>HYPERLINK("https://klasma.github.io/Logging_0881/klagomål/A 25736-2020 FSC-klagomål.docx", "A 25736-2020")</f>
        <v/>
      </c>
      <c r="W822">
        <f>HYPERLINK("https://klasma.github.io/Logging_0881/klagomålsmail/A 25736-2020 FSC-klagomål mail.docx", "A 25736-2020")</f>
        <v/>
      </c>
      <c r="X822">
        <f>HYPERLINK("https://klasma.github.io/Logging_0881/tillsyn/A 25736-2020 tillsynsbegäran.docx", "A 25736-2020")</f>
        <v/>
      </c>
      <c r="Y822">
        <f>HYPERLINK("https://klasma.github.io/Logging_0881/tillsynsmail/A 25736-2020 tillsynsbegäran mail.docx", "A 25736-2020")</f>
        <v/>
      </c>
    </row>
    <row r="823" ht="15" customHeight="1">
      <c r="A823" t="inlineStr">
        <is>
          <t>A 28619-2020</t>
        </is>
      </c>
      <c r="B823" s="1" t="n">
        <v>43999</v>
      </c>
      <c r="C823" s="1" t="n">
        <v>45832</v>
      </c>
      <c r="D823" t="inlineStr">
        <is>
          <t>KALMAR LÄN</t>
        </is>
      </c>
      <c r="E823" t="inlineStr">
        <is>
          <t>KALMAR</t>
        </is>
      </c>
      <c r="G823" t="n">
        <v>1</v>
      </c>
      <c r="H823" t="n">
        <v>1</v>
      </c>
      <c r="I823" t="n">
        <v>0</v>
      </c>
      <c r="J823" t="n">
        <v>0</v>
      </c>
      <c r="K823" t="n">
        <v>0</v>
      </c>
      <c r="L823" t="n">
        <v>0</v>
      </c>
      <c r="M823" t="n">
        <v>0</v>
      </c>
      <c r="N823" t="n">
        <v>0</v>
      </c>
      <c r="O823" t="n">
        <v>0</v>
      </c>
      <c r="P823" t="n">
        <v>0</v>
      </c>
      <c r="Q823" t="n">
        <v>1</v>
      </c>
      <c r="R823" s="2" t="inlineStr">
        <is>
          <t>Trana</t>
        </is>
      </c>
      <c r="S823">
        <f>HYPERLINK("https://klasma.github.io/Logging_0880/artfynd/A 28619-2020 artfynd.xlsx", "A 28619-2020")</f>
        <v/>
      </c>
      <c r="T823">
        <f>HYPERLINK("https://klasma.github.io/Logging_0880/kartor/A 28619-2020 karta.png", "A 28619-2020")</f>
        <v/>
      </c>
      <c r="V823">
        <f>HYPERLINK("https://klasma.github.io/Logging_0880/klagomål/A 28619-2020 FSC-klagomål.docx", "A 28619-2020")</f>
        <v/>
      </c>
      <c r="W823">
        <f>HYPERLINK("https://klasma.github.io/Logging_0880/klagomålsmail/A 28619-2020 FSC-klagomål mail.docx", "A 28619-2020")</f>
        <v/>
      </c>
      <c r="X823">
        <f>HYPERLINK("https://klasma.github.io/Logging_0880/tillsyn/A 28619-2020 tillsynsbegäran.docx", "A 28619-2020")</f>
        <v/>
      </c>
      <c r="Y823">
        <f>HYPERLINK("https://klasma.github.io/Logging_0880/tillsynsmail/A 28619-2020 tillsynsbegäran mail.docx", "A 28619-2020")</f>
        <v/>
      </c>
      <c r="Z823">
        <f>HYPERLINK("https://klasma.github.io/Logging_0880/fåglar/A 28619-2020 prioriterade fågelarter.docx", "A 28619-2020")</f>
        <v/>
      </c>
    </row>
    <row r="824" ht="15" customHeight="1">
      <c r="A824" t="inlineStr">
        <is>
          <t>A 29616-2020</t>
        </is>
      </c>
      <c r="B824" s="1" t="n">
        <v>44004</v>
      </c>
      <c r="C824" s="1" t="n">
        <v>45832</v>
      </c>
      <c r="D824" t="inlineStr">
        <is>
          <t>KALMAR LÄN</t>
        </is>
      </c>
      <c r="E824" t="inlineStr">
        <is>
          <t>MÖNSTERÅS</t>
        </is>
      </c>
      <c r="G824" t="n">
        <v>2.9</v>
      </c>
      <c r="H824" t="n">
        <v>0</v>
      </c>
      <c r="I824" t="n">
        <v>1</v>
      </c>
      <c r="J824" t="n">
        <v>0</v>
      </c>
      <c r="K824" t="n">
        <v>0</v>
      </c>
      <c r="L824" t="n">
        <v>0</v>
      </c>
      <c r="M824" t="n">
        <v>0</v>
      </c>
      <c r="N824" t="n">
        <v>0</v>
      </c>
      <c r="O824" t="n">
        <v>0</v>
      </c>
      <c r="P824" t="n">
        <v>0</v>
      </c>
      <c r="Q824" t="n">
        <v>1</v>
      </c>
      <c r="R824" s="2" t="inlineStr">
        <is>
          <t>Granbarkgnagare</t>
        </is>
      </c>
      <c r="S824">
        <f>HYPERLINK("https://klasma.github.io/Logging_0861/artfynd/A 29616-2020 artfynd.xlsx", "A 29616-2020")</f>
        <v/>
      </c>
      <c r="T824">
        <f>HYPERLINK("https://klasma.github.io/Logging_0861/kartor/A 29616-2020 karta.png", "A 29616-2020")</f>
        <v/>
      </c>
      <c r="V824">
        <f>HYPERLINK("https://klasma.github.io/Logging_0861/klagomål/A 29616-2020 FSC-klagomål.docx", "A 29616-2020")</f>
        <v/>
      </c>
      <c r="W824">
        <f>HYPERLINK("https://klasma.github.io/Logging_0861/klagomålsmail/A 29616-2020 FSC-klagomål mail.docx", "A 29616-2020")</f>
        <v/>
      </c>
      <c r="X824">
        <f>HYPERLINK("https://klasma.github.io/Logging_0861/tillsyn/A 29616-2020 tillsynsbegäran.docx", "A 29616-2020")</f>
        <v/>
      </c>
      <c r="Y824">
        <f>HYPERLINK("https://klasma.github.io/Logging_0861/tillsynsmail/A 29616-2020 tillsynsbegäran mail.docx", "A 29616-2020")</f>
        <v/>
      </c>
    </row>
    <row r="825" ht="15" customHeight="1">
      <c r="A825" t="inlineStr">
        <is>
          <t>A 30772-2020</t>
        </is>
      </c>
      <c r="B825" s="1" t="n">
        <v>44009</v>
      </c>
      <c r="C825" s="1" t="n">
        <v>45832</v>
      </c>
      <c r="D825" t="inlineStr">
        <is>
          <t>KALMAR LÄN</t>
        </is>
      </c>
      <c r="E825" t="inlineStr">
        <is>
          <t>NYBRO</t>
        </is>
      </c>
      <c r="G825" t="n">
        <v>21.1</v>
      </c>
      <c r="H825" t="n">
        <v>1</v>
      </c>
      <c r="I825" t="n">
        <v>0</v>
      </c>
      <c r="J825" t="n">
        <v>0</v>
      </c>
      <c r="K825" t="n">
        <v>0</v>
      </c>
      <c r="L825" t="n">
        <v>0</v>
      </c>
      <c r="M825" t="n">
        <v>0</v>
      </c>
      <c r="N825" t="n">
        <v>0</v>
      </c>
      <c r="O825" t="n">
        <v>0</v>
      </c>
      <c r="P825" t="n">
        <v>0</v>
      </c>
      <c r="Q825" t="n">
        <v>1</v>
      </c>
      <c r="R825" s="2" t="inlineStr">
        <is>
          <t>Fläcknycklar</t>
        </is>
      </c>
      <c r="S825">
        <f>HYPERLINK("https://klasma.github.io/Logging_0881/artfynd/A 30772-2020 artfynd.xlsx", "A 30772-2020")</f>
        <v/>
      </c>
      <c r="T825">
        <f>HYPERLINK("https://klasma.github.io/Logging_0881/kartor/A 30772-2020 karta.png", "A 30772-2020")</f>
        <v/>
      </c>
      <c r="V825">
        <f>HYPERLINK("https://klasma.github.io/Logging_0881/klagomål/A 30772-2020 FSC-klagomål.docx", "A 30772-2020")</f>
        <v/>
      </c>
      <c r="W825">
        <f>HYPERLINK("https://klasma.github.io/Logging_0881/klagomålsmail/A 30772-2020 FSC-klagomål mail.docx", "A 30772-2020")</f>
        <v/>
      </c>
      <c r="X825">
        <f>HYPERLINK("https://klasma.github.io/Logging_0881/tillsyn/A 30772-2020 tillsynsbegäran.docx", "A 30772-2020")</f>
        <v/>
      </c>
      <c r="Y825">
        <f>HYPERLINK("https://klasma.github.io/Logging_0881/tillsynsmail/A 30772-2020 tillsynsbegäran mail.docx", "A 30772-2020")</f>
        <v/>
      </c>
    </row>
    <row r="826" ht="15" customHeight="1">
      <c r="A826" t="inlineStr">
        <is>
          <t>A 32143-2020</t>
        </is>
      </c>
      <c r="B826" s="1" t="n">
        <v>44015</v>
      </c>
      <c r="C826" s="1" t="n">
        <v>45832</v>
      </c>
      <c r="D826" t="inlineStr">
        <is>
          <t>KALMAR LÄN</t>
        </is>
      </c>
      <c r="E826" t="inlineStr">
        <is>
          <t>MÖNSTERÅS</t>
        </is>
      </c>
      <c r="G826" t="n">
        <v>12.1</v>
      </c>
      <c r="H826" t="n">
        <v>0</v>
      </c>
      <c r="I826" t="n">
        <v>0</v>
      </c>
      <c r="J826" t="n">
        <v>1</v>
      </c>
      <c r="K826" t="n">
        <v>0</v>
      </c>
      <c r="L826" t="n">
        <v>0</v>
      </c>
      <c r="M826" t="n">
        <v>0</v>
      </c>
      <c r="N826" t="n">
        <v>0</v>
      </c>
      <c r="O826" t="n">
        <v>1</v>
      </c>
      <c r="P826" t="n">
        <v>0</v>
      </c>
      <c r="Q826" t="n">
        <v>1</v>
      </c>
      <c r="R826" s="2" t="inlineStr">
        <is>
          <t>Tallticka</t>
        </is>
      </c>
      <c r="S826">
        <f>HYPERLINK("https://klasma.github.io/Logging_0861/artfynd/A 32143-2020 artfynd.xlsx", "A 32143-2020")</f>
        <v/>
      </c>
      <c r="T826">
        <f>HYPERLINK("https://klasma.github.io/Logging_0861/kartor/A 32143-2020 karta.png", "A 32143-2020")</f>
        <v/>
      </c>
      <c r="V826">
        <f>HYPERLINK("https://klasma.github.io/Logging_0861/klagomål/A 32143-2020 FSC-klagomål.docx", "A 32143-2020")</f>
        <v/>
      </c>
      <c r="W826">
        <f>HYPERLINK("https://klasma.github.io/Logging_0861/klagomålsmail/A 32143-2020 FSC-klagomål mail.docx", "A 32143-2020")</f>
        <v/>
      </c>
      <c r="X826">
        <f>HYPERLINK("https://klasma.github.io/Logging_0861/tillsyn/A 32143-2020 tillsynsbegäran.docx", "A 32143-2020")</f>
        <v/>
      </c>
      <c r="Y826">
        <f>HYPERLINK("https://klasma.github.io/Logging_0861/tillsynsmail/A 32143-2020 tillsynsbegäran mail.docx", "A 32143-2020")</f>
        <v/>
      </c>
    </row>
    <row r="827" ht="15" customHeight="1">
      <c r="A827" t="inlineStr">
        <is>
          <t>A 36717-2020</t>
        </is>
      </c>
      <c r="B827" s="1" t="n">
        <v>44053</v>
      </c>
      <c r="C827" s="1" t="n">
        <v>45832</v>
      </c>
      <c r="D827" t="inlineStr">
        <is>
          <t>KALMAR LÄN</t>
        </is>
      </c>
      <c r="E827" t="inlineStr">
        <is>
          <t>HULTSFRED</t>
        </is>
      </c>
      <c r="F827" t="inlineStr">
        <is>
          <t>Kyrkan</t>
        </is>
      </c>
      <c r="G827" t="n">
        <v>4.2</v>
      </c>
      <c r="H827" t="n">
        <v>0</v>
      </c>
      <c r="I827" t="n">
        <v>1</v>
      </c>
      <c r="J827" t="n">
        <v>0</v>
      </c>
      <c r="K827" t="n">
        <v>0</v>
      </c>
      <c r="L827" t="n">
        <v>0</v>
      </c>
      <c r="M827" t="n">
        <v>0</v>
      </c>
      <c r="N827" t="n">
        <v>0</v>
      </c>
      <c r="O827" t="n">
        <v>0</v>
      </c>
      <c r="P827" t="n">
        <v>0</v>
      </c>
      <c r="Q827" t="n">
        <v>1</v>
      </c>
      <c r="R827" s="2" t="inlineStr">
        <is>
          <t>Västlig hakmossa</t>
        </is>
      </c>
      <c r="S827">
        <f>HYPERLINK("https://klasma.github.io/Logging_0860/artfynd/A 36717-2020 artfynd.xlsx", "A 36717-2020")</f>
        <v/>
      </c>
      <c r="T827">
        <f>HYPERLINK("https://klasma.github.io/Logging_0860/kartor/A 36717-2020 karta.png", "A 36717-2020")</f>
        <v/>
      </c>
      <c r="V827">
        <f>HYPERLINK("https://klasma.github.io/Logging_0860/klagomål/A 36717-2020 FSC-klagomål.docx", "A 36717-2020")</f>
        <v/>
      </c>
      <c r="W827">
        <f>HYPERLINK("https://klasma.github.io/Logging_0860/klagomålsmail/A 36717-2020 FSC-klagomål mail.docx", "A 36717-2020")</f>
        <v/>
      </c>
      <c r="X827">
        <f>HYPERLINK("https://klasma.github.io/Logging_0860/tillsyn/A 36717-2020 tillsynsbegäran.docx", "A 36717-2020")</f>
        <v/>
      </c>
      <c r="Y827">
        <f>HYPERLINK("https://klasma.github.io/Logging_0860/tillsynsmail/A 36717-2020 tillsynsbegäran mail.docx", "A 36717-2020")</f>
        <v/>
      </c>
    </row>
    <row r="828" ht="15" customHeight="1">
      <c r="A828" t="inlineStr">
        <is>
          <t>A 36740-2020</t>
        </is>
      </c>
      <c r="B828" s="1" t="n">
        <v>44053</v>
      </c>
      <c r="C828" s="1" t="n">
        <v>45832</v>
      </c>
      <c r="D828" t="inlineStr">
        <is>
          <t>KALMAR LÄN</t>
        </is>
      </c>
      <c r="E828" t="inlineStr">
        <is>
          <t>KALMAR</t>
        </is>
      </c>
      <c r="G828" t="n">
        <v>1.7</v>
      </c>
      <c r="H828" t="n">
        <v>1</v>
      </c>
      <c r="I828" t="n">
        <v>0</v>
      </c>
      <c r="J828" t="n">
        <v>1</v>
      </c>
      <c r="K828" t="n">
        <v>0</v>
      </c>
      <c r="L828" t="n">
        <v>0</v>
      </c>
      <c r="M828" t="n">
        <v>0</v>
      </c>
      <c r="N828" t="n">
        <v>0</v>
      </c>
      <c r="O828" t="n">
        <v>1</v>
      </c>
      <c r="P828" t="n">
        <v>0</v>
      </c>
      <c r="Q828" t="n">
        <v>1</v>
      </c>
      <c r="R828" s="2" t="inlineStr">
        <is>
          <t>Gulsparv</t>
        </is>
      </c>
      <c r="S828">
        <f>HYPERLINK("https://klasma.github.io/Logging_0880/artfynd/A 36740-2020 artfynd.xlsx", "A 36740-2020")</f>
        <v/>
      </c>
      <c r="T828">
        <f>HYPERLINK("https://klasma.github.io/Logging_0880/kartor/A 36740-2020 karta.png", "A 36740-2020")</f>
        <v/>
      </c>
      <c r="V828">
        <f>HYPERLINK("https://klasma.github.io/Logging_0880/klagomål/A 36740-2020 FSC-klagomål.docx", "A 36740-2020")</f>
        <v/>
      </c>
      <c r="W828">
        <f>HYPERLINK("https://klasma.github.io/Logging_0880/klagomålsmail/A 36740-2020 FSC-klagomål mail.docx", "A 36740-2020")</f>
        <v/>
      </c>
      <c r="X828">
        <f>HYPERLINK("https://klasma.github.io/Logging_0880/tillsyn/A 36740-2020 tillsynsbegäran.docx", "A 36740-2020")</f>
        <v/>
      </c>
      <c r="Y828">
        <f>HYPERLINK("https://klasma.github.io/Logging_0880/tillsynsmail/A 36740-2020 tillsynsbegäran mail.docx", "A 36740-2020")</f>
        <v/>
      </c>
      <c r="Z828">
        <f>HYPERLINK("https://klasma.github.io/Logging_0880/fåglar/A 36740-2020 prioriterade fågelarter.docx", "A 36740-2020")</f>
        <v/>
      </c>
    </row>
    <row r="829" ht="15" customHeight="1">
      <c r="A829" t="inlineStr">
        <is>
          <t>A 37170-2020</t>
        </is>
      </c>
      <c r="B829" s="1" t="n">
        <v>44054</v>
      </c>
      <c r="C829" s="1" t="n">
        <v>45832</v>
      </c>
      <c r="D829" t="inlineStr">
        <is>
          <t>KALMAR LÄN</t>
        </is>
      </c>
      <c r="E829" t="inlineStr">
        <is>
          <t>EMMABODA</t>
        </is>
      </c>
      <c r="G829" t="n">
        <v>1.4</v>
      </c>
      <c r="H829" t="n">
        <v>0</v>
      </c>
      <c r="I829" t="n">
        <v>1</v>
      </c>
      <c r="J829" t="n">
        <v>0</v>
      </c>
      <c r="K829" t="n">
        <v>0</v>
      </c>
      <c r="L829" t="n">
        <v>0</v>
      </c>
      <c r="M829" t="n">
        <v>0</v>
      </c>
      <c r="N829" t="n">
        <v>0</v>
      </c>
      <c r="O829" t="n">
        <v>0</v>
      </c>
      <c r="P829" t="n">
        <v>0</v>
      </c>
      <c r="Q829" t="n">
        <v>1</v>
      </c>
      <c r="R829" s="2" t="inlineStr">
        <is>
          <t>Grönpyrola</t>
        </is>
      </c>
      <c r="S829">
        <f>HYPERLINK("https://klasma.github.io/Logging_0862/artfynd/A 37170-2020 artfynd.xlsx", "A 37170-2020")</f>
        <v/>
      </c>
      <c r="T829">
        <f>HYPERLINK("https://klasma.github.io/Logging_0862/kartor/A 37170-2020 karta.png", "A 37170-2020")</f>
        <v/>
      </c>
      <c r="V829">
        <f>HYPERLINK("https://klasma.github.io/Logging_0862/klagomål/A 37170-2020 FSC-klagomål.docx", "A 37170-2020")</f>
        <v/>
      </c>
      <c r="W829">
        <f>HYPERLINK("https://klasma.github.io/Logging_0862/klagomålsmail/A 37170-2020 FSC-klagomål mail.docx", "A 37170-2020")</f>
        <v/>
      </c>
      <c r="X829">
        <f>HYPERLINK("https://klasma.github.io/Logging_0862/tillsyn/A 37170-2020 tillsynsbegäran.docx", "A 37170-2020")</f>
        <v/>
      </c>
      <c r="Y829">
        <f>HYPERLINK("https://klasma.github.io/Logging_0862/tillsynsmail/A 37170-2020 tillsynsbegäran mail.docx", "A 37170-2020")</f>
        <v/>
      </c>
    </row>
    <row r="830" ht="15" customHeight="1">
      <c r="A830" t="inlineStr">
        <is>
          <t>A 38830-2020</t>
        </is>
      </c>
      <c r="B830" s="1" t="n">
        <v>44062</v>
      </c>
      <c r="C830" s="1" t="n">
        <v>45832</v>
      </c>
      <c r="D830" t="inlineStr">
        <is>
          <t>KALMAR LÄN</t>
        </is>
      </c>
      <c r="E830" t="inlineStr">
        <is>
          <t>OSKARSHAMN</t>
        </is>
      </c>
      <c r="G830" t="n">
        <v>1.4</v>
      </c>
      <c r="H830" t="n">
        <v>0</v>
      </c>
      <c r="I830" t="n">
        <v>0</v>
      </c>
      <c r="J830" t="n">
        <v>0</v>
      </c>
      <c r="K830" t="n">
        <v>1</v>
      </c>
      <c r="L830" t="n">
        <v>0</v>
      </c>
      <c r="M830" t="n">
        <v>0</v>
      </c>
      <c r="N830" t="n">
        <v>0</v>
      </c>
      <c r="O830" t="n">
        <v>1</v>
      </c>
      <c r="P830" t="n">
        <v>1</v>
      </c>
      <c r="Q830" t="n">
        <v>1</v>
      </c>
      <c r="R830" s="2" t="inlineStr">
        <is>
          <t>Blek kraterlav</t>
        </is>
      </c>
      <c r="S830">
        <f>HYPERLINK("https://klasma.github.io/Logging_0882/artfynd/A 38830-2020 artfynd.xlsx", "A 38830-2020")</f>
        <v/>
      </c>
      <c r="T830">
        <f>HYPERLINK("https://klasma.github.io/Logging_0882/kartor/A 38830-2020 karta.png", "A 38830-2020")</f>
        <v/>
      </c>
      <c r="V830">
        <f>HYPERLINK("https://klasma.github.io/Logging_0882/klagomål/A 38830-2020 FSC-klagomål.docx", "A 38830-2020")</f>
        <v/>
      </c>
      <c r="W830">
        <f>HYPERLINK("https://klasma.github.io/Logging_0882/klagomålsmail/A 38830-2020 FSC-klagomål mail.docx", "A 38830-2020")</f>
        <v/>
      </c>
      <c r="X830">
        <f>HYPERLINK("https://klasma.github.io/Logging_0882/tillsyn/A 38830-2020 tillsynsbegäran.docx", "A 38830-2020")</f>
        <v/>
      </c>
      <c r="Y830">
        <f>HYPERLINK("https://klasma.github.io/Logging_0882/tillsynsmail/A 38830-2020 tillsynsbegäran mail.docx", "A 38830-2020")</f>
        <v/>
      </c>
    </row>
    <row r="831" ht="15" customHeight="1">
      <c r="A831" t="inlineStr">
        <is>
          <t>A 39836-2020</t>
        </is>
      </c>
      <c r="B831" s="1" t="n">
        <v>44064</v>
      </c>
      <c r="C831" s="1" t="n">
        <v>45832</v>
      </c>
      <c r="D831" t="inlineStr">
        <is>
          <t>KALMAR LÄN</t>
        </is>
      </c>
      <c r="E831" t="inlineStr">
        <is>
          <t>VÄSTERVIK</t>
        </is>
      </c>
      <c r="G831" t="n">
        <v>13.4</v>
      </c>
      <c r="H831" t="n">
        <v>1</v>
      </c>
      <c r="I831" t="n">
        <v>0</v>
      </c>
      <c r="J831" t="n">
        <v>1</v>
      </c>
      <c r="K831" t="n">
        <v>0</v>
      </c>
      <c r="L831" t="n">
        <v>0</v>
      </c>
      <c r="M831" t="n">
        <v>0</v>
      </c>
      <c r="N831" t="n">
        <v>0</v>
      </c>
      <c r="O831" t="n">
        <v>1</v>
      </c>
      <c r="P831" t="n">
        <v>0</v>
      </c>
      <c r="Q831" t="n">
        <v>1</v>
      </c>
      <c r="R831" s="2" t="inlineStr">
        <is>
          <t>Havsörn</t>
        </is>
      </c>
      <c r="S831">
        <f>HYPERLINK("https://klasma.github.io/Logging_0883/artfynd/A 39836-2020 artfynd.xlsx", "A 39836-2020")</f>
        <v/>
      </c>
      <c r="T831">
        <f>HYPERLINK("https://klasma.github.io/Logging_0883/kartor/A 39836-2020 karta.png", "A 39836-2020")</f>
        <v/>
      </c>
      <c r="V831">
        <f>HYPERLINK("https://klasma.github.io/Logging_0883/klagomål/A 39836-2020 FSC-klagomål.docx", "A 39836-2020")</f>
        <v/>
      </c>
      <c r="W831">
        <f>HYPERLINK("https://klasma.github.io/Logging_0883/klagomålsmail/A 39836-2020 FSC-klagomål mail.docx", "A 39836-2020")</f>
        <v/>
      </c>
      <c r="X831">
        <f>HYPERLINK("https://klasma.github.io/Logging_0883/tillsyn/A 39836-2020 tillsynsbegäran.docx", "A 39836-2020")</f>
        <v/>
      </c>
      <c r="Y831">
        <f>HYPERLINK("https://klasma.github.io/Logging_0883/tillsynsmail/A 39836-2020 tillsynsbegäran mail.docx", "A 39836-2020")</f>
        <v/>
      </c>
      <c r="Z831">
        <f>HYPERLINK("https://klasma.github.io/Logging_0883/fåglar/A 39836-2020 prioriterade fågelarter.docx", "A 39836-2020")</f>
        <v/>
      </c>
    </row>
    <row r="832" ht="15" customHeight="1">
      <c r="A832" t="inlineStr">
        <is>
          <t>A 40734-2020</t>
        </is>
      </c>
      <c r="B832" s="1" t="n">
        <v>44069</v>
      </c>
      <c r="C832" s="1" t="n">
        <v>45832</v>
      </c>
      <c r="D832" t="inlineStr">
        <is>
          <t>KALMAR LÄN</t>
        </is>
      </c>
      <c r="E832" t="inlineStr">
        <is>
          <t>KALMAR</t>
        </is>
      </c>
      <c r="G832" t="n">
        <v>1.6</v>
      </c>
      <c r="H832" t="n">
        <v>1</v>
      </c>
      <c r="I832" t="n">
        <v>1</v>
      </c>
      <c r="J832" t="n">
        <v>0</v>
      </c>
      <c r="K832" t="n">
        <v>0</v>
      </c>
      <c r="L832" t="n">
        <v>0</v>
      </c>
      <c r="M832" t="n">
        <v>0</v>
      </c>
      <c r="N832" t="n">
        <v>0</v>
      </c>
      <c r="O832" t="n">
        <v>0</v>
      </c>
      <c r="P832" t="n">
        <v>0</v>
      </c>
      <c r="Q832" t="n">
        <v>1</v>
      </c>
      <c r="R832" s="2" t="inlineStr">
        <is>
          <t>Ekoxe</t>
        </is>
      </c>
      <c r="S832">
        <f>HYPERLINK("https://klasma.github.io/Logging_0880/artfynd/A 40734-2020 artfynd.xlsx", "A 40734-2020")</f>
        <v/>
      </c>
      <c r="T832">
        <f>HYPERLINK("https://klasma.github.io/Logging_0880/kartor/A 40734-2020 karta.png", "A 40734-2020")</f>
        <v/>
      </c>
      <c r="V832">
        <f>HYPERLINK("https://klasma.github.io/Logging_0880/klagomål/A 40734-2020 FSC-klagomål.docx", "A 40734-2020")</f>
        <v/>
      </c>
      <c r="W832">
        <f>HYPERLINK("https://klasma.github.io/Logging_0880/klagomålsmail/A 40734-2020 FSC-klagomål mail.docx", "A 40734-2020")</f>
        <v/>
      </c>
      <c r="X832">
        <f>HYPERLINK("https://klasma.github.io/Logging_0880/tillsyn/A 40734-2020 tillsynsbegäran.docx", "A 40734-2020")</f>
        <v/>
      </c>
      <c r="Y832">
        <f>HYPERLINK("https://klasma.github.io/Logging_0880/tillsynsmail/A 40734-2020 tillsynsbegäran mail.docx", "A 40734-2020")</f>
        <v/>
      </c>
    </row>
    <row r="833" ht="15" customHeight="1">
      <c r="A833" t="inlineStr">
        <is>
          <t>A 42097-2020</t>
        </is>
      </c>
      <c r="B833" s="1" t="n">
        <v>44075</v>
      </c>
      <c r="C833" s="1" t="n">
        <v>45832</v>
      </c>
      <c r="D833" t="inlineStr">
        <is>
          <t>KALMAR LÄN</t>
        </is>
      </c>
      <c r="E833" t="inlineStr">
        <is>
          <t>VIMMERBY</t>
        </is>
      </c>
      <c r="G833" t="n">
        <v>5.5</v>
      </c>
      <c r="H833" t="n">
        <v>0</v>
      </c>
      <c r="I833" t="n">
        <v>0</v>
      </c>
      <c r="J833" t="n">
        <v>1</v>
      </c>
      <c r="K833" t="n">
        <v>0</v>
      </c>
      <c r="L833" t="n">
        <v>0</v>
      </c>
      <c r="M833" t="n">
        <v>0</v>
      </c>
      <c r="N833" t="n">
        <v>0</v>
      </c>
      <c r="O833" t="n">
        <v>1</v>
      </c>
      <c r="P833" t="n">
        <v>0</v>
      </c>
      <c r="Q833" t="n">
        <v>1</v>
      </c>
      <c r="R833" s="2" t="inlineStr">
        <is>
          <t>Mjukdån</t>
        </is>
      </c>
      <c r="S833">
        <f>HYPERLINK("https://klasma.github.io/Logging_0884/artfynd/A 42097-2020 artfynd.xlsx", "A 42097-2020")</f>
        <v/>
      </c>
      <c r="T833">
        <f>HYPERLINK("https://klasma.github.io/Logging_0884/kartor/A 42097-2020 karta.png", "A 42097-2020")</f>
        <v/>
      </c>
      <c r="V833">
        <f>HYPERLINK("https://klasma.github.io/Logging_0884/klagomål/A 42097-2020 FSC-klagomål.docx", "A 42097-2020")</f>
        <v/>
      </c>
      <c r="W833">
        <f>HYPERLINK("https://klasma.github.io/Logging_0884/klagomålsmail/A 42097-2020 FSC-klagomål mail.docx", "A 42097-2020")</f>
        <v/>
      </c>
      <c r="X833">
        <f>HYPERLINK("https://klasma.github.io/Logging_0884/tillsyn/A 42097-2020 tillsynsbegäran.docx", "A 42097-2020")</f>
        <v/>
      </c>
      <c r="Y833">
        <f>HYPERLINK("https://klasma.github.io/Logging_0884/tillsynsmail/A 42097-2020 tillsynsbegäran mail.docx", "A 42097-2020")</f>
        <v/>
      </c>
    </row>
    <row r="834" ht="15" customHeight="1">
      <c r="A834" t="inlineStr">
        <is>
          <t>A 42248-2020</t>
        </is>
      </c>
      <c r="B834" s="1" t="n">
        <v>44076</v>
      </c>
      <c r="C834" s="1" t="n">
        <v>45832</v>
      </c>
      <c r="D834" t="inlineStr">
        <is>
          <t>KALMAR LÄN</t>
        </is>
      </c>
      <c r="E834" t="inlineStr">
        <is>
          <t>OSKARSHAMN</t>
        </is>
      </c>
      <c r="G834" t="n">
        <v>2.5</v>
      </c>
      <c r="H834" t="n">
        <v>0</v>
      </c>
      <c r="I834" t="n">
        <v>1</v>
      </c>
      <c r="J834" t="n">
        <v>0</v>
      </c>
      <c r="K834" t="n">
        <v>0</v>
      </c>
      <c r="L834" t="n">
        <v>0</v>
      </c>
      <c r="M834" t="n">
        <v>0</v>
      </c>
      <c r="N834" t="n">
        <v>0</v>
      </c>
      <c r="O834" t="n">
        <v>0</v>
      </c>
      <c r="P834" t="n">
        <v>0</v>
      </c>
      <c r="Q834" t="n">
        <v>1</v>
      </c>
      <c r="R834" s="2" t="inlineStr">
        <is>
          <t>Fällmossa</t>
        </is>
      </c>
      <c r="S834">
        <f>HYPERLINK("https://klasma.github.io/Logging_0882/artfynd/A 42248-2020 artfynd.xlsx", "A 42248-2020")</f>
        <v/>
      </c>
      <c r="T834">
        <f>HYPERLINK("https://klasma.github.io/Logging_0882/kartor/A 42248-2020 karta.png", "A 42248-2020")</f>
        <v/>
      </c>
      <c r="V834">
        <f>HYPERLINK("https://klasma.github.io/Logging_0882/klagomål/A 42248-2020 FSC-klagomål.docx", "A 42248-2020")</f>
        <v/>
      </c>
      <c r="W834">
        <f>HYPERLINK("https://klasma.github.io/Logging_0882/klagomålsmail/A 42248-2020 FSC-klagomål mail.docx", "A 42248-2020")</f>
        <v/>
      </c>
      <c r="X834">
        <f>HYPERLINK("https://klasma.github.io/Logging_0882/tillsyn/A 42248-2020 tillsynsbegäran.docx", "A 42248-2020")</f>
        <v/>
      </c>
      <c r="Y834">
        <f>HYPERLINK("https://klasma.github.io/Logging_0882/tillsynsmail/A 42248-2020 tillsynsbegäran mail.docx", "A 42248-2020")</f>
        <v/>
      </c>
    </row>
    <row r="835" ht="15" customHeight="1">
      <c r="A835" t="inlineStr">
        <is>
          <t>A 42694-2020</t>
        </is>
      </c>
      <c r="B835" s="1" t="n">
        <v>44077</v>
      </c>
      <c r="C835" s="1" t="n">
        <v>45832</v>
      </c>
      <c r="D835" t="inlineStr">
        <is>
          <t>KALMAR LÄN</t>
        </is>
      </c>
      <c r="E835" t="inlineStr">
        <is>
          <t>MÖRBYLÅNGA</t>
        </is>
      </c>
      <c r="G835" t="n">
        <v>0.9</v>
      </c>
      <c r="H835" t="n">
        <v>0</v>
      </c>
      <c r="I835" t="n">
        <v>0</v>
      </c>
      <c r="J835" t="n">
        <v>0</v>
      </c>
      <c r="K835" t="n">
        <v>1</v>
      </c>
      <c r="L835" t="n">
        <v>0</v>
      </c>
      <c r="M835" t="n">
        <v>0</v>
      </c>
      <c r="N835" t="n">
        <v>0</v>
      </c>
      <c r="O835" t="n">
        <v>1</v>
      </c>
      <c r="P835" t="n">
        <v>1</v>
      </c>
      <c r="Q835" t="n">
        <v>1</v>
      </c>
      <c r="R835" s="2" t="inlineStr">
        <is>
          <t>Gaffelfibbla</t>
        </is>
      </c>
      <c r="S835">
        <f>HYPERLINK("https://klasma.github.io/Logging_0840/artfynd/A 42694-2020 artfynd.xlsx", "A 42694-2020")</f>
        <v/>
      </c>
      <c r="T835">
        <f>HYPERLINK("https://klasma.github.io/Logging_0840/kartor/A 42694-2020 karta.png", "A 42694-2020")</f>
        <v/>
      </c>
      <c r="V835">
        <f>HYPERLINK("https://klasma.github.io/Logging_0840/klagomål/A 42694-2020 FSC-klagomål.docx", "A 42694-2020")</f>
        <v/>
      </c>
      <c r="W835">
        <f>HYPERLINK("https://klasma.github.io/Logging_0840/klagomålsmail/A 42694-2020 FSC-klagomål mail.docx", "A 42694-2020")</f>
        <v/>
      </c>
      <c r="X835">
        <f>HYPERLINK("https://klasma.github.io/Logging_0840/tillsyn/A 42694-2020 tillsynsbegäran.docx", "A 42694-2020")</f>
        <v/>
      </c>
      <c r="Y835">
        <f>HYPERLINK("https://klasma.github.io/Logging_0840/tillsynsmail/A 42694-2020 tillsynsbegäran mail.docx", "A 42694-2020")</f>
        <v/>
      </c>
    </row>
    <row r="836" ht="15" customHeight="1">
      <c r="A836" t="inlineStr">
        <is>
          <t>A 44306-2020</t>
        </is>
      </c>
      <c r="B836" s="1" t="n">
        <v>44082</v>
      </c>
      <c r="C836" s="1" t="n">
        <v>45832</v>
      </c>
      <c r="D836" t="inlineStr">
        <is>
          <t>KALMAR LÄN</t>
        </is>
      </c>
      <c r="E836" t="inlineStr">
        <is>
          <t>VIMMERBY</t>
        </is>
      </c>
      <c r="G836" t="n">
        <v>16.4</v>
      </c>
      <c r="H836" t="n">
        <v>1</v>
      </c>
      <c r="I836" t="n">
        <v>1</v>
      </c>
      <c r="J836" t="n">
        <v>0</v>
      </c>
      <c r="K836" t="n">
        <v>0</v>
      </c>
      <c r="L836" t="n">
        <v>0</v>
      </c>
      <c r="M836" t="n">
        <v>0</v>
      </c>
      <c r="N836" t="n">
        <v>0</v>
      </c>
      <c r="O836" t="n">
        <v>0</v>
      </c>
      <c r="P836" t="n">
        <v>0</v>
      </c>
      <c r="Q836" t="n">
        <v>1</v>
      </c>
      <c r="R836" s="2" t="inlineStr">
        <is>
          <t>Plattlummer</t>
        </is>
      </c>
      <c r="S836">
        <f>HYPERLINK("https://klasma.github.io/Logging_0884/artfynd/A 44306-2020 artfynd.xlsx", "A 44306-2020")</f>
        <v/>
      </c>
      <c r="T836">
        <f>HYPERLINK("https://klasma.github.io/Logging_0884/kartor/A 44306-2020 karta.png", "A 44306-2020")</f>
        <v/>
      </c>
      <c r="V836">
        <f>HYPERLINK("https://klasma.github.io/Logging_0884/klagomål/A 44306-2020 FSC-klagomål.docx", "A 44306-2020")</f>
        <v/>
      </c>
      <c r="W836">
        <f>HYPERLINK("https://klasma.github.io/Logging_0884/klagomålsmail/A 44306-2020 FSC-klagomål mail.docx", "A 44306-2020")</f>
        <v/>
      </c>
      <c r="X836">
        <f>HYPERLINK("https://klasma.github.io/Logging_0884/tillsyn/A 44306-2020 tillsynsbegäran.docx", "A 44306-2020")</f>
        <v/>
      </c>
      <c r="Y836">
        <f>HYPERLINK("https://klasma.github.io/Logging_0884/tillsynsmail/A 44306-2020 tillsynsbegäran mail.docx", "A 44306-2020")</f>
        <v/>
      </c>
    </row>
    <row r="837" ht="15" customHeight="1">
      <c r="A837" t="inlineStr">
        <is>
          <t>A 44078-2020</t>
        </is>
      </c>
      <c r="B837" s="1" t="n">
        <v>44083</v>
      </c>
      <c r="C837" s="1" t="n">
        <v>45832</v>
      </c>
      <c r="D837" t="inlineStr">
        <is>
          <t>KALMAR LÄN</t>
        </is>
      </c>
      <c r="E837" t="inlineStr">
        <is>
          <t>HÖGSBY</t>
        </is>
      </c>
      <c r="G837" t="n">
        <v>28.3</v>
      </c>
      <c r="H837" t="n">
        <v>1</v>
      </c>
      <c r="I837" t="n">
        <v>0</v>
      </c>
      <c r="J837" t="n">
        <v>0</v>
      </c>
      <c r="K837" t="n">
        <v>0</v>
      </c>
      <c r="L837" t="n">
        <v>0</v>
      </c>
      <c r="M837" t="n">
        <v>0</v>
      </c>
      <c r="N837" t="n">
        <v>0</v>
      </c>
      <c r="O837" t="n">
        <v>0</v>
      </c>
      <c r="P837" t="n">
        <v>0</v>
      </c>
      <c r="Q837" t="n">
        <v>1</v>
      </c>
      <c r="R837" s="2" t="inlineStr">
        <is>
          <t>Blåsippa</t>
        </is>
      </c>
      <c r="S837">
        <f>HYPERLINK("https://klasma.github.io/Logging_0821/artfynd/A 44078-2020 artfynd.xlsx", "A 44078-2020")</f>
        <v/>
      </c>
      <c r="T837">
        <f>HYPERLINK("https://klasma.github.io/Logging_0821/kartor/A 44078-2020 karta.png", "A 44078-2020")</f>
        <v/>
      </c>
      <c r="V837">
        <f>HYPERLINK("https://klasma.github.io/Logging_0821/klagomål/A 44078-2020 FSC-klagomål.docx", "A 44078-2020")</f>
        <v/>
      </c>
      <c r="W837">
        <f>HYPERLINK("https://klasma.github.io/Logging_0821/klagomålsmail/A 44078-2020 FSC-klagomål mail.docx", "A 44078-2020")</f>
        <v/>
      </c>
      <c r="X837">
        <f>HYPERLINK("https://klasma.github.io/Logging_0821/tillsyn/A 44078-2020 tillsynsbegäran.docx", "A 44078-2020")</f>
        <v/>
      </c>
      <c r="Y837">
        <f>HYPERLINK("https://klasma.github.io/Logging_0821/tillsynsmail/A 44078-2020 tillsynsbegäran mail.docx", "A 44078-2020")</f>
        <v/>
      </c>
    </row>
    <row r="838" ht="15" customHeight="1">
      <c r="A838" t="inlineStr">
        <is>
          <t>A 47536-2020</t>
        </is>
      </c>
      <c r="B838" s="1" t="n">
        <v>44098</v>
      </c>
      <c r="C838" s="1" t="n">
        <v>45832</v>
      </c>
      <c r="D838" t="inlineStr">
        <is>
          <t>KALMAR LÄN</t>
        </is>
      </c>
      <c r="E838" t="inlineStr">
        <is>
          <t>TORSÅS</t>
        </is>
      </c>
      <c r="G838" t="n">
        <v>2</v>
      </c>
      <c r="H838" t="n">
        <v>1</v>
      </c>
      <c r="I838" t="n">
        <v>0</v>
      </c>
      <c r="J838" t="n">
        <v>0</v>
      </c>
      <c r="K838" t="n">
        <v>0</v>
      </c>
      <c r="L838" t="n">
        <v>0</v>
      </c>
      <c r="M838" t="n">
        <v>0</v>
      </c>
      <c r="N838" t="n">
        <v>0</v>
      </c>
      <c r="O838" t="n">
        <v>0</v>
      </c>
      <c r="P838" t="n">
        <v>0</v>
      </c>
      <c r="Q838" t="n">
        <v>1</v>
      </c>
      <c r="R838" s="2" t="inlineStr">
        <is>
          <t>Gullviva</t>
        </is>
      </c>
      <c r="S838">
        <f>HYPERLINK("https://klasma.github.io/Logging_0834/artfynd/A 47536-2020 artfynd.xlsx", "A 47536-2020")</f>
        <v/>
      </c>
      <c r="T838">
        <f>HYPERLINK("https://klasma.github.io/Logging_0834/kartor/A 47536-2020 karta.png", "A 47536-2020")</f>
        <v/>
      </c>
      <c r="V838">
        <f>HYPERLINK("https://klasma.github.io/Logging_0834/klagomål/A 47536-2020 FSC-klagomål.docx", "A 47536-2020")</f>
        <v/>
      </c>
      <c r="W838">
        <f>HYPERLINK("https://klasma.github.io/Logging_0834/klagomålsmail/A 47536-2020 FSC-klagomål mail.docx", "A 47536-2020")</f>
        <v/>
      </c>
      <c r="X838">
        <f>HYPERLINK("https://klasma.github.io/Logging_0834/tillsyn/A 47536-2020 tillsynsbegäran.docx", "A 47536-2020")</f>
        <v/>
      </c>
      <c r="Y838">
        <f>HYPERLINK("https://klasma.github.io/Logging_0834/tillsynsmail/A 47536-2020 tillsynsbegäran mail.docx", "A 47536-2020")</f>
        <v/>
      </c>
    </row>
    <row r="839" ht="15" customHeight="1">
      <c r="A839" t="inlineStr">
        <is>
          <t>A 49211-2020</t>
        </is>
      </c>
      <c r="B839" s="1" t="n">
        <v>44105</v>
      </c>
      <c r="C839" s="1" t="n">
        <v>45832</v>
      </c>
      <c r="D839" t="inlineStr">
        <is>
          <t>KALMAR LÄN</t>
        </is>
      </c>
      <c r="E839" t="inlineStr">
        <is>
          <t>TORSÅS</t>
        </is>
      </c>
      <c r="G839" t="n">
        <v>3</v>
      </c>
      <c r="H839" t="n">
        <v>0</v>
      </c>
      <c r="I839" t="n">
        <v>0</v>
      </c>
      <c r="J839" t="n">
        <v>1</v>
      </c>
      <c r="K839" t="n">
        <v>0</v>
      </c>
      <c r="L839" t="n">
        <v>0</v>
      </c>
      <c r="M839" t="n">
        <v>0</v>
      </c>
      <c r="N839" t="n">
        <v>0</v>
      </c>
      <c r="O839" t="n">
        <v>1</v>
      </c>
      <c r="P839" t="n">
        <v>0</v>
      </c>
      <c r="Q839" t="n">
        <v>1</v>
      </c>
      <c r="R839" s="2" t="inlineStr">
        <is>
          <t>Tallticka</t>
        </is>
      </c>
      <c r="S839">
        <f>HYPERLINK("https://klasma.github.io/Logging_0834/artfynd/A 49211-2020 artfynd.xlsx", "A 49211-2020")</f>
        <v/>
      </c>
      <c r="T839">
        <f>HYPERLINK("https://klasma.github.io/Logging_0834/kartor/A 49211-2020 karta.png", "A 49211-2020")</f>
        <v/>
      </c>
      <c r="V839">
        <f>HYPERLINK("https://klasma.github.io/Logging_0834/klagomål/A 49211-2020 FSC-klagomål.docx", "A 49211-2020")</f>
        <v/>
      </c>
      <c r="W839">
        <f>HYPERLINK("https://klasma.github.io/Logging_0834/klagomålsmail/A 49211-2020 FSC-klagomål mail.docx", "A 49211-2020")</f>
        <v/>
      </c>
      <c r="X839">
        <f>HYPERLINK("https://klasma.github.io/Logging_0834/tillsyn/A 49211-2020 tillsynsbegäran.docx", "A 49211-2020")</f>
        <v/>
      </c>
      <c r="Y839">
        <f>HYPERLINK("https://klasma.github.io/Logging_0834/tillsynsmail/A 49211-2020 tillsynsbegäran mail.docx", "A 49211-2020")</f>
        <v/>
      </c>
    </row>
    <row r="840" ht="15" customHeight="1">
      <c r="A840" t="inlineStr">
        <is>
          <t>A 52954-2020</t>
        </is>
      </c>
      <c r="B840" s="1" t="n">
        <v>44120</v>
      </c>
      <c r="C840" s="1" t="n">
        <v>45832</v>
      </c>
      <c r="D840" t="inlineStr">
        <is>
          <t>KALMAR LÄN</t>
        </is>
      </c>
      <c r="E840" t="inlineStr">
        <is>
          <t>EMMABODA</t>
        </is>
      </c>
      <c r="F840" t="inlineStr">
        <is>
          <t>Sveaskog</t>
        </is>
      </c>
      <c r="G840" t="n">
        <v>2.2</v>
      </c>
      <c r="H840" t="n">
        <v>1</v>
      </c>
      <c r="I840" t="n">
        <v>0</v>
      </c>
      <c r="J840" t="n">
        <v>0</v>
      </c>
      <c r="K840" t="n">
        <v>1</v>
      </c>
      <c r="L840" t="n">
        <v>0</v>
      </c>
      <c r="M840" t="n">
        <v>0</v>
      </c>
      <c r="N840" t="n">
        <v>0</v>
      </c>
      <c r="O840" t="n">
        <v>1</v>
      </c>
      <c r="P840" t="n">
        <v>1</v>
      </c>
      <c r="Q840" t="n">
        <v>1</v>
      </c>
      <c r="R840" s="2" t="inlineStr">
        <is>
          <t>Knärot</t>
        </is>
      </c>
      <c r="S840">
        <f>HYPERLINK("https://klasma.github.io/Logging_0862/artfynd/A 52954-2020 artfynd.xlsx", "A 52954-2020")</f>
        <v/>
      </c>
      <c r="T840">
        <f>HYPERLINK("https://klasma.github.io/Logging_0862/kartor/A 52954-2020 karta.png", "A 52954-2020")</f>
        <v/>
      </c>
      <c r="U840">
        <f>HYPERLINK("https://klasma.github.io/Logging_0862/knärot/A 52954-2020 karta knärot.png", "A 52954-2020")</f>
        <v/>
      </c>
      <c r="V840">
        <f>HYPERLINK("https://klasma.github.io/Logging_0862/klagomål/A 52954-2020 FSC-klagomål.docx", "A 52954-2020")</f>
        <v/>
      </c>
      <c r="W840">
        <f>HYPERLINK("https://klasma.github.io/Logging_0862/klagomålsmail/A 52954-2020 FSC-klagomål mail.docx", "A 52954-2020")</f>
        <v/>
      </c>
      <c r="X840">
        <f>HYPERLINK("https://klasma.github.io/Logging_0862/tillsyn/A 52954-2020 tillsynsbegäran.docx", "A 52954-2020")</f>
        <v/>
      </c>
      <c r="Y840">
        <f>HYPERLINK("https://klasma.github.io/Logging_0862/tillsynsmail/A 52954-2020 tillsynsbegäran mail.docx", "A 52954-2020")</f>
        <v/>
      </c>
    </row>
    <row r="841" ht="15" customHeight="1">
      <c r="A841" t="inlineStr">
        <is>
          <t>A 53125-2020</t>
        </is>
      </c>
      <c r="B841" s="1" t="n">
        <v>44120</v>
      </c>
      <c r="C841" s="1" t="n">
        <v>45832</v>
      </c>
      <c r="D841" t="inlineStr">
        <is>
          <t>KALMAR LÄN</t>
        </is>
      </c>
      <c r="E841" t="inlineStr">
        <is>
          <t>NYBRO</t>
        </is>
      </c>
      <c r="G841" t="n">
        <v>9.5</v>
      </c>
      <c r="H841" t="n">
        <v>0</v>
      </c>
      <c r="I841" t="n">
        <v>0</v>
      </c>
      <c r="J841" t="n">
        <v>0</v>
      </c>
      <c r="K841" t="n">
        <v>1</v>
      </c>
      <c r="L841" t="n">
        <v>0</v>
      </c>
      <c r="M841" t="n">
        <v>0</v>
      </c>
      <c r="N841" t="n">
        <v>0</v>
      </c>
      <c r="O841" t="n">
        <v>1</v>
      </c>
      <c r="P841" t="n">
        <v>1</v>
      </c>
      <c r="Q841" t="n">
        <v>1</v>
      </c>
      <c r="R841" s="2" t="inlineStr">
        <is>
          <t>Växeltandsfibbla</t>
        </is>
      </c>
      <c r="S841">
        <f>HYPERLINK("https://klasma.github.io/Logging_0881/artfynd/A 53125-2020 artfynd.xlsx", "A 53125-2020")</f>
        <v/>
      </c>
      <c r="T841">
        <f>HYPERLINK("https://klasma.github.io/Logging_0881/kartor/A 53125-2020 karta.png", "A 53125-2020")</f>
        <v/>
      </c>
      <c r="V841">
        <f>HYPERLINK("https://klasma.github.io/Logging_0881/klagomål/A 53125-2020 FSC-klagomål.docx", "A 53125-2020")</f>
        <v/>
      </c>
      <c r="W841">
        <f>HYPERLINK("https://klasma.github.io/Logging_0881/klagomålsmail/A 53125-2020 FSC-klagomål mail.docx", "A 53125-2020")</f>
        <v/>
      </c>
      <c r="X841">
        <f>HYPERLINK("https://klasma.github.io/Logging_0881/tillsyn/A 53125-2020 tillsynsbegäran.docx", "A 53125-2020")</f>
        <v/>
      </c>
      <c r="Y841">
        <f>HYPERLINK("https://klasma.github.io/Logging_0881/tillsynsmail/A 53125-2020 tillsynsbegäran mail.docx", "A 53125-2020")</f>
        <v/>
      </c>
    </row>
    <row r="842" ht="15" customHeight="1">
      <c r="A842" t="inlineStr">
        <is>
          <t>A 53706-2020</t>
        </is>
      </c>
      <c r="B842" s="1" t="n">
        <v>44124</v>
      </c>
      <c r="C842" s="1" t="n">
        <v>45832</v>
      </c>
      <c r="D842" t="inlineStr">
        <is>
          <t>KALMAR LÄN</t>
        </is>
      </c>
      <c r="E842" t="inlineStr">
        <is>
          <t>HULTSFRED</t>
        </is>
      </c>
      <c r="G842" t="n">
        <v>2.3</v>
      </c>
      <c r="H842" t="n">
        <v>1</v>
      </c>
      <c r="I842" t="n">
        <v>0</v>
      </c>
      <c r="J842" t="n">
        <v>1</v>
      </c>
      <c r="K842" t="n">
        <v>0</v>
      </c>
      <c r="L842" t="n">
        <v>0</v>
      </c>
      <c r="M842" t="n">
        <v>0</v>
      </c>
      <c r="N842" t="n">
        <v>0</v>
      </c>
      <c r="O842" t="n">
        <v>1</v>
      </c>
      <c r="P842" t="n">
        <v>0</v>
      </c>
      <c r="Q842" t="n">
        <v>1</v>
      </c>
      <c r="R842" s="2" t="inlineStr">
        <is>
          <t>Entita</t>
        </is>
      </c>
      <c r="S842">
        <f>HYPERLINK("https://klasma.github.io/Logging_0860/artfynd/A 53706-2020 artfynd.xlsx", "A 53706-2020")</f>
        <v/>
      </c>
      <c r="T842">
        <f>HYPERLINK("https://klasma.github.io/Logging_0860/kartor/A 53706-2020 karta.png", "A 53706-2020")</f>
        <v/>
      </c>
      <c r="V842">
        <f>HYPERLINK("https://klasma.github.io/Logging_0860/klagomål/A 53706-2020 FSC-klagomål.docx", "A 53706-2020")</f>
        <v/>
      </c>
      <c r="W842">
        <f>HYPERLINK("https://klasma.github.io/Logging_0860/klagomålsmail/A 53706-2020 FSC-klagomål mail.docx", "A 53706-2020")</f>
        <v/>
      </c>
      <c r="X842">
        <f>HYPERLINK("https://klasma.github.io/Logging_0860/tillsyn/A 53706-2020 tillsynsbegäran.docx", "A 53706-2020")</f>
        <v/>
      </c>
      <c r="Y842">
        <f>HYPERLINK("https://klasma.github.io/Logging_0860/tillsynsmail/A 53706-2020 tillsynsbegäran mail.docx", "A 53706-2020")</f>
        <v/>
      </c>
      <c r="Z842">
        <f>HYPERLINK("https://klasma.github.io/Logging_0860/fåglar/A 53706-2020 prioriterade fågelarter.docx", "A 53706-2020")</f>
        <v/>
      </c>
    </row>
    <row r="843" ht="15" customHeight="1">
      <c r="A843" t="inlineStr">
        <is>
          <t>A 53918-2020</t>
        </is>
      </c>
      <c r="B843" s="1" t="n">
        <v>44125</v>
      </c>
      <c r="C843" s="1" t="n">
        <v>45832</v>
      </c>
      <c r="D843" t="inlineStr">
        <is>
          <t>KALMAR LÄN</t>
        </is>
      </c>
      <c r="E843" t="inlineStr">
        <is>
          <t>TORSÅS</t>
        </is>
      </c>
      <c r="G843" t="n">
        <v>8.300000000000001</v>
      </c>
      <c r="H843" t="n">
        <v>0</v>
      </c>
      <c r="I843" t="n">
        <v>0</v>
      </c>
      <c r="J843" t="n">
        <v>1</v>
      </c>
      <c r="K843" t="n">
        <v>0</v>
      </c>
      <c r="L843" t="n">
        <v>0</v>
      </c>
      <c r="M843" t="n">
        <v>0</v>
      </c>
      <c r="N843" t="n">
        <v>0</v>
      </c>
      <c r="O843" t="n">
        <v>1</v>
      </c>
      <c r="P843" t="n">
        <v>0</v>
      </c>
      <c r="Q843" t="n">
        <v>1</v>
      </c>
      <c r="R843" s="2" t="inlineStr">
        <is>
          <t>Småjungfrukam</t>
        </is>
      </c>
      <c r="S843">
        <f>HYPERLINK("https://klasma.github.io/Logging_0834/artfynd/A 53918-2020 artfynd.xlsx", "A 53918-2020")</f>
        <v/>
      </c>
      <c r="T843">
        <f>HYPERLINK("https://klasma.github.io/Logging_0834/kartor/A 53918-2020 karta.png", "A 53918-2020")</f>
        <v/>
      </c>
      <c r="V843">
        <f>HYPERLINK("https://klasma.github.io/Logging_0834/klagomål/A 53918-2020 FSC-klagomål.docx", "A 53918-2020")</f>
        <v/>
      </c>
      <c r="W843">
        <f>HYPERLINK("https://klasma.github.io/Logging_0834/klagomålsmail/A 53918-2020 FSC-klagomål mail.docx", "A 53918-2020")</f>
        <v/>
      </c>
      <c r="X843">
        <f>HYPERLINK("https://klasma.github.io/Logging_0834/tillsyn/A 53918-2020 tillsynsbegäran.docx", "A 53918-2020")</f>
        <v/>
      </c>
      <c r="Y843">
        <f>HYPERLINK("https://klasma.github.io/Logging_0834/tillsynsmail/A 53918-2020 tillsynsbegäran mail.docx", "A 53918-2020")</f>
        <v/>
      </c>
    </row>
    <row r="844" ht="15" customHeight="1">
      <c r="A844" t="inlineStr">
        <is>
          <t>A 57949-2020</t>
        </is>
      </c>
      <c r="B844" s="1" t="n">
        <v>44142</v>
      </c>
      <c r="C844" s="1" t="n">
        <v>45832</v>
      </c>
      <c r="D844" t="inlineStr">
        <is>
          <t>KALMAR LÄN</t>
        </is>
      </c>
      <c r="E844" t="inlineStr">
        <is>
          <t>VIMMERBY</t>
        </is>
      </c>
      <c r="G844" t="n">
        <v>3.4</v>
      </c>
      <c r="H844" t="n">
        <v>0</v>
      </c>
      <c r="I844" t="n">
        <v>1</v>
      </c>
      <c r="J844" t="n">
        <v>0</v>
      </c>
      <c r="K844" t="n">
        <v>0</v>
      </c>
      <c r="L844" t="n">
        <v>0</v>
      </c>
      <c r="M844" t="n">
        <v>0</v>
      </c>
      <c r="N844" t="n">
        <v>0</v>
      </c>
      <c r="O844" t="n">
        <v>0</v>
      </c>
      <c r="P844" t="n">
        <v>0</v>
      </c>
      <c r="Q844" t="n">
        <v>1</v>
      </c>
      <c r="R844" s="2" t="inlineStr">
        <is>
          <t>Vårärt</t>
        </is>
      </c>
      <c r="S844">
        <f>HYPERLINK("https://klasma.github.io/Logging_0884/artfynd/A 57949-2020 artfynd.xlsx", "A 57949-2020")</f>
        <v/>
      </c>
      <c r="T844">
        <f>HYPERLINK("https://klasma.github.io/Logging_0884/kartor/A 57949-2020 karta.png", "A 57949-2020")</f>
        <v/>
      </c>
      <c r="V844">
        <f>HYPERLINK("https://klasma.github.io/Logging_0884/klagomål/A 57949-2020 FSC-klagomål.docx", "A 57949-2020")</f>
        <v/>
      </c>
      <c r="W844">
        <f>HYPERLINK("https://klasma.github.io/Logging_0884/klagomålsmail/A 57949-2020 FSC-klagomål mail.docx", "A 57949-2020")</f>
        <v/>
      </c>
      <c r="X844">
        <f>HYPERLINK("https://klasma.github.io/Logging_0884/tillsyn/A 57949-2020 tillsynsbegäran.docx", "A 57949-2020")</f>
        <v/>
      </c>
      <c r="Y844">
        <f>HYPERLINK("https://klasma.github.io/Logging_0884/tillsynsmail/A 57949-2020 tillsynsbegäran mail.docx", "A 57949-2020")</f>
        <v/>
      </c>
    </row>
    <row r="845" ht="15" customHeight="1">
      <c r="A845" t="inlineStr">
        <is>
          <t>A 62137-2020</t>
        </is>
      </c>
      <c r="B845" s="1" t="n">
        <v>44159</v>
      </c>
      <c r="C845" s="1" t="n">
        <v>45832</v>
      </c>
      <c r="D845" t="inlineStr">
        <is>
          <t>KALMAR LÄN</t>
        </is>
      </c>
      <c r="E845" t="inlineStr">
        <is>
          <t>HULTSFRED</t>
        </is>
      </c>
      <c r="G845" t="n">
        <v>2.5</v>
      </c>
      <c r="H845" t="n">
        <v>0</v>
      </c>
      <c r="I845" t="n">
        <v>0</v>
      </c>
      <c r="J845" t="n">
        <v>1</v>
      </c>
      <c r="K845" t="n">
        <v>0</v>
      </c>
      <c r="L845" t="n">
        <v>0</v>
      </c>
      <c r="M845" t="n">
        <v>0</v>
      </c>
      <c r="N845" t="n">
        <v>0</v>
      </c>
      <c r="O845" t="n">
        <v>1</v>
      </c>
      <c r="P845" t="n">
        <v>0</v>
      </c>
      <c r="Q845" t="n">
        <v>1</v>
      </c>
      <c r="R845" s="2" t="inlineStr">
        <is>
          <t>Gullklöver</t>
        </is>
      </c>
      <c r="S845">
        <f>HYPERLINK("https://klasma.github.io/Logging_0860/artfynd/A 62137-2020 artfynd.xlsx", "A 62137-2020")</f>
        <v/>
      </c>
      <c r="T845">
        <f>HYPERLINK("https://klasma.github.io/Logging_0860/kartor/A 62137-2020 karta.png", "A 62137-2020")</f>
        <v/>
      </c>
      <c r="V845">
        <f>HYPERLINK("https://klasma.github.io/Logging_0860/klagomål/A 62137-2020 FSC-klagomål.docx", "A 62137-2020")</f>
        <v/>
      </c>
      <c r="W845">
        <f>HYPERLINK("https://klasma.github.io/Logging_0860/klagomålsmail/A 62137-2020 FSC-klagomål mail.docx", "A 62137-2020")</f>
        <v/>
      </c>
      <c r="X845">
        <f>HYPERLINK("https://klasma.github.io/Logging_0860/tillsyn/A 62137-2020 tillsynsbegäran.docx", "A 62137-2020")</f>
        <v/>
      </c>
      <c r="Y845">
        <f>HYPERLINK("https://klasma.github.io/Logging_0860/tillsynsmail/A 62137-2020 tillsynsbegäran mail.docx", "A 62137-2020")</f>
        <v/>
      </c>
    </row>
    <row r="846" ht="15" customHeight="1">
      <c r="A846" t="inlineStr">
        <is>
          <t>A 64674-2020</t>
        </is>
      </c>
      <c r="B846" s="1" t="n">
        <v>44169</v>
      </c>
      <c r="C846" s="1" t="n">
        <v>45832</v>
      </c>
      <c r="D846" t="inlineStr">
        <is>
          <t>KALMAR LÄN</t>
        </is>
      </c>
      <c r="E846" t="inlineStr">
        <is>
          <t>VIMMERBY</t>
        </is>
      </c>
      <c r="G846" t="n">
        <v>7.4</v>
      </c>
      <c r="H846" t="n">
        <v>0</v>
      </c>
      <c r="I846" t="n">
        <v>0</v>
      </c>
      <c r="J846" t="n">
        <v>0</v>
      </c>
      <c r="K846" t="n">
        <v>1</v>
      </c>
      <c r="L846" t="n">
        <v>0</v>
      </c>
      <c r="M846" t="n">
        <v>0</v>
      </c>
      <c r="N846" t="n">
        <v>0</v>
      </c>
      <c r="O846" t="n">
        <v>1</v>
      </c>
      <c r="P846" t="n">
        <v>1</v>
      </c>
      <c r="Q846" t="n">
        <v>1</v>
      </c>
      <c r="R846" s="2" t="inlineStr">
        <is>
          <t>Lansettfibbla</t>
        </is>
      </c>
      <c r="S846">
        <f>HYPERLINK("https://klasma.github.io/Logging_0884/artfynd/A 64674-2020 artfynd.xlsx", "A 64674-2020")</f>
        <v/>
      </c>
      <c r="T846">
        <f>HYPERLINK("https://klasma.github.io/Logging_0884/kartor/A 64674-2020 karta.png", "A 64674-2020")</f>
        <v/>
      </c>
      <c r="V846">
        <f>HYPERLINK("https://klasma.github.io/Logging_0884/klagomål/A 64674-2020 FSC-klagomål.docx", "A 64674-2020")</f>
        <v/>
      </c>
      <c r="W846">
        <f>HYPERLINK("https://klasma.github.io/Logging_0884/klagomålsmail/A 64674-2020 FSC-klagomål mail.docx", "A 64674-2020")</f>
        <v/>
      </c>
      <c r="X846">
        <f>HYPERLINK("https://klasma.github.io/Logging_0884/tillsyn/A 64674-2020 tillsynsbegäran.docx", "A 64674-2020")</f>
        <v/>
      </c>
      <c r="Y846">
        <f>HYPERLINK("https://klasma.github.io/Logging_0884/tillsynsmail/A 64674-2020 tillsynsbegäran mail.docx", "A 64674-2020")</f>
        <v/>
      </c>
    </row>
    <row r="847" ht="15" customHeight="1">
      <c r="A847" t="inlineStr">
        <is>
          <t>A 65962-2020</t>
        </is>
      </c>
      <c r="B847" s="1" t="n">
        <v>44175</v>
      </c>
      <c r="C847" s="1" t="n">
        <v>45832</v>
      </c>
      <c r="D847" t="inlineStr">
        <is>
          <t>KALMAR LÄN</t>
        </is>
      </c>
      <c r="E847" t="inlineStr">
        <is>
          <t>NYBRO</t>
        </is>
      </c>
      <c r="F847" t="inlineStr">
        <is>
          <t>Sveaskog</t>
        </is>
      </c>
      <c r="G847" t="n">
        <v>0.6</v>
      </c>
      <c r="H847" t="n">
        <v>1</v>
      </c>
      <c r="I847" t="n">
        <v>0</v>
      </c>
      <c r="J847" t="n">
        <v>1</v>
      </c>
      <c r="K847" t="n">
        <v>0</v>
      </c>
      <c r="L847" t="n">
        <v>0</v>
      </c>
      <c r="M847" t="n">
        <v>0</v>
      </c>
      <c r="N847" t="n">
        <v>0</v>
      </c>
      <c r="O847" t="n">
        <v>1</v>
      </c>
      <c r="P847" t="n">
        <v>0</v>
      </c>
      <c r="Q847" t="n">
        <v>1</v>
      </c>
      <c r="R847" s="2" t="inlineStr">
        <is>
          <t>Talltita</t>
        </is>
      </c>
      <c r="S847">
        <f>HYPERLINK("https://klasma.github.io/Logging_0881/artfynd/A 65962-2020 artfynd.xlsx", "A 65962-2020")</f>
        <v/>
      </c>
      <c r="T847">
        <f>HYPERLINK("https://klasma.github.io/Logging_0881/kartor/A 65962-2020 karta.png", "A 65962-2020")</f>
        <v/>
      </c>
      <c r="V847">
        <f>HYPERLINK("https://klasma.github.io/Logging_0881/klagomål/A 65962-2020 FSC-klagomål.docx", "A 65962-2020")</f>
        <v/>
      </c>
      <c r="W847">
        <f>HYPERLINK("https://klasma.github.io/Logging_0881/klagomålsmail/A 65962-2020 FSC-klagomål mail.docx", "A 65962-2020")</f>
        <v/>
      </c>
      <c r="X847">
        <f>HYPERLINK("https://klasma.github.io/Logging_0881/tillsyn/A 65962-2020 tillsynsbegäran.docx", "A 65962-2020")</f>
        <v/>
      </c>
      <c r="Y847">
        <f>HYPERLINK("https://klasma.github.io/Logging_0881/tillsynsmail/A 65962-2020 tillsynsbegäran mail.docx", "A 65962-2020")</f>
        <v/>
      </c>
      <c r="Z847">
        <f>HYPERLINK("https://klasma.github.io/Logging_0881/fåglar/A 65962-2020 prioriterade fågelarter.docx", "A 65962-2020")</f>
        <v/>
      </c>
    </row>
    <row r="848" ht="15" customHeight="1">
      <c r="A848" t="inlineStr">
        <is>
          <t>A 66752-2020</t>
        </is>
      </c>
      <c r="B848" s="1" t="n">
        <v>44175</v>
      </c>
      <c r="C848" s="1" t="n">
        <v>45832</v>
      </c>
      <c r="D848" t="inlineStr">
        <is>
          <t>KALMAR LÄN</t>
        </is>
      </c>
      <c r="E848" t="inlineStr">
        <is>
          <t>VÄSTERVIK</t>
        </is>
      </c>
      <c r="G848" t="n">
        <v>0.7</v>
      </c>
      <c r="H848" t="n">
        <v>0</v>
      </c>
      <c r="I848" t="n">
        <v>0</v>
      </c>
      <c r="J848" t="n">
        <v>1</v>
      </c>
      <c r="K848" t="n">
        <v>0</v>
      </c>
      <c r="L848" t="n">
        <v>0</v>
      </c>
      <c r="M848" t="n">
        <v>0</v>
      </c>
      <c r="N848" t="n">
        <v>0</v>
      </c>
      <c r="O848" t="n">
        <v>1</v>
      </c>
      <c r="P848" t="n">
        <v>0</v>
      </c>
      <c r="Q848" t="n">
        <v>1</v>
      </c>
      <c r="R848" s="2" t="inlineStr">
        <is>
          <t>Tallticka</t>
        </is>
      </c>
      <c r="S848">
        <f>HYPERLINK("https://klasma.github.io/Logging_0883/artfynd/A 66752-2020 artfynd.xlsx", "A 66752-2020")</f>
        <v/>
      </c>
      <c r="T848">
        <f>HYPERLINK("https://klasma.github.io/Logging_0883/kartor/A 66752-2020 karta.png", "A 66752-2020")</f>
        <v/>
      </c>
      <c r="V848">
        <f>HYPERLINK("https://klasma.github.io/Logging_0883/klagomål/A 66752-2020 FSC-klagomål.docx", "A 66752-2020")</f>
        <v/>
      </c>
      <c r="W848">
        <f>HYPERLINK("https://klasma.github.io/Logging_0883/klagomålsmail/A 66752-2020 FSC-klagomål mail.docx", "A 66752-2020")</f>
        <v/>
      </c>
      <c r="X848">
        <f>HYPERLINK("https://klasma.github.io/Logging_0883/tillsyn/A 66752-2020 tillsynsbegäran.docx", "A 66752-2020")</f>
        <v/>
      </c>
      <c r="Y848">
        <f>HYPERLINK("https://klasma.github.io/Logging_0883/tillsynsmail/A 66752-2020 tillsynsbegäran mail.docx", "A 66752-2020")</f>
        <v/>
      </c>
    </row>
    <row r="849" ht="15" customHeight="1">
      <c r="A849" t="inlineStr">
        <is>
          <t>A 66329-2020</t>
        </is>
      </c>
      <c r="B849" s="1" t="n">
        <v>44176</v>
      </c>
      <c r="C849" s="1" t="n">
        <v>45832</v>
      </c>
      <c r="D849" t="inlineStr">
        <is>
          <t>KALMAR LÄN</t>
        </is>
      </c>
      <c r="E849" t="inlineStr">
        <is>
          <t>BORGHOLM</t>
        </is>
      </c>
      <c r="G849" t="n">
        <v>7.4</v>
      </c>
      <c r="H849" t="n">
        <v>0</v>
      </c>
      <c r="I849" t="n">
        <v>0</v>
      </c>
      <c r="J849" t="n">
        <v>1</v>
      </c>
      <c r="K849" t="n">
        <v>0</v>
      </c>
      <c r="L849" t="n">
        <v>0</v>
      </c>
      <c r="M849" t="n">
        <v>0</v>
      </c>
      <c r="N849" t="n">
        <v>0</v>
      </c>
      <c r="O849" t="n">
        <v>1</v>
      </c>
      <c r="P849" t="n">
        <v>0</v>
      </c>
      <c r="Q849" t="n">
        <v>1</v>
      </c>
      <c r="R849" s="2" t="inlineStr">
        <is>
          <t>Säfferot</t>
        </is>
      </c>
      <c r="S849">
        <f>HYPERLINK("https://klasma.github.io/Logging_0885/artfynd/A 66329-2020 artfynd.xlsx", "A 66329-2020")</f>
        <v/>
      </c>
      <c r="T849">
        <f>HYPERLINK("https://klasma.github.io/Logging_0885/kartor/A 66329-2020 karta.png", "A 66329-2020")</f>
        <v/>
      </c>
      <c r="V849">
        <f>HYPERLINK("https://klasma.github.io/Logging_0885/klagomål/A 66329-2020 FSC-klagomål.docx", "A 66329-2020")</f>
        <v/>
      </c>
      <c r="W849">
        <f>HYPERLINK("https://klasma.github.io/Logging_0885/klagomålsmail/A 66329-2020 FSC-klagomål mail.docx", "A 66329-2020")</f>
        <v/>
      </c>
      <c r="X849">
        <f>HYPERLINK("https://klasma.github.io/Logging_0885/tillsyn/A 66329-2020 tillsynsbegäran.docx", "A 66329-2020")</f>
        <v/>
      </c>
      <c r="Y849">
        <f>HYPERLINK("https://klasma.github.io/Logging_0885/tillsynsmail/A 66329-2020 tillsynsbegäran mail.docx", "A 66329-2020")</f>
        <v/>
      </c>
    </row>
    <row r="850" ht="15" customHeight="1">
      <c r="A850" t="inlineStr">
        <is>
          <t>A 67114-2020</t>
        </is>
      </c>
      <c r="B850" s="1" t="n">
        <v>44180</v>
      </c>
      <c r="C850" s="1" t="n">
        <v>45832</v>
      </c>
      <c r="D850" t="inlineStr">
        <is>
          <t>KALMAR LÄN</t>
        </is>
      </c>
      <c r="E850" t="inlineStr">
        <is>
          <t>HULTSFRED</t>
        </is>
      </c>
      <c r="G850" t="n">
        <v>1.3</v>
      </c>
      <c r="H850" t="n">
        <v>1</v>
      </c>
      <c r="I850" t="n">
        <v>1</v>
      </c>
      <c r="J850" t="n">
        <v>0</v>
      </c>
      <c r="K850" t="n">
        <v>0</v>
      </c>
      <c r="L850" t="n">
        <v>0</v>
      </c>
      <c r="M850" t="n">
        <v>0</v>
      </c>
      <c r="N850" t="n">
        <v>0</v>
      </c>
      <c r="O850" t="n">
        <v>0</v>
      </c>
      <c r="P850" t="n">
        <v>0</v>
      </c>
      <c r="Q850" t="n">
        <v>1</v>
      </c>
      <c r="R850" s="2" t="inlineStr">
        <is>
          <t>Spindelblomster</t>
        </is>
      </c>
      <c r="S850">
        <f>HYPERLINK("https://klasma.github.io/Logging_0860/artfynd/A 67114-2020 artfynd.xlsx", "A 67114-2020")</f>
        <v/>
      </c>
      <c r="T850">
        <f>HYPERLINK("https://klasma.github.io/Logging_0860/kartor/A 67114-2020 karta.png", "A 67114-2020")</f>
        <v/>
      </c>
      <c r="V850">
        <f>HYPERLINK("https://klasma.github.io/Logging_0860/klagomål/A 67114-2020 FSC-klagomål.docx", "A 67114-2020")</f>
        <v/>
      </c>
      <c r="W850">
        <f>HYPERLINK("https://klasma.github.io/Logging_0860/klagomålsmail/A 67114-2020 FSC-klagomål mail.docx", "A 67114-2020")</f>
        <v/>
      </c>
      <c r="X850">
        <f>HYPERLINK("https://klasma.github.io/Logging_0860/tillsyn/A 67114-2020 tillsynsbegäran.docx", "A 67114-2020")</f>
        <v/>
      </c>
      <c r="Y850">
        <f>HYPERLINK("https://klasma.github.io/Logging_0860/tillsynsmail/A 67114-2020 tillsynsbegäran mail.docx", "A 67114-2020")</f>
        <v/>
      </c>
    </row>
    <row r="851" ht="15" customHeight="1">
      <c r="A851" t="inlineStr">
        <is>
          <t>A 67334-2020</t>
        </is>
      </c>
      <c r="B851" s="1" t="n">
        <v>44181</v>
      </c>
      <c r="C851" s="1" t="n">
        <v>45832</v>
      </c>
      <c r="D851" t="inlineStr">
        <is>
          <t>KALMAR LÄN</t>
        </is>
      </c>
      <c r="E851" t="inlineStr">
        <is>
          <t>OSKARSHAMN</t>
        </is>
      </c>
      <c r="G851" t="n">
        <v>2.8</v>
      </c>
      <c r="H851" t="n">
        <v>1</v>
      </c>
      <c r="I851" t="n">
        <v>0</v>
      </c>
      <c r="J851" t="n">
        <v>1</v>
      </c>
      <c r="K851" t="n">
        <v>0</v>
      </c>
      <c r="L851" t="n">
        <v>0</v>
      </c>
      <c r="M851" t="n">
        <v>0</v>
      </c>
      <c r="N851" t="n">
        <v>0</v>
      </c>
      <c r="O851" t="n">
        <v>1</v>
      </c>
      <c r="P851" t="n">
        <v>0</v>
      </c>
      <c r="Q851" t="n">
        <v>1</v>
      </c>
      <c r="R851" s="2" t="inlineStr">
        <is>
          <t>Entita</t>
        </is>
      </c>
      <c r="S851">
        <f>HYPERLINK("https://klasma.github.io/Logging_0882/artfynd/A 67334-2020 artfynd.xlsx", "A 67334-2020")</f>
        <v/>
      </c>
      <c r="T851">
        <f>HYPERLINK("https://klasma.github.io/Logging_0882/kartor/A 67334-2020 karta.png", "A 67334-2020")</f>
        <v/>
      </c>
      <c r="V851">
        <f>HYPERLINK("https://klasma.github.io/Logging_0882/klagomål/A 67334-2020 FSC-klagomål.docx", "A 67334-2020")</f>
        <v/>
      </c>
      <c r="W851">
        <f>HYPERLINK("https://klasma.github.io/Logging_0882/klagomålsmail/A 67334-2020 FSC-klagomål mail.docx", "A 67334-2020")</f>
        <v/>
      </c>
      <c r="X851">
        <f>HYPERLINK("https://klasma.github.io/Logging_0882/tillsyn/A 67334-2020 tillsynsbegäran.docx", "A 67334-2020")</f>
        <v/>
      </c>
      <c r="Y851">
        <f>HYPERLINK("https://klasma.github.io/Logging_0882/tillsynsmail/A 67334-2020 tillsynsbegäran mail.docx", "A 67334-2020")</f>
        <v/>
      </c>
      <c r="Z851">
        <f>HYPERLINK("https://klasma.github.io/Logging_0882/fåglar/A 67334-2020 prioriterade fågelarter.docx", "A 67334-2020")</f>
        <v/>
      </c>
    </row>
    <row r="852" ht="15" customHeight="1">
      <c r="A852" t="inlineStr">
        <is>
          <t>A 68851-2020</t>
        </is>
      </c>
      <c r="B852" s="1" t="n">
        <v>44187</v>
      </c>
      <c r="C852" s="1" t="n">
        <v>45832</v>
      </c>
      <c r="D852" t="inlineStr">
        <is>
          <t>KALMAR LÄN</t>
        </is>
      </c>
      <c r="E852" t="inlineStr">
        <is>
          <t>VIMMERBY</t>
        </is>
      </c>
      <c r="G852" t="n">
        <v>7.4</v>
      </c>
      <c r="H852" t="n">
        <v>0</v>
      </c>
      <c r="I852" t="n">
        <v>0</v>
      </c>
      <c r="J852" t="n">
        <v>0</v>
      </c>
      <c r="K852" t="n">
        <v>1</v>
      </c>
      <c r="L852" t="n">
        <v>0</v>
      </c>
      <c r="M852" t="n">
        <v>0</v>
      </c>
      <c r="N852" t="n">
        <v>0</v>
      </c>
      <c r="O852" t="n">
        <v>1</v>
      </c>
      <c r="P852" t="n">
        <v>1</v>
      </c>
      <c r="Q852" t="n">
        <v>1</v>
      </c>
      <c r="R852" s="2" t="inlineStr">
        <is>
          <t>Lansettfibbla</t>
        </is>
      </c>
      <c r="S852">
        <f>HYPERLINK("https://klasma.github.io/Logging_0884/artfynd/A 68851-2020 artfynd.xlsx", "A 68851-2020")</f>
        <v/>
      </c>
      <c r="T852">
        <f>HYPERLINK("https://klasma.github.io/Logging_0884/kartor/A 68851-2020 karta.png", "A 68851-2020")</f>
        <v/>
      </c>
      <c r="V852">
        <f>HYPERLINK("https://klasma.github.io/Logging_0884/klagomål/A 68851-2020 FSC-klagomål.docx", "A 68851-2020")</f>
        <v/>
      </c>
      <c r="W852">
        <f>HYPERLINK("https://klasma.github.io/Logging_0884/klagomålsmail/A 68851-2020 FSC-klagomål mail.docx", "A 68851-2020")</f>
        <v/>
      </c>
      <c r="X852">
        <f>HYPERLINK("https://klasma.github.io/Logging_0884/tillsyn/A 68851-2020 tillsynsbegäran.docx", "A 68851-2020")</f>
        <v/>
      </c>
      <c r="Y852">
        <f>HYPERLINK("https://klasma.github.io/Logging_0884/tillsynsmail/A 68851-2020 tillsynsbegäran mail.docx", "A 68851-2020")</f>
        <v/>
      </c>
    </row>
    <row r="853" ht="15" customHeight="1">
      <c r="A853" t="inlineStr">
        <is>
          <t>A 69632-2020</t>
        </is>
      </c>
      <c r="B853" s="1" t="n">
        <v>44195</v>
      </c>
      <c r="C853" s="1" t="n">
        <v>45832</v>
      </c>
      <c r="D853" t="inlineStr">
        <is>
          <t>KALMAR LÄN</t>
        </is>
      </c>
      <c r="E853" t="inlineStr">
        <is>
          <t>VÄSTERVIK</t>
        </is>
      </c>
      <c r="G853" t="n">
        <v>2.5</v>
      </c>
      <c r="H853" t="n">
        <v>0</v>
      </c>
      <c r="I853" t="n">
        <v>0</v>
      </c>
      <c r="J853" t="n">
        <v>1</v>
      </c>
      <c r="K853" t="n">
        <v>0</v>
      </c>
      <c r="L853" t="n">
        <v>0</v>
      </c>
      <c r="M853" t="n">
        <v>0</v>
      </c>
      <c r="N853" t="n">
        <v>0</v>
      </c>
      <c r="O853" t="n">
        <v>1</v>
      </c>
      <c r="P853" t="n">
        <v>0</v>
      </c>
      <c r="Q853" t="n">
        <v>1</v>
      </c>
      <c r="R853" s="2" t="inlineStr">
        <is>
          <t>Tallticka</t>
        </is>
      </c>
      <c r="S853">
        <f>HYPERLINK("https://klasma.github.io/Logging_0883/artfynd/A 69632-2020 artfynd.xlsx", "A 69632-2020")</f>
        <v/>
      </c>
      <c r="T853">
        <f>HYPERLINK("https://klasma.github.io/Logging_0883/kartor/A 69632-2020 karta.png", "A 69632-2020")</f>
        <v/>
      </c>
      <c r="V853">
        <f>HYPERLINK("https://klasma.github.io/Logging_0883/klagomål/A 69632-2020 FSC-klagomål.docx", "A 69632-2020")</f>
        <v/>
      </c>
      <c r="W853">
        <f>HYPERLINK("https://klasma.github.io/Logging_0883/klagomålsmail/A 69632-2020 FSC-klagomål mail.docx", "A 69632-2020")</f>
        <v/>
      </c>
      <c r="X853">
        <f>HYPERLINK("https://klasma.github.io/Logging_0883/tillsyn/A 69632-2020 tillsynsbegäran.docx", "A 69632-2020")</f>
        <v/>
      </c>
      <c r="Y853">
        <f>HYPERLINK("https://klasma.github.io/Logging_0883/tillsynsmail/A 69632-2020 tillsynsbegäran mail.docx", "A 69632-2020")</f>
        <v/>
      </c>
    </row>
    <row r="854" ht="15" customHeight="1">
      <c r="A854" t="inlineStr">
        <is>
          <t>A 3518-2021</t>
        </is>
      </c>
      <c r="B854" s="1" t="n">
        <v>44216</v>
      </c>
      <c r="C854" s="1" t="n">
        <v>45832</v>
      </c>
      <c r="D854" t="inlineStr">
        <is>
          <t>KALMAR LÄN</t>
        </is>
      </c>
      <c r="E854" t="inlineStr">
        <is>
          <t>HÖGSBY</t>
        </is>
      </c>
      <c r="G854" t="n">
        <v>6</v>
      </c>
      <c r="H854" t="n">
        <v>0</v>
      </c>
      <c r="I854" t="n">
        <v>0</v>
      </c>
      <c r="J854" t="n">
        <v>1</v>
      </c>
      <c r="K854" t="n">
        <v>0</v>
      </c>
      <c r="L854" t="n">
        <v>0</v>
      </c>
      <c r="M854" t="n">
        <v>0</v>
      </c>
      <c r="N854" t="n">
        <v>0</v>
      </c>
      <c r="O854" t="n">
        <v>1</v>
      </c>
      <c r="P854" t="n">
        <v>0</v>
      </c>
      <c r="Q854" t="n">
        <v>1</v>
      </c>
      <c r="R854" s="2" t="inlineStr">
        <is>
          <t>Vedtrappmossa</t>
        </is>
      </c>
      <c r="S854">
        <f>HYPERLINK("https://klasma.github.io/Logging_0821/artfynd/A 3518-2021 artfynd.xlsx", "A 3518-2021")</f>
        <v/>
      </c>
      <c r="T854">
        <f>HYPERLINK("https://klasma.github.io/Logging_0821/kartor/A 3518-2021 karta.png", "A 3518-2021")</f>
        <v/>
      </c>
      <c r="V854">
        <f>HYPERLINK("https://klasma.github.io/Logging_0821/klagomål/A 3518-2021 FSC-klagomål.docx", "A 3518-2021")</f>
        <v/>
      </c>
      <c r="W854">
        <f>HYPERLINK("https://klasma.github.io/Logging_0821/klagomålsmail/A 3518-2021 FSC-klagomål mail.docx", "A 3518-2021")</f>
        <v/>
      </c>
      <c r="X854">
        <f>HYPERLINK("https://klasma.github.io/Logging_0821/tillsyn/A 3518-2021 tillsynsbegäran.docx", "A 3518-2021")</f>
        <v/>
      </c>
      <c r="Y854">
        <f>HYPERLINK("https://klasma.github.io/Logging_0821/tillsynsmail/A 3518-2021 tillsynsbegäran mail.docx", "A 3518-2021")</f>
        <v/>
      </c>
    </row>
    <row r="855" ht="15" customHeight="1">
      <c r="A855" t="inlineStr">
        <is>
          <t>A 3871-2021</t>
        </is>
      </c>
      <c r="B855" s="1" t="n">
        <v>44222</v>
      </c>
      <c r="C855" s="1" t="n">
        <v>45832</v>
      </c>
      <c r="D855" t="inlineStr">
        <is>
          <t>KALMAR LÄN</t>
        </is>
      </c>
      <c r="E855" t="inlineStr">
        <is>
          <t>BORGHOLM</t>
        </is>
      </c>
      <c r="G855" t="n">
        <v>1.7</v>
      </c>
      <c r="H855" t="n">
        <v>0</v>
      </c>
      <c r="I855" t="n">
        <v>1</v>
      </c>
      <c r="J855" t="n">
        <v>0</v>
      </c>
      <c r="K855" t="n">
        <v>0</v>
      </c>
      <c r="L855" t="n">
        <v>0</v>
      </c>
      <c r="M855" t="n">
        <v>0</v>
      </c>
      <c r="N855" t="n">
        <v>0</v>
      </c>
      <c r="O855" t="n">
        <v>0</v>
      </c>
      <c r="P855" t="n">
        <v>0</v>
      </c>
      <c r="Q855" t="n">
        <v>1</v>
      </c>
      <c r="R855" s="2" t="inlineStr">
        <is>
          <t>Scharlakansskål</t>
        </is>
      </c>
      <c r="S855">
        <f>HYPERLINK("https://klasma.github.io/Logging_0885/artfynd/A 3871-2021 artfynd.xlsx", "A 3871-2021")</f>
        <v/>
      </c>
      <c r="T855">
        <f>HYPERLINK("https://klasma.github.io/Logging_0885/kartor/A 3871-2021 karta.png", "A 3871-2021")</f>
        <v/>
      </c>
      <c r="V855">
        <f>HYPERLINK("https://klasma.github.io/Logging_0885/klagomål/A 3871-2021 FSC-klagomål.docx", "A 3871-2021")</f>
        <v/>
      </c>
      <c r="W855">
        <f>HYPERLINK("https://klasma.github.io/Logging_0885/klagomålsmail/A 3871-2021 FSC-klagomål mail.docx", "A 3871-2021")</f>
        <v/>
      </c>
      <c r="X855">
        <f>HYPERLINK("https://klasma.github.io/Logging_0885/tillsyn/A 3871-2021 tillsynsbegäran.docx", "A 3871-2021")</f>
        <v/>
      </c>
      <c r="Y855">
        <f>HYPERLINK("https://klasma.github.io/Logging_0885/tillsynsmail/A 3871-2021 tillsynsbegäran mail.docx", "A 3871-2021")</f>
        <v/>
      </c>
    </row>
    <row r="856" ht="15" customHeight="1">
      <c r="A856" t="inlineStr">
        <is>
          <t>A 4313-2021</t>
        </is>
      </c>
      <c r="B856" s="1" t="n">
        <v>44223</v>
      </c>
      <c r="C856" s="1" t="n">
        <v>45832</v>
      </c>
      <c r="D856" t="inlineStr">
        <is>
          <t>KALMAR LÄN</t>
        </is>
      </c>
      <c r="E856" t="inlineStr">
        <is>
          <t>MÖNSTERÅS</t>
        </is>
      </c>
      <c r="G856" t="n">
        <v>16.5</v>
      </c>
      <c r="H856" t="n">
        <v>1</v>
      </c>
      <c r="I856" t="n">
        <v>0</v>
      </c>
      <c r="J856" t="n">
        <v>0</v>
      </c>
      <c r="K856" t="n">
        <v>1</v>
      </c>
      <c r="L856" t="n">
        <v>0</v>
      </c>
      <c r="M856" t="n">
        <v>0</v>
      </c>
      <c r="N856" t="n">
        <v>0</v>
      </c>
      <c r="O856" t="n">
        <v>1</v>
      </c>
      <c r="P856" t="n">
        <v>1</v>
      </c>
      <c r="Q856" t="n">
        <v>1</v>
      </c>
      <c r="R856" s="2" t="inlineStr">
        <is>
          <t>Knärot</t>
        </is>
      </c>
      <c r="S856">
        <f>HYPERLINK("https://klasma.github.io/Logging_0861/artfynd/A 4313-2021 artfynd.xlsx", "A 4313-2021")</f>
        <v/>
      </c>
      <c r="T856">
        <f>HYPERLINK("https://klasma.github.io/Logging_0861/kartor/A 4313-2021 karta.png", "A 4313-2021")</f>
        <v/>
      </c>
      <c r="U856">
        <f>HYPERLINK("https://klasma.github.io/Logging_0861/knärot/A 4313-2021 karta knärot.png", "A 4313-2021")</f>
        <v/>
      </c>
      <c r="V856">
        <f>HYPERLINK("https://klasma.github.io/Logging_0861/klagomål/A 4313-2021 FSC-klagomål.docx", "A 4313-2021")</f>
        <v/>
      </c>
      <c r="W856">
        <f>HYPERLINK("https://klasma.github.io/Logging_0861/klagomålsmail/A 4313-2021 FSC-klagomål mail.docx", "A 4313-2021")</f>
        <v/>
      </c>
      <c r="X856">
        <f>HYPERLINK("https://klasma.github.io/Logging_0861/tillsyn/A 4313-2021 tillsynsbegäran.docx", "A 4313-2021")</f>
        <v/>
      </c>
      <c r="Y856">
        <f>HYPERLINK("https://klasma.github.io/Logging_0861/tillsynsmail/A 4313-2021 tillsynsbegäran mail.docx", "A 4313-2021")</f>
        <v/>
      </c>
    </row>
    <row r="857" ht="15" customHeight="1">
      <c r="A857" t="inlineStr">
        <is>
          <t>A 5575-2021</t>
        </is>
      </c>
      <c r="B857" s="1" t="n">
        <v>44230</v>
      </c>
      <c r="C857" s="1" t="n">
        <v>45832</v>
      </c>
      <c r="D857" t="inlineStr">
        <is>
          <t>KALMAR LÄN</t>
        </is>
      </c>
      <c r="E857" t="inlineStr">
        <is>
          <t>VÄSTERVIK</t>
        </is>
      </c>
      <c r="G857" t="n">
        <v>2.6</v>
      </c>
      <c r="H857" t="n">
        <v>1</v>
      </c>
      <c r="I857" t="n">
        <v>1</v>
      </c>
      <c r="J857" t="n">
        <v>0</v>
      </c>
      <c r="K857" t="n">
        <v>0</v>
      </c>
      <c r="L857" t="n">
        <v>0</v>
      </c>
      <c r="M857" t="n">
        <v>0</v>
      </c>
      <c r="N857" t="n">
        <v>0</v>
      </c>
      <c r="O857" t="n">
        <v>0</v>
      </c>
      <c r="P857" t="n">
        <v>0</v>
      </c>
      <c r="Q857" t="n">
        <v>1</v>
      </c>
      <c r="R857" s="2" t="inlineStr">
        <is>
          <t>Ekoxe</t>
        </is>
      </c>
      <c r="S857">
        <f>HYPERLINK("https://klasma.github.io/Logging_0883/artfynd/A 5575-2021 artfynd.xlsx", "A 5575-2021")</f>
        <v/>
      </c>
      <c r="T857">
        <f>HYPERLINK("https://klasma.github.io/Logging_0883/kartor/A 5575-2021 karta.png", "A 5575-2021")</f>
        <v/>
      </c>
      <c r="V857">
        <f>HYPERLINK("https://klasma.github.io/Logging_0883/klagomål/A 5575-2021 FSC-klagomål.docx", "A 5575-2021")</f>
        <v/>
      </c>
      <c r="W857">
        <f>HYPERLINK("https://klasma.github.io/Logging_0883/klagomålsmail/A 5575-2021 FSC-klagomål mail.docx", "A 5575-2021")</f>
        <v/>
      </c>
      <c r="X857">
        <f>HYPERLINK("https://klasma.github.io/Logging_0883/tillsyn/A 5575-2021 tillsynsbegäran.docx", "A 5575-2021")</f>
        <v/>
      </c>
      <c r="Y857">
        <f>HYPERLINK("https://klasma.github.io/Logging_0883/tillsynsmail/A 5575-2021 tillsynsbegäran mail.docx", "A 5575-2021")</f>
        <v/>
      </c>
    </row>
    <row r="858" ht="15" customHeight="1">
      <c r="A858" t="inlineStr">
        <is>
          <t>A 5861-2021</t>
        </is>
      </c>
      <c r="B858" s="1" t="n">
        <v>44231</v>
      </c>
      <c r="C858" s="1" t="n">
        <v>45832</v>
      </c>
      <c r="D858" t="inlineStr">
        <is>
          <t>KALMAR LÄN</t>
        </is>
      </c>
      <c r="E858" t="inlineStr">
        <is>
          <t>TORSÅS</t>
        </is>
      </c>
      <c r="G858" t="n">
        <v>4.2</v>
      </c>
      <c r="H858" t="n">
        <v>0</v>
      </c>
      <c r="I858" t="n">
        <v>0</v>
      </c>
      <c r="J858" t="n">
        <v>0</v>
      </c>
      <c r="K858" t="n">
        <v>0</v>
      </c>
      <c r="L858" t="n">
        <v>0</v>
      </c>
      <c r="M858" t="n">
        <v>1</v>
      </c>
      <c r="N858" t="n">
        <v>0</v>
      </c>
      <c r="O858" t="n">
        <v>1</v>
      </c>
      <c r="P858" t="n">
        <v>1</v>
      </c>
      <c r="Q858" t="n">
        <v>1</v>
      </c>
      <c r="R858" s="2" t="inlineStr">
        <is>
          <t>Skogsalm</t>
        </is>
      </c>
      <c r="S858">
        <f>HYPERLINK("https://klasma.github.io/Logging_0834/artfynd/A 5861-2021 artfynd.xlsx", "A 5861-2021")</f>
        <v/>
      </c>
      <c r="T858">
        <f>HYPERLINK("https://klasma.github.io/Logging_0834/kartor/A 5861-2021 karta.png", "A 5861-2021")</f>
        <v/>
      </c>
      <c r="V858">
        <f>HYPERLINK("https://klasma.github.io/Logging_0834/klagomål/A 5861-2021 FSC-klagomål.docx", "A 5861-2021")</f>
        <v/>
      </c>
      <c r="W858">
        <f>HYPERLINK("https://klasma.github.io/Logging_0834/klagomålsmail/A 5861-2021 FSC-klagomål mail.docx", "A 5861-2021")</f>
        <v/>
      </c>
      <c r="X858">
        <f>HYPERLINK("https://klasma.github.io/Logging_0834/tillsyn/A 5861-2021 tillsynsbegäran.docx", "A 5861-2021")</f>
        <v/>
      </c>
      <c r="Y858">
        <f>HYPERLINK("https://klasma.github.io/Logging_0834/tillsynsmail/A 5861-2021 tillsynsbegäran mail.docx", "A 5861-2021")</f>
        <v/>
      </c>
    </row>
    <row r="859" ht="15" customHeight="1">
      <c r="A859" t="inlineStr">
        <is>
          <t>A 6841-2021</t>
        </is>
      </c>
      <c r="B859" s="1" t="n">
        <v>44236</v>
      </c>
      <c r="C859" s="1" t="n">
        <v>45832</v>
      </c>
      <c r="D859" t="inlineStr">
        <is>
          <t>KALMAR LÄN</t>
        </is>
      </c>
      <c r="E859" t="inlineStr">
        <is>
          <t>VIMMERBY</t>
        </is>
      </c>
      <c r="G859" t="n">
        <v>25</v>
      </c>
      <c r="H859" t="n">
        <v>0</v>
      </c>
      <c r="I859" t="n">
        <v>0</v>
      </c>
      <c r="J859" t="n">
        <v>1</v>
      </c>
      <c r="K859" t="n">
        <v>0</v>
      </c>
      <c r="L859" t="n">
        <v>0</v>
      </c>
      <c r="M859" t="n">
        <v>0</v>
      </c>
      <c r="N859" t="n">
        <v>0</v>
      </c>
      <c r="O859" t="n">
        <v>1</v>
      </c>
      <c r="P859" t="n">
        <v>0</v>
      </c>
      <c r="Q859" t="n">
        <v>1</v>
      </c>
      <c r="R859" s="2" t="inlineStr">
        <is>
          <t>Bredbrämad bastardsvärmare</t>
        </is>
      </c>
      <c r="S859">
        <f>HYPERLINK("https://klasma.github.io/Logging_0884/artfynd/A 6841-2021 artfynd.xlsx", "A 6841-2021")</f>
        <v/>
      </c>
      <c r="T859">
        <f>HYPERLINK("https://klasma.github.io/Logging_0884/kartor/A 6841-2021 karta.png", "A 6841-2021")</f>
        <v/>
      </c>
      <c r="V859">
        <f>HYPERLINK("https://klasma.github.io/Logging_0884/klagomål/A 6841-2021 FSC-klagomål.docx", "A 6841-2021")</f>
        <v/>
      </c>
      <c r="W859">
        <f>HYPERLINK("https://klasma.github.io/Logging_0884/klagomålsmail/A 6841-2021 FSC-klagomål mail.docx", "A 6841-2021")</f>
        <v/>
      </c>
      <c r="X859">
        <f>HYPERLINK("https://klasma.github.io/Logging_0884/tillsyn/A 6841-2021 tillsynsbegäran.docx", "A 6841-2021")</f>
        <v/>
      </c>
      <c r="Y859">
        <f>HYPERLINK("https://klasma.github.io/Logging_0884/tillsynsmail/A 6841-2021 tillsynsbegäran mail.docx", "A 6841-2021")</f>
        <v/>
      </c>
    </row>
    <row r="860" ht="15" customHeight="1">
      <c r="A860" t="inlineStr">
        <is>
          <t>A 7490-2021</t>
        </is>
      </c>
      <c r="B860" s="1" t="n">
        <v>44238</v>
      </c>
      <c r="C860" s="1" t="n">
        <v>45832</v>
      </c>
      <c r="D860" t="inlineStr">
        <is>
          <t>KALMAR LÄN</t>
        </is>
      </c>
      <c r="E860" t="inlineStr">
        <is>
          <t>EMMABODA</t>
        </is>
      </c>
      <c r="G860" t="n">
        <v>1.4</v>
      </c>
      <c r="H860" t="n">
        <v>1</v>
      </c>
      <c r="I860" t="n">
        <v>0</v>
      </c>
      <c r="J860" t="n">
        <v>0</v>
      </c>
      <c r="K860" t="n">
        <v>0</v>
      </c>
      <c r="L860" t="n">
        <v>0</v>
      </c>
      <c r="M860" t="n">
        <v>0</v>
      </c>
      <c r="N860" t="n">
        <v>0</v>
      </c>
      <c r="O860" t="n">
        <v>0</v>
      </c>
      <c r="P860" t="n">
        <v>0</v>
      </c>
      <c r="Q860" t="n">
        <v>1</v>
      </c>
      <c r="R860" s="2" t="inlineStr">
        <is>
          <t>Blåsippa</t>
        </is>
      </c>
      <c r="S860">
        <f>HYPERLINK("https://klasma.github.io/Logging_0862/artfynd/A 7490-2021 artfynd.xlsx", "A 7490-2021")</f>
        <v/>
      </c>
      <c r="T860">
        <f>HYPERLINK("https://klasma.github.io/Logging_0862/kartor/A 7490-2021 karta.png", "A 7490-2021")</f>
        <v/>
      </c>
      <c r="V860">
        <f>HYPERLINK("https://klasma.github.io/Logging_0862/klagomål/A 7490-2021 FSC-klagomål.docx", "A 7490-2021")</f>
        <v/>
      </c>
      <c r="W860">
        <f>HYPERLINK("https://klasma.github.io/Logging_0862/klagomålsmail/A 7490-2021 FSC-klagomål mail.docx", "A 7490-2021")</f>
        <v/>
      </c>
      <c r="X860">
        <f>HYPERLINK("https://klasma.github.io/Logging_0862/tillsyn/A 7490-2021 tillsynsbegäran.docx", "A 7490-2021")</f>
        <v/>
      </c>
      <c r="Y860">
        <f>HYPERLINK("https://klasma.github.io/Logging_0862/tillsynsmail/A 7490-2021 tillsynsbegäran mail.docx", "A 7490-2021")</f>
        <v/>
      </c>
    </row>
    <row r="861" ht="15" customHeight="1">
      <c r="A861" t="inlineStr">
        <is>
          <t>A 7747-2021</t>
        </is>
      </c>
      <c r="B861" s="1" t="n">
        <v>44242</v>
      </c>
      <c r="C861" s="1" t="n">
        <v>45832</v>
      </c>
      <c r="D861" t="inlineStr">
        <is>
          <t>KALMAR LÄN</t>
        </is>
      </c>
      <c r="E861" t="inlineStr">
        <is>
          <t>MÖNSTERÅS</t>
        </is>
      </c>
      <c r="G861" t="n">
        <v>14.7</v>
      </c>
      <c r="H861" t="n">
        <v>1</v>
      </c>
      <c r="I861" t="n">
        <v>0</v>
      </c>
      <c r="J861" t="n">
        <v>0</v>
      </c>
      <c r="K861" t="n">
        <v>0</v>
      </c>
      <c r="L861" t="n">
        <v>1</v>
      </c>
      <c r="M861" t="n">
        <v>0</v>
      </c>
      <c r="N861" t="n">
        <v>0</v>
      </c>
      <c r="O861" t="n">
        <v>1</v>
      </c>
      <c r="P861" t="n">
        <v>1</v>
      </c>
      <c r="Q861" t="n">
        <v>1</v>
      </c>
      <c r="R861" s="2" t="inlineStr">
        <is>
          <t>Brun glada</t>
        </is>
      </c>
      <c r="S861">
        <f>HYPERLINK("https://klasma.github.io/Logging_0861/artfynd/A 7747-2021 artfynd.xlsx", "A 7747-2021")</f>
        <v/>
      </c>
      <c r="T861">
        <f>HYPERLINK("https://klasma.github.io/Logging_0861/kartor/A 7747-2021 karta.png", "A 7747-2021")</f>
        <v/>
      </c>
      <c r="V861">
        <f>HYPERLINK("https://klasma.github.io/Logging_0861/klagomål/A 7747-2021 FSC-klagomål.docx", "A 7747-2021")</f>
        <v/>
      </c>
      <c r="W861">
        <f>HYPERLINK("https://klasma.github.io/Logging_0861/klagomålsmail/A 7747-2021 FSC-klagomål mail.docx", "A 7747-2021")</f>
        <v/>
      </c>
      <c r="X861">
        <f>HYPERLINK("https://klasma.github.io/Logging_0861/tillsyn/A 7747-2021 tillsynsbegäran.docx", "A 7747-2021")</f>
        <v/>
      </c>
      <c r="Y861">
        <f>HYPERLINK("https://klasma.github.io/Logging_0861/tillsynsmail/A 7747-2021 tillsynsbegäran mail.docx", "A 7747-2021")</f>
        <v/>
      </c>
      <c r="Z861">
        <f>HYPERLINK("https://klasma.github.io/Logging_0861/fåglar/A 7747-2021 prioriterade fågelarter.docx", "A 7747-2021")</f>
        <v/>
      </c>
    </row>
    <row r="862" ht="15" customHeight="1">
      <c r="A862" t="inlineStr">
        <is>
          <t>A 8738-2021</t>
        </is>
      </c>
      <c r="B862" s="1" t="n">
        <v>44246</v>
      </c>
      <c r="C862" s="1" t="n">
        <v>45832</v>
      </c>
      <c r="D862" t="inlineStr">
        <is>
          <t>KALMAR LÄN</t>
        </is>
      </c>
      <c r="E862" t="inlineStr">
        <is>
          <t>KALMAR</t>
        </is>
      </c>
      <c r="G862" t="n">
        <v>5.7</v>
      </c>
      <c r="H862" t="n">
        <v>1</v>
      </c>
      <c r="I862" t="n">
        <v>0</v>
      </c>
      <c r="J862" t="n">
        <v>0</v>
      </c>
      <c r="K862" t="n">
        <v>0</v>
      </c>
      <c r="L862" t="n">
        <v>0</v>
      </c>
      <c r="M862" t="n">
        <v>0</v>
      </c>
      <c r="N862" t="n">
        <v>0</v>
      </c>
      <c r="O862" t="n">
        <v>0</v>
      </c>
      <c r="P862" t="n">
        <v>0</v>
      </c>
      <c r="Q862" t="n">
        <v>1</v>
      </c>
      <c r="R862" s="2" t="inlineStr">
        <is>
          <t>Törnskata</t>
        </is>
      </c>
      <c r="S862">
        <f>HYPERLINK("https://klasma.github.io/Logging_0880/artfynd/A 8738-2021 artfynd.xlsx", "A 8738-2021")</f>
        <v/>
      </c>
      <c r="T862">
        <f>HYPERLINK("https://klasma.github.io/Logging_0880/kartor/A 8738-2021 karta.png", "A 8738-2021")</f>
        <v/>
      </c>
      <c r="V862">
        <f>HYPERLINK("https://klasma.github.io/Logging_0880/klagomål/A 8738-2021 FSC-klagomål.docx", "A 8738-2021")</f>
        <v/>
      </c>
      <c r="W862">
        <f>HYPERLINK("https://klasma.github.io/Logging_0880/klagomålsmail/A 8738-2021 FSC-klagomål mail.docx", "A 8738-2021")</f>
        <v/>
      </c>
      <c r="X862">
        <f>HYPERLINK("https://klasma.github.io/Logging_0880/tillsyn/A 8738-2021 tillsynsbegäran.docx", "A 8738-2021")</f>
        <v/>
      </c>
      <c r="Y862">
        <f>HYPERLINK("https://klasma.github.io/Logging_0880/tillsynsmail/A 8738-2021 tillsynsbegäran mail.docx", "A 8738-2021")</f>
        <v/>
      </c>
      <c r="Z862">
        <f>HYPERLINK("https://klasma.github.io/Logging_0880/fåglar/A 8738-2021 prioriterade fågelarter.docx", "A 8738-2021")</f>
        <v/>
      </c>
    </row>
    <row r="863" ht="15" customHeight="1">
      <c r="A863" t="inlineStr">
        <is>
          <t>A 10947-2021</t>
        </is>
      </c>
      <c r="B863" s="1" t="n">
        <v>44260</v>
      </c>
      <c r="C863" s="1" t="n">
        <v>45832</v>
      </c>
      <c r="D863" t="inlineStr">
        <is>
          <t>KALMAR LÄN</t>
        </is>
      </c>
      <c r="E863" t="inlineStr">
        <is>
          <t>HÖGSBY</t>
        </is>
      </c>
      <c r="G863" t="n">
        <v>8.5</v>
      </c>
      <c r="H863" t="n">
        <v>1</v>
      </c>
      <c r="I863" t="n">
        <v>0</v>
      </c>
      <c r="J863" t="n">
        <v>0</v>
      </c>
      <c r="K863" t="n">
        <v>0</v>
      </c>
      <c r="L863" t="n">
        <v>0</v>
      </c>
      <c r="M863" t="n">
        <v>0</v>
      </c>
      <c r="N863" t="n">
        <v>0</v>
      </c>
      <c r="O863" t="n">
        <v>0</v>
      </c>
      <c r="P863" t="n">
        <v>0</v>
      </c>
      <c r="Q863" t="n">
        <v>1</v>
      </c>
      <c r="R863" s="2" t="inlineStr">
        <is>
          <t>Blåsippa</t>
        </is>
      </c>
      <c r="S863">
        <f>HYPERLINK("https://klasma.github.io/Logging_0821/artfynd/A 10947-2021 artfynd.xlsx", "A 10947-2021")</f>
        <v/>
      </c>
      <c r="T863">
        <f>HYPERLINK("https://klasma.github.io/Logging_0821/kartor/A 10947-2021 karta.png", "A 10947-2021")</f>
        <v/>
      </c>
      <c r="V863">
        <f>HYPERLINK("https://klasma.github.io/Logging_0821/klagomål/A 10947-2021 FSC-klagomål.docx", "A 10947-2021")</f>
        <v/>
      </c>
      <c r="W863">
        <f>HYPERLINK("https://klasma.github.io/Logging_0821/klagomålsmail/A 10947-2021 FSC-klagomål mail.docx", "A 10947-2021")</f>
        <v/>
      </c>
      <c r="X863">
        <f>HYPERLINK("https://klasma.github.io/Logging_0821/tillsyn/A 10947-2021 tillsynsbegäran.docx", "A 10947-2021")</f>
        <v/>
      </c>
      <c r="Y863">
        <f>HYPERLINK("https://klasma.github.io/Logging_0821/tillsynsmail/A 10947-2021 tillsynsbegäran mail.docx", "A 10947-2021")</f>
        <v/>
      </c>
    </row>
    <row r="864" ht="15" customHeight="1">
      <c r="A864" t="inlineStr">
        <is>
          <t>A 10962-2021</t>
        </is>
      </c>
      <c r="B864" s="1" t="n">
        <v>44260</v>
      </c>
      <c r="C864" s="1" t="n">
        <v>45832</v>
      </c>
      <c r="D864" t="inlineStr">
        <is>
          <t>KALMAR LÄN</t>
        </is>
      </c>
      <c r="E864" t="inlineStr">
        <is>
          <t>KALMAR</t>
        </is>
      </c>
      <c r="G864" t="n">
        <v>1.1</v>
      </c>
      <c r="H864" t="n">
        <v>1</v>
      </c>
      <c r="I864" t="n">
        <v>0</v>
      </c>
      <c r="J864" t="n">
        <v>0</v>
      </c>
      <c r="K864" t="n">
        <v>0</v>
      </c>
      <c r="L864" t="n">
        <v>0</v>
      </c>
      <c r="M864" t="n">
        <v>0</v>
      </c>
      <c r="N864" t="n">
        <v>0</v>
      </c>
      <c r="O864" t="n">
        <v>0</v>
      </c>
      <c r="P864" t="n">
        <v>0</v>
      </c>
      <c r="Q864" t="n">
        <v>1</v>
      </c>
      <c r="R864" s="2" t="inlineStr">
        <is>
          <t>Revlummer</t>
        </is>
      </c>
      <c r="S864">
        <f>HYPERLINK("https://klasma.github.io/Logging_0880/artfynd/A 10962-2021 artfynd.xlsx", "A 10962-2021")</f>
        <v/>
      </c>
      <c r="T864">
        <f>HYPERLINK("https://klasma.github.io/Logging_0880/kartor/A 10962-2021 karta.png", "A 10962-2021")</f>
        <v/>
      </c>
      <c r="V864">
        <f>HYPERLINK("https://klasma.github.io/Logging_0880/klagomål/A 10962-2021 FSC-klagomål.docx", "A 10962-2021")</f>
        <v/>
      </c>
      <c r="W864">
        <f>HYPERLINK("https://klasma.github.io/Logging_0880/klagomålsmail/A 10962-2021 FSC-klagomål mail.docx", "A 10962-2021")</f>
        <v/>
      </c>
      <c r="X864">
        <f>HYPERLINK("https://klasma.github.io/Logging_0880/tillsyn/A 10962-2021 tillsynsbegäran.docx", "A 10962-2021")</f>
        <v/>
      </c>
      <c r="Y864">
        <f>HYPERLINK("https://klasma.github.io/Logging_0880/tillsynsmail/A 10962-2021 tillsynsbegäran mail.docx", "A 10962-2021")</f>
        <v/>
      </c>
    </row>
    <row r="865" ht="15" customHeight="1">
      <c r="A865" t="inlineStr">
        <is>
          <t>A 11221-2021</t>
        </is>
      </c>
      <c r="B865" s="1" t="n">
        <v>44263</v>
      </c>
      <c r="C865" s="1" t="n">
        <v>45832</v>
      </c>
      <c r="D865" t="inlineStr">
        <is>
          <t>KALMAR LÄN</t>
        </is>
      </c>
      <c r="E865" t="inlineStr">
        <is>
          <t>TORSÅS</t>
        </is>
      </c>
      <c r="G865" t="n">
        <v>6.7</v>
      </c>
      <c r="H865" t="n">
        <v>0</v>
      </c>
      <c r="I865" t="n">
        <v>0</v>
      </c>
      <c r="J865" t="n">
        <v>0</v>
      </c>
      <c r="K865" t="n">
        <v>1</v>
      </c>
      <c r="L865" t="n">
        <v>0</v>
      </c>
      <c r="M865" t="n">
        <v>0</v>
      </c>
      <c r="N865" t="n">
        <v>0</v>
      </c>
      <c r="O865" t="n">
        <v>1</v>
      </c>
      <c r="P865" t="n">
        <v>1</v>
      </c>
      <c r="Q865" t="n">
        <v>1</v>
      </c>
      <c r="R865" s="2" t="inlineStr">
        <is>
          <t>Lungrot</t>
        </is>
      </c>
      <c r="S865">
        <f>HYPERLINK("https://klasma.github.io/Logging_0834/artfynd/A 11221-2021 artfynd.xlsx", "A 11221-2021")</f>
        <v/>
      </c>
      <c r="T865">
        <f>HYPERLINK("https://klasma.github.io/Logging_0834/kartor/A 11221-2021 karta.png", "A 11221-2021")</f>
        <v/>
      </c>
      <c r="V865">
        <f>HYPERLINK("https://klasma.github.io/Logging_0834/klagomål/A 11221-2021 FSC-klagomål.docx", "A 11221-2021")</f>
        <v/>
      </c>
      <c r="W865">
        <f>HYPERLINK("https://klasma.github.io/Logging_0834/klagomålsmail/A 11221-2021 FSC-klagomål mail.docx", "A 11221-2021")</f>
        <v/>
      </c>
      <c r="X865">
        <f>HYPERLINK("https://klasma.github.io/Logging_0834/tillsyn/A 11221-2021 tillsynsbegäran.docx", "A 11221-2021")</f>
        <v/>
      </c>
      <c r="Y865">
        <f>HYPERLINK("https://klasma.github.io/Logging_0834/tillsynsmail/A 11221-2021 tillsynsbegäran mail.docx", "A 11221-2021")</f>
        <v/>
      </c>
    </row>
    <row r="866" ht="15" customHeight="1">
      <c r="A866" t="inlineStr">
        <is>
          <t>A 12295-2021</t>
        </is>
      </c>
      <c r="B866" s="1" t="n">
        <v>44267</v>
      </c>
      <c r="C866" s="1" t="n">
        <v>45832</v>
      </c>
      <c r="D866" t="inlineStr">
        <is>
          <t>KALMAR LÄN</t>
        </is>
      </c>
      <c r="E866" t="inlineStr">
        <is>
          <t>TORSÅS</t>
        </is>
      </c>
      <c r="G866" t="n">
        <v>12</v>
      </c>
      <c r="H866" t="n">
        <v>1</v>
      </c>
      <c r="I866" t="n">
        <v>0</v>
      </c>
      <c r="J866" t="n">
        <v>0</v>
      </c>
      <c r="K866" t="n">
        <v>0</v>
      </c>
      <c r="L866" t="n">
        <v>0</v>
      </c>
      <c r="M866" t="n">
        <v>0</v>
      </c>
      <c r="N866" t="n">
        <v>0</v>
      </c>
      <c r="O866" t="n">
        <v>0</v>
      </c>
      <c r="P866" t="n">
        <v>0</v>
      </c>
      <c r="Q866" t="n">
        <v>1</v>
      </c>
      <c r="R866" s="2" t="inlineStr">
        <is>
          <t>Revlummer</t>
        </is>
      </c>
      <c r="S866">
        <f>HYPERLINK("https://klasma.github.io/Logging_0834/artfynd/A 12295-2021 artfynd.xlsx", "A 12295-2021")</f>
        <v/>
      </c>
      <c r="T866">
        <f>HYPERLINK("https://klasma.github.io/Logging_0834/kartor/A 12295-2021 karta.png", "A 12295-2021")</f>
        <v/>
      </c>
      <c r="V866">
        <f>HYPERLINK("https://klasma.github.io/Logging_0834/klagomål/A 12295-2021 FSC-klagomål.docx", "A 12295-2021")</f>
        <v/>
      </c>
      <c r="W866">
        <f>HYPERLINK("https://klasma.github.io/Logging_0834/klagomålsmail/A 12295-2021 FSC-klagomål mail.docx", "A 12295-2021")</f>
        <v/>
      </c>
      <c r="X866">
        <f>HYPERLINK("https://klasma.github.io/Logging_0834/tillsyn/A 12295-2021 tillsynsbegäran.docx", "A 12295-2021")</f>
        <v/>
      </c>
      <c r="Y866">
        <f>HYPERLINK("https://klasma.github.io/Logging_0834/tillsynsmail/A 12295-2021 tillsynsbegäran mail.docx", "A 12295-2021")</f>
        <v/>
      </c>
    </row>
    <row r="867" ht="15" customHeight="1">
      <c r="A867" t="inlineStr">
        <is>
          <t>A 12329-2021</t>
        </is>
      </c>
      <c r="B867" s="1" t="n">
        <v>44267</v>
      </c>
      <c r="C867" s="1" t="n">
        <v>45832</v>
      </c>
      <c r="D867" t="inlineStr">
        <is>
          <t>KALMAR LÄN</t>
        </is>
      </c>
      <c r="E867" t="inlineStr">
        <is>
          <t>OSKARSHAMN</t>
        </is>
      </c>
      <c r="G867" t="n">
        <v>16.6</v>
      </c>
      <c r="H867" t="n">
        <v>0</v>
      </c>
      <c r="I867" t="n">
        <v>0</v>
      </c>
      <c r="J867" t="n">
        <v>1</v>
      </c>
      <c r="K867" t="n">
        <v>0</v>
      </c>
      <c r="L867" t="n">
        <v>0</v>
      </c>
      <c r="M867" t="n">
        <v>0</v>
      </c>
      <c r="N867" t="n">
        <v>0</v>
      </c>
      <c r="O867" t="n">
        <v>1</v>
      </c>
      <c r="P867" t="n">
        <v>0</v>
      </c>
      <c r="Q867" t="n">
        <v>1</v>
      </c>
      <c r="R867" s="2" t="inlineStr">
        <is>
          <t>Åkerkulla</t>
        </is>
      </c>
      <c r="S867">
        <f>HYPERLINK("https://klasma.github.io/Logging_0882/artfynd/A 12329-2021 artfynd.xlsx", "A 12329-2021")</f>
        <v/>
      </c>
      <c r="T867">
        <f>HYPERLINK("https://klasma.github.io/Logging_0882/kartor/A 12329-2021 karta.png", "A 12329-2021")</f>
        <v/>
      </c>
      <c r="V867">
        <f>HYPERLINK("https://klasma.github.io/Logging_0882/klagomål/A 12329-2021 FSC-klagomål.docx", "A 12329-2021")</f>
        <v/>
      </c>
      <c r="W867">
        <f>HYPERLINK("https://klasma.github.io/Logging_0882/klagomålsmail/A 12329-2021 FSC-klagomål mail.docx", "A 12329-2021")</f>
        <v/>
      </c>
      <c r="X867">
        <f>HYPERLINK("https://klasma.github.io/Logging_0882/tillsyn/A 12329-2021 tillsynsbegäran.docx", "A 12329-2021")</f>
        <v/>
      </c>
      <c r="Y867">
        <f>HYPERLINK("https://klasma.github.io/Logging_0882/tillsynsmail/A 12329-2021 tillsynsbegäran mail.docx", "A 12329-2021")</f>
        <v/>
      </c>
    </row>
    <row r="868" ht="15" customHeight="1">
      <c r="A868" t="inlineStr">
        <is>
          <t>A 12785-2021</t>
        </is>
      </c>
      <c r="B868" s="1" t="n">
        <v>44270</v>
      </c>
      <c r="C868" s="1" t="n">
        <v>45832</v>
      </c>
      <c r="D868" t="inlineStr">
        <is>
          <t>KALMAR LÄN</t>
        </is>
      </c>
      <c r="E868" t="inlineStr">
        <is>
          <t>BORGHOLM</t>
        </is>
      </c>
      <c r="G868" t="n">
        <v>1.2</v>
      </c>
      <c r="H868" t="n">
        <v>0</v>
      </c>
      <c r="I868" t="n">
        <v>0</v>
      </c>
      <c r="J868" t="n">
        <v>0</v>
      </c>
      <c r="K868" t="n">
        <v>0</v>
      </c>
      <c r="L868" t="n">
        <v>1</v>
      </c>
      <c r="M868" t="n">
        <v>0</v>
      </c>
      <c r="N868" t="n">
        <v>0</v>
      </c>
      <c r="O868" t="n">
        <v>1</v>
      </c>
      <c r="P868" t="n">
        <v>1</v>
      </c>
      <c r="Q868" t="n">
        <v>1</v>
      </c>
      <c r="R868" s="2" t="inlineStr">
        <is>
          <t>Ask</t>
        </is>
      </c>
      <c r="S868">
        <f>HYPERLINK("https://klasma.github.io/Logging_0885/artfynd/A 12785-2021 artfynd.xlsx", "A 12785-2021")</f>
        <v/>
      </c>
      <c r="T868">
        <f>HYPERLINK("https://klasma.github.io/Logging_0885/kartor/A 12785-2021 karta.png", "A 12785-2021")</f>
        <v/>
      </c>
      <c r="V868">
        <f>HYPERLINK("https://klasma.github.io/Logging_0885/klagomål/A 12785-2021 FSC-klagomål.docx", "A 12785-2021")</f>
        <v/>
      </c>
      <c r="W868">
        <f>HYPERLINK("https://klasma.github.io/Logging_0885/klagomålsmail/A 12785-2021 FSC-klagomål mail.docx", "A 12785-2021")</f>
        <v/>
      </c>
      <c r="X868">
        <f>HYPERLINK("https://klasma.github.io/Logging_0885/tillsyn/A 12785-2021 tillsynsbegäran.docx", "A 12785-2021")</f>
        <v/>
      </c>
      <c r="Y868">
        <f>HYPERLINK("https://klasma.github.io/Logging_0885/tillsynsmail/A 12785-2021 tillsynsbegäran mail.docx", "A 12785-2021")</f>
        <v/>
      </c>
    </row>
    <row r="869" ht="15" customHeight="1">
      <c r="A869" t="inlineStr">
        <is>
          <t>A 14343-2021</t>
        </is>
      </c>
      <c r="B869" s="1" t="n">
        <v>44279</v>
      </c>
      <c r="C869" s="1" t="n">
        <v>45832</v>
      </c>
      <c r="D869" t="inlineStr">
        <is>
          <t>KALMAR LÄN</t>
        </is>
      </c>
      <c r="E869" t="inlineStr">
        <is>
          <t>KALMAR</t>
        </is>
      </c>
      <c r="G869" t="n">
        <v>2.7</v>
      </c>
      <c r="H869" t="n">
        <v>0</v>
      </c>
      <c r="I869" t="n">
        <v>1</v>
      </c>
      <c r="J869" t="n">
        <v>0</v>
      </c>
      <c r="K869" t="n">
        <v>0</v>
      </c>
      <c r="L869" t="n">
        <v>0</v>
      </c>
      <c r="M869" t="n">
        <v>0</v>
      </c>
      <c r="N869" t="n">
        <v>0</v>
      </c>
      <c r="O869" t="n">
        <v>0</v>
      </c>
      <c r="P869" t="n">
        <v>0</v>
      </c>
      <c r="Q869" t="n">
        <v>1</v>
      </c>
      <c r="R869" s="2" t="inlineStr">
        <is>
          <t>Myskmadra</t>
        </is>
      </c>
      <c r="S869">
        <f>HYPERLINK("https://klasma.github.io/Logging_0880/artfynd/A 14343-2021 artfynd.xlsx", "A 14343-2021")</f>
        <v/>
      </c>
      <c r="T869">
        <f>HYPERLINK("https://klasma.github.io/Logging_0880/kartor/A 14343-2021 karta.png", "A 14343-2021")</f>
        <v/>
      </c>
      <c r="V869">
        <f>HYPERLINK("https://klasma.github.io/Logging_0880/klagomål/A 14343-2021 FSC-klagomål.docx", "A 14343-2021")</f>
        <v/>
      </c>
      <c r="W869">
        <f>HYPERLINK("https://klasma.github.io/Logging_0880/klagomålsmail/A 14343-2021 FSC-klagomål mail.docx", "A 14343-2021")</f>
        <v/>
      </c>
      <c r="X869">
        <f>HYPERLINK("https://klasma.github.io/Logging_0880/tillsyn/A 14343-2021 tillsynsbegäran.docx", "A 14343-2021")</f>
        <v/>
      </c>
      <c r="Y869">
        <f>HYPERLINK("https://klasma.github.io/Logging_0880/tillsynsmail/A 14343-2021 tillsynsbegäran mail.docx", "A 14343-2021")</f>
        <v/>
      </c>
    </row>
    <row r="870" ht="15" customHeight="1">
      <c r="A870" t="inlineStr">
        <is>
          <t>A 14789-2021</t>
        </is>
      </c>
      <c r="B870" s="1" t="n">
        <v>44280</v>
      </c>
      <c r="C870" s="1" t="n">
        <v>45832</v>
      </c>
      <c r="D870" t="inlineStr">
        <is>
          <t>KALMAR LÄN</t>
        </is>
      </c>
      <c r="E870" t="inlineStr">
        <is>
          <t>BORGHOLM</t>
        </is>
      </c>
      <c r="G870" t="n">
        <v>1</v>
      </c>
      <c r="H870" t="n">
        <v>1</v>
      </c>
      <c r="I870" t="n">
        <v>1</v>
      </c>
      <c r="J870" t="n">
        <v>0</v>
      </c>
      <c r="K870" t="n">
        <v>0</v>
      </c>
      <c r="L870" t="n">
        <v>0</v>
      </c>
      <c r="M870" t="n">
        <v>0</v>
      </c>
      <c r="N870" t="n">
        <v>0</v>
      </c>
      <c r="O870" t="n">
        <v>0</v>
      </c>
      <c r="P870" t="n">
        <v>0</v>
      </c>
      <c r="Q870" t="n">
        <v>1</v>
      </c>
      <c r="R870" s="2" t="inlineStr">
        <is>
          <t>Skogsknipprot</t>
        </is>
      </c>
      <c r="S870">
        <f>HYPERLINK("https://klasma.github.io/Logging_0885/artfynd/A 14789-2021 artfynd.xlsx", "A 14789-2021")</f>
        <v/>
      </c>
      <c r="T870">
        <f>HYPERLINK("https://klasma.github.io/Logging_0885/kartor/A 14789-2021 karta.png", "A 14789-2021")</f>
        <v/>
      </c>
      <c r="V870">
        <f>HYPERLINK("https://klasma.github.io/Logging_0885/klagomål/A 14789-2021 FSC-klagomål.docx", "A 14789-2021")</f>
        <v/>
      </c>
      <c r="W870">
        <f>HYPERLINK("https://klasma.github.io/Logging_0885/klagomålsmail/A 14789-2021 FSC-klagomål mail.docx", "A 14789-2021")</f>
        <v/>
      </c>
      <c r="X870">
        <f>HYPERLINK("https://klasma.github.io/Logging_0885/tillsyn/A 14789-2021 tillsynsbegäran.docx", "A 14789-2021")</f>
        <v/>
      </c>
      <c r="Y870">
        <f>HYPERLINK("https://klasma.github.io/Logging_0885/tillsynsmail/A 14789-2021 tillsynsbegäran mail.docx", "A 14789-2021")</f>
        <v/>
      </c>
    </row>
    <row r="871" ht="15" customHeight="1">
      <c r="A871" t="inlineStr">
        <is>
          <t>A 16824-2021</t>
        </is>
      </c>
      <c r="B871" s="1" t="n">
        <v>44295</v>
      </c>
      <c r="C871" s="1" t="n">
        <v>45832</v>
      </c>
      <c r="D871" t="inlineStr">
        <is>
          <t>KALMAR LÄN</t>
        </is>
      </c>
      <c r="E871" t="inlineStr">
        <is>
          <t>HULTSFRED</t>
        </is>
      </c>
      <c r="G871" t="n">
        <v>1.5</v>
      </c>
      <c r="H871" t="n">
        <v>0</v>
      </c>
      <c r="I871" t="n">
        <v>0</v>
      </c>
      <c r="J871" t="n">
        <v>1</v>
      </c>
      <c r="K871" t="n">
        <v>0</v>
      </c>
      <c r="L871" t="n">
        <v>0</v>
      </c>
      <c r="M871" t="n">
        <v>0</v>
      </c>
      <c r="N871" t="n">
        <v>0</v>
      </c>
      <c r="O871" t="n">
        <v>1</v>
      </c>
      <c r="P871" t="n">
        <v>0</v>
      </c>
      <c r="Q871" t="n">
        <v>1</v>
      </c>
      <c r="R871" s="2" t="inlineStr">
        <is>
          <t>Sommarfibbla</t>
        </is>
      </c>
      <c r="S871">
        <f>HYPERLINK("https://klasma.github.io/Logging_0860/artfynd/A 16824-2021 artfynd.xlsx", "A 16824-2021")</f>
        <v/>
      </c>
      <c r="T871">
        <f>HYPERLINK("https://klasma.github.io/Logging_0860/kartor/A 16824-2021 karta.png", "A 16824-2021")</f>
        <v/>
      </c>
      <c r="V871">
        <f>HYPERLINK("https://klasma.github.io/Logging_0860/klagomål/A 16824-2021 FSC-klagomål.docx", "A 16824-2021")</f>
        <v/>
      </c>
      <c r="W871">
        <f>HYPERLINK("https://klasma.github.io/Logging_0860/klagomålsmail/A 16824-2021 FSC-klagomål mail.docx", "A 16824-2021")</f>
        <v/>
      </c>
      <c r="X871">
        <f>HYPERLINK("https://klasma.github.io/Logging_0860/tillsyn/A 16824-2021 tillsynsbegäran.docx", "A 16824-2021")</f>
        <v/>
      </c>
      <c r="Y871">
        <f>HYPERLINK("https://klasma.github.io/Logging_0860/tillsynsmail/A 16824-2021 tillsynsbegäran mail.docx", "A 16824-2021")</f>
        <v/>
      </c>
    </row>
    <row r="872" ht="15" customHeight="1">
      <c r="A872" t="inlineStr">
        <is>
          <t>A 20233-2021</t>
        </is>
      </c>
      <c r="B872" s="1" t="n">
        <v>44314</v>
      </c>
      <c r="C872" s="1" t="n">
        <v>45832</v>
      </c>
      <c r="D872" t="inlineStr">
        <is>
          <t>KALMAR LÄN</t>
        </is>
      </c>
      <c r="E872" t="inlineStr">
        <is>
          <t>VÄSTERVIK</t>
        </is>
      </c>
      <c r="F872" t="inlineStr">
        <is>
          <t>Holmen skog AB</t>
        </is>
      </c>
      <c r="G872" t="n">
        <v>11.8</v>
      </c>
      <c r="H872" t="n">
        <v>0</v>
      </c>
      <c r="I872" t="n">
        <v>0</v>
      </c>
      <c r="J872" t="n">
        <v>1</v>
      </c>
      <c r="K872" t="n">
        <v>0</v>
      </c>
      <c r="L872" t="n">
        <v>0</v>
      </c>
      <c r="M872" t="n">
        <v>0</v>
      </c>
      <c r="N872" t="n">
        <v>0</v>
      </c>
      <c r="O872" t="n">
        <v>1</v>
      </c>
      <c r="P872" t="n">
        <v>0</v>
      </c>
      <c r="Q872" t="n">
        <v>1</v>
      </c>
      <c r="R872" s="2" t="inlineStr">
        <is>
          <t>Skogsklocka</t>
        </is>
      </c>
      <c r="S872">
        <f>HYPERLINK("https://klasma.github.io/Logging_0883/artfynd/A 20233-2021 artfynd.xlsx", "A 20233-2021")</f>
        <v/>
      </c>
      <c r="T872">
        <f>HYPERLINK("https://klasma.github.io/Logging_0883/kartor/A 20233-2021 karta.png", "A 20233-2021")</f>
        <v/>
      </c>
      <c r="V872">
        <f>HYPERLINK("https://klasma.github.io/Logging_0883/klagomål/A 20233-2021 FSC-klagomål.docx", "A 20233-2021")</f>
        <v/>
      </c>
      <c r="W872">
        <f>HYPERLINK("https://klasma.github.io/Logging_0883/klagomålsmail/A 20233-2021 FSC-klagomål mail.docx", "A 20233-2021")</f>
        <v/>
      </c>
      <c r="X872">
        <f>HYPERLINK("https://klasma.github.io/Logging_0883/tillsyn/A 20233-2021 tillsynsbegäran.docx", "A 20233-2021")</f>
        <v/>
      </c>
      <c r="Y872">
        <f>HYPERLINK("https://klasma.github.io/Logging_0883/tillsynsmail/A 20233-2021 tillsynsbegäran mail.docx", "A 20233-2021")</f>
        <v/>
      </c>
    </row>
    <row r="873" ht="15" customHeight="1">
      <c r="A873" t="inlineStr">
        <is>
          <t>A 21107-2021</t>
        </is>
      </c>
      <c r="B873" s="1" t="n">
        <v>44319</v>
      </c>
      <c r="C873" s="1" t="n">
        <v>45832</v>
      </c>
      <c r="D873" t="inlineStr">
        <is>
          <t>KALMAR LÄN</t>
        </is>
      </c>
      <c r="E873" t="inlineStr">
        <is>
          <t>HULTSFRED</t>
        </is>
      </c>
      <c r="G873" t="n">
        <v>1.2</v>
      </c>
      <c r="H873" t="n">
        <v>1</v>
      </c>
      <c r="I873" t="n">
        <v>0</v>
      </c>
      <c r="J873" t="n">
        <v>0</v>
      </c>
      <c r="K873" t="n">
        <v>0</v>
      </c>
      <c r="L873" t="n">
        <v>0</v>
      </c>
      <c r="M873" t="n">
        <v>0</v>
      </c>
      <c r="N873" t="n">
        <v>0</v>
      </c>
      <c r="O873" t="n">
        <v>0</v>
      </c>
      <c r="P873" t="n">
        <v>0</v>
      </c>
      <c r="Q873" t="n">
        <v>1</v>
      </c>
      <c r="R873" s="2" t="inlineStr">
        <is>
          <t>Orre</t>
        </is>
      </c>
      <c r="S873">
        <f>HYPERLINK("https://klasma.github.io/Logging_0860/artfynd/A 21107-2021 artfynd.xlsx", "A 21107-2021")</f>
        <v/>
      </c>
      <c r="T873">
        <f>HYPERLINK("https://klasma.github.io/Logging_0860/kartor/A 21107-2021 karta.png", "A 21107-2021")</f>
        <v/>
      </c>
      <c r="V873">
        <f>HYPERLINK("https://klasma.github.io/Logging_0860/klagomål/A 21107-2021 FSC-klagomål.docx", "A 21107-2021")</f>
        <v/>
      </c>
      <c r="W873">
        <f>HYPERLINK("https://klasma.github.io/Logging_0860/klagomålsmail/A 21107-2021 FSC-klagomål mail.docx", "A 21107-2021")</f>
        <v/>
      </c>
      <c r="X873">
        <f>HYPERLINK("https://klasma.github.io/Logging_0860/tillsyn/A 21107-2021 tillsynsbegäran.docx", "A 21107-2021")</f>
        <v/>
      </c>
      <c r="Y873">
        <f>HYPERLINK("https://klasma.github.io/Logging_0860/tillsynsmail/A 21107-2021 tillsynsbegäran mail.docx", "A 21107-2021")</f>
        <v/>
      </c>
      <c r="Z873">
        <f>HYPERLINK("https://klasma.github.io/Logging_0860/fåglar/A 21107-2021 prioriterade fågelarter.docx", "A 21107-2021")</f>
        <v/>
      </c>
    </row>
    <row r="874" ht="15" customHeight="1">
      <c r="A874" t="inlineStr">
        <is>
          <t>A 23604-2021</t>
        </is>
      </c>
      <c r="B874" s="1" t="n">
        <v>44334</v>
      </c>
      <c r="C874" s="1" t="n">
        <v>45832</v>
      </c>
      <c r="D874" t="inlineStr">
        <is>
          <t>KALMAR LÄN</t>
        </is>
      </c>
      <c r="E874" t="inlineStr">
        <is>
          <t>HÖGSBY</t>
        </is>
      </c>
      <c r="G874" t="n">
        <v>1.4</v>
      </c>
      <c r="H874" t="n">
        <v>0</v>
      </c>
      <c r="I874" t="n">
        <v>0</v>
      </c>
      <c r="J874" t="n">
        <v>1</v>
      </c>
      <c r="K874" t="n">
        <v>0</v>
      </c>
      <c r="L874" t="n">
        <v>0</v>
      </c>
      <c r="M874" t="n">
        <v>0</v>
      </c>
      <c r="N874" t="n">
        <v>0</v>
      </c>
      <c r="O874" t="n">
        <v>1</v>
      </c>
      <c r="P874" t="n">
        <v>0</v>
      </c>
      <c r="Q874" t="n">
        <v>1</v>
      </c>
      <c r="R874" s="2" t="inlineStr">
        <is>
          <t>Backtimjan</t>
        </is>
      </c>
      <c r="S874">
        <f>HYPERLINK("https://klasma.github.io/Logging_0821/artfynd/A 23604-2021 artfynd.xlsx", "A 23604-2021")</f>
        <v/>
      </c>
      <c r="T874">
        <f>HYPERLINK("https://klasma.github.io/Logging_0821/kartor/A 23604-2021 karta.png", "A 23604-2021")</f>
        <v/>
      </c>
      <c r="V874">
        <f>HYPERLINK("https://klasma.github.io/Logging_0821/klagomål/A 23604-2021 FSC-klagomål.docx", "A 23604-2021")</f>
        <v/>
      </c>
      <c r="W874">
        <f>HYPERLINK("https://klasma.github.io/Logging_0821/klagomålsmail/A 23604-2021 FSC-klagomål mail.docx", "A 23604-2021")</f>
        <v/>
      </c>
      <c r="X874">
        <f>HYPERLINK("https://klasma.github.io/Logging_0821/tillsyn/A 23604-2021 tillsynsbegäran.docx", "A 23604-2021")</f>
        <v/>
      </c>
      <c r="Y874">
        <f>HYPERLINK("https://klasma.github.io/Logging_0821/tillsynsmail/A 23604-2021 tillsynsbegäran mail.docx", "A 23604-2021")</f>
        <v/>
      </c>
    </row>
    <row r="875" ht="15" customHeight="1">
      <c r="A875" t="inlineStr">
        <is>
          <t>A 24048-2021</t>
        </is>
      </c>
      <c r="B875" s="1" t="n">
        <v>44336</v>
      </c>
      <c r="C875" s="1" t="n">
        <v>45832</v>
      </c>
      <c r="D875" t="inlineStr">
        <is>
          <t>KALMAR LÄN</t>
        </is>
      </c>
      <c r="E875" t="inlineStr">
        <is>
          <t>VÄSTERVIK</t>
        </is>
      </c>
      <c r="G875" t="n">
        <v>3.5</v>
      </c>
      <c r="H875" t="n">
        <v>1</v>
      </c>
      <c r="I875" t="n">
        <v>0</v>
      </c>
      <c r="J875" t="n">
        <v>0</v>
      </c>
      <c r="K875" t="n">
        <v>1</v>
      </c>
      <c r="L875" t="n">
        <v>0</v>
      </c>
      <c r="M875" t="n">
        <v>0</v>
      </c>
      <c r="N875" t="n">
        <v>0</v>
      </c>
      <c r="O875" t="n">
        <v>1</v>
      </c>
      <c r="P875" t="n">
        <v>1</v>
      </c>
      <c r="Q875" t="n">
        <v>1</v>
      </c>
      <c r="R875" s="2" t="inlineStr">
        <is>
          <t>Knärot</t>
        </is>
      </c>
      <c r="S875">
        <f>HYPERLINK("https://klasma.github.io/Logging_0883/artfynd/A 24048-2021 artfynd.xlsx", "A 24048-2021")</f>
        <v/>
      </c>
      <c r="T875">
        <f>HYPERLINK("https://klasma.github.io/Logging_0883/kartor/A 24048-2021 karta.png", "A 24048-2021")</f>
        <v/>
      </c>
      <c r="U875">
        <f>HYPERLINK("https://klasma.github.io/Logging_0883/knärot/A 24048-2021 karta knärot.png", "A 24048-2021")</f>
        <v/>
      </c>
      <c r="V875">
        <f>HYPERLINK("https://klasma.github.io/Logging_0883/klagomål/A 24048-2021 FSC-klagomål.docx", "A 24048-2021")</f>
        <v/>
      </c>
      <c r="W875">
        <f>HYPERLINK("https://klasma.github.io/Logging_0883/klagomålsmail/A 24048-2021 FSC-klagomål mail.docx", "A 24048-2021")</f>
        <v/>
      </c>
      <c r="X875">
        <f>HYPERLINK("https://klasma.github.io/Logging_0883/tillsyn/A 24048-2021 tillsynsbegäran.docx", "A 24048-2021")</f>
        <v/>
      </c>
      <c r="Y875">
        <f>HYPERLINK("https://klasma.github.io/Logging_0883/tillsynsmail/A 24048-2021 tillsynsbegäran mail.docx", "A 24048-2021")</f>
        <v/>
      </c>
    </row>
    <row r="876" ht="15" customHeight="1">
      <c r="A876" t="inlineStr">
        <is>
          <t>A 24939-2021</t>
        </is>
      </c>
      <c r="B876" s="1" t="n">
        <v>44341</v>
      </c>
      <c r="C876" s="1" t="n">
        <v>45832</v>
      </c>
      <c r="D876" t="inlineStr">
        <is>
          <t>KALMAR LÄN</t>
        </is>
      </c>
      <c r="E876" t="inlineStr">
        <is>
          <t>HULTSFRED</t>
        </is>
      </c>
      <c r="G876" t="n">
        <v>8.6</v>
      </c>
      <c r="H876" t="n">
        <v>1</v>
      </c>
      <c r="I876" t="n">
        <v>0</v>
      </c>
      <c r="J876" t="n">
        <v>1</v>
      </c>
      <c r="K876" t="n">
        <v>0</v>
      </c>
      <c r="L876" t="n">
        <v>0</v>
      </c>
      <c r="M876" t="n">
        <v>0</v>
      </c>
      <c r="N876" t="n">
        <v>0</v>
      </c>
      <c r="O876" t="n">
        <v>1</v>
      </c>
      <c r="P876" t="n">
        <v>0</v>
      </c>
      <c r="Q876" t="n">
        <v>1</v>
      </c>
      <c r="R876" s="2" t="inlineStr">
        <is>
          <t>Svartvit flugsnappare</t>
        </is>
      </c>
      <c r="S876">
        <f>HYPERLINK("https://klasma.github.io/Logging_0860/artfynd/A 24939-2021 artfynd.xlsx", "A 24939-2021")</f>
        <v/>
      </c>
      <c r="T876">
        <f>HYPERLINK("https://klasma.github.io/Logging_0860/kartor/A 24939-2021 karta.png", "A 24939-2021")</f>
        <v/>
      </c>
      <c r="V876">
        <f>HYPERLINK("https://klasma.github.io/Logging_0860/klagomål/A 24939-2021 FSC-klagomål.docx", "A 24939-2021")</f>
        <v/>
      </c>
      <c r="W876">
        <f>HYPERLINK("https://klasma.github.io/Logging_0860/klagomålsmail/A 24939-2021 FSC-klagomål mail.docx", "A 24939-2021")</f>
        <v/>
      </c>
      <c r="X876">
        <f>HYPERLINK("https://klasma.github.io/Logging_0860/tillsyn/A 24939-2021 tillsynsbegäran.docx", "A 24939-2021")</f>
        <v/>
      </c>
      <c r="Y876">
        <f>HYPERLINK("https://klasma.github.io/Logging_0860/tillsynsmail/A 24939-2021 tillsynsbegäran mail.docx", "A 24939-2021")</f>
        <v/>
      </c>
      <c r="Z876">
        <f>HYPERLINK("https://klasma.github.io/Logging_0860/fåglar/A 24939-2021 prioriterade fågelarter.docx", "A 24939-2021")</f>
        <v/>
      </c>
    </row>
    <row r="877" ht="15" customHeight="1">
      <c r="A877" t="inlineStr">
        <is>
          <t>A 25131-2021</t>
        </is>
      </c>
      <c r="B877" s="1" t="n">
        <v>44341</v>
      </c>
      <c r="C877" s="1" t="n">
        <v>45832</v>
      </c>
      <c r="D877" t="inlineStr">
        <is>
          <t>KALMAR LÄN</t>
        </is>
      </c>
      <c r="E877" t="inlineStr">
        <is>
          <t>HÖGSBY</t>
        </is>
      </c>
      <c r="F877" t="inlineStr">
        <is>
          <t>Sveaskog</t>
        </is>
      </c>
      <c r="G877" t="n">
        <v>4.3</v>
      </c>
      <c r="H877" t="n">
        <v>0</v>
      </c>
      <c r="I877" t="n">
        <v>0</v>
      </c>
      <c r="J877" t="n">
        <v>1</v>
      </c>
      <c r="K877" t="n">
        <v>0</v>
      </c>
      <c r="L877" t="n">
        <v>0</v>
      </c>
      <c r="M877" t="n">
        <v>0</v>
      </c>
      <c r="N877" t="n">
        <v>0</v>
      </c>
      <c r="O877" t="n">
        <v>1</v>
      </c>
      <c r="P877" t="n">
        <v>0</v>
      </c>
      <c r="Q877" t="n">
        <v>1</v>
      </c>
      <c r="R877" s="2" t="inlineStr">
        <is>
          <t>Backstarr</t>
        </is>
      </c>
      <c r="S877">
        <f>HYPERLINK("https://klasma.github.io/Logging_0821/artfynd/A 25131-2021 artfynd.xlsx", "A 25131-2021")</f>
        <v/>
      </c>
      <c r="T877">
        <f>HYPERLINK("https://klasma.github.io/Logging_0821/kartor/A 25131-2021 karta.png", "A 25131-2021")</f>
        <v/>
      </c>
      <c r="V877">
        <f>HYPERLINK("https://klasma.github.io/Logging_0821/klagomål/A 25131-2021 FSC-klagomål.docx", "A 25131-2021")</f>
        <v/>
      </c>
      <c r="W877">
        <f>HYPERLINK("https://klasma.github.io/Logging_0821/klagomålsmail/A 25131-2021 FSC-klagomål mail.docx", "A 25131-2021")</f>
        <v/>
      </c>
      <c r="X877">
        <f>HYPERLINK("https://klasma.github.io/Logging_0821/tillsyn/A 25131-2021 tillsynsbegäran.docx", "A 25131-2021")</f>
        <v/>
      </c>
      <c r="Y877">
        <f>HYPERLINK("https://klasma.github.io/Logging_0821/tillsynsmail/A 25131-2021 tillsynsbegäran mail.docx", "A 25131-2021")</f>
        <v/>
      </c>
    </row>
    <row r="878" ht="15" customHeight="1">
      <c r="A878" t="inlineStr">
        <is>
          <t>A 25380-2021</t>
        </is>
      </c>
      <c r="B878" s="1" t="n">
        <v>44342</v>
      </c>
      <c r="C878" s="1" t="n">
        <v>45832</v>
      </c>
      <c r="D878" t="inlineStr">
        <is>
          <t>KALMAR LÄN</t>
        </is>
      </c>
      <c r="E878" t="inlineStr">
        <is>
          <t>OSKARSHAMN</t>
        </is>
      </c>
      <c r="F878" t="inlineStr">
        <is>
          <t>Kommuner</t>
        </is>
      </c>
      <c r="G878" t="n">
        <v>6.8</v>
      </c>
      <c r="H878" t="n">
        <v>0</v>
      </c>
      <c r="I878" t="n">
        <v>0</v>
      </c>
      <c r="J878" t="n">
        <v>1</v>
      </c>
      <c r="K878" t="n">
        <v>0</v>
      </c>
      <c r="L878" t="n">
        <v>0</v>
      </c>
      <c r="M878" t="n">
        <v>0</v>
      </c>
      <c r="N878" t="n">
        <v>0</v>
      </c>
      <c r="O878" t="n">
        <v>1</v>
      </c>
      <c r="P878" t="n">
        <v>0</v>
      </c>
      <c r="Q878" t="n">
        <v>1</v>
      </c>
      <c r="R878" s="2" t="inlineStr">
        <is>
          <t>Grönbladsbjörnbär</t>
        </is>
      </c>
      <c r="S878">
        <f>HYPERLINK("https://klasma.github.io/Logging_0882/artfynd/A 25380-2021 artfynd.xlsx", "A 25380-2021")</f>
        <v/>
      </c>
      <c r="T878">
        <f>HYPERLINK("https://klasma.github.io/Logging_0882/kartor/A 25380-2021 karta.png", "A 25380-2021")</f>
        <v/>
      </c>
      <c r="V878">
        <f>HYPERLINK("https://klasma.github.io/Logging_0882/klagomål/A 25380-2021 FSC-klagomål.docx", "A 25380-2021")</f>
        <v/>
      </c>
      <c r="W878">
        <f>HYPERLINK("https://klasma.github.io/Logging_0882/klagomålsmail/A 25380-2021 FSC-klagomål mail.docx", "A 25380-2021")</f>
        <v/>
      </c>
      <c r="X878">
        <f>HYPERLINK("https://klasma.github.io/Logging_0882/tillsyn/A 25380-2021 tillsynsbegäran.docx", "A 25380-2021")</f>
        <v/>
      </c>
      <c r="Y878">
        <f>HYPERLINK("https://klasma.github.io/Logging_0882/tillsynsmail/A 25380-2021 tillsynsbegäran mail.docx", "A 25380-2021")</f>
        <v/>
      </c>
    </row>
    <row r="879" ht="15" customHeight="1">
      <c r="A879" t="inlineStr">
        <is>
          <t>A 25447-2021</t>
        </is>
      </c>
      <c r="B879" s="1" t="n">
        <v>44342</v>
      </c>
      <c r="C879" s="1" t="n">
        <v>45832</v>
      </c>
      <c r="D879" t="inlineStr">
        <is>
          <t>KALMAR LÄN</t>
        </is>
      </c>
      <c r="E879" t="inlineStr">
        <is>
          <t>VÄSTERVIK</t>
        </is>
      </c>
      <c r="F879" t="inlineStr">
        <is>
          <t>Holmen skog AB</t>
        </is>
      </c>
      <c r="G879" t="n">
        <v>9</v>
      </c>
      <c r="H879" t="n">
        <v>1</v>
      </c>
      <c r="I879" t="n">
        <v>0</v>
      </c>
      <c r="J879" t="n">
        <v>0</v>
      </c>
      <c r="K879" t="n">
        <v>1</v>
      </c>
      <c r="L879" t="n">
        <v>0</v>
      </c>
      <c r="M879" t="n">
        <v>0</v>
      </c>
      <c r="N879" t="n">
        <v>0</v>
      </c>
      <c r="O879" t="n">
        <v>1</v>
      </c>
      <c r="P879" t="n">
        <v>1</v>
      </c>
      <c r="Q879" t="n">
        <v>1</v>
      </c>
      <c r="R879" s="2" t="inlineStr">
        <is>
          <t>Knärot</t>
        </is>
      </c>
      <c r="S879">
        <f>HYPERLINK("https://klasma.github.io/Logging_0883/artfynd/A 25447-2021 artfynd.xlsx", "A 25447-2021")</f>
        <v/>
      </c>
      <c r="T879">
        <f>HYPERLINK("https://klasma.github.io/Logging_0883/kartor/A 25447-2021 karta.png", "A 25447-2021")</f>
        <v/>
      </c>
      <c r="U879">
        <f>HYPERLINK("https://klasma.github.io/Logging_0883/knärot/A 25447-2021 karta knärot.png", "A 25447-2021")</f>
        <v/>
      </c>
      <c r="V879">
        <f>HYPERLINK("https://klasma.github.io/Logging_0883/klagomål/A 25447-2021 FSC-klagomål.docx", "A 25447-2021")</f>
        <v/>
      </c>
      <c r="W879">
        <f>HYPERLINK("https://klasma.github.io/Logging_0883/klagomålsmail/A 25447-2021 FSC-klagomål mail.docx", "A 25447-2021")</f>
        <v/>
      </c>
      <c r="X879">
        <f>HYPERLINK("https://klasma.github.io/Logging_0883/tillsyn/A 25447-2021 tillsynsbegäran.docx", "A 25447-2021")</f>
        <v/>
      </c>
      <c r="Y879">
        <f>HYPERLINK("https://klasma.github.io/Logging_0883/tillsynsmail/A 25447-2021 tillsynsbegäran mail.docx", "A 25447-2021")</f>
        <v/>
      </c>
    </row>
    <row r="880" ht="15" customHeight="1">
      <c r="A880" t="inlineStr">
        <is>
          <t>A 25594-2021</t>
        </is>
      </c>
      <c r="B880" s="1" t="n">
        <v>44343</v>
      </c>
      <c r="C880" s="1" t="n">
        <v>45832</v>
      </c>
      <c r="D880" t="inlineStr">
        <is>
          <t>KALMAR LÄN</t>
        </is>
      </c>
      <c r="E880" t="inlineStr">
        <is>
          <t>VÄSTERVIK</t>
        </is>
      </c>
      <c r="F880" t="inlineStr">
        <is>
          <t>Holmen skog AB</t>
        </is>
      </c>
      <c r="G880" t="n">
        <v>3.2</v>
      </c>
      <c r="H880" t="n">
        <v>1</v>
      </c>
      <c r="I880" t="n">
        <v>0</v>
      </c>
      <c r="J880" t="n">
        <v>0</v>
      </c>
      <c r="K880" t="n">
        <v>1</v>
      </c>
      <c r="L880" t="n">
        <v>0</v>
      </c>
      <c r="M880" t="n">
        <v>0</v>
      </c>
      <c r="N880" t="n">
        <v>0</v>
      </c>
      <c r="O880" t="n">
        <v>1</v>
      </c>
      <c r="P880" t="n">
        <v>1</v>
      </c>
      <c r="Q880" t="n">
        <v>1</v>
      </c>
      <c r="R880" s="2" t="inlineStr">
        <is>
          <t>Knärot</t>
        </is>
      </c>
      <c r="S880">
        <f>HYPERLINK("https://klasma.github.io/Logging_0883/artfynd/A 25594-2021 artfynd.xlsx", "A 25594-2021")</f>
        <v/>
      </c>
      <c r="T880">
        <f>HYPERLINK("https://klasma.github.io/Logging_0883/kartor/A 25594-2021 karta.png", "A 25594-2021")</f>
        <v/>
      </c>
      <c r="U880">
        <f>HYPERLINK("https://klasma.github.io/Logging_0883/knärot/A 25594-2021 karta knärot.png", "A 25594-2021")</f>
        <v/>
      </c>
      <c r="V880">
        <f>HYPERLINK("https://klasma.github.io/Logging_0883/klagomål/A 25594-2021 FSC-klagomål.docx", "A 25594-2021")</f>
        <v/>
      </c>
      <c r="W880">
        <f>HYPERLINK("https://klasma.github.io/Logging_0883/klagomålsmail/A 25594-2021 FSC-klagomål mail.docx", "A 25594-2021")</f>
        <v/>
      </c>
      <c r="X880">
        <f>HYPERLINK("https://klasma.github.io/Logging_0883/tillsyn/A 25594-2021 tillsynsbegäran.docx", "A 25594-2021")</f>
        <v/>
      </c>
      <c r="Y880">
        <f>HYPERLINK("https://klasma.github.io/Logging_0883/tillsynsmail/A 25594-2021 tillsynsbegäran mail.docx", "A 25594-2021")</f>
        <v/>
      </c>
    </row>
    <row r="881" ht="15" customHeight="1">
      <c r="A881" t="inlineStr">
        <is>
          <t>A 25677-2021</t>
        </is>
      </c>
      <c r="B881" s="1" t="n">
        <v>44343</v>
      </c>
      <c r="C881" s="1" t="n">
        <v>45832</v>
      </c>
      <c r="D881" t="inlineStr">
        <is>
          <t>KALMAR LÄN</t>
        </is>
      </c>
      <c r="E881" t="inlineStr">
        <is>
          <t>OSKARSHAMN</t>
        </is>
      </c>
      <c r="G881" t="n">
        <v>7.5</v>
      </c>
      <c r="H881" t="n">
        <v>1</v>
      </c>
      <c r="I881" t="n">
        <v>0</v>
      </c>
      <c r="J881" t="n">
        <v>1</v>
      </c>
      <c r="K881" t="n">
        <v>0</v>
      </c>
      <c r="L881" t="n">
        <v>0</v>
      </c>
      <c r="M881" t="n">
        <v>0</v>
      </c>
      <c r="N881" t="n">
        <v>0</v>
      </c>
      <c r="O881" t="n">
        <v>1</v>
      </c>
      <c r="P881" t="n">
        <v>0</v>
      </c>
      <c r="Q881" t="n">
        <v>1</v>
      </c>
      <c r="R881" s="2" t="inlineStr">
        <is>
          <t>Talltita</t>
        </is>
      </c>
      <c r="S881">
        <f>HYPERLINK("https://klasma.github.io/Logging_0882/artfynd/A 25677-2021 artfynd.xlsx", "A 25677-2021")</f>
        <v/>
      </c>
      <c r="T881">
        <f>HYPERLINK("https://klasma.github.io/Logging_0882/kartor/A 25677-2021 karta.png", "A 25677-2021")</f>
        <v/>
      </c>
      <c r="V881">
        <f>HYPERLINK("https://klasma.github.io/Logging_0882/klagomål/A 25677-2021 FSC-klagomål.docx", "A 25677-2021")</f>
        <v/>
      </c>
      <c r="W881">
        <f>HYPERLINK("https://klasma.github.io/Logging_0882/klagomålsmail/A 25677-2021 FSC-klagomål mail.docx", "A 25677-2021")</f>
        <v/>
      </c>
      <c r="X881">
        <f>HYPERLINK("https://klasma.github.io/Logging_0882/tillsyn/A 25677-2021 tillsynsbegäran.docx", "A 25677-2021")</f>
        <v/>
      </c>
      <c r="Y881">
        <f>HYPERLINK("https://klasma.github.io/Logging_0882/tillsynsmail/A 25677-2021 tillsynsbegäran mail.docx", "A 25677-2021")</f>
        <v/>
      </c>
      <c r="Z881">
        <f>HYPERLINK("https://klasma.github.io/Logging_0882/fåglar/A 25677-2021 prioriterade fågelarter.docx", "A 25677-2021")</f>
        <v/>
      </c>
    </row>
    <row r="882" ht="15" customHeight="1">
      <c r="A882" t="inlineStr">
        <is>
          <t>A 28299-2021</t>
        </is>
      </c>
      <c r="B882" s="1" t="n">
        <v>44356</v>
      </c>
      <c r="C882" s="1" t="n">
        <v>45832</v>
      </c>
      <c r="D882" t="inlineStr">
        <is>
          <t>KALMAR LÄN</t>
        </is>
      </c>
      <c r="E882" t="inlineStr">
        <is>
          <t>OSKARSHAMN</t>
        </is>
      </c>
      <c r="G882" t="n">
        <v>1.9</v>
      </c>
      <c r="H882" t="n">
        <v>1</v>
      </c>
      <c r="I882" t="n">
        <v>0</v>
      </c>
      <c r="J882" t="n">
        <v>1</v>
      </c>
      <c r="K882" t="n">
        <v>0</v>
      </c>
      <c r="L882" t="n">
        <v>0</v>
      </c>
      <c r="M882" t="n">
        <v>0</v>
      </c>
      <c r="N882" t="n">
        <v>0</v>
      </c>
      <c r="O882" t="n">
        <v>1</v>
      </c>
      <c r="P882" t="n">
        <v>0</v>
      </c>
      <c r="Q882" t="n">
        <v>1</v>
      </c>
      <c r="R882" s="2" t="inlineStr">
        <is>
          <t>Spillkråka</t>
        </is>
      </c>
      <c r="S882">
        <f>HYPERLINK("https://klasma.github.io/Logging_0882/artfynd/A 28299-2021 artfynd.xlsx", "A 28299-2021")</f>
        <v/>
      </c>
      <c r="T882">
        <f>HYPERLINK("https://klasma.github.io/Logging_0882/kartor/A 28299-2021 karta.png", "A 28299-2021")</f>
        <v/>
      </c>
      <c r="V882">
        <f>HYPERLINK("https://klasma.github.io/Logging_0882/klagomål/A 28299-2021 FSC-klagomål.docx", "A 28299-2021")</f>
        <v/>
      </c>
      <c r="W882">
        <f>HYPERLINK("https://klasma.github.io/Logging_0882/klagomålsmail/A 28299-2021 FSC-klagomål mail.docx", "A 28299-2021")</f>
        <v/>
      </c>
      <c r="X882">
        <f>HYPERLINK("https://klasma.github.io/Logging_0882/tillsyn/A 28299-2021 tillsynsbegäran.docx", "A 28299-2021")</f>
        <v/>
      </c>
      <c r="Y882">
        <f>HYPERLINK("https://klasma.github.io/Logging_0882/tillsynsmail/A 28299-2021 tillsynsbegäran mail.docx", "A 28299-2021")</f>
        <v/>
      </c>
      <c r="Z882">
        <f>HYPERLINK("https://klasma.github.io/Logging_0882/fåglar/A 28299-2021 prioriterade fågelarter.docx", "A 28299-2021")</f>
        <v/>
      </c>
    </row>
    <row r="883" ht="15" customHeight="1">
      <c r="A883" t="inlineStr">
        <is>
          <t>A 28298-2021</t>
        </is>
      </c>
      <c r="B883" s="1" t="n">
        <v>44356</v>
      </c>
      <c r="C883" s="1" t="n">
        <v>45832</v>
      </c>
      <c r="D883" t="inlineStr">
        <is>
          <t>KALMAR LÄN</t>
        </is>
      </c>
      <c r="E883" t="inlineStr">
        <is>
          <t>OSKARSHAMN</t>
        </is>
      </c>
      <c r="G883" t="n">
        <v>6.3</v>
      </c>
      <c r="H883" t="n">
        <v>0</v>
      </c>
      <c r="I883" t="n">
        <v>0</v>
      </c>
      <c r="J883" t="n">
        <v>1</v>
      </c>
      <c r="K883" t="n">
        <v>0</v>
      </c>
      <c r="L883" t="n">
        <v>0</v>
      </c>
      <c r="M883" t="n">
        <v>0</v>
      </c>
      <c r="N883" t="n">
        <v>0</v>
      </c>
      <c r="O883" t="n">
        <v>1</v>
      </c>
      <c r="P883" t="n">
        <v>0</v>
      </c>
      <c r="Q883" t="n">
        <v>1</v>
      </c>
      <c r="R883" s="2" t="inlineStr">
        <is>
          <t>Tallticka</t>
        </is>
      </c>
      <c r="S883">
        <f>HYPERLINK("https://klasma.github.io/Logging_0882/artfynd/A 28298-2021 artfynd.xlsx", "A 28298-2021")</f>
        <v/>
      </c>
      <c r="T883">
        <f>HYPERLINK("https://klasma.github.io/Logging_0882/kartor/A 28298-2021 karta.png", "A 28298-2021")</f>
        <v/>
      </c>
      <c r="V883">
        <f>HYPERLINK("https://klasma.github.io/Logging_0882/klagomål/A 28298-2021 FSC-klagomål.docx", "A 28298-2021")</f>
        <v/>
      </c>
      <c r="W883">
        <f>HYPERLINK("https://klasma.github.io/Logging_0882/klagomålsmail/A 28298-2021 FSC-klagomål mail.docx", "A 28298-2021")</f>
        <v/>
      </c>
      <c r="X883">
        <f>HYPERLINK("https://klasma.github.io/Logging_0882/tillsyn/A 28298-2021 tillsynsbegäran.docx", "A 28298-2021")</f>
        <v/>
      </c>
      <c r="Y883">
        <f>HYPERLINK("https://klasma.github.io/Logging_0882/tillsynsmail/A 28298-2021 tillsynsbegäran mail.docx", "A 28298-2021")</f>
        <v/>
      </c>
    </row>
    <row r="884" ht="15" customHeight="1">
      <c r="A884" t="inlineStr">
        <is>
          <t>A 29455-2021</t>
        </is>
      </c>
      <c r="B884" s="1" t="n">
        <v>44361</v>
      </c>
      <c r="C884" s="1" t="n">
        <v>45832</v>
      </c>
      <c r="D884" t="inlineStr">
        <is>
          <t>KALMAR LÄN</t>
        </is>
      </c>
      <c r="E884" t="inlineStr">
        <is>
          <t>VÄSTERVIK</t>
        </is>
      </c>
      <c r="F884" t="inlineStr">
        <is>
          <t>Övriga Aktiebolag</t>
        </is>
      </c>
      <c r="G884" t="n">
        <v>3.1</v>
      </c>
      <c r="H884" t="n">
        <v>1</v>
      </c>
      <c r="I884" t="n">
        <v>0</v>
      </c>
      <c r="J884" t="n">
        <v>0</v>
      </c>
      <c r="K884" t="n">
        <v>1</v>
      </c>
      <c r="L884" t="n">
        <v>0</v>
      </c>
      <c r="M884" t="n">
        <v>0</v>
      </c>
      <c r="N884" t="n">
        <v>0</v>
      </c>
      <c r="O884" t="n">
        <v>1</v>
      </c>
      <c r="P884" t="n">
        <v>1</v>
      </c>
      <c r="Q884" t="n">
        <v>1</v>
      </c>
      <c r="R884" s="2" t="inlineStr">
        <is>
          <t>Knärot</t>
        </is>
      </c>
      <c r="S884">
        <f>HYPERLINK("https://klasma.github.io/Logging_0883/artfynd/A 29455-2021 artfynd.xlsx", "A 29455-2021")</f>
        <v/>
      </c>
      <c r="T884">
        <f>HYPERLINK("https://klasma.github.io/Logging_0883/kartor/A 29455-2021 karta.png", "A 29455-2021")</f>
        <v/>
      </c>
      <c r="U884">
        <f>HYPERLINK("https://klasma.github.io/Logging_0883/knärot/A 29455-2021 karta knärot.png", "A 29455-2021")</f>
        <v/>
      </c>
      <c r="V884">
        <f>HYPERLINK("https://klasma.github.io/Logging_0883/klagomål/A 29455-2021 FSC-klagomål.docx", "A 29455-2021")</f>
        <v/>
      </c>
      <c r="W884">
        <f>HYPERLINK("https://klasma.github.io/Logging_0883/klagomålsmail/A 29455-2021 FSC-klagomål mail.docx", "A 29455-2021")</f>
        <v/>
      </c>
      <c r="X884">
        <f>HYPERLINK("https://klasma.github.io/Logging_0883/tillsyn/A 29455-2021 tillsynsbegäran.docx", "A 29455-2021")</f>
        <v/>
      </c>
      <c r="Y884">
        <f>HYPERLINK("https://klasma.github.io/Logging_0883/tillsynsmail/A 29455-2021 tillsynsbegäran mail.docx", "A 29455-2021")</f>
        <v/>
      </c>
    </row>
    <row r="885" ht="15" customHeight="1">
      <c r="A885" t="inlineStr">
        <is>
          <t>A 30666-2021</t>
        </is>
      </c>
      <c r="B885" s="1" t="n">
        <v>44365</v>
      </c>
      <c r="C885" s="1" t="n">
        <v>45832</v>
      </c>
      <c r="D885" t="inlineStr">
        <is>
          <t>KALMAR LÄN</t>
        </is>
      </c>
      <c r="E885" t="inlineStr">
        <is>
          <t>NYBRO</t>
        </is>
      </c>
      <c r="G885" t="n">
        <v>1.3</v>
      </c>
      <c r="H885" t="n">
        <v>1</v>
      </c>
      <c r="I885" t="n">
        <v>1</v>
      </c>
      <c r="J885" t="n">
        <v>0</v>
      </c>
      <c r="K885" t="n">
        <v>0</v>
      </c>
      <c r="L885" t="n">
        <v>0</v>
      </c>
      <c r="M885" t="n">
        <v>0</v>
      </c>
      <c r="N885" t="n">
        <v>0</v>
      </c>
      <c r="O885" t="n">
        <v>0</v>
      </c>
      <c r="P885" t="n">
        <v>0</v>
      </c>
      <c r="Q885" t="n">
        <v>1</v>
      </c>
      <c r="R885" s="2" t="inlineStr">
        <is>
          <t>Spindelblomster</t>
        </is>
      </c>
      <c r="S885">
        <f>HYPERLINK("https://klasma.github.io/Logging_0881/artfynd/A 30666-2021 artfynd.xlsx", "A 30666-2021")</f>
        <v/>
      </c>
      <c r="T885">
        <f>HYPERLINK("https://klasma.github.io/Logging_0881/kartor/A 30666-2021 karta.png", "A 30666-2021")</f>
        <v/>
      </c>
      <c r="V885">
        <f>HYPERLINK("https://klasma.github.io/Logging_0881/klagomål/A 30666-2021 FSC-klagomål.docx", "A 30666-2021")</f>
        <v/>
      </c>
      <c r="W885">
        <f>HYPERLINK("https://klasma.github.io/Logging_0881/klagomålsmail/A 30666-2021 FSC-klagomål mail.docx", "A 30666-2021")</f>
        <v/>
      </c>
      <c r="X885">
        <f>HYPERLINK("https://klasma.github.io/Logging_0881/tillsyn/A 30666-2021 tillsynsbegäran.docx", "A 30666-2021")</f>
        <v/>
      </c>
      <c r="Y885">
        <f>HYPERLINK("https://klasma.github.io/Logging_0881/tillsynsmail/A 30666-2021 tillsynsbegäran mail.docx", "A 30666-2021")</f>
        <v/>
      </c>
    </row>
    <row r="886" ht="15" customHeight="1">
      <c r="A886" t="inlineStr">
        <is>
          <t>A 31170-2021</t>
        </is>
      </c>
      <c r="B886" s="1" t="n">
        <v>44368</v>
      </c>
      <c r="C886" s="1" t="n">
        <v>45832</v>
      </c>
      <c r="D886" t="inlineStr">
        <is>
          <t>KALMAR LÄN</t>
        </is>
      </c>
      <c r="E886" t="inlineStr">
        <is>
          <t>MÖNSTERÅS</t>
        </is>
      </c>
      <c r="G886" t="n">
        <v>20.1</v>
      </c>
      <c r="H886" t="n">
        <v>1</v>
      </c>
      <c r="I886" t="n">
        <v>0</v>
      </c>
      <c r="J886" t="n">
        <v>0</v>
      </c>
      <c r="K886" t="n">
        <v>1</v>
      </c>
      <c r="L886" t="n">
        <v>0</v>
      </c>
      <c r="M886" t="n">
        <v>0</v>
      </c>
      <c r="N886" t="n">
        <v>0</v>
      </c>
      <c r="O886" t="n">
        <v>1</v>
      </c>
      <c r="P886" t="n">
        <v>1</v>
      </c>
      <c r="Q886" t="n">
        <v>1</v>
      </c>
      <c r="R886" s="2" t="inlineStr">
        <is>
          <t>Knärot</t>
        </is>
      </c>
      <c r="S886">
        <f>HYPERLINK("https://klasma.github.io/Logging_0861/artfynd/A 31170-2021 artfynd.xlsx", "A 31170-2021")</f>
        <v/>
      </c>
      <c r="T886">
        <f>HYPERLINK("https://klasma.github.io/Logging_0861/kartor/A 31170-2021 karta.png", "A 31170-2021")</f>
        <v/>
      </c>
      <c r="U886">
        <f>HYPERLINK("https://klasma.github.io/Logging_0861/knärot/A 31170-2021 karta knärot.png", "A 31170-2021")</f>
        <v/>
      </c>
      <c r="V886">
        <f>HYPERLINK("https://klasma.github.io/Logging_0861/klagomål/A 31170-2021 FSC-klagomål.docx", "A 31170-2021")</f>
        <v/>
      </c>
      <c r="W886">
        <f>HYPERLINK("https://klasma.github.io/Logging_0861/klagomålsmail/A 31170-2021 FSC-klagomål mail.docx", "A 31170-2021")</f>
        <v/>
      </c>
      <c r="X886">
        <f>HYPERLINK("https://klasma.github.io/Logging_0861/tillsyn/A 31170-2021 tillsynsbegäran.docx", "A 31170-2021")</f>
        <v/>
      </c>
      <c r="Y886">
        <f>HYPERLINK("https://klasma.github.io/Logging_0861/tillsynsmail/A 31170-2021 tillsynsbegäran mail.docx", "A 31170-2021")</f>
        <v/>
      </c>
    </row>
    <row r="887" ht="15" customHeight="1">
      <c r="A887" t="inlineStr">
        <is>
          <t>A 31315-2021</t>
        </is>
      </c>
      <c r="B887" s="1" t="n">
        <v>44368</v>
      </c>
      <c r="C887" s="1" t="n">
        <v>45832</v>
      </c>
      <c r="D887" t="inlineStr">
        <is>
          <t>KALMAR LÄN</t>
        </is>
      </c>
      <c r="E887" t="inlineStr">
        <is>
          <t>VÄSTERVIK</t>
        </is>
      </c>
      <c r="G887" t="n">
        <v>3.3</v>
      </c>
      <c r="H887" t="n">
        <v>1</v>
      </c>
      <c r="I887" t="n">
        <v>0</v>
      </c>
      <c r="J887" t="n">
        <v>0</v>
      </c>
      <c r="K887" t="n">
        <v>1</v>
      </c>
      <c r="L887" t="n">
        <v>0</v>
      </c>
      <c r="M887" t="n">
        <v>0</v>
      </c>
      <c r="N887" t="n">
        <v>0</v>
      </c>
      <c r="O887" t="n">
        <v>1</v>
      </c>
      <c r="P887" t="n">
        <v>1</v>
      </c>
      <c r="Q887" t="n">
        <v>1</v>
      </c>
      <c r="R887" s="2" t="inlineStr">
        <is>
          <t>Knärot</t>
        </is>
      </c>
      <c r="S887">
        <f>HYPERLINK("https://klasma.github.io/Logging_0883/artfynd/A 31315-2021 artfynd.xlsx", "A 31315-2021")</f>
        <v/>
      </c>
      <c r="T887">
        <f>HYPERLINK("https://klasma.github.io/Logging_0883/kartor/A 31315-2021 karta.png", "A 31315-2021")</f>
        <v/>
      </c>
      <c r="U887">
        <f>HYPERLINK("https://klasma.github.io/Logging_0883/knärot/A 31315-2021 karta knärot.png", "A 31315-2021")</f>
        <v/>
      </c>
      <c r="V887">
        <f>HYPERLINK("https://klasma.github.io/Logging_0883/klagomål/A 31315-2021 FSC-klagomål.docx", "A 31315-2021")</f>
        <v/>
      </c>
      <c r="W887">
        <f>HYPERLINK("https://klasma.github.io/Logging_0883/klagomålsmail/A 31315-2021 FSC-klagomål mail.docx", "A 31315-2021")</f>
        <v/>
      </c>
      <c r="X887">
        <f>HYPERLINK("https://klasma.github.io/Logging_0883/tillsyn/A 31315-2021 tillsynsbegäran.docx", "A 31315-2021")</f>
        <v/>
      </c>
      <c r="Y887">
        <f>HYPERLINK("https://klasma.github.io/Logging_0883/tillsynsmail/A 31315-2021 tillsynsbegäran mail.docx", "A 31315-2021")</f>
        <v/>
      </c>
    </row>
    <row r="888" ht="15" customHeight="1">
      <c r="A888" t="inlineStr">
        <is>
          <t>A 32396-2021</t>
        </is>
      </c>
      <c r="B888" s="1" t="n">
        <v>44371</v>
      </c>
      <c r="C888" s="1" t="n">
        <v>45832</v>
      </c>
      <c r="D888" t="inlineStr">
        <is>
          <t>KALMAR LÄN</t>
        </is>
      </c>
      <c r="E888" t="inlineStr">
        <is>
          <t>VIMMERBY</t>
        </is>
      </c>
      <c r="G888" t="n">
        <v>2.8</v>
      </c>
      <c r="H888" t="n">
        <v>1</v>
      </c>
      <c r="I888" t="n">
        <v>0</v>
      </c>
      <c r="J888" t="n">
        <v>0</v>
      </c>
      <c r="K888" t="n">
        <v>0</v>
      </c>
      <c r="L888" t="n">
        <v>0</v>
      </c>
      <c r="M888" t="n">
        <v>0</v>
      </c>
      <c r="N888" t="n">
        <v>0</v>
      </c>
      <c r="O888" t="n">
        <v>0</v>
      </c>
      <c r="P888" t="n">
        <v>0</v>
      </c>
      <c r="Q888" t="n">
        <v>1</v>
      </c>
      <c r="R888" s="2" t="inlineStr">
        <is>
          <t>Blåsippa</t>
        </is>
      </c>
      <c r="S888">
        <f>HYPERLINK("https://klasma.github.io/Logging_0884/artfynd/A 32396-2021 artfynd.xlsx", "A 32396-2021")</f>
        <v/>
      </c>
      <c r="T888">
        <f>HYPERLINK("https://klasma.github.io/Logging_0884/kartor/A 32396-2021 karta.png", "A 32396-2021")</f>
        <v/>
      </c>
      <c r="V888">
        <f>HYPERLINK("https://klasma.github.io/Logging_0884/klagomål/A 32396-2021 FSC-klagomål.docx", "A 32396-2021")</f>
        <v/>
      </c>
      <c r="W888">
        <f>HYPERLINK("https://klasma.github.io/Logging_0884/klagomålsmail/A 32396-2021 FSC-klagomål mail.docx", "A 32396-2021")</f>
        <v/>
      </c>
      <c r="X888">
        <f>HYPERLINK("https://klasma.github.io/Logging_0884/tillsyn/A 32396-2021 tillsynsbegäran.docx", "A 32396-2021")</f>
        <v/>
      </c>
      <c r="Y888">
        <f>HYPERLINK("https://klasma.github.io/Logging_0884/tillsynsmail/A 32396-2021 tillsynsbegäran mail.docx", "A 32396-2021")</f>
        <v/>
      </c>
    </row>
    <row r="889" ht="15" customHeight="1">
      <c r="A889" t="inlineStr">
        <is>
          <t>A 32768-2021</t>
        </is>
      </c>
      <c r="B889" s="1" t="n">
        <v>44375</v>
      </c>
      <c r="C889" s="1" t="n">
        <v>45832</v>
      </c>
      <c r="D889" t="inlineStr">
        <is>
          <t>KALMAR LÄN</t>
        </is>
      </c>
      <c r="E889" t="inlineStr">
        <is>
          <t>HULTSFRED</t>
        </is>
      </c>
      <c r="G889" t="n">
        <v>4.3</v>
      </c>
      <c r="H889" t="n">
        <v>0</v>
      </c>
      <c r="I889" t="n">
        <v>1</v>
      </c>
      <c r="J889" t="n">
        <v>0</v>
      </c>
      <c r="K889" t="n">
        <v>0</v>
      </c>
      <c r="L889" t="n">
        <v>0</v>
      </c>
      <c r="M889" t="n">
        <v>0</v>
      </c>
      <c r="N889" t="n">
        <v>0</v>
      </c>
      <c r="O889" t="n">
        <v>0</v>
      </c>
      <c r="P889" t="n">
        <v>0</v>
      </c>
      <c r="Q889" t="n">
        <v>1</v>
      </c>
      <c r="R889" s="2" t="inlineStr">
        <is>
          <t>Dvärghäxört</t>
        </is>
      </c>
      <c r="S889">
        <f>HYPERLINK("https://klasma.github.io/Logging_0860/artfynd/A 32768-2021 artfynd.xlsx", "A 32768-2021")</f>
        <v/>
      </c>
      <c r="T889">
        <f>HYPERLINK("https://klasma.github.io/Logging_0860/kartor/A 32768-2021 karta.png", "A 32768-2021")</f>
        <v/>
      </c>
      <c r="V889">
        <f>HYPERLINK("https://klasma.github.io/Logging_0860/klagomål/A 32768-2021 FSC-klagomål.docx", "A 32768-2021")</f>
        <v/>
      </c>
      <c r="W889">
        <f>HYPERLINK("https://klasma.github.io/Logging_0860/klagomålsmail/A 32768-2021 FSC-klagomål mail.docx", "A 32768-2021")</f>
        <v/>
      </c>
      <c r="X889">
        <f>HYPERLINK("https://klasma.github.io/Logging_0860/tillsyn/A 32768-2021 tillsynsbegäran.docx", "A 32768-2021")</f>
        <v/>
      </c>
      <c r="Y889">
        <f>HYPERLINK("https://klasma.github.io/Logging_0860/tillsynsmail/A 32768-2021 tillsynsbegäran mail.docx", "A 32768-2021")</f>
        <v/>
      </c>
    </row>
    <row r="890" ht="15" customHeight="1">
      <c r="A890" t="inlineStr">
        <is>
          <t>A 32936-2021</t>
        </is>
      </c>
      <c r="B890" s="1" t="n">
        <v>44375</v>
      </c>
      <c r="C890" s="1" t="n">
        <v>45832</v>
      </c>
      <c r="D890" t="inlineStr">
        <is>
          <t>KALMAR LÄN</t>
        </is>
      </c>
      <c r="E890" t="inlineStr">
        <is>
          <t>NYBRO</t>
        </is>
      </c>
      <c r="G890" t="n">
        <v>1.9</v>
      </c>
      <c r="H890" t="n">
        <v>1</v>
      </c>
      <c r="I890" t="n">
        <v>0</v>
      </c>
      <c r="J890" t="n">
        <v>0</v>
      </c>
      <c r="K890" t="n">
        <v>0</v>
      </c>
      <c r="L890" t="n">
        <v>0</v>
      </c>
      <c r="M890" t="n">
        <v>0</v>
      </c>
      <c r="N890" t="n">
        <v>0</v>
      </c>
      <c r="O890" t="n">
        <v>0</v>
      </c>
      <c r="P890" t="n">
        <v>0</v>
      </c>
      <c r="Q890" t="n">
        <v>1</v>
      </c>
      <c r="R890" s="2" t="inlineStr">
        <is>
          <t>Orre</t>
        </is>
      </c>
      <c r="S890">
        <f>HYPERLINK("https://klasma.github.io/Logging_0881/artfynd/A 32936-2021 artfynd.xlsx", "A 32936-2021")</f>
        <v/>
      </c>
      <c r="T890">
        <f>HYPERLINK("https://klasma.github.io/Logging_0881/kartor/A 32936-2021 karta.png", "A 32936-2021")</f>
        <v/>
      </c>
      <c r="V890">
        <f>HYPERLINK("https://klasma.github.io/Logging_0881/klagomål/A 32936-2021 FSC-klagomål.docx", "A 32936-2021")</f>
        <v/>
      </c>
      <c r="W890">
        <f>HYPERLINK("https://klasma.github.io/Logging_0881/klagomålsmail/A 32936-2021 FSC-klagomål mail.docx", "A 32936-2021")</f>
        <v/>
      </c>
      <c r="X890">
        <f>HYPERLINK("https://klasma.github.io/Logging_0881/tillsyn/A 32936-2021 tillsynsbegäran.docx", "A 32936-2021")</f>
        <v/>
      </c>
      <c r="Y890">
        <f>HYPERLINK("https://klasma.github.io/Logging_0881/tillsynsmail/A 32936-2021 tillsynsbegäran mail.docx", "A 32936-2021")</f>
        <v/>
      </c>
      <c r="Z890">
        <f>HYPERLINK("https://klasma.github.io/Logging_0881/fåglar/A 32936-2021 prioriterade fågelarter.docx", "A 32936-2021")</f>
        <v/>
      </c>
    </row>
    <row r="891" ht="15" customHeight="1">
      <c r="A891" t="inlineStr">
        <is>
          <t>A 33436-2021</t>
        </is>
      </c>
      <c r="B891" s="1" t="n">
        <v>44377</v>
      </c>
      <c r="C891" s="1" t="n">
        <v>45832</v>
      </c>
      <c r="D891" t="inlineStr">
        <is>
          <t>KALMAR LÄN</t>
        </is>
      </c>
      <c r="E891" t="inlineStr">
        <is>
          <t>VIMMERBY</t>
        </is>
      </c>
      <c r="G891" t="n">
        <v>11.8</v>
      </c>
      <c r="H891" t="n">
        <v>1</v>
      </c>
      <c r="I891" t="n">
        <v>0</v>
      </c>
      <c r="J891" t="n">
        <v>0</v>
      </c>
      <c r="K891" t="n">
        <v>1</v>
      </c>
      <c r="L891" t="n">
        <v>0</v>
      </c>
      <c r="M891" t="n">
        <v>0</v>
      </c>
      <c r="N891" t="n">
        <v>0</v>
      </c>
      <c r="O891" t="n">
        <v>1</v>
      </c>
      <c r="P891" t="n">
        <v>1</v>
      </c>
      <c r="Q891" t="n">
        <v>1</v>
      </c>
      <c r="R891" s="2" t="inlineStr">
        <is>
          <t>Knärot</t>
        </is>
      </c>
      <c r="S891">
        <f>HYPERLINK("https://klasma.github.io/Logging_0884/artfynd/A 33436-2021 artfynd.xlsx", "A 33436-2021")</f>
        <v/>
      </c>
      <c r="T891">
        <f>HYPERLINK("https://klasma.github.io/Logging_0884/kartor/A 33436-2021 karta.png", "A 33436-2021")</f>
        <v/>
      </c>
      <c r="U891">
        <f>HYPERLINK("https://klasma.github.io/Logging_0884/knärot/A 33436-2021 karta knärot.png", "A 33436-2021")</f>
        <v/>
      </c>
      <c r="V891">
        <f>HYPERLINK("https://klasma.github.io/Logging_0884/klagomål/A 33436-2021 FSC-klagomål.docx", "A 33436-2021")</f>
        <v/>
      </c>
      <c r="W891">
        <f>HYPERLINK("https://klasma.github.io/Logging_0884/klagomålsmail/A 33436-2021 FSC-klagomål mail.docx", "A 33436-2021")</f>
        <v/>
      </c>
      <c r="X891">
        <f>HYPERLINK("https://klasma.github.io/Logging_0884/tillsyn/A 33436-2021 tillsynsbegäran.docx", "A 33436-2021")</f>
        <v/>
      </c>
      <c r="Y891">
        <f>HYPERLINK("https://klasma.github.io/Logging_0884/tillsynsmail/A 33436-2021 tillsynsbegäran mail.docx", "A 33436-2021")</f>
        <v/>
      </c>
    </row>
    <row r="892" ht="15" customHeight="1">
      <c r="A892" t="inlineStr">
        <is>
          <t>A 33791-2021</t>
        </is>
      </c>
      <c r="B892" s="1" t="n">
        <v>44378</v>
      </c>
      <c r="C892" s="1" t="n">
        <v>45832</v>
      </c>
      <c r="D892" t="inlineStr">
        <is>
          <t>KALMAR LÄN</t>
        </is>
      </c>
      <c r="E892" t="inlineStr">
        <is>
          <t>KALMAR</t>
        </is>
      </c>
      <c r="G892" t="n">
        <v>1</v>
      </c>
      <c r="H892" t="n">
        <v>1</v>
      </c>
      <c r="I892" t="n">
        <v>0</v>
      </c>
      <c r="J892" t="n">
        <v>0</v>
      </c>
      <c r="K892" t="n">
        <v>1</v>
      </c>
      <c r="L892" t="n">
        <v>0</v>
      </c>
      <c r="M892" t="n">
        <v>0</v>
      </c>
      <c r="N892" t="n">
        <v>0</v>
      </c>
      <c r="O892" t="n">
        <v>1</v>
      </c>
      <c r="P892" t="n">
        <v>1</v>
      </c>
      <c r="Q892" t="n">
        <v>1</v>
      </c>
      <c r="R892" s="2" t="inlineStr">
        <is>
          <t>Sandödla</t>
        </is>
      </c>
      <c r="S892">
        <f>HYPERLINK("https://klasma.github.io/Logging_0880/artfynd/A 33791-2021 artfynd.xlsx", "A 33791-2021")</f>
        <v/>
      </c>
      <c r="T892">
        <f>HYPERLINK("https://klasma.github.io/Logging_0880/kartor/A 33791-2021 karta.png", "A 33791-2021")</f>
        <v/>
      </c>
      <c r="V892">
        <f>HYPERLINK("https://klasma.github.io/Logging_0880/klagomål/A 33791-2021 FSC-klagomål.docx", "A 33791-2021")</f>
        <v/>
      </c>
      <c r="W892">
        <f>HYPERLINK("https://klasma.github.io/Logging_0880/klagomålsmail/A 33791-2021 FSC-klagomål mail.docx", "A 33791-2021")</f>
        <v/>
      </c>
      <c r="X892">
        <f>HYPERLINK("https://klasma.github.io/Logging_0880/tillsyn/A 33791-2021 tillsynsbegäran.docx", "A 33791-2021")</f>
        <v/>
      </c>
      <c r="Y892">
        <f>HYPERLINK("https://klasma.github.io/Logging_0880/tillsynsmail/A 33791-2021 tillsynsbegäran mail.docx", "A 33791-2021")</f>
        <v/>
      </c>
    </row>
    <row r="893" ht="15" customHeight="1">
      <c r="A893" t="inlineStr">
        <is>
          <t>A 33837-2021</t>
        </is>
      </c>
      <c r="B893" s="1" t="n">
        <v>44378</v>
      </c>
      <c r="C893" s="1" t="n">
        <v>45832</v>
      </c>
      <c r="D893" t="inlineStr">
        <is>
          <t>KALMAR LÄN</t>
        </is>
      </c>
      <c r="E893" t="inlineStr">
        <is>
          <t>OSKARSHAMN</t>
        </is>
      </c>
      <c r="G893" t="n">
        <v>2.4</v>
      </c>
      <c r="H893" t="n">
        <v>0</v>
      </c>
      <c r="I893" t="n">
        <v>1</v>
      </c>
      <c r="J893" t="n">
        <v>0</v>
      </c>
      <c r="K893" t="n">
        <v>0</v>
      </c>
      <c r="L893" t="n">
        <v>0</v>
      </c>
      <c r="M893" t="n">
        <v>0</v>
      </c>
      <c r="N893" t="n">
        <v>0</v>
      </c>
      <c r="O893" t="n">
        <v>0</v>
      </c>
      <c r="P893" t="n">
        <v>0</v>
      </c>
      <c r="Q893" t="n">
        <v>1</v>
      </c>
      <c r="R893" s="2" t="inlineStr">
        <is>
          <t>Bronshjon</t>
        </is>
      </c>
      <c r="S893">
        <f>HYPERLINK("https://klasma.github.io/Logging_0882/artfynd/A 33837-2021 artfynd.xlsx", "A 33837-2021")</f>
        <v/>
      </c>
      <c r="T893">
        <f>HYPERLINK("https://klasma.github.io/Logging_0882/kartor/A 33837-2021 karta.png", "A 33837-2021")</f>
        <v/>
      </c>
      <c r="V893">
        <f>HYPERLINK("https://klasma.github.io/Logging_0882/klagomål/A 33837-2021 FSC-klagomål.docx", "A 33837-2021")</f>
        <v/>
      </c>
      <c r="W893">
        <f>HYPERLINK("https://klasma.github.io/Logging_0882/klagomålsmail/A 33837-2021 FSC-klagomål mail.docx", "A 33837-2021")</f>
        <v/>
      </c>
      <c r="X893">
        <f>HYPERLINK("https://klasma.github.io/Logging_0882/tillsyn/A 33837-2021 tillsynsbegäran.docx", "A 33837-2021")</f>
        <v/>
      </c>
      <c r="Y893">
        <f>HYPERLINK("https://klasma.github.io/Logging_0882/tillsynsmail/A 33837-2021 tillsynsbegäran mail.docx", "A 33837-2021")</f>
        <v/>
      </c>
    </row>
    <row r="894" ht="15" customHeight="1">
      <c r="A894" t="inlineStr">
        <is>
          <t>A 34097-2021</t>
        </is>
      </c>
      <c r="B894" s="1" t="n">
        <v>44379</v>
      </c>
      <c r="C894" s="1" t="n">
        <v>45832</v>
      </c>
      <c r="D894" t="inlineStr">
        <is>
          <t>KALMAR LÄN</t>
        </is>
      </c>
      <c r="E894" t="inlineStr">
        <is>
          <t>MÖNSTERÅS</t>
        </is>
      </c>
      <c r="G894" t="n">
        <v>7.5</v>
      </c>
      <c r="H894" t="n">
        <v>1</v>
      </c>
      <c r="I894" t="n">
        <v>0</v>
      </c>
      <c r="J894" t="n">
        <v>0</v>
      </c>
      <c r="K894" t="n">
        <v>0</v>
      </c>
      <c r="L894" t="n">
        <v>0</v>
      </c>
      <c r="M894" t="n">
        <v>0</v>
      </c>
      <c r="N894" t="n">
        <v>0</v>
      </c>
      <c r="O894" t="n">
        <v>0</v>
      </c>
      <c r="P894" t="n">
        <v>0</v>
      </c>
      <c r="Q894" t="n">
        <v>1</v>
      </c>
      <c r="R894" s="2" t="inlineStr">
        <is>
          <t>Nattviol</t>
        </is>
      </c>
      <c r="S894">
        <f>HYPERLINK("https://klasma.github.io/Logging_0861/artfynd/A 34097-2021 artfynd.xlsx", "A 34097-2021")</f>
        <v/>
      </c>
      <c r="T894">
        <f>HYPERLINK("https://klasma.github.io/Logging_0861/kartor/A 34097-2021 karta.png", "A 34097-2021")</f>
        <v/>
      </c>
      <c r="V894">
        <f>HYPERLINK("https://klasma.github.io/Logging_0861/klagomål/A 34097-2021 FSC-klagomål.docx", "A 34097-2021")</f>
        <v/>
      </c>
      <c r="W894">
        <f>HYPERLINK("https://klasma.github.io/Logging_0861/klagomålsmail/A 34097-2021 FSC-klagomål mail.docx", "A 34097-2021")</f>
        <v/>
      </c>
      <c r="X894">
        <f>HYPERLINK("https://klasma.github.io/Logging_0861/tillsyn/A 34097-2021 tillsynsbegäran.docx", "A 34097-2021")</f>
        <v/>
      </c>
      <c r="Y894">
        <f>HYPERLINK("https://klasma.github.io/Logging_0861/tillsynsmail/A 34097-2021 tillsynsbegäran mail.docx", "A 34097-2021")</f>
        <v/>
      </c>
    </row>
    <row r="895" ht="15" customHeight="1">
      <c r="A895" t="inlineStr">
        <is>
          <t>A 37346-2021</t>
        </is>
      </c>
      <c r="B895" s="1" t="n">
        <v>44397</v>
      </c>
      <c r="C895" s="1" t="n">
        <v>45832</v>
      </c>
      <c r="D895" t="inlineStr">
        <is>
          <t>KALMAR LÄN</t>
        </is>
      </c>
      <c r="E895" t="inlineStr">
        <is>
          <t>HULTSFRED</t>
        </is>
      </c>
      <c r="G895" t="n">
        <v>5.9</v>
      </c>
      <c r="H895" t="n">
        <v>1</v>
      </c>
      <c r="I895" t="n">
        <v>0</v>
      </c>
      <c r="J895" t="n">
        <v>0</v>
      </c>
      <c r="K895" t="n">
        <v>1</v>
      </c>
      <c r="L895" t="n">
        <v>0</v>
      </c>
      <c r="M895" t="n">
        <v>0</v>
      </c>
      <c r="N895" t="n">
        <v>0</v>
      </c>
      <c r="O895" t="n">
        <v>1</v>
      </c>
      <c r="P895" t="n">
        <v>1</v>
      </c>
      <c r="Q895" t="n">
        <v>1</v>
      </c>
      <c r="R895" s="2" t="inlineStr">
        <is>
          <t>Knärot</t>
        </is>
      </c>
      <c r="S895">
        <f>HYPERLINK("https://klasma.github.io/Logging_0860/artfynd/A 37346-2021 artfynd.xlsx", "A 37346-2021")</f>
        <v/>
      </c>
      <c r="T895">
        <f>HYPERLINK("https://klasma.github.io/Logging_0860/kartor/A 37346-2021 karta.png", "A 37346-2021")</f>
        <v/>
      </c>
      <c r="U895">
        <f>HYPERLINK("https://klasma.github.io/Logging_0860/knärot/A 37346-2021 karta knärot.png", "A 37346-2021")</f>
        <v/>
      </c>
      <c r="V895">
        <f>HYPERLINK("https://klasma.github.io/Logging_0860/klagomål/A 37346-2021 FSC-klagomål.docx", "A 37346-2021")</f>
        <v/>
      </c>
      <c r="W895">
        <f>HYPERLINK("https://klasma.github.io/Logging_0860/klagomålsmail/A 37346-2021 FSC-klagomål mail.docx", "A 37346-2021")</f>
        <v/>
      </c>
      <c r="X895">
        <f>HYPERLINK("https://klasma.github.io/Logging_0860/tillsyn/A 37346-2021 tillsynsbegäran.docx", "A 37346-2021")</f>
        <v/>
      </c>
      <c r="Y895">
        <f>HYPERLINK("https://klasma.github.io/Logging_0860/tillsynsmail/A 37346-2021 tillsynsbegäran mail.docx", "A 37346-2021")</f>
        <v/>
      </c>
    </row>
    <row r="896" ht="15" customHeight="1">
      <c r="A896" t="inlineStr">
        <is>
          <t>A 37930-2021</t>
        </is>
      </c>
      <c r="B896" s="1" t="n">
        <v>44403</v>
      </c>
      <c r="C896" s="1" t="n">
        <v>45832</v>
      </c>
      <c r="D896" t="inlineStr">
        <is>
          <t>KALMAR LÄN</t>
        </is>
      </c>
      <c r="E896" t="inlineStr">
        <is>
          <t>VIMMERBY</t>
        </is>
      </c>
      <c r="G896" t="n">
        <v>4.4</v>
      </c>
      <c r="H896" t="n">
        <v>0</v>
      </c>
      <c r="I896" t="n">
        <v>0</v>
      </c>
      <c r="J896" t="n">
        <v>1</v>
      </c>
      <c r="K896" t="n">
        <v>0</v>
      </c>
      <c r="L896" t="n">
        <v>0</v>
      </c>
      <c r="M896" t="n">
        <v>0</v>
      </c>
      <c r="N896" t="n">
        <v>0</v>
      </c>
      <c r="O896" t="n">
        <v>1</v>
      </c>
      <c r="P896" t="n">
        <v>0</v>
      </c>
      <c r="Q896" t="n">
        <v>1</v>
      </c>
      <c r="R896" s="2" t="inlineStr">
        <is>
          <t>Spindelört</t>
        </is>
      </c>
      <c r="S896">
        <f>HYPERLINK("https://klasma.github.io/Logging_0884/artfynd/A 37930-2021 artfynd.xlsx", "A 37930-2021")</f>
        <v/>
      </c>
      <c r="T896">
        <f>HYPERLINK("https://klasma.github.io/Logging_0884/kartor/A 37930-2021 karta.png", "A 37930-2021")</f>
        <v/>
      </c>
      <c r="V896">
        <f>HYPERLINK("https://klasma.github.io/Logging_0884/klagomål/A 37930-2021 FSC-klagomål.docx", "A 37930-2021")</f>
        <v/>
      </c>
      <c r="W896">
        <f>HYPERLINK("https://klasma.github.io/Logging_0884/klagomålsmail/A 37930-2021 FSC-klagomål mail.docx", "A 37930-2021")</f>
        <v/>
      </c>
      <c r="X896">
        <f>HYPERLINK("https://klasma.github.io/Logging_0884/tillsyn/A 37930-2021 tillsynsbegäran.docx", "A 37930-2021")</f>
        <v/>
      </c>
      <c r="Y896">
        <f>HYPERLINK("https://klasma.github.io/Logging_0884/tillsynsmail/A 37930-2021 tillsynsbegäran mail.docx", "A 37930-2021")</f>
        <v/>
      </c>
    </row>
    <row r="897" ht="15" customHeight="1">
      <c r="A897" t="inlineStr">
        <is>
          <t>A 38317-2021</t>
        </is>
      </c>
      <c r="B897" s="1" t="n">
        <v>44406</v>
      </c>
      <c r="C897" s="1" t="n">
        <v>45832</v>
      </c>
      <c r="D897" t="inlineStr">
        <is>
          <t>KALMAR LÄN</t>
        </is>
      </c>
      <c r="E897" t="inlineStr">
        <is>
          <t>OSKARSHAMN</t>
        </is>
      </c>
      <c r="G897" t="n">
        <v>14.4</v>
      </c>
      <c r="H897" t="n">
        <v>1</v>
      </c>
      <c r="I897" t="n">
        <v>0</v>
      </c>
      <c r="J897" t="n">
        <v>0</v>
      </c>
      <c r="K897" t="n">
        <v>0</v>
      </c>
      <c r="L897" t="n">
        <v>0</v>
      </c>
      <c r="M897" t="n">
        <v>0</v>
      </c>
      <c r="N897" t="n">
        <v>0</v>
      </c>
      <c r="O897" t="n">
        <v>0</v>
      </c>
      <c r="P897" t="n">
        <v>0</v>
      </c>
      <c r="Q897" t="n">
        <v>1</v>
      </c>
      <c r="R897" s="2" t="inlineStr">
        <is>
          <t>Tjäder</t>
        </is>
      </c>
      <c r="S897">
        <f>HYPERLINK("https://klasma.github.io/Logging_0882/artfynd/A 38317-2021 artfynd.xlsx", "A 38317-2021")</f>
        <v/>
      </c>
      <c r="T897">
        <f>HYPERLINK("https://klasma.github.io/Logging_0882/kartor/A 38317-2021 karta.png", "A 38317-2021")</f>
        <v/>
      </c>
      <c r="V897">
        <f>HYPERLINK("https://klasma.github.io/Logging_0882/klagomål/A 38317-2021 FSC-klagomål.docx", "A 38317-2021")</f>
        <v/>
      </c>
      <c r="W897">
        <f>HYPERLINK("https://klasma.github.io/Logging_0882/klagomålsmail/A 38317-2021 FSC-klagomål mail.docx", "A 38317-2021")</f>
        <v/>
      </c>
      <c r="X897">
        <f>HYPERLINK("https://klasma.github.io/Logging_0882/tillsyn/A 38317-2021 tillsynsbegäran.docx", "A 38317-2021")</f>
        <v/>
      </c>
      <c r="Y897">
        <f>HYPERLINK("https://klasma.github.io/Logging_0882/tillsynsmail/A 38317-2021 tillsynsbegäran mail.docx", "A 38317-2021")</f>
        <v/>
      </c>
      <c r="Z897">
        <f>HYPERLINK("https://klasma.github.io/Logging_0882/fåglar/A 38317-2021 prioriterade fågelarter.docx", "A 38317-2021")</f>
        <v/>
      </c>
    </row>
    <row r="898" ht="15" customHeight="1">
      <c r="A898" t="inlineStr">
        <is>
          <t>A 38954-2021</t>
        </is>
      </c>
      <c r="B898" s="1" t="n">
        <v>44411</v>
      </c>
      <c r="C898" s="1" t="n">
        <v>45832</v>
      </c>
      <c r="D898" t="inlineStr">
        <is>
          <t>KALMAR LÄN</t>
        </is>
      </c>
      <c r="E898" t="inlineStr">
        <is>
          <t>OSKARSHAMN</t>
        </is>
      </c>
      <c r="G898" t="n">
        <v>7.3</v>
      </c>
      <c r="H898" t="n">
        <v>1</v>
      </c>
      <c r="I898" t="n">
        <v>0</v>
      </c>
      <c r="J898" t="n">
        <v>0</v>
      </c>
      <c r="K898" t="n">
        <v>0</v>
      </c>
      <c r="L898" t="n">
        <v>0</v>
      </c>
      <c r="M898" t="n">
        <v>0</v>
      </c>
      <c r="N898" t="n">
        <v>0</v>
      </c>
      <c r="O898" t="n">
        <v>0</v>
      </c>
      <c r="P898" t="n">
        <v>0</v>
      </c>
      <c r="Q898" t="n">
        <v>1</v>
      </c>
      <c r="R898" s="2" t="inlineStr">
        <is>
          <t>Tjäder</t>
        </is>
      </c>
      <c r="S898">
        <f>HYPERLINK("https://klasma.github.io/Logging_0882/artfynd/A 38954-2021 artfynd.xlsx", "A 38954-2021")</f>
        <v/>
      </c>
      <c r="T898">
        <f>HYPERLINK("https://klasma.github.io/Logging_0882/kartor/A 38954-2021 karta.png", "A 38954-2021")</f>
        <v/>
      </c>
      <c r="V898">
        <f>HYPERLINK("https://klasma.github.io/Logging_0882/klagomål/A 38954-2021 FSC-klagomål.docx", "A 38954-2021")</f>
        <v/>
      </c>
      <c r="W898">
        <f>HYPERLINK("https://klasma.github.io/Logging_0882/klagomålsmail/A 38954-2021 FSC-klagomål mail.docx", "A 38954-2021")</f>
        <v/>
      </c>
      <c r="X898">
        <f>HYPERLINK("https://klasma.github.io/Logging_0882/tillsyn/A 38954-2021 tillsynsbegäran.docx", "A 38954-2021")</f>
        <v/>
      </c>
      <c r="Y898">
        <f>HYPERLINK("https://klasma.github.io/Logging_0882/tillsynsmail/A 38954-2021 tillsynsbegäran mail.docx", "A 38954-2021")</f>
        <v/>
      </c>
      <c r="Z898">
        <f>HYPERLINK("https://klasma.github.io/Logging_0882/fåglar/A 38954-2021 prioriterade fågelarter.docx", "A 38954-2021")</f>
        <v/>
      </c>
    </row>
    <row r="899" ht="15" customHeight="1">
      <c r="A899" t="inlineStr">
        <is>
          <t>A 39875-2021</t>
        </is>
      </c>
      <c r="B899" s="1" t="n">
        <v>44417</v>
      </c>
      <c r="C899" s="1" t="n">
        <v>45832</v>
      </c>
      <c r="D899" t="inlineStr">
        <is>
          <t>KALMAR LÄN</t>
        </is>
      </c>
      <c r="E899" t="inlineStr">
        <is>
          <t>HULTSFRED</t>
        </is>
      </c>
      <c r="G899" t="n">
        <v>8</v>
      </c>
      <c r="H899" t="n">
        <v>1</v>
      </c>
      <c r="I899" t="n">
        <v>0</v>
      </c>
      <c r="J899" t="n">
        <v>1</v>
      </c>
      <c r="K899" t="n">
        <v>0</v>
      </c>
      <c r="L899" t="n">
        <v>0</v>
      </c>
      <c r="M899" t="n">
        <v>0</v>
      </c>
      <c r="N899" t="n">
        <v>0</v>
      </c>
      <c r="O899" t="n">
        <v>1</v>
      </c>
      <c r="P899" t="n">
        <v>0</v>
      </c>
      <c r="Q899" t="n">
        <v>1</v>
      </c>
      <c r="R899" s="2" t="inlineStr">
        <is>
          <t>Talltita</t>
        </is>
      </c>
      <c r="S899">
        <f>HYPERLINK("https://klasma.github.io/Logging_0860/artfynd/A 39875-2021 artfynd.xlsx", "A 39875-2021")</f>
        <v/>
      </c>
      <c r="T899">
        <f>HYPERLINK("https://klasma.github.io/Logging_0860/kartor/A 39875-2021 karta.png", "A 39875-2021")</f>
        <v/>
      </c>
      <c r="V899">
        <f>HYPERLINK("https://klasma.github.io/Logging_0860/klagomål/A 39875-2021 FSC-klagomål.docx", "A 39875-2021")</f>
        <v/>
      </c>
      <c r="W899">
        <f>HYPERLINK("https://klasma.github.io/Logging_0860/klagomålsmail/A 39875-2021 FSC-klagomål mail.docx", "A 39875-2021")</f>
        <v/>
      </c>
      <c r="X899">
        <f>HYPERLINK("https://klasma.github.io/Logging_0860/tillsyn/A 39875-2021 tillsynsbegäran.docx", "A 39875-2021")</f>
        <v/>
      </c>
      <c r="Y899">
        <f>HYPERLINK("https://klasma.github.io/Logging_0860/tillsynsmail/A 39875-2021 tillsynsbegäran mail.docx", "A 39875-2021")</f>
        <v/>
      </c>
      <c r="Z899">
        <f>HYPERLINK("https://klasma.github.io/Logging_0860/fåglar/A 39875-2021 prioriterade fågelarter.docx", "A 39875-2021")</f>
        <v/>
      </c>
    </row>
    <row r="900" ht="15" customHeight="1">
      <c r="A900" t="inlineStr">
        <is>
          <t>A 41263-2021</t>
        </is>
      </c>
      <c r="B900" s="1" t="n">
        <v>44424</v>
      </c>
      <c r="C900" s="1" t="n">
        <v>45832</v>
      </c>
      <c r="D900" t="inlineStr">
        <is>
          <t>KALMAR LÄN</t>
        </is>
      </c>
      <c r="E900" t="inlineStr">
        <is>
          <t>MÖNSTERÅS</t>
        </is>
      </c>
      <c r="G900" t="n">
        <v>4.1</v>
      </c>
      <c r="H900" t="n">
        <v>0</v>
      </c>
      <c r="I900" t="n">
        <v>0</v>
      </c>
      <c r="J900" t="n">
        <v>1</v>
      </c>
      <c r="K900" t="n">
        <v>0</v>
      </c>
      <c r="L900" t="n">
        <v>0</v>
      </c>
      <c r="M900" t="n">
        <v>0</v>
      </c>
      <c r="N900" t="n">
        <v>0</v>
      </c>
      <c r="O900" t="n">
        <v>1</v>
      </c>
      <c r="P900" t="n">
        <v>0</v>
      </c>
      <c r="Q900" t="n">
        <v>1</v>
      </c>
      <c r="R900" s="2" t="inlineStr">
        <is>
          <t>Leptoporus erubescens</t>
        </is>
      </c>
      <c r="S900">
        <f>HYPERLINK("https://klasma.github.io/Logging_0861/artfynd/A 41263-2021 artfynd.xlsx", "A 41263-2021")</f>
        <v/>
      </c>
      <c r="T900">
        <f>HYPERLINK("https://klasma.github.io/Logging_0861/kartor/A 41263-2021 karta.png", "A 41263-2021")</f>
        <v/>
      </c>
      <c r="V900">
        <f>HYPERLINK("https://klasma.github.io/Logging_0861/klagomål/A 41263-2021 FSC-klagomål.docx", "A 41263-2021")</f>
        <v/>
      </c>
      <c r="W900">
        <f>HYPERLINK("https://klasma.github.io/Logging_0861/klagomålsmail/A 41263-2021 FSC-klagomål mail.docx", "A 41263-2021")</f>
        <v/>
      </c>
      <c r="X900">
        <f>HYPERLINK("https://klasma.github.io/Logging_0861/tillsyn/A 41263-2021 tillsynsbegäran.docx", "A 41263-2021")</f>
        <v/>
      </c>
      <c r="Y900">
        <f>HYPERLINK("https://klasma.github.io/Logging_0861/tillsynsmail/A 41263-2021 tillsynsbegäran mail.docx", "A 41263-2021")</f>
        <v/>
      </c>
    </row>
    <row r="901" ht="15" customHeight="1">
      <c r="A901" t="inlineStr">
        <is>
          <t>A 42374-2021</t>
        </is>
      </c>
      <c r="B901" s="1" t="n">
        <v>44427</v>
      </c>
      <c r="C901" s="1" t="n">
        <v>45832</v>
      </c>
      <c r="D901" t="inlineStr">
        <is>
          <t>KALMAR LÄN</t>
        </is>
      </c>
      <c r="E901" t="inlineStr">
        <is>
          <t>OSKARSHAMN</t>
        </is>
      </c>
      <c r="G901" t="n">
        <v>29.4</v>
      </c>
      <c r="H901" t="n">
        <v>1</v>
      </c>
      <c r="I901" t="n">
        <v>0</v>
      </c>
      <c r="J901" t="n">
        <v>1</v>
      </c>
      <c r="K901" t="n">
        <v>0</v>
      </c>
      <c r="L901" t="n">
        <v>0</v>
      </c>
      <c r="M901" t="n">
        <v>0</v>
      </c>
      <c r="N901" t="n">
        <v>0</v>
      </c>
      <c r="O901" t="n">
        <v>1</v>
      </c>
      <c r="P901" t="n">
        <v>0</v>
      </c>
      <c r="Q901" t="n">
        <v>1</v>
      </c>
      <c r="R901" s="2" t="inlineStr">
        <is>
          <t>Talltita</t>
        </is>
      </c>
      <c r="S901">
        <f>HYPERLINK("https://klasma.github.io/Logging_0882/artfynd/A 42374-2021 artfynd.xlsx", "A 42374-2021")</f>
        <v/>
      </c>
      <c r="T901">
        <f>HYPERLINK("https://klasma.github.io/Logging_0882/kartor/A 42374-2021 karta.png", "A 42374-2021")</f>
        <v/>
      </c>
      <c r="V901">
        <f>HYPERLINK("https://klasma.github.io/Logging_0882/klagomål/A 42374-2021 FSC-klagomål.docx", "A 42374-2021")</f>
        <v/>
      </c>
      <c r="W901">
        <f>HYPERLINK("https://klasma.github.io/Logging_0882/klagomålsmail/A 42374-2021 FSC-klagomål mail.docx", "A 42374-2021")</f>
        <v/>
      </c>
      <c r="X901">
        <f>HYPERLINK("https://klasma.github.io/Logging_0882/tillsyn/A 42374-2021 tillsynsbegäran.docx", "A 42374-2021")</f>
        <v/>
      </c>
      <c r="Y901">
        <f>HYPERLINK("https://klasma.github.io/Logging_0882/tillsynsmail/A 42374-2021 tillsynsbegäran mail.docx", "A 42374-2021")</f>
        <v/>
      </c>
      <c r="Z901">
        <f>HYPERLINK("https://klasma.github.io/Logging_0882/fåglar/A 42374-2021 prioriterade fågelarter.docx", "A 42374-2021")</f>
        <v/>
      </c>
    </row>
    <row r="902" ht="15" customHeight="1">
      <c r="A902" t="inlineStr">
        <is>
          <t>A 44635-2021</t>
        </is>
      </c>
      <c r="B902" s="1" t="n">
        <v>44437</v>
      </c>
      <c r="C902" s="1" t="n">
        <v>45832</v>
      </c>
      <c r="D902" t="inlineStr">
        <is>
          <t>KALMAR LÄN</t>
        </is>
      </c>
      <c r="E902" t="inlineStr">
        <is>
          <t>VÄSTERVIK</t>
        </is>
      </c>
      <c r="G902" t="n">
        <v>0.9</v>
      </c>
      <c r="H902" t="n">
        <v>0</v>
      </c>
      <c r="I902" t="n">
        <v>1</v>
      </c>
      <c r="J902" t="n">
        <v>0</v>
      </c>
      <c r="K902" t="n">
        <v>0</v>
      </c>
      <c r="L902" t="n">
        <v>0</v>
      </c>
      <c r="M902" t="n">
        <v>0</v>
      </c>
      <c r="N902" t="n">
        <v>0</v>
      </c>
      <c r="O902" t="n">
        <v>0</v>
      </c>
      <c r="P902" t="n">
        <v>0</v>
      </c>
      <c r="Q902" t="n">
        <v>1</v>
      </c>
      <c r="R902" s="2" t="inlineStr">
        <is>
          <t>Brandticka</t>
        </is>
      </c>
      <c r="S902">
        <f>HYPERLINK("https://klasma.github.io/Logging_0883/artfynd/A 44635-2021 artfynd.xlsx", "A 44635-2021")</f>
        <v/>
      </c>
      <c r="T902">
        <f>HYPERLINK("https://klasma.github.io/Logging_0883/kartor/A 44635-2021 karta.png", "A 44635-2021")</f>
        <v/>
      </c>
      <c r="V902">
        <f>HYPERLINK("https://klasma.github.io/Logging_0883/klagomål/A 44635-2021 FSC-klagomål.docx", "A 44635-2021")</f>
        <v/>
      </c>
      <c r="W902">
        <f>HYPERLINK("https://klasma.github.io/Logging_0883/klagomålsmail/A 44635-2021 FSC-klagomål mail.docx", "A 44635-2021")</f>
        <v/>
      </c>
      <c r="X902">
        <f>HYPERLINK("https://klasma.github.io/Logging_0883/tillsyn/A 44635-2021 tillsynsbegäran.docx", "A 44635-2021")</f>
        <v/>
      </c>
      <c r="Y902">
        <f>HYPERLINK("https://klasma.github.io/Logging_0883/tillsynsmail/A 44635-2021 tillsynsbegäran mail.docx", "A 44635-2021")</f>
        <v/>
      </c>
    </row>
    <row r="903" ht="15" customHeight="1">
      <c r="A903" t="inlineStr">
        <is>
          <t>A 45178-2021</t>
        </is>
      </c>
      <c r="B903" s="1" t="n">
        <v>44439</v>
      </c>
      <c r="C903" s="1" t="n">
        <v>45832</v>
      </c>
      <c r="D903" t="inlineStr">
        <is>
          <t>KALMAR LÄN</t>
        </is>
      </c>
      <c r="E903" t="inlineStr">
        <is>
          <t>MÖNSTERÅS</t>
        </is>
      </c>
      <c r="G903" t="n">
        <v>8.9</v>
      </c>
      <c r="H903" t="n">
        <v>1</v>
      </c>
      <c r="I903" t="n">
        <v>0</v>
      </c>
      <c r="J903" t="n">
        <v>0</v>
      </c>
      <c r="K903" t="n">
        <v>1</v>
      </c>
      <c r="L903" t="n">
        <v>0</v>
      </c>
      <c r="M903" t="n">
        <v>0</v>
      </c>
      <c r="N903" t="n">
        <v>0</v>
      </c>
      <c r="O903" t="n">
        <v>1</v>
      </c>
      <c r="P903" t="n">
        <v>1</v>
      </c>
      <c r="Q903" t="n">
        <v>1</v>
      </c>
      <c r="R903" s="2" t="inlineStr">
        <is>
          <t>Knärot</t>
        </is>
      </c>
      <c r="S903">
        <f>HYPERLINK("https://klasma.github.io/Logging_0861/artfynd/A 45178-2021 artfynd.xlsx", "A 45178-2021")</f>
        <v/>
      </c>
      <c r="T903">
        <f>HYPERLINK("https://klasma.github.io/Logging_0861/kartor/A 45178-2021 karta.png", "A 45178-2021")</f>
        <v/>
      </c>
      <c r="U903">
        <f>HYPERLINK("https://klasma.github.io/Logging_0861/knärot/A 45178-2021 karta knärot.png", "A 45178-2021")</f>
        <v/>
      </c>
      <c r="V903">
        <f>HYPERLINK("https://klasma.github.io/Logging_0861/klagomål/A 45178-2021 FSC-klagomål.docx", "A 45178-2021")</f>
        <v/>
      </c>
      <c r="W903">
        <f>HYPERLINK("https://klasma.github.io/Logging_0861/klagomålsmail/A 45178-2021 FSC-klagomål mail.docx", "A 45178-2021")</f>
        <v/>
      </c>
      <c r="X903">
        <f>HYPERLINK("https://klasma.github.io/Logging_0861/tillsyn/A 45178-2021 tillsynsbegäran.docx", "A 45178-2021")</f>
        <v/>
      </c>
      <c r="Y903">
        <f>HYPERLINK("https://klasma.github.io/Logging_0861/tillsynsmail/A 45178-2021 tillsynsbegäran mail.docx", "A 45178-2021")</f>
        <v/>
      </c>
    </row>
    <row r="904" ht="15" customHeight="1">
      <c r="A904" t="inlineStr">
        <is>
          <t>A 46550-2021</t>
        </is>
      </c>
      <c r="B904" s="1" t="n">
        <v>44445</v>
      </c>
      <c r="C904" s="1" t="n">
        <v>45832</v>
      </c>
      <c r="D904" t="inlineStr">
        <is>
          <t>KALMAR LÄN</t>
        </is>
      </c>
      <c r="E904" t="inlineStr">
        <is>
          <t>EMMABODA</t>
        </is>
      </c>
      <c r="G904" t="n">
        <v>3.7</v>
      </c>
      <c r="H904" t="n">
        <v>0</v>
      </c>
      <c r="I904" t="n">
        <v>0</v>
      </c>
      <c r="J904" t="n">
        <v>1</v>
      </c>
      <c r="K904" t="n">
        <v>0</v>
      </c>
      <c r="L904" t="n">
        <v>0</v>
      </c>
      <c r="M904" t="n">
        <v>0</v>
      </c>
      <c r="N904" t="n">
        <v>0</v>
      </c>
      <c r="O904" t="n">
        <v>1</v>
      </c>
      <c r="P904" t="n">
        <v>0</v>
      </c>
      <c r="Q904" t="n">
        <v>1</v>
      </c>
      <c r="R904" s="2" t="inlineStr">
        <is>
          <t>Åkerkulla</t>
        </is>
      </c>
      <c r="S904">
        <f>HYPERLINK("https://klasma.github.io/Logging_0862/artfynd/A 46550-2021 artfynd.xlsx", "A 46550-2021")</f>
        <v/>
      </c>
      <c r="T904">
        <f>HYPERLINK("https://klasma.github.io/Logging_0862/kartor/A 46550-2021 karta.png", "A 46550-2021")</f>
        <v/>
      </c>
      <c r="V904">
        <f>HYPERLINK("https://klasma.github.io/Logging_0862/klagomål/A 46550-2021 FSC-klagomål.docx", "A 46550-2021")</f>
        <v/>
      </c>
      <c r="W904">
        <f>HYPERLINK("https://klasma.github.io/Logging_0862/klagomålsmail/A 46550-2021 FSC-klagomål mail.docx", "A 46550-2021")</f>
        <v/>
      </c>
      <c r="X904">
        <f>HYPERLINK("https://klasma.github.io/Logging_0862/tillsyn/A 46550-2021 tillsynsbegäran.docx", "A 46550-2021")</f>
        <v/>
      </c>
      <c r="Y904">
        <f>HYPERLINK("https://klasma.github.io/Logging_0862/tillsynsmail/A 46550-2021 tillsynsbegäran mail.docx", "A 46550-2021")</f>
        <v/>
      </c>
    </row>
    <row r="905" ht="15" customHeight="1">
      <c r="A905" t="inlineStr">
        <is>
          <t>A 47582-2021</t>
        </is>
      </c>
      <c r="B905" s="1" t="n">
        <v>44448</v>
      </c>
      <c r="C905" s="1" t="n">
        <v>45832</v>
      </c>
      <c r="D905" t="inlineStr">
        <is>
          <t>KALMAR LÄN</t>
        </is>
      </c>
      <c r="E905" t="inlineStr">
        <is>
          <t>NYBRO</t>
        </is>
      </c>
      <c r="G905" t="n">
        <v>4.5</v>
      </c>
      <c r="H905" t="n">
        <v>1</v>
      </c>
      <c r="I905" t="n">
        <v>0</v>
      </c>
      <c r="J905" t="n">
        <v>0</v>
      </c>
      <c r="K905" t="n">
        <v>0</v>
      </c>
      <c r="L905" t="n">
        <v>0</v>
      </c>
      <c r="M905" t="n">
        <v>0</v>
      </c>
      <c r="N905" t="n">
        <v>0</v>
      </c>
      <c r="O905" t="n">
        <v>0</v>
      </c>
      <c r="P905" t="n">
        <v>0</v>
      </c>
      <c r="Q905" t="n">
        <v>1</v>
      </c>
      <c r="R905" s="2" t="inlineStr">
        <is>
          <t>Kungsfågel</t>
        </is>
      </c>
      <c r="S905">
        <f>HYPERLINK("https://klasma.github.io/Logging_0881/artfynd/A 47582-2021 artfynd.xlsx", "A 47582-2021")</f>
        <v/>
      </c>
      <c r="T905">
        <f>HYPERLINK("https://klasma.github.io/Logging_0881/kartor/A 47582-2021 karta.png", "A 47582-2021")</f>
        <v/>
      </c>
      <c r="V905">
        <f>HYPERLINK("https://klasma.github.io/Logging_0881/klagomål/A 47582-2021 FSC-klagomål.docx", "A 47582-2021")</f>
        <v/>
      </c>
      <c r="W905">
        <f>HYPERLINK("https://klasma.github.io/Logging_0881/klagomålsmail/A 47582-2021 FSC-klagomål mail.docx", "A 47582-2021")</f>
        <v/>
      </c>
      <c r="X905">
        <f>HYPERLINK("https://klasma.github.io/Logging_0881/tillsyn/A 47582-2021 tillsynsbegäran.docx", "A 47582-2021")</f>
        <v/>
      </c>
      <c r="Y905">
        <f>HYPERLINK("https://klasma.github.io/Logging_0881/tillsynsmail/A 47582-2021 tillsynsbegäran mail.docx", "A 47582-2021")</f>
        <v/>
      </c>
      <c r="Z905">
        <f>HYPERLINK("https://klasma.github.io/Logging_0881/fåglar/A 47582-2021 prioriterade fågelarter.docx", "A 47582-2021")</f>
        <v/>
      </c>
    </row>
    <row r="906" ht="15" customHeight="1">
      <c r="A906" t="inlineStr">
        <is>
          <t>A 47860-2021</t>
        </is>
      </c>
      <c r="B906" s="1" t="n">
        <v>44448</v>
      </c>
      <c r="C906" s="1" t="n">
        <v>45832</v>
      </c>
      <c r="D906" t="inlineStr">
        <is>
          <t>KALMAR LÄN</t>
        </is>
      </c>
      <c r="E906" t="inlineStr">
        <is>
          <t>VÄSTERVIK</t>
        </is>
      </c>
      <c r="G906" t="n">
        <v>2.8</v>
      </c>
      <c r="H906" t="n">
        <v>0</v>
      </c>
      <c r="I906" t="n">
        <v>0</v>
      </c>
      <c r="J906" t="n">
        <v>1</v>
      </c>
      <c r="K906" t="n">
        <v>0</v>
      </c>
      <c r="L906" t="n">
        <v>0</v>
      </c>
      <c r="M906" t="n">
        <v>0</v>
      </c>
      <c r="N906" t="n">
        <v>0</v>
      </c>
      <c r="O906" t="n">
        <v>1</v>
      </c>
      <c r="P906" t="n">
        <v>0</v>
      </c>
      <c r="Q906" t="n">
        <v>1</v>
      </c>
      <c r="R906" s="2" t="inlineStr">
        <is>
          <t>Tallticka</t>
        </is>
      </c>
      <c r="S906">
        <f>HYPERLINK("https://klasma.github.io/Logging_0883/artfynd/A 47860-2021 artfynd.xlsx", "A 47860-2021")</f>
        <v/>
      </c>
      <c r="T906">
        <f>HYPERLINK("https://klasma.github.io/Logging_0883/kartor/A 47860-2021 karta.png", "A 47860-2021")</f>
        <v/>
      </c>
      <c r="V906">
        <f>HYPERLINK("https://klasma.github.io/Logging_0883/klagomål/A 47860-2021 FSC-klagomål.docx", "A 47860-2021")</f>
        <v/>
      </c>
      <c r="W906">
        <f>HYPERLINK("https://klasma.github.io/Logging_0883/klagomålsmail/A 47860-2021 FSC-klagomål mail.docx", "A 47860-2021")</f>
        <v/>
      </c>
      <c r="X906">
        <f>HYPERLINK("https://klasma.github.io/Logging_0883/tillsyn/A 47860-2021 tillsynsbegäran.docx", "A 47860-2021")</f>
        <v/>
      </c>
      <c r="Y906">
        <f>HYPERLINK("https://klasma.github.io/Logging_0883/tillsynsmail/A 47860-2021 tillsynsbegäran mail.docx", "A 47860-2021")</f>
        <v/>
      </c>
    </row>
    <row r="907" ht="15" customHeight="1">
      <c r="A907" t="inlineStr">
        <is>
          <t>A 48006-2021</t>
        </is>
      </c>
      <c r="B907" s="1" t="n">
        <v>44449</v>
      </c>
      <c r="C907" s="1" t="n">
        <v>45832</v>
      </c>
      <c r="D907" t="inlineStr">
        <is>
          <t>KALMAR LÄN</t>
        </is>
      </c>
      <c r="E907" t="inlineStr">
        <is>
          <t>NYBRO</t>
        </is>
      </c>
      <c r="F907" t="inlineStr">
        <is>
          <t>Sveaskog</t>
        </is>
      </c>
      <c r="G907" t="n">
        <v>1.2</v>
      </c>
      <c r="H907" t="n">
        <v>0</v>
      </c>
      <c r="I907" t="n">
        <v>1</v>
      </c>
      <c r="J907" t="n">
        <v>0</v>
      </c>
      <c r="K907" t="n">
        <v>0</v>
      </c>
      <c r="L907" t="n">
        <v>0</v>
      </c>
      <c r="M907" t="n">
        <v>0</v>
      </c>
      <c r="N907" t="n">
        <v>0</v>
      </c>
      <c r="O907" t="n">
        <v>0</v>
      </c>
      <c r="P907" t="n">
        <v>0</v>
      </c>
      <c r="Q907" t="n">
        <v>1</v>
      </c>
      <c r="R907" s="2" t="inlineStr">
        <is>
          <t>Rostfläck</t>
        </is>
      </c>
      <c r="S907">
        <f>HYPERLINK("https://klasma.github.io/Logging_0881/artfynd/A 48006-2021 artfynd.xlsx", "A 48006-2021")</f>
        <v/>
      </c>
      <c r="T907">
        <f>HYPERLINK("https://klasma.github.io/Logging_0881/kartor/A 48006-2021 karta.png", "A 48006-2021")</f>
        <v/>
      </c>
      <c r="V907">
        <f>HYPERLINK("https://klasma.github.io/Logging_0881/klagomål/A 48006-2021 FSC-klagomål.docx", "A 48006-2021")</f>
        <v/>
      </c>
      <c r="W907">
        <f>HYPERLINK("https://klasma.github.io/Logging_0881/klagomålsmail/A 48006-2021 FSC-klagomål mail.docx", "A 48006-2021")</f>
        <v/>
      </c>
      <c r="X907">
        <f>HYPERLINK("https://klasma.github.io/Logging_0881/tillsyn/A 48006-2021 tillsynsbegäran.docx", "A 48006-2021")</f>
        <v/>
      </c>
      <c r="Y907">
        <f>HYPERLINK("https://klasma.github.io/Logging_0881/tillsynsmail/A 48006-2021 tillsynsbegäran mail.docx", "A 48006-2021")</f>
        <v/>
      </c>
    </row>
    <row r="908" ht="15" customHeight="1">
      <c r="A908" t="inlineStr">
        <is>
          <t>A 48735-2021</t>
        </is>
      </c>
      <c r="B908" s="1" t="n">
        <v>44452</v>
      </c>
      <c r="C908" s="1" t="n">
        <v>45832</v>
      </c>
      <c r="D908" t="inlineStr">
        <is>
          <t>KALMAR LÄN</t>
        </is>
      </c>
      <c r="E908" t="inlineStr">
        <is>
          <t>HULTSFRED</t>
        </is>
      </c>
      <c r="G908" t="n">
        <v>2.1</v>
      </c>
      <c r="H908" t="n">
        <v>0</v>
      </c>
      <c r="I908" t="n">
        <v>1</v>
      </c>
      <c r="J908" t="n">
        <v>0</v>
      </c>
      <c r="K908" t="n">
        <v>0</v>
      </c>
      <c r="L908" t="n">
        <v>0</v>
      </c>
      <c r="M908" t="n">
        <v>0</v>
      </c>
      <c r="N908" t="n">
        <v>0</v>
      </c>
      <c r="O908" t="n">
        <v>0</v>
      </c>
      <c r="P908" t="n">
        <v>0</v>
      </c>
      <c r="Q908" t="n">
        <v>1</v>
      </c>
      <c r="R908" s="2" t="inlineStr">
        <is>
          <t>Björksplintborre</t>
        </is>
      </c>
      <c r="S908">
        <f>HYPERLINK("https://klasma.github.io/Logging_0860/artfynd/A 48735-2021 artfynd.xlsx", "A 48735-2021")</f>
        <v/>
      </c>
      <c r="T908">
        <f>HYPERLINK("https://klasma.github.io/Logging_0860/kartor/A 48735-2021 karta.png", "A 48735-2021")</f>
        <v/>
      </c>
      <c r="V908">
        <f>HYPERLINK("https://klasma.github.io/Logging_0860/klagomål/A 48735-2021 FSC-klagomål.docx", "A 48735-2021")</f>
        <v/>
      </c>
      <c r="W908">
        <f>HYPERLINK("https://klasma.github.io/Logging_0860/klagomålsmail/A 48735-2021 FSC-klagomål mail.docx", "A 48735-2021")</f>
        <v/>
      </c>
      <c r="X908">
        <f>HYPERLINK("https://klasma.github.io/Logging_0860/tillsyn/A 48735-2021 tillsynsbegäran.docx", "A 48735-2021")</f>
        <v/>
      </c>
      <c r="Y908">
        <f>HYPERLINK("https://klasma.github.io/Logging_0860/tillsynsmail/A 48735-2021 tillsynsbegäran mail.docx", "A 48735-2021")</f>
        <v/>
      </c>
    </row>
    <row r="909" ht="15" customHeight="1">
      <c r="A909" t="inlineStr">
        <is>
          <t>A 49001-2021</t>
        </is>
      </c>
      <c r="B909" s="1" t="n">
        <v>44453</v>
      </c>
      <c r="C909" s="1" t="n">
        <v>45832</v>
      </c>
      <c r="D909" t="inlineStr">
        <is>
          <t>KALMAR LÄN</t>
        </is>
      </c>
      <c r="E909" t="inlineStr">
        <is>
          <t>TORSÅS</t>
        </is>
      </c>
      <c r="G909" t="n">
        <v>1</v>
      </c>
      <c r="H909" t="n">
        <v>0</v>
      </c>
      <c r="I909" t="n">
        <v>1</v>
      </c>
      <c r="J909" t="n">
        <v>0</v>
      </c>
      <c r="K909" t="n">
        <v>0</v>
      </c>
      <c r="L909" t="n">
        <v>0</v>
      </c>
      <c r="M909" t="n">
        <v>0</v>
      </c>
      <c r="N909" t="n">
        <v>0</v>
      </c>
      <c r="O909" t="n">
        <v>0</v>
      </c>
      <c r="P909" t="n">
        <v>0</v>
      </c>
      <c r="Q909" t="n">
        <v>1</v>
      </c>
      <c r="R909" s="2" t="inlineStr">
        <is>
          <t>Blåmossa</t>
        </is>
      </c>
      <c r="S909">
        <f>HYPERLINK("https://klasma.github.io/Logging_0834/artfynd/A 49001-2021 artfynd.xlsx", "A 49001-2021")</f>
        <v/>
      </c>
      <c r="T909">
        <f>HYPERLINK("https://klasma.github.io/Logging_0834/kartor/A 49001-2021 karta.png", "A 49001-2021")</f>
        <v/>
      </c>
      <c r="V909">
        <f>HYPERLINK("https://klasma.github.io/Logging_0834/klagomål/A 49001-2021 FSC-klagomål.docx", "A 49001-2021")</f>
        <v/>
      </c>
      <c r="W909">
        <f>HYPERLINK("https://klasma.github.io/Logging_0834/klagomålsmail/A 49001-2021 FSC-klagomål mail.docx", "A 49001-2021")</f>
        <v/>
      </c>
      <c r="X909">
        <f>HYPERLINK("https://klasma.github.io/Logging_0834/tillsyn/A 49001-2021 tillsynsbegäran.docx", "A 49001-2021")</f>
        <v/>
      </c>
      <c r="Y909">
        <f>HYPERLINK("https://klasma.github.io/Logging_0834/tillsynsmail/A 49001-2021 tillsynsbegäran mail.docx", "A 49001-2021")</f>
        <v/>
      </c>
    </row>
    <row r="910" ht="15" customHeight="1">
      <c r="A910" t="inlineStr">
        <is>
          <t>A 49410-2021</t>
        </is>
      </c>
      <c r="B910" s="1" t="n">
        <v>44454</v>
      </c>
      <c r="C910" s="1" t="n">
        <v>45832</v>
      </c>
      <c r="D910" t="inlineStr">
        <is>
          <t>KALMAR LÄN</t>
        </is>
      </c>
      <c r="E910" t="inlineStr">
        <is>
          <t>TORSÅS</t>
        </is>
      </c>
      <c r="G910" t="n">
        <v>0.6</v>
      </c>
      <c r="H910" t="n">
        <v>1</v>
      </c>
      <c r="I910" t="n">
        <v>0</v>
      </c>
      <c r="J910" t="n">
        <v>0</v>
      </c>
      <c r="K910" t="n">
        <v>0</v>
      </c>
      <c r="L910" t="n">
        <v>0</v>
      </c>
      <c r="M910" t="n">
        <v>0</v>
      </c>
      <c r="N910" t="n">
        <v>0</v>
      </c>
      <c r="O910" t="n">
        <v>0</v>
      </c>
      <c r="P910" t="n">
        <v>0</v>
      </c>
      <c r="Q910" t="n">
        <v>1</v>
      </c>
      <c r="R910" s="2" t="inlineStr">
        <is>
          <t>Nattviol</t>
        </is>
      </c>
      <c r="S910">
        <f>HYPERLINK("https://klasma.github.io/Logging_0834/artfynd/A 49410-2021 artfynd.xlsx", "A 49410-2021")</f>
        <v/>
      </c>
      <c r="T910">
        <f>HYPERLINK("https://klasma.github.io/Logging_0834/kartor/A 49410-2021 karta.png", "A 49410-2021")</f>
        <v/>
      </c>
      <c r="V910">
        <f>HYPERLINK("https://klasma.github.io/Logging_0834/klagomål/A 49410-2021 FSC-klagomål.docx", "A 49410-2021")</f>
        <v/>
      </c>
      <c r="W910">
        <f>HYPERLINK("https://klasma.github.io/Logging_0834/klagomålsmail/A 49410-2021 FSC-klagomål mail.docx", "A 49410-2021")</f>
        <v/>
      </c>
      <c r="X910">
        <f>HYPERLINK("https://klasma.github.io/Logging_0834/tillsyn/A 49410-2021 tillsynsbegäran.docx", "A 49410-2021")</f>
        <v/>
      </c>
      <c r="Y910">
        <f>HYPERLINK("https://klasma.github.io/Logging_0834/tillsynsmail/A 49410-2021 tillsynsbegäran mail.docx", "A 49410-2021")</f>
        <v/>
      </c>
    </row>
    <row r="911" ht="15" customHeight="1">
      <c r="A911" t="inlineStr">
        <is>
          <t>A 49919-2021</t>
        </is>
      </c>
      <c r="B911" s="1" t="n">
        <v>44455</v>
      </c>
      <c r="C911" s="1" t="n">
        <v>45832</v>
      </c>
      <c r="D911" t="inlineStr">
        <is>
          <t>KALMAR LÄN</t>
        </is>
      </c>
      <c r="E911" t="inlineStr">
        <is>
          <t>HULTSFRED</t>
        </is>
      </c>
      <c r="G911" t="n">
        <v>5</v>
      </c>
      <c r="H911" t="n">
        <v>0</v>
      </c>
      <c r="I911" t="n">
        <v>0</v>
      </c>
      <c r="J911" t="n">
        <v>1</v>
      </c>
      <c r="K911" t="n">
        <v>0</v>
      </c>
      <c r="L911" t="n">
        <v>0</v>
      </c>
      <c r="M911" t="n">
        <v>0</v>
      </c>
      <c r="N911" t="n">
        <v>0</v>
      </c>
      <c r="O911" t="n">
        <v>1</v>
      </c>
      <c r="P911" t="n">
        <v>0</v>
      </c>
      <c r="Q911" t="n">
        <v>1</v>
      </c>
      <c r="R911" s="2" t="inlineStr">
        <is>
          <t>Småjungfrukam</t>
        </is>
      </c>
      <c r="S911">
        <f>HYPERLINK("https://klasma.github.io/Logging_0860/artfynd/A 49919-2021 artfynd.xlsx", "A 49919-2021")</f>
        <v/>
      </c>
      <c r="T911">
        <f>HYPERLINK("https://klasma.github.io/Logging_0860/kartor/A 49919-2021 karta.png", "A 49919-2021")</f>
        <v/>
      </c>
      <c r="V911">
        <f>HYPERLINK("https://klasma.github.io/Logging_0860/klagomål/A 49919-2021 FSC-klagomål.docx", "A 49919-2021")</f>
        <v/>
      </c>
      <c r="W911">
        <f>HYPERLINK("https://klasma.github.io/Logging_0860/klagomålsmail/A 49919-2021 FSC-klagomål mail.docx", "A 49919-2021")</f>
        <v/>
      </c>
      <c r="X911">
        <f>HYPERLINK("https://klasma.github.io/Logging_0860/tillsyn/A 49919-2021 tillsynsbegäran.docx", "A 49919-2021")</f>
        <v/>
      </c>
      <c r="Y911">
        <f>HYPERLINK("https://klasma.github.io/Logging_0860/tillsynsmail/A 49919-2021 tillsynsbegäran mail.docx", "A 49919-2021")</f>
        <v/>
      </c>
    </row>
    <row r="912" ht="15" customHeight="1">
      <c r="A912" t="inlineStr">
        <is>
          <t>A 51244-2021</t>
        </is>
      </c>
      <c r="B912" s="1" t="n">
        <v>44460</v>
      </c>
      <c r="C912" s="1" t="n">
        <v>45832</v>
      </c>
      <c r="D912" t="inlineStr">
        <is>
          <t>KALMAR LÄN</t>
        </is>
      </c>
      <c r="E912" t="inlineStr">
        <is>
          <t>MÖRBYLÅNGA</t>
        </is>
      </c>
      <c r="G912" t="n">
        <v>1.9</v>
      </c>
      <c r="H912" t="n">
        <v>0</v>
      </c>
      <c r="I912" t="n">
        <v>0</v>
      </c>
      <c r="J912" t="n">
        <v>0</v>
      </c>
      <c r="K912" t="n">
        <v>0</v>
      </c>
      <c r="L912" t="n">
        <v>1</v>
      </c>
      <c r="M912" t="n">
        <v>0</v>
      </c>
      <c r="N912" t="n">
        <v>0</v>
      </c>
      <c r="O912" t="n">
        <v>1</v>
      </c>
      <c r="P912" t="n">
        <v>1</v>
      </c>
      <c r="Q912" t="n">
        <v>1</v>
      </c>
      <c r="R912" s="2" t="inlineStr">
        <is>
          <t>Stäppbandbi</t>
        </is>
      </c>
      <c r="S912">
        <f>HYPERLINK("https://klasma.github.io/Logging_0840/artfynd/A 51244-2021 artfynd.xlsx", "A 51244-2021")</f>
        <v/>
      </c>
      <c r="T912">
        <f>HYPERLINK("https://klasma.github.io/Logging_0840/kartor/A 51244-2021 karta.png", "A 51244-2021")</f>
        <v/>
      </c>
      <c r="V912">
        <f>HYPERLINK("https://klasma.github.io/Logging_0840/klagomål/A 51244-2021 FSC-klagomål.docx", "A 51244-2021")</f>
        <v/>
      </c>
      <c r="W912">
        <f>HYPERLINK("https://klasma.github.io/Logging_0840/klagomålsmail/A 51244-2021 FSC-klagomål mail.docx", "A 51244-2021")</f>
        <v/>
      </c>
      <c r="X912">
        <f>HYPERLINK("https://klasma.github.io/Logging_0840/tillsyn/A 51244-2021 tillsynsbegäran.docx", "A 51244-2021")</f>
        <v/>
      </c>
      <c r="Y912">
        <f>HYPERLINK("https://klasma.github.io/Logging_0840/tillsynsmail/A 51244-2021 tillsynsbegäran mail.docx", "A 51244-2021")</f>
        <v/>
      </c>
    </row>
    <row r="913" ht="15" customHeight="1">
      <c r="A913" t="inlineStr">
        <is>
          <t>A 52162-2021</t>
        </is>
      </c>
      <c r="B913" s="1" t="n">
        <v>44463</v>
      </c>
      <c r="C913" s="1" t="n">
        <v>45832</v>
      </c>
      <c r="D913" t="inlineStr">
        <is>
          <t>KALMAR LÄN</t>
        </is>
      </c>
      <c r="E913" t="inlineStr">
        <is>
          <t>OSKARSHAMN</t>
        </is>
      </c>
      <c r="G913" t="n">
        <v>14.1</v>
      </c>
      <c r="H913" t="n">
        <v>0</v>
      </c>
      <c r="I913" t="n">
        <v>0</v>
      </c>
      <c r="J913" t="n">
        <v>1</v>
      </c>
      <c r="K913" t="n">
        <v>0</v>
      </c>
      <c r="L913" t="n">
        <v>0</v>
      </c>
      <c r="M913" t="n">
        <v>0</v>
      </c>
      <c r="N913" t="n">
        <v>0</v>
      </c>
      <c r="O913" t="n">
        <v>1</v>
      </c>
      <c r="P913" t="n">
        <v>0</v>
      </c>
      <c r="Q913" t="n">
        <v>1</v>
      </c>
      <c r="R913" s="2" t="inlineStr">
        <is>
          <t>Vedskivlav</t>
        </is>
      </c>
      <c r="S913">
        <f>HYPERLINK("https://klasma.github.io/Logging_0882/artfynd/A 52162-2021 artfynd.xlsx", "A 52162-2021")</f>
        <v/>
      </c>
      <c r="T913">
        <f>HYPERLINK("https://klasma.github.io/Logging_0882/kartor/A 52162-2021 karta.png", "A 52162-2021")</f>
        <v/>
      </c>
      <c r="V913">
        <f>HYPERLINK("https://klasma.github.io/Logging_0882/klagomål/A 52162-2021 FSC-klagomål.docx", "A 52162-2021")</f>
        <v/>
      </c>
      <c r="W913">
        <f>HYPERLINK("https://klasma.github.io/Logging_0882/klagomålsmail/A 52162-2021 FSC-klagomål mail.docx", "A 52162-2021")</f>
        <v/>
      </c>
      <c r="X913">
        <f>HYPERLINK("https://klasma.github.io/Logging_0882/tillsyn/A 52162-2021 tillsynsbegäran.docx", "A 52162-2021")</f>
        <v/>
      </c>
      <c r="Y913">
        <f>HYPERLINK("https://klasma.github.io/Logging_0882/tillsynsmail/A 52162-2021 tillsynsbegäran mail.docx", "A 52162-2021")</f>
        <v/>
      </c>
    </row>
    <row r="914" ht="15" customHeight="1">
      <c r="A914" t="inlineStr">
        <is>
          <t>A 52670-2021</t>
        </is>
      </c>
      <c r="B914" s="1" t="n">
        <v>44466</v>
      </c>
      <c r="C914" s="1" t="n">
        <v>45832</v>
      </c>
      <c r="D914" t="inlineStr">
        <is>
          <t>KALMAR LÄN</t>
        </is>
      </c>
      <c r="E914" t="inlineStr">
        <is>
          <t>KALMAR</t>
        </is>
      </c>
      <c r="G914" t="n">
        <v>5.7</v>
      </c>
      <c r="H914" t="n">
        <v>1</v>
      </c>
      <c r="I914" t="n">
        <v>0</v>
      </c>
      <c r="J914" t="n">
        <v>0</v>
      </c>
      <c r="K914" t="n">
        <v>1</v>
      </c>
      <c r="L914" t="n">
        <v>0</v>
      </c>
      <c r="M914" t="n">
        <v>0</v>
      </c>
      <c r="N914" t="n">
        <v>0</v>
      </c>
      <c r="O914" t="n">
        <v>1</v>
      </c>
      <c r="P914" t="n">
        <v>1</v>
      </c>
      <c r="Q914" t="n">
        <v>1</v>
      </c>
      <c r="R914" s="2" t="inlineStr">
        <is>
          <t>Knärot</t>
        </is>
      </c>
      <c r="S914">
        <f>HYPERLINK("https://klasma.github.io/Logging_0880/artfynd/A 52670-2021 artfynd.xlsx", "A 52670-2021")</f>
        <v/>
      </c>
      <c r="T914">
        <f>HYPERLINK("https://klasma.github.io/Logging_0880/kartor/A 52670-2021 karta.png", "A 52670-2021")</f>
        <v/>
      </c>
      <c r="U914">
        <f>HYPERLINK("https://klasma.github.io/Logging_0880/knärot/A 52670-2021 karta knärot.png", "A 52670-2021")</f>
        <v/>
      </c>
      <c r="V914">
        <f>HYPERLINK("https://klasma.github.io/Logging_0880/klagomål/A 52670-2021 FSC-klagomål.docx", "A 52670-2021")</f>
        <v/>
      </c>
      <c r="W914">
        <f>HYPERLINK("https://klasma.github.io/Logging_0880/klagomålsmail/A 52670-2021 FSC-klagomål mail.docx", "A 52670-2021")</f>
        <v/>
      </c>
      <c r="X914">
        <f>HYPERLINK("https://klasma.github.io/Logging_0880/tillsyn/A 52670-2021 tillsynsbegäran.docx", "A 52670-2021")</f>
        <v/>
      </c>
      <c r="Y914">
        <f>HYPERLINK("https://klasma.github.io/Logging_0880/tillsynsmail/A 52670-2021 tillsynsbegäran mail.docx", "A 52670-2021")</f>
        <v/>
      </c>
    </row>
    <row r="915" ht="15" customHeight="1">
      <c r="A915" t="inlineStr">
        <is>
          <t>A 52831-2021</t>
        </is>
      </c>
      <c r="B915" s="1" t="n">
        <v>44467</v>
      </c>
      <c r="C915" s="1" t="n">
        <v>45832</v>
      </c>
      <c r="D915" t="inlineStr">
        <is>
          <t>KALMAR LÄN</t>
        </is>
      </c>
      <c r="E915" t="inlineStr">
        <is>
          <t>VÄSTERVIK</t>
        </is>
      </c>
      <c r="G915" t="n">
        <v>0.8</v>
      </c>
      <c r="H915" t="n">
        <v>0</v>
      </c>
      <c r="I915" t="n">
        <v>0</v>
      </c>
      <c r="J915" t="n">
        <v>1</v>
      </c>
      <c r="K915" t="n">
        <v>0</v>
      </c>
      <c r="L915" t="n">
        <v>0</v>
      </c>
      <c r="M915" t="n">
        <v>0</v>
      </c>
      <c r="N915" t="n">
        <v>0</v>
      </c>
      <c r="O915" t="n">
        <v>1</v>
      </c>
      <c r="P915" t="n">
        <v>0</v>
      </c>
      <c r="Q915" t="n">
        <v>1</v>
      </c>
      <c r="R915" s="2" t="inlineStr">
        <is>
          <t>Tallticka</t>
        </is>
      </c>
      <c r="S915">
        <f>HYPERLINK("https://klasma.github.io/Logging_0883/artfynd/A 52831-2021 artfynd.xlsx", "A 52831-2021")</f>
        <v/>
      </c>
      <c r="T915">
        <f>HYPERLINK("https://klasma.github.io/Logging_0883/kartor/A 52831-2021 karta.png", "A 52831-2021")</f>
        <v/>
      </c>
      <c r="V915">
        <f>HYPERLINK("https://klasma.github.io/Logging_0883/klagomål/A 52831-2021 FSC-klagomål.docx", "A 52831-2021")</f>
        <v/>
      </c>
      <c r="W915">
        <f>HYPERLINK("https://klasma.github.io/Logging_0883/klagomålsmail/A 52831-2021 FSC-klagomål mail.docx", "A 52831-2021")</f>
        <v/>
      </c>
      <c r="X915">
        <f>HYPERLINK("https://klasma.github.io/Logging_0883/tillsyn/A 52831-2021 tillsynsbegäran.docx", "A 52831-2021")</f>
        <v/>
      </c>
      <c r="Y915">
        <f>HYPERLINK("https://klasma.github.io/Logging_0883/tillsynsmail/A 52831-2021 tillsynsbegäran mail.docx", "A 52831-2021")</f>
        <v/>
      </c>
    </row>
    <row r="916" ht="15" customHeight="1">
      <c r="A916" t="inlineStr">
        <is>
          <t>A 53738-2021</t>
        </is>
      </c>
      <c r="B916" s="1" t="n">
        <v>44467</v>
      </c>
      <c r="C916" s="1" t="n">
        <v>45832</v>
      </c>
      <c r="D916" t="inlineStr">
        <is>
          <t>KALMAR LÄN</t>
        </is>
      </c>
      <c r="E916" t="inlineStr">
        <is>
          <t>VÄSTERVIK</t>
        </is>
      </c>
      <c r="G916" t="n">
        <v>2.8</v>
      </c>
      <c r="H916" t="n">
        <v>1</v>
      </c>
      <c r="I916" t="n">
        <v>0</v>
      </c>
      <c r="J916" t="n">
        <v>0</v>
      </c>
      <c r="K916" t="n">
        <v>1</v>
      </c>
      <c r="L916" t="n">
        <v>0</v>
      </c>
      <c r="M916" t="n">
        <v>0</v>
      </c>
      <c r="N916" t="n">
        <v>0</v>
      </c>
      <c r="O916" t="n">
        <v>1</v>
      </c>
      <c r="P916" t="n">
        <v>1</v>
      </c>
      <c r="Q916" t="n">
        <v>1</v>
      </c>
      <c r="R916" s="2" t="inlineStr">
        <is>
          <t>Knärot</t>
        </is>
      </c>
      <c r="S916">
        <f>HYPERLINK("https://klasma.github.io/Logging_0883/artfynd/A 53738-2021 artfynd.xlsx", "A 53738-2021")</f>
        <v/>
      </c>
      <c r="T916">
        <f>HYPERLINK("https://klasma.github.io/Logging_0883/kartor/A 53738-2021 karta.png", "A 53738-2021")</f>
        <v/>
      </c>
      <c r="U916">
        <f>HYPERLINK("https://klasma.github.io/Logging_0883/knärot/A 53738-2021 karta knärot.png", "A 53738-2021")</f>
        <v/>
      </c>
      <c r="V916">
        <f>HYPERLINK("https://klasma.github.io/Logging_0883/klagomål/A 53738-2021 FSC-klagomål.docx", "A 53738-2021")</f>
        <v/>
      </c>
      <c r="W916">
        <f>HYPERLINK("https://klasma.github.io/Logging_0883/klagomålsmail/A 53738-2021 FSC-klagomål mail.docx", "A 53738-2021")</f>
        <v/>
      </c>
      <c r="X916">
        <f>HYPERLINK("https://klasma.github.io/Logging_0883/tillsyn/A 53738-2021 tillsynsbegäran.docx", "A 53738-2021")</f>
        <v/>
      </c>
      <c r="Y916">
        <f>HYPERLINK("https://klasma.github.io/Logging_0883/tillsynsmail/A 53738-2021 tillsynsbegäran mail.docx", "A 53738-2021")</f>
        <v/>
      </c>
    </row>
    <row r="917" ht="15" customHeight="1">
      <c r="A917" t="inlineStr">
        <is>
          <t>A 54192-2021</t>
        </is>
      </c>
      <c r="B917" s="1" t="n">
        <v>44470</v>
      </c>
      <c r="C917" s="1" t="n">
        <v>45832</v>
      </c>
      <c r="D917" t="inlineStr">
        <is>
          <t>KALMAR LÄN</t>
        </is>
      </c>
      <c r="E917" t="inlineStr">
        <is>
          <t>MÖRBYLÅNGA</t>
        </is>
      </c>
      <c r="G917" t="n">
        <v>1.5</v>
      </c>
      <c r="H917" t="n">
        <v>0</v>
      </c>
      <c r="I917" t="n">
        <v>0</v>
      </c>
      <c r="J917" t="n">
        <v>1</v>
      </c>
      <c r="K917" t="n">
        <v>0</v>
      </c>
      <c r="L917" t="n">
        <v>0</v>
      </c>
      <c r="M917" t="n">
        <v>0</v>
      </c>
      <c r="N917" t="n">
        <v>0</v>
      </c>
      <c r="O917" t="n">
        <v>1</v>
      </c>
      <c r="P917" t="n">
        <v>0</v>
      </c>
      <c r="Q917" t="n">
        <v>1</v>
      </c>
      <c r="R917" s="2" t="inlineStr">
        <is>
          <t>Sminkrot</t>
        </is>
      </c>
      <c r="S917">
        <f>HYPERLINK("https://klasma.github.io/Logging_0840/artfynd/A 54192-2021 artfynd.xlsx", "A 54192-2021")</f>
        <v/>
      </c>
      <c r="T917">
        <f>HYPERLINK("https://klasma.github.io/Logging_0840/kartor/A 54192-2021 karta.png", "A 54192-2021")</f>
        <v/>
      </c>
      <c r="V917">
        <f>HYPERLINK("https://klasma.github.io/Logging_0840/klagomål/A 54192-2021 FSC-klagomål.docx", "A 54192-2021")</f>
        <v/>
      </c>
      <c r="W917">
        <f>HYPERLINK("https://klasma.github.io/Logging_0840/klagomålsmail/A 54192-2021 FSC-klagomål mail.docx", "A 54192-2021")</f>
        <v/>
      </c>
      <c r="X917">
        <f>HYPERLINK("https://klasma.github.io/Logging_0840/tillsyn/A 54192-2021 tillsynsbegäran.docx", "A 54192-2021")</f>
        <v/>
      </c>
      <c r="Y917">
        <f>HYPERLINK("https://klasma.github.io/Logging_0840/tillsynsmail/A 54192-2021 tillsynsbegäran mail.docx", "A 54192-2021")</f>
        <v/>
      </c>
    </row>
    <row r="918" ht="15" customHeight="1">
      <c r="A918" t="inlineStr">
        <is>
          <t>A 56618-2021</t>
        </is>
      </c>
      <c r="B918" s="1" t="n">
        <v>44480</v>
      </c>
      <c r="C918" s="1" t="n">
        <v>45832</v>
      </c>
      <c r="D918" t="inlineStr">
        <is>
          <t>KALMAR LÄN</t>
        </is>
      </c>
      <c r="E918" t="inlineStr">
        <is>
          <t>VÄSTERVIK</t>
        </is>
      </c>
      <c r="G918" t="n">
        <v>1.5</v>
      </c>
      <c r="H918" t="n">
        <v>0</v>
      </c>
      <c r="I918" t="n">
        <v>0</v>
      </c>
      <c r="J918" t="n">
        <v>1</v>
      </c>
      <c r="K918" t="n">
        <v>0</v>
      </c>
      <c r="L918" t="n">
        <v>0</v>
      </c>
      <c r="M918" t="n">
        <v>0</v>
      </c>
      <c r="N918" t="n">
        <v>0</v>
      </c>
      <c r="O918" t="n">
        <v>1</v>
      </c>
      <c r="P918" t="n">
        <v>0</v>
      </c>
      <c r="Q918" t="n">
        <v>1</v>
      </c>
      <c r="R918" s="2" t="inlineStr">
        <is>
          <t>Tallticka</t>
        </is>
      </c>
      <c r="S918">
        <f>HYPERLINK("https://klasma.github.io/Logging_0883/artfynd/A 56618-2021 artfynd.xlsx", "A 56618-2021")</f>
        <v/>
      </c>
      <c r="T918">
        <f>HYPERLINK("https://klasma.github.io/Logging_0883/kartor/A 56618-2021 karta.png", "A 56618-2021")</f>
        <v/>
      </c>
      <c r="V918">
        <f>HYPERLINK("https://klasma.github.io/Logging_0883/klagomål/A 56618-2021 FSC-klagomål.docx", "A 56618-2021")</f>
        <v/>
      </c>
      <c r="W918">
        <f>HYPERLINK("https://klasma.github.io/Logging_0883/klagomålsmail/A 56618-2021 FSC-klagomål mail.docx", "A 56618-2021")</f>
        <v/>
      </c>
      <c r="X918">
        <f>HYPERLINK("https://klasma.github.io/Logging_0883/tillsyn/A 56618-2021 tillsynsbegäran.docx", "A 56618-2021")</f>
        <v/>
      </c>
      <c r="Y918">
        <f>HYPERLINK("https://klasma.github.io/Logging_0883/tillsynsmail/A 56618-2021 tillsynsbegäran mail.docx", "A 56618-2021")</f>
        <v/>
      </c>
    </row>
    <row r="919" ht="15" customHeight="1">
      <c r="A919" t="inlineStr">
        <is>
          <t>A 57058-2021</t>
        </is>
      </c>
      <c r="B919" s="1" t="n">
        <v>44482</v>
      </c>
      <c r="C919" s="1" t="n">
        <v>45832</v>
      </c>
      <c r="D919" t="inlineStr">
        <is>
          <t>KALMAR LÄN</t>
        </is>
      </c>
      <c r="E919" t="inlineStr">
        <is>
          <t>KALMAR</t>
        </is>
      </c>
      <c r="G919" t="n">
        <v>7.3</v>
      </c>
      <c r="H919" t="n">
        <v>1</v>
      </c>
      <c r="I919" t="n">
        <v>0</v>
      </c>
      <c r="J919" t="n">
        <v>0</v>
      </c>
      <c r="K919" t="n">
        <v>1</v>
      </c>
      <c r="L919" t="n">
        <v>0</v>
      </c>
      <c r="M919" t="n">
        <v>0</v>
      </c>
      <c r="N919" t="n">
        <v>0</v>
      </c>
      <c r="O919" t="n">
        <v>1</v>
      </c>
      <c r="P919" t="n">
        <v>1</v>
      </c>
      <c r="Q919" t="n">
        <v>1</v>
      </c>
      <c r="R919" s="2" t="inlineStr">
        <is>
          <t>Knärot</t>
        </is>
      </c>
      <c r="S919">
        <f>HYPERLINK("https://klasma.github.io/Logging_0880/artfynd/A 57058-2021 artfynd.xlsx", "A 57058-2021")</f>
        <v/>
      </c>
      <c r="T919">
        <f>HYPERLINK("https://klasma.github.io/Logging_0880/kartor/A 57058-2021 karta.png", "A 57058-2021")</f>
        <v/>
      </c>
      <c r="U919">
        <f>HYPERLINK("https://klasma.github.io/Logging_0880/knärot/A 57058-2021 karta knärot.png", "A 57058-2021")</f>
        <v/>
      </c>
      <c r="V919">
        <f>HYPERLINK("https://klasma.github.io/Logging_0880/klagomål/A 57058-2021 FSC-klagomål.docx", "A 57058-2021")</f>
        <v/>
      </c>
      <c r="W919">
        <f>HYPERLINK("https://klasma.github.io/Logging_0880/klagomålsmail/A 57058-2021 FSC-klagomål mail.docx", "A 57058-2021")</f>
        <v/>
      </c>
      <c r="X919">
        <f>HYPERLINK("https://klasma.github.io/Logging_0880/tillsyn/A 57058-2021 tillsynsbegäran.docx", "A 57058-2021")</f>
        <v/>
      </c>
      <c r="Y919">
        <f>HYPERLINK("https://klasma.github.io/Logging_0880/tillsynsmail/A 57058-2021 tillsynsbegäran mail.docx", "A 57058-2021")</f>
        <v/>
      </c>
    </row>
    <row r="920" ht="15" customHeight="1">
      <c r="A920" t="inlineStr">
        <is>
          <t>A 58044-2021</t>
        </is>
      </c>
      <c r="B920" s="1" t="n">
        <v>44487</v>
      </c>
      <c r="C920" s="1" t="n">
        <v>45832</v>
      </c>
      <c r="D920" t="inlineStr">
        <is>
          <t>KALMAR LÄN</t>
        </is>
      </c>
      <c r="E920" t="inlineStr">
        <is>
          <t>KALMAR</t>
        </is>
      </c>
      <c r="G920" t="n">
        <v>8.4</v>
      </c>
      <c r="H920" t="n">
        <v>1</v>
      </c>
      <c r="I920" t="n">
        <v>0</v>
      </c>
      <c r="J920" t="n">
        <v>0</v>
      </c>
      <c r="K920" t="n">
        <v>1</v>
      </c>
      <c r="L920" t="n">
        <v>0</v>
      </c>
      <c r="M920" t="n">
        <v>0</v>
      </c>
      <c r="N920" t="n">
        <v>0</v>
      </c>
      <c r="O920" t="n">
        <v>1</v>
      </c>
      <c r="P920" t="n">
        <v>1</v>
      </c>
      <c r="Q920" t="n">
        <v>1</v>
      </c>
      <c r="R920" s="2" t="inlineStr">
        <is>
          <t>Knärot</t>
        </is>
      </c>
      <c r="S920">
        <f>HYPERLINK("https://klasma.github.io/Logging_0880/artfynd/A 58044-2021 artfynd.xlsx", "A 58044-2021")</f>
        <v/>
      </c>
      <c r="T920">
        <f>HYPERLINK("https://klasma.github.io/Logging_0880/kartor/A 58044-2021 karta.png", "A 58044-2021")</f>
        <v/>
      </c>
      <c r="U920">
        <f>HYPERLINK("https://klasma.github.io/Logging_0880/knärot/A 58044-2021 karta knärot.png", "A 58044-2021")</f>
        <v/>
      </c>
      <c r="V920">
        <f>HYPERLINK("https://klasma.github.io/Logging_0880/klagomål/A 58044-2021 FSC-klagomål.docx", "A 58044-2021")</f>
        <v/>
      </c>
      <c r="W920">
        <f>HYPERLINK("https://klasma.github.io/Logging_0880/klagomålsmail/A 58044-2021 FSC-klagomål mail.docx", "A 58044-2021")</f>
        <v/>
      </c>
      <c r="X920">
        <f>HYPERLINK("https://klasma.github.io/Logging_0880/tillsyn/A 58044-2021 tillsynsbegäran.docx", "A 58044-2021")</f>
        <v/>
      </c>
      <c r="Y920">
        <f>HYPERLINK("https://klasma.github.io/Logging_0880/tillsynsmail/A 58044-2021 tillsynsbegäran mail.docx", "A 58044-2021")</f>
        <v/>
      </c>
    </row>
    <row r="921" ht="15" customHeight="1">
      <c r="A921" t="inlineStr">
        <is>
          <t>A 58297-2021</t>
        </is>
      </c>
      <c r="B921" s="1" t="n">
        <v>44488</v>
      </c>
      <c r="C921" s="1" t="n">
        <v>45832</v>
      </c>
      <c r="D921" t="inlineStr">
        <is>
          <t>KALMAR LÄN</t>
        </is>
      </c>
      <c r="E921" t="inlineStr">
        <is>
          <t>EMMABODA</t>
        </is>
      </c>
      <c r="F921" t="inlineStr">
        <is>
          <t>Kommuner</t>
        </is>
      </c>
      <c r="G921" t="n">
        <v>1.6</v>
      </c>
      <c r="H921" t="n">
        <v>0</v>
      </c>
      <c r="I921" t="n">
        <v>0</v>
      </c>
      <c r="J921" t="n">
        <v>1</v>
      </c>
      <c r="K921" t="n">
        <v>0</v>
      </c>
      <c r="L921" t="n">
        <v>0</v>
      </c>
      <c r="M921" t="n">
        <v>0</v>
      </c>
      <c r="N921" t="n">
        <v>0</v>
      </c>
      <c r="O921" t="n">
        <v>1</v>
      </c>
      <c r="P921" t="n">
        <v>0</v>
      </c>
      <c r="Q921" t="n">
        <v>1</v>
      </c>
      <c r="R921" s="2" t="inlineStr">
        <is>
          <t>Åkerkål</t>
        </is>
      </c>
      <c r="S921">
        <f>HYPERLINK("https://klasma.github.io/Logging_0862/artfynd/A 58297-2021 artfynd.xlsx", "A 58297-2021")</f>
        <v/>
      </c>
      <c r="T921">
        <f>HYPERLINK("https://klasma.github.io/Logging_0862/kartor/A 58297-2021 karta.png", "A 58297-2021")</f>
        <v/>
      </c>
      <c r="V921">
        <f>HYPERLINK("https://klasma.github.io/Logging_0862/klagomål/A 58297-2021 FSC-klagomål.docx", "A 58297-2021")</f>
        <v/>
      </c>
      <c r="W921">
        <f>HYPERLINK("https://klasma.github.io/Logging_0862/klagomålsmail/A 58297-2021 FSC-klagomål mail.docx", "A 58297-2021")</f>
        <v/>
      </c>
      <c r="X921">
        <f>HYPERLINK("https://klasma.github.io/Logging_0862/tillsyn/A 58297-2021 tillsynsbegäran.docx", "A 58297-2021")</f>
        <v/>
      </c>
      <c r="Y921">
        <f>HYPERLINK("https://klasma.github.io/Logging_0862/tillsynsmail/A 58297-2021 tillsynsbegäran mail.docx", "A 58297-2021")</f>
        <v/>
      </c>
    </row>
    <row r="922" ht="15" customHeight="1">
      <c r="A922" t="inlineStr">
        <is>
          <t>A 58765-2021</t>
        </is>
      </c>
      <c r="B922" s="1" t="n">
        <v>44489</v>
      </c>
      <c r="C922" s="1" t="n">
        <v>45832</v>
      </c>
      <c r="D922" t="inlineStr">
        <is>
          <t>KALMAR LÄN</t>
        </is>
      </c>
      <c r="E922" t="inlineStr">
        <is>
          <t>NYBRO</t>
        </is>
      </c>
      <c r="G922" t="n">
        <v>0.8</v>
      </c>
      <c r="H922" t="n">
        <v>1</v>
      </c>
      <c r="I922" t="n">
        <v>0</v>
      </c>
      <c r="J922" t="n">
        <v>0</v>
      </c>
      <c r="K922" t="n">
        <v>0</v>
      </c>
      <c r="L922" t="n">
        <v>0</v>
      </c>
      <c r="M922" t="n">
        <v>0</v>
      </c>
      <c r="N922" t="n">
        <v>0</v>
      </c>
      <c r="O922" t="n">
        <v>0</v>
      </c>
      <c r="P922" t="n">
        <v>0</v>
      </c>
      <c r="Q922" t="n">
        <v>1</v>
      </c>
      <c r="R922" s="2" t="inlineStr">
        <is>
          <t>Mattlummer</t>
        </is>
      </c>
      <c r="S922">
        <f>HYPERLINK("https://klasma.github.io/Logging_0881/artfynd/A 58765-2021 artfynd.xlsx", "A 58765-2021")</f>
        <v/>
      </c>
      <c r="T922">
        <f>HYPERLINK("https://klasma.github.io/Logging_0881/kartor/A 58765-2021 karta.png", "A 58765-2021")</f>
        <v/>
      </c>
      <c r="V922">
        <f>HYPERLINK("https://klasma.github.io/Logging_0881/klagomål/A 58765-2021 FSC-klagomål.docx", "A 58765-2021")</f>
        <v/>
      </c>
      <c r="W922">
        <f>HYPERLINK("https://klasma.github.io/Logging_0881/klagomålsmail/A 58765-2021 FSC-klagomål mail.docx", "A 58765-2021")</f>
        <v/>
      </c>
      <c r="X922">
        <f>HYPERLINK("https://klasma.github.io/Logging_0881/tillsyn/A 58765-2021 tillsynsbegäran.docx", "A 58765-2021")</f>
        <v/>
      </c>
      <c r="Y922">
        <f>HYPERLINK("https://klasma.github.io/Logging_0881/tillsynsmail/A 58765-2021 tillsynsbegäran mail.docx", "A 58765-2021")</f>
        <v/>
      </c>
    </row>
    <row r="923" ht="15" customHeight="1">
      <c r="A923" t="inlineStr">
        <is>
          <t>A 58927-2021</t>
        </is>
      </c>
      <c r="B923" s="1" t="n">
        <v>44489</v>
      </c>
      <c r="C923" s="1" t="n">
        <v>45832</v>
      </c>
      <c r="D923" t="inlineStr">
        <is>
          <t>KALMAR LÄN</t>
        </is>
      </c>
      <c r="E923" t="inlineStr">
        <is>
          <t>KALMAR</t>
        </is>
      </c>
      <c r="G923" t="n">
        <v>3.6</v>
      </c>
      <c r="H923" t="n">
        <v>1</v>
      </c>
      <c r="I923" t="n">
        <v>0</v>
      </c>
      <c r="J923" t="n">
        <v>1</v>
      </c>
      <c r="K923" t="n">
        <v>0</v>
      </c>
      <c r="L923" t="n">
        <v>0</v>
      </c>
      <c r="M923" t="n">
        <v>0</v>
      </c>
      <c r="N923" t="n">
        <v>0</v>
      </c>
      <c r="O923" t="n">
        <v>1</v>
      </c>
      <c r="P923" t="n">
        <v>0</v>
      </c>
      <c r="Q923" t="n">
        <v>1</v>
      </c>
      <c r="R923" s="2" t="inlineStr">
        <is>
          <t>Talltita</t>
        </is>
      </c>
      <c r="S923">
        <f>HYPERLINK("https://klasma.github.io/Logging_0880/artfynd/A 58927-2021 artfynd.xlsx", "A 58927-2021")</f>
        <v/>
      </c>
      <c r="T923">
        <f>HYPERLINK("https://klasma.github.io/Logging_0880/kartor/A 58927-2021 karta.png", "A 58927-2021")</f>
        <v/>
      </c>
      <c r="V923">
        <f>HYPERLINK("https://klasma.github.io/Logging_0880/klagomål/A 58927-2021 FSC-klagomål.docx", "A 58927-2021")</f>
        <v/>
      </c>
      <c r="W923">
        <f>HYPERLINK("https://klasma.github.io/Logging_0880/klagomålsmail/A 58927-2021 FSC-klagomål mail.docx", "A 58927-2021")</f>
        <v/>
      </c>
      <c r="X923">
        <f>HYPERLINK("https://klasma.github.io/Logging_0880/tillsyn/A 58927-2021 tillsynsbegäran.docx", "A 58927-2021")</f>
        <v/>
      </c>
      <c r="Y923">
        <f>HYPERLINK("https://klasma.github.io/Logging_0880/tillsynsmail/A 58927-2021 tillsynsbegäran mail.docx", "A 58927-2021")</f>
        <v/>
      </c>
      <c r="Z923">
        <f>HYPERLINK("https://klasma.github.io/Logging_0880/fåglar/A 58927-2021 prioriterade fågelarter.docx", "A 58927-2021")</f>
        <v/>
      </c>
    </row>
    <row r="924" ht="15" customHeight="1">
      <c r="A924" t="inlineStr">
        <is>
          <t>A 59683-2021</t>
        </is>
      </c>
      <c r="B924" s="1" t="n">
        <v>44494</v>
      </c>
      <c r="C924" s="1" t="n">
        <v>45832</v>
      </c>
      <c r="D924" t="inlineStr">
        <is>
          <t>KALMAR LÄN</t>
        </is>
      </c>
      <c r="E924" t="inlineStr">
        <is>
          <t>OSKARSHAMN</t>
        </is>
      </c>
      <c r="G924" t="n">
        <v>1.6</v>
      </c>
      <c r="H924" t="n">
        <v>1</v>
      </c>
      <c r="I924" t="n">
        <v>0</v>
      </c>
      <c r="J924" t="n">
        <v>1</v>
      </c>
      <c r="K924" t="n">
        <v>0</v>
      </c>
      <c r="L924" t="n">
        <v>0</v>
      </c>
      <c r="M924" t="n">
        <v>0</v>
      </c>
      <c r="N924" t="n">
        <v>0</v>
      </c>
      <c r="O924" t="n">
        <v>1</v>
      </c>
      <c r="P924" t="n">
        <v>0</v>
      </c>
      <c r="Q924" t="n">
        <v>1</v>
      </c>
      <c r="R924" s="2" t="inlineStr">
        <is>
          <t>Talltita</t>
        </is>
      </c>
      <c r="S924">
        <f>HYPERLINK("https://klasma.github.io/Logging_0882/artfynd/A 59683-2021 artfynd.xlsx", "A 59683-2021")</f>
        <v/>
      </c>
      <c r="T924">
        <f>HYPERLINK("https://klasma.github.io/Logging_0882/kartor/A 59683-2021 karta.png", "A 59683-2021")</f>
        <v/>
      </c>
      <c r="V924">
        <f>HYPERLINK("https://klasma.github.io/Logging_0882/klagomål/A 59683-2021 FSC-klagomål.docx", "A 59683-2021")</f>
        <v/>
      </c>
      <c r="W924">
        <f>HYPERLINK("https://klasma.github.io/Logging_0882/klagomålsmail/A 59683-2021 FSC-klagomål mail.docx", "A 59683-2021")</f>
        <v/>
      </c>
      <c r="X924">
        <f>HYPERLINK("https://klasma.github.io/Logging_0882/tillsyn/A 59683-2021 tillsynsbegäran.docx", "A 59683-2021")</f>
        <v/>
      </c>
      <c r="Y924">
        <f>HYPERLINK("https://klasma.github.io/Logging_0882/tillsynsmail/A 59683-2021 tillsynsbegäran mail.docx", "A 59683-2021")</f>
        <v/>
      </c>
      <c r="Z924">
        <f>HYPERLINK("https://klasma.github.io/Logging_0882/fåglar/A 59683-2021 prioriterade fågelarter.docx", "A 59683-2021")</f>
        <v/>
      </c>
    </row>
    <row r="925" ht="15" customHeight="1">
      <c r="A925" t="inlineStr">
        <is>
          <t>A 60257-2021</t>
        </is>
      </c>
      <c r="B925" s="1" t="n">
        <v>44495</v>
      </c>
      <c r="C925" s="1" t="n">
        <v>45832</v>
      </c>
      <c r="D925" t="inlineStr">
        <is>
          <t>KALMAR LÄN</t>
        </is>
      </c>
      <c r="E925" t="inlineStr">
        <is>
          <t>EMMABODA</t>
        </is>
      </c>
      <c r="G925" t="n">
        <v>0.7</v>
      </c>
      <c r="H925" t="n">
        <v>1</v>
      </c>
      <c r="I925" t="n">
        <v>0</v>
      </c>
      <c r="J925" t="n">
        <v>0</v>
      </c>
      <c r="K925" t="n">
        <v>1</v>
      </c>
      <c r="L925" t="n">
        <v>0</v>
      </c>
      <c r="M925" t="n">
        <v>0</v>
      </c>
      <c r="N925" t="n">
        <v>0</v>
      </c>
      <c r="O925" t="n">
        <v>1</v>
      </c>
      <c r="P925" t="n">
        <v>1</v>
      </c>
      <c r="Q925" t="n">
        <v>1</v>
      </c>
      <c r="R925" s="2" t="inlineStr">
        <is>
          <t>Knärot</t>
        </is>
      </c>
      <c r="S925">
        <f>HYPERLINK("https://klasma.github.io/Logging_0862/artfynd/A 60257-2021 artfynd.xlsx", "A 60257-2021")</f>
        <v/>
      </c>
      <c r="T925">
        <f>HYPERLINK("https://klasma.github.io/Logging_0862/kartor/A 60257-2021 karta.png", "A 60257-2021")</f>
        <v/>
      </c>
      <c r="U925">
        <f>HYPERLINK("https://klasma.github.io/Logging_0862/knärot/A 60257-2021 karta knärot.png", "A 60257-2021")</f>
        <v/>
      </c>
      <c r="V925">
        <f>HYPERLINK("https://klasma.github.io/Logging_0862/klagomål/A 60257-2021 FSC-klagomål.docx", "A 60257-2021")</f>
        <v/>
      </c>
      <c r="W925">
        <f>HYPERLINK("https://klasma.github.io/Logging_0862/klagomålsmail/A 60257-2021 FSC-klagomål mail.docx", "A 60257-2021")</f>
        <v/>
      </c>
      <c r="X925">
        <f>HYPERLINK("https://klasma.github.io/Logging_0862/tillsyn/A 60257-2021 tillsynsbegäran.docx", "A 60257-2021")</f>
        <v/>
      </c>
      <c r="Y925">
        <f>HYPERLINK("https://klasma.github.io/Logging_0862/tillsynsmail/A 60257-2021 tillsynsbegäran mail.docx", "A 60257-2021")</f>
        <v/>
      </c>
    </row>
    <row r="926" ht="15" customHeight="1">
      <c r="A926" t="inlineStr">
        <is>
          <t>A 61319-2021</t>
        </is>
      </c>
      <c r="B926" s="1" t="n">
        <v>44498</v>
      </c>
      <c r="C926" s="1" t="n">
        <v>45832</v>
      </c>
      <c r="D926" t="inlineStr">
        <is>
          <t>KALMAR LÄN</t>
        </is>
      </c>
      <c r="E926" t="inlineStr">
        <is>
          <t>VÄSTERVIK</t>
        </is>
      </c>
      <c r="G926" t="n">
        <v>2.2</v>
      </c>
      <c r="H926" t="n">
        <v>1</v>
      </c>
      <c r="I926" t="n">
        <v>1</v>
      </c>
      <c r="J926" t="n">
        <v>0</v>
      </c>
      <c r="K926" t="n">
        <v>0</v>
      </c>
      <c r="L926" t="n">
        <v>0</v>
      </c>
      <c r="M926" t="n">
        <v>0</v>
      </c>
      <c r="N926" t="n">
        <v>0</v>
      </c>
      <c r="O926" t="n">
        <v>0</v>
      </c>
      <c r="P926" t="n">
        <v>0</v>
      </c>
      <c r="Q926" t="n">
        <v>1</v>
      </c>
      <c r="R926" s="2" t="inlineStr">
        <is>
          <t>Ekoxe</t>
        </is>
      </c>
      <c r="S926">
        <f>HYPERLINK("https://klasma.github.io/Logging_0883/artfynd/A 61319-2021 artfynd.xlsx", "A 61319-2021")</f>
        <v/>
      </c>
      <c r="T926">
        <f>HYPERLINK("https://klasma.github.io/Logging_0883/kartor/A 61319-2021 karta.png", "A 61319-2021")</f>
        <v/>
      </c>
      <c r="V926">
        <f>HYPERLINK("https://klasma.github.io/Logging_0883/klagomål/A 61319-2021 FSC-klagomål.docx", "A 61319-2021")</f>
        <v/>
      </c>
      <c r="W926">
        <f>HYPERLINK("https://klasma.github.io/Logging_0883/klagomålsmail/A 61319-2021 FSC-klagomål mail.docx", "A 61319-2021")</f>
        <v/>
      </c>
      <c r="X926">
        <f>HYPERLINK("https://klasma.github.io/Logging_0883/tillsyn/A 61319-2021 tillsynsbegäran.docx", "A 61319-2021")</f>
        <v/>
      </c>
      <c r="Y926">
        <f>HYPERLINK("https://klasma.github.io/Logging_0883/tillsynsmail/A 61319-2021 tillsynsbegäran mail.docx", "A 61319-2021")</f>
        <v/>
      </c>
    </row>
    <row r="927" ht="15" customHeight="1">
      <c r="A927" t="inlineStr">
        <is>
          <t>A 62817-2021</t>
        </is>
      </c>
      <c r="B927" s="1" t="n">
        <v>44504</v>
      </c>
      <c r="C927" s="1" t="n">
        <v>45832</v>
      </c>
      <c r="D927" t="inlineStr">
        <is>
          <t>KALMAR LÄN</t>
        </is>
      </c>
      <c r="E927" t="inlineStr">
        <is>
          <t>NYBRO</t>
        </is>
      </c>
      <c r="F927" t="inlineStr">
        <is>
          <t>Sveaskog</t>
        </is>
      </c>
      <c r="G927" t="n">
        <v>0.9</v>
      </c>
      <c r="H927" t="n">
        <v>1</v>
      </c>
      <c r="I927" t="n">
        <v>0</v>
      </c>
      <c r="J927" t="n">
        <v>0</v>
      </c>
      <c r="K927" t="n">
        <v>0</v>
      </c>
      <c r="L927" t="n">
        <v>0</v>
      </c>
      <c r="M927" t="n">
        <v>0</v>
      </c>
      <c r="N927" t="n">
        <v>0</v>
      </c>
      <c r="O927" t="n">
        <v>0</v>
      </c>
      <c r="P927" t="n">
        <v>0</v>
      </c>
      <c r="Q927" t="n">
        <v>1</v>
      </c>
      <c r="R927" s="2" t="inlineStr">
        <is>
          <t>Tjäder</t>
        </is>
      </c>
      <c r="S927">
        <f>HYPERLINK("https://klasma.github.io/Logging_0881/artfynd/A 62817-2021 artfynd.xlsx", "A 62817-2021")</f>
        <v/>
      </c>
      <c r="T927">
        <f>HYPERLINK("https://klasma.github.io/Logging_0881/kartor/A 62817-2021 karta.png", "A 62817-2021")</f>
        <v/>
      </c>
      <c r="V927">
        <f>HYPERLINK("https://klasma.github.io/Logging_0881/klagomål/A 62817-2021 FSC-klagomål.docx", "A 62817-2021")</f>
        <v/>
      </c>
      <c r="W927">
        <f>HYPERLINK("https://klasma.github.io/Logging_0881/klagomålsmail/A 62817-2021 FSC-klagomål mail.docx", "A 62817-2021")</f>
        <v/>
      </c>
      <c r="X927">
        <f>HYPERLINK("https://klasma.github.io/Logging_0881/tillsyn/A 62817-2021 tillsynsbegäran.docx", "A 62817-2021")</f>
        <v/>
      </c>
      <c r="Y927">
        <f>HYPERLINK("https://klasma.github.io/Logging_0881/tillsynsmail/A 62817-2021 tillsynsbegäran mail.docx", "A 62817-2021")</f>
        <v/>
      </c>
      <c r="Z927">
        <f>HYPERLINK("https://klasma.github.io/Logging_0881/fåglar/A 62817-2021 prioriterade fågelarter.docx", "A 62817-2021")</f>
        <v/>
      </c>
    </row>
    <row r="928" ht="15" customHeight="1">
      <c r="A928" t="inlineStr">
        <is>
          <t>A 65930-2021</t>
        </is>
      </c>
      <c r="B928" s="1" t="n">
        <v>44517</v>
      </c>
      <c r="C928" s="1" t="n">
        <v>45832</v>
      </c>
      <c r="D928" t="inlineStr">
        <is>
          <t>KALMAR LÄN</t>
        </is>
      </c>
      <c r="E928" t="inlineStr">
        <is>
          <t>KALMAR</t>
        </is>
      </c>
      <c r="G928" t="n">
        <v>1</v>
      </c>
      <c r="H928" t="n">
        <v>1</v>
      </c>
      <c r="I928" t="n">
        <v>0</v>
      </c>
      <c r="J928" t="n">
        <v>1</v>
      </c>
      <c r="K928" t="n">
        <v>0</v>
      </c>
      <c r="L928" t="n">
        <v>0</v>
      </c>
      <c r="M928" t="n">
        <v>0</v>
      </c>
      <c r="N928" t="n">
        <v>0</v>
      </c>
      <c r="O928" t="n">
        <v>1</v>
      </c>
      <c r="P928" t="n">
        <v>0</v>
      </c>
      <c r="Q928" t="n">
        <v>1</v>
      </c>
      <c r="R928" s="2" t="inlineStr">
        <is>
          <t>Spillkråka</t>
        </is>
      </c>
      <c r="S928">
        <f>HYPERLINK("https://klasma.github.io/Logging_0880/artfynd/A 65930-2021 artfynd.xlsx", "A 65930-2021")</f>
        <v/>
      </c>
      <c r="T928">
        <f>HYPERLINK("https://klasma.github.io/Logging_0880/kartor/A 65930-2021 karta.png", "A 65930-2021")</f>
        <v/>
      </c>
      <c r="V928">
        <f>HYPERLINK("https://klasma.github.io/Logging_0880/klagomål/A 65930-2021 FSC-klagomål.docx", "A 65930-2021")</f>
        <v/>
      </c>
      <c r="W928">
        <f>HYPERLINK("https://klasma.github.io/Logging_0880/klagomålsmail/A 65930-2021 FSC-klagomål mail.docx", "A 65930-2021")</f>
        <v/>
      </c>
      <c r="X928">
        <f>HYPERLINK("https://klasma.github.io/Logging_0880/tillsyn/A 65930-2021 tillsynsbegäran.docx", "A 65930-2021")</f>
        <v/>
      </c>
      <c r="Y928">
        <f>HYPERLINK("https://klasma.github.io/Logging_0880/tillsynsmail/A 65930-2021 tillsynsbegäran mail.docx", "A 65930-2021")</f>
        <v/>
      </c>
      <c r="Z928">
        <f>HYPERLINK("https://klasma.github.io/Logging_0880/fåglar/A 65930-2021 prioriterade fågelarter.docx", "A 65930-2021")</f>
        <v/>
      </c>
    </row>
    <row r="929" ht="15" customHeight="1">
      <c r="A929" t="inlineStr">
        <is>
          <t>A 66724-2021</t>
        </is>
      </c>
      <c r="B929" s="1" t="n">
        <v>44520</v>
      </c>
      <c r="C929" s="1" t="n">
        <v>45832</v>
      </c>
      <c r="D929" t="inlineStr">
        <is>
          <t>KALMAR LÄN</t>
        </is>
      </c>
      <c r="E929" t="inlineStr">
        <is>
          <t>HULTSFRED</t>
        </is>
      </c>
      <c r="G929" t="n">
        <v>3</v>
      </c>
      <c r="H929" t="n">
        <v>0</v>
      </c>
      <c r="I929" t="n">
        <v>1</v>
      </c>
      <c r="J929" t="n">
        <v>0</v>
      </c>
      <c r="K929" t="n">
        <v>0</v>
      </c>
      <c r="L929" t="n">
        <v>0</v>
      </c>
      <c r="M929" t="n">
        <v>0</v>
      </c>
      <c r="N929" t="n">
        <v>0</v>
      </c>
      <c r="O929" t="n">
        <v>0</v>
      </c>
      <c r="P929" t="n">
        <v>0</v>
      </c>
      <c r="Q929" t="n">
        <v>1</v>
      </c>
      <c r="R929" s="2" t="inlineStr">
        <is>
          <t>Murgröna</t>
        </is>
      </c>
      <c r="S929">
        <f>HYPERLINK("https://klasma.github.io/Logging_0860/artfynd/A 66724-2021 artfynd.xlsx", "A 66724-2021")</f>
        <v/>
      </c>
      <c r="T929">
        <f>HYPERLINK("https://klasma.github.io/Logging_0860/kartor/A 66724-2021 karta.png", "A 66724-2021")</f>
        <v/>
      </c>
      <c r="V929">
        <f>HYPERLINK("https://klasma.github.io/Logging_0860/klagomål/A 66724-2021 FSC-klagomål.docx", "A 66724-2021")</f>
        <v/>
      </c>
      <c r="W929">
        <f>HYPERLINK("https://klasma.github.io/Logging_0860/klagomålsmail/A 66724-2021 FSC-klagomål mail.docx", "A 66724-2021")</f>
        <v/>
      </c>
      <c r="X929">
        <f>HYPERLINK("https://klasma.github.io/Logging_0860/tillsyn/A 66724-2021 tillsynsbegäran.docx", "A 66724-2021")</f>
        <v/>
      </c>
      <c r="Y929">
        <f>HYPERLINK("https://klasma.github.io/Logging_0860/tillsynsmail/A 66724-2021 tillsynsbegäran mail.docx", "A 66724-2021")</f>
        <v/>
      </c>
    </row>
    <row r="930" ht="15" customHeight="1">
      <c r="A930" t="inlineStr">
        <is>
          <t>A 66847-2021</t>
        </is>
      </c>
      <c r="B930" s="1" t="n">
        <v>44522</v>
      </c>
      <c r="C930" s="1" t="n">
        <v>45832</v>
      </c>
      <c r="D930" t="inlineStr">
        <is>
          <t>KALMAR LÄN</t>
        </is>
      </c>
      <c r="E930" t="inlineStr">
        <is>
          <t>HULTSFRED</t>
        </is>
      </c>
      <c r="G930" t="n">
        <v>7.4</v>
      </c>
      <c r="H930" t="n">
        <v>0</v>
      </c>
      <c r="I930" t="n">
        <v>1</v>
      </c>
      <c r="J930" t="n">
        <v>0</v>
      </c>
      <c r="K930" t="n">
        <v>0</v>
      </c>
      <c r="L930" t="n">
        <v>0</v>
      </c>
      <c r="M930" t="n">
        <v>0</v>
      </c>
      <c r="N930" t="n">
        <v>0</v>
      </c>
      <c r="O930" t="n">
        <v>0</v>
      </c>
      <c r="P930" t="n">
        <v>0</v>
      </c>
      <c r="Q930" t="n">
        <v>1</v>
      </c>
      <c r="R930" s="2" t="inlineStr">
        <is>
          <t>Fällmossa</t>
        </is>
      </c>
      <c r="S930">
        <f>HYPERLINK("https://klasma.github.io/Logging_0860/artfynd/A 66847-2021 artfynd.xlsx", "A 66847-2021")</f>
        <v/>
      </c>
      <c r="T930">
        <f>HYPERLINK("https://klasma.github.io/Logging_0860/kartor/A 66847-2021 karta.png", "A 66847-2021")</f>
        <v/>
      </c>
      <c r="V930">
        <f>HYPERLINK("https://klasma.github.io/Logging_0860/klagomål/A 66847-2021 FSC-klagomål.docx", "A 66847-2021")</f>
        <v/>
      </c>
      <c r="W930">
        <f>HYPERLINK("https://klasma.github.io/Logging_0860/klagomålsmail/A 66847-2021 FSC-klagomål mail.docx", "A 66847-2021")</f>
        <v/>
      </c>
      <c r="X930">
        <f>HYPERLINK("https://klasma.github.io/Logging_0860/tillsyn/A 66847-2021 tillsynsbegäran.docx", "A 66847-2021")</f>
        <v/>
      </c>
      <c r="Y930">
        <f>HYPERLINK("https://klasma.github.io/Logging_0860/tillsynsmail/A 66847-2021 tillsynsbegäran mail.docx", "A 66847-2021")</f>
        <v/>
      </c>
    </row>
    <row r="931" ht="15" customHeight="1">
      <c r="A931" t="inlineStr">
        <is>
          <t>A 68096-2021</t>
        </is>
      </c>
      <c r="B931" s="1" t="n">
        <v>44526</v>
      </c>
      <c r="C931" s="1" t="n">
        <v>45832</v>
      </c>
      <c r="D931" t="inlineStr">
        <is>
          <t>KALMAR LÄN</t>
        </is>
      </c>
      <c r="E931" t="inlineStr">
        <is>
          <t>HULTSFRED</t>
        </is>
      </c>
      <c r="G931" t="n">
        <v>5.8</v>
      </c>
      <c r="H931" t="n">
        <v>1</v>
      </c>
      <c r="I931" t="n">
        <v>0</v>
      </c>
      <c r="J931" t="n">
        <v>0</v>
      </c>
      <c r="K931" t="n">
        <v>1</v>
      </c>
      <c r="L931" t="n">
        <v>0</v>
      </c>
      <c r="M931" t="n">
        <v>0</v>
      </c>
      <c r="N931" t="n">
        <v>0</v>
      </c>
      <c r="O931" t="n">
        <v>1</v>
      </c>
      <c r="P931" t="n">
        <v>1</v>
      </c>
      <c r="Q931" t="n">
        <v>1</v>
      </c>
      <c r="R931" s="2" t="inlineStr">
        <is>
          <t>Knärot</t>
        </is>
      </c>
      <c r="S931">
        <f>HYPERLINK("https://klasma.github.io/Logging_0860/artfynd/A 68096-2021 artfynd.xlsx", "A 68096-2021")</f>
        <v/>
      </c>
      <c r="T931">
        <f>HYPERLINK("https://klasma.github.io/Logging_0860/kartor/A 68096-2021 karta.png", "A 68096-2021")</f>
        <v/>
      </c>
      <c r="U931">
        <f>HYPERLINK("https://klasma.github.io/Logging_0860/knärot/A 68096-2021 karta knärot.png", "A 68096-2021")</f>
        <v/>
      </c>
      <c r="V931">
        <f>HYPERLINK("https://klasma.github.io/Logging_0860/klagomål/A 68096-2021 FSC-klagomål.docx", "A 68096-2021")</f>
        <v/>
      </c>
      <c r="W931">
        <f>HYPERLINK("https://klasma.github.io/Logging_0860/klagomålsmail/A 68096-2021 FSC-klagomål mail.docx", "A 68096-2021")</f>
        <v/>
      </c>
      <c r="X931">
        <f>HYPERLINK("https://klasma.github.io/Logging_0860/tillsyn/A 68096-2021 tillsynsbegäran.docx", "A 68096-2021")</f>
        <v/>
      </c>
      <c r="Y931">
        <f>HYPERLINK("https://klasma.github.io/Logging_0860/tillsynsmail/A 68096-2021 tillsynsbegäran mail.docx", "A 68096-2021")</f>
        <v/>
      </c>
    </row>
    <row r="932" ht="15" customHeight="1">
      <c r="A932" t="inlineStr">
        <is>
          <t>A 71785-2021</t>
        </is>
      </c>
      <c r="B932" s="1" t="n">
        <v>44539</v>
      </c>
      <c r="C932" s="1" t="n">
        <v>45832</v>
      </c>
      <c r="D932" t="inlineStr">
        <is>
          <t>KALMAR LÄN</t>
        </is>
      </c>
      <c r="E932" t="inlineStr">
        <is>
          <t>VIMMERBY</t>
        </is>
      </c>
      <c r="G932" t="n">
        <v>1.1</v>
      </c>
      <c r="H932" t="n">
        <v>0</v>
      </c>
      <c r="I932" t="n">
        <v>0</v>
      </c>
      <c r="J932" t="n">
        <v>0</v>
      </c>
      <c r="K932" t="n">
        <v>0</v>
      </c>
      <c r="L932" t="n">
        <v>1</v>
      </c>
      <c r="M932" t="n">
        <v>0</v>
      </c>
      <c r="N932" t="n">
        <v>0</v>
      </c>
      <c r="O932" t="n">
        <v>1</v>
      </c>
      <c r="P932" t="n">
        <v>1</v>
      </c>
      <c r="Q932" t="n">
        <v>1</v>
      </c>
      <c r="R932" s="2" t="inlineStr">
        <is>
          <t>Ryl</t>
        </is>
      </c>
      <c r="S932">
        <f>HYPERLINK("https://klasma.github.io/Logging_0884/artfynd/A 71785-2021 artfynd.xlsx", "A 71785-2021")</f>
        <v/>
      </c>
      <c r="T932">
        <f>HYPERLINK("https://klasma.github.io/Logging_0884/kartor/A 71785-2021 karta.png", "A 71785-2021")</f>
        <v/>
      </c>
      <c r="V932">
        <f>HYPERLINK("https://klasma.github.io/Logging_0884/klagomål/A 71785-2021 FSC-klagomål.docx", "A 71785-2021")</f>
        <v/>
      </c>
      <c r="W932">
        <f>HYPERLINK("https://klasma.github.io/Logging_0884/klagomålsmail/A 71785-2021 FSC-klagomål mail.docx", "A 71785-2021")</f>
        <v/>
      </c>
      <c r="X932">
        <f>HYPERLINK("https://klasma.github.io/Logging_0884/tillsyn/A 71785-2021 tillsynsbegäran.docx", "A 71785-2021")</f>
        <v/>
      </c>
      <c r="Y932">
        <f>HYPERLINK("https://klasma.github.io/Logging_0884/tillsynsmail/A 71785-2021 tillsynsbegäran mail.docx", "A 71785-2021")</f>
        <v/>
      </c>
    </row>
    <row r="933" ht="15" customHeight="1">
      <c r="A933" t="inlineStr">
        <is>
          <t>A 84-2022</t>
        </is>
      </c>
      <c r="B933" s="1" t="n">
        <v>44564</v>
      </c>
      <c r="C933" s="1" t="n">
        <v>45832</v>
      </c>
      <c r="D933" t="inlineStr">
        <is>
          <t>KALMAR LÄN</t>
        </is>
      </c>
      <c r="E933" t="inlineStr">
        <is>
          <t>NYBRO</t>
        </is>
      </c>
      <c r="F933" t="inlineStr">
        <is>
          <t>Sveaskog</t>
        </is>
      </c>
      <c r="G933" t="n">
        <v>2.2</v>
      </c>
      <c r="H933" t="n">
        <v>0</v>
      </c>
      <c r="I933" t="n">
        <v>1</v>
      </c>
      <c r="J933" t="n">
        <v>0</v>
      </c>
      <c r="K933" t="n">
        <v>0</v>
      </c>
      <c r="L933" t="n">
        <v>0</v>
      </c>
      <c r="M933" t="n">
        <v>0</v>
      </c>
      <c r="N933" t="n">
        <v>0</v>
      </c>
      <c r="O933" t="n">
        <v>0</v>
      </c>
      <c r="P933" t="n">
        <v>0</v>
      </c>
      <c r="Q933" t="n">
        <v>1</v>
      </c>
      <c r="R933" s="2" t="inlineStr">
        <is>
          <t>Blåmossa</t>
        </is>
      </c>
      <c r="S933">
        <f>HYPERLINK("https://klasma.github.io/Logging_0881/artfynd/A 84-2022 artfynd.xlsx", "A 84-2022")</f>
        <v/>
      </c>
      <c r="T933">
        <f>HYPERLINK("https://klasma.github.io/Logging_0881/kartor/A 84-2022 karta.png", "A 84-2022")</f>
        <v/>
      </c>
      <c r="V933">
        <f>HYPERLINK("https://klasma.github.io/Logging_0881/klagomål/A 84-2022 FSC-klagomål.docx", "A 84-2022")</f>
        <v/>
      </c>
      <c r="W933">
        <f>HYPERLINK("https://klasma.github.io/Logging_0881/klagomålsmail/A 84-2022 FSC-klagomål mail.docx", "A 84-2022")</f>
        <v/>
      </c>
      <c r="X933">
        <f>HYPERLINK("https://klasma.github.io/Logging_0881/tillsyn/A 84-2022 tillsynsbegäran.docx", "A 84-2022")</f>
        <v/>
      </c>
      <c r="Y933">
        <f>HYPERLINK("https://klasma.github.io/Logging_0881/tillsynsmail/A 84-2022 tillsynsbegäran mail.docx", "A 84-2022")</f>
        <v/>
      </c>
    </row>
    <row r="934" ht="15" customHeight="1">
      <c r="A934" t="inlineStr">
        <is>
          <t>A 770-2022</t>
        </is>
      </c>
      <c r="B934" s="1" t="n">
        <v>44570</v>
      </c>
      <c r="C934" s="1" t="n">
        <v>45832</v>
      </c>
      <c r="D934" t="inlineStr">
        <is>
          <t>KALMAR LÄN</t>
        </is>
      </c>
      <c r="E934" t="inlineStr">
        <is>
          <t>EMMABODA</t>
        </is>
      </c>
      <c r="G934" t="n">
        <v>3.7</v>
      </c>
      <c r="H934" t="n">
        <v>0</v>
      </c>
      <c r="I934" t="n">
        <v>1</v>
      </c>
      <c r="J934" t="n">
        <v>0</v>
      </c>
      <c r="K934" t="n">
        <v>0</v>
      </c>
      <c r="L934" t="n">
        <v>0</v>
      </c>
      <c r="M934" t="n">
        <v>0</v>
      </c>
      <c r="N934" t="n">
        <v>0</v>
      </c>
      <c r="O934" t="n">
        <v>0</v>
      </c>
      <c r="P934" t="n">
        <v>0</v>
      </c>
      <c r="Q934" t="n">
        <v>1</v>
      </c>
      <c r="R934" s="2" t="inlineStr">
        <is>
          <t>Grönpyrola</t>
        </is>
      </c>
      <c r="S934">
        <f>HYPERLINK("https://klasma.github.io/Logging_0862/artfynd/A 770-2022 artfynd.xlsx", "A 770-2022")</f>
        <v/>
      </c>
      <c r="T934">
        <f>HYPERLINK("https://klasma.github.io/Logging_0862/kartor/A 770-2022 karta.png", "A 770-2022")</f>
        <v/>
      </c>
      <c r="V934">
        <f>HYPERLINK("https://klasma.github.io/Logging_0862/klagomål/A 770-2022 FSC-klagomål.docx", "A 770-2022")</f>
        <v/>
      </c>
      <c r="W934">
        <f>HYPERLINK("https://klasma.github.io/Logging_0862/klagomålsmail/A 770-2022 FSC-klagomål mail.docx", "A 770-2022")</f>
        <v/>
      </c>
      <c r="X934">
        <f>HYPERLINK("https://klasma.github.io/Logging_0862/tillsyn/A 770-2022 tillsynsbegäran.docx", "A 770-2022")</f>
        <v/>
      </c>
      <c r="Y934">
        <f>HYPERLINK("https://klasma.github.io/Logging_0862/tillsynsmail/A 770-2022 tillsynsbegäran mail.docx", "A 770-2022")</f>
        <v/>
      </c>
    </row>
    <row r="935" ht="15" customHeight="1">
      <c r="A935" t="inlineStr">
        <is>
          <t>A 831-2022</t>
        </is>
      </c>
      <c r="B935" s="1" t="n">
        <v>44571</v>
      </c>
      <c r="C935" s="1" t="n">
        <v>45832</v>
      </c>
      <c r="D935" t="inlineStr">
        <is>
          <t>KALMAR LÄN</t>
        </is>
      </c>
      <c r="E935" t="inlineStr">
        <is>
          <t>TORSÅS</t>
        </is>
      </c>
      <c r="G935" t="n">
        <v>0.5</v>
      </c>
      <c r="H935" t="n">
        <v>1</v>
      </c>
      <c r="I935" t="n">
        <v>0</v>
      </c>
      <c r="J935" t="n">
        <v>0</v>
      </c>
      <c r="K935" t="n">
        <v>1</v>
      </c>
      <c r="L935" t="n">
        <v>0</v>
      </c>
      <c r="M935" t="n">
        <v>0</v>
      </c>
      <c r="N935" t="n">
        <v>0</v>
      </c>
      <c r="O935" t="n">
        <v>1</v>
      </c>
      <c r="P935" t="n">
        <v>1</v>
      </c>
      <c r="Q935" t="n">
        <v>1</v>
      </c>
      <c r="R935" s="2" t="inlineStr">
        <is>
          <t>Knärot</t>
        </is>
      </c>
      <c r="S935">
        <f>HYPERLINK("https://klasma.github.io/Logging_0834/artfynd/A 831-2022 artfynd.xlsx", "A 831-2022")</f>
        <v/>
      </c>
      <c r="T935">
        <f>HYPERLINK("https://klasma.github.io/Logging_0834/kartor/A 831-2022 karta.png", "A 831-2022")</f>
        <v/>
      </c>
      <c r="U935">
        <f>HYPERLINK("https://klasma.github.io/Logging_0834/knärot/A 831-2022 karta knärot.png", "A 831-2022")</f>
        <v/>
      </c>
      <c r="V935">
        <f>HYPERLINK("https://klasma.github.io/Logging_0834/klagomål/A 831-2022 FSC-klagomål.docx", "A 831-2022")</f>
        <v/>
      </c>
      <c r="W935">
        <f>HYPERLINK("https://klasma.github.io/Logging_0834/klagomålsmail/A 831-2022 FSC-klagomål mail.docx", "A 831-2022")</f>
        <v/>
      </c>
      <c r="X935">
        <f>HYPERLINK("https://klasma.github.io/Logging_0834/tillsyn/A 831-2022 tillsynsbegäran.docx", "A 831-2022")</f>
        <v/>
      </c>
      <c r="Y935">
        <f>HYPERLINK("https://klasma.github.io/Logging_0834/tillsynsmail/A 831-2022 tillsynsbegäran mail.docx", "A 831-2022")</f>
        <v/>
      </c>
    </row>
    <row r="936" ht="15" customHeight="1">
      <c r="A936" t="inlineStr">
        <is>
          <t>A 1519-2022</t>
        </is>
      </c>
      <c r="B936" s="1" t="n">
        <v>44573</v>
      </c>
      <c r="C936" s="1" t="n">
        <v>45832</v>
      </c>
      <c r="D936" t="inlineStr">
        <is>
          <t>KALMAR LÄN</t>
        </is>
      </c>
      <c r="E936" t="inlineStr">
        <is>
          <t>HÖGSBY</t>
        </is>
      </c>
      <c r="G936" t="n">
        <v>2.6</v>
      </c>
      <c r="H936" t="n">
        <v>0</v>
      </c>
      <c r="I936" t="n">
        <v>0</v>
      </c>
      <c r="J936" t="n">
        <v>0</v>
      </c>
      <c r="K936" t="n">
        <v>1</v>
      </c>
      <c r="L936" t="n">
        <v>0</v>
      </c>
      <c r="M936" t="n">
        <v>0</v>
      </c>
      <c r="N936" t="n">
        <v>0</v>
      </c>
      <c r="O936" t="n">
        <v>1</v>
      </c>
      <c r="P936" t="n">
        <v>1</v>
      </c>
      <c r="Q936" t="n">
        <v>1</v>
      </c>
      <c r="R936" s="2" t="inlineStr">
        <is>
          <t>Slåttergubbe</t>
        </is>
      </c>
      <c r="S936">
        <f>HYPERLINK("https://klasma.github.io/Logging_0821/artfynd/A 1519-2022 artfynd.xlsx", "A 1519-2022")</f>
        <v/>
      </c>
      <c r="T936">
        <f>HYPERLINK("https://klasma.github.io/Logging_0821/kartor/A 1519-2022 karta.png", "A 1519-2022")</f>
        <v/>
      </c>
      <c r="V936">
        <f>HYPERLINK("https://klasma.github.io/Logging_0821/klagomål/A 1519-2022 FSC-klagomål.docx", "A 1519-2022")</f>
        <v/>
      </c>
      <c r="W936">
        <f>HYPERLINK("https://klasma.github.io/Logging_0821/klagomålsmail/A 1519-2022 FSC-klagomål mail.docx", "A 1519-2022")</f>
        <v/>
      </c>
      <c r="X936">
        <f>HYPERLINK("https://klasma.github.io/Logging_0821/tillsyn/A 1519-2022 tillsynsbegäran.docx", "A 1519-2022")</f>
        <v/>
      </c>
      <c r="Y936">
        <f>HYPERLINK("https://klasma.github.io/Logging_0821/tillsynsmail/A 1519-2022 tillsynsbegäran mail.docx", "A 1519-2022")</f>
        <v/>
      </c>
    </row>
    <row r="937" ht="15" customHeight="1">
      <c r="A937" t="inlineStr">
        <is>
          <t>A 1677-2022</t>
        </is>
      </c>
      <c r="B937" s="1" t="n">
        <v>44574</v>
      </c>
      <c r="C937" s="1" t="n">
        <v>45832</v>
      </c>
      <c r="D937" t="inlineStr">
        <is>
          <t>KALMAR LÄN</t>
        </is>
      </c>
      <c r="E937" t="inlineStr">
        <is>
          <t>VÄSTERVIK</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HYPERLINK("https://klasma.github.io/Logging_0883/artfynd/A 1677-2022 artfynd.xlsx", "A 1677-2022")</f>
        <v/>
      </c>
      <c r="T937">
        <f>HYPERLINK("https://klasma.github.io/Logging_0883/kartor/A 1677-2022 karta.png", "A 1677-2022")</f>
        <v/>
      </c>
      <c r="U937">
        <f>HYPERLINK("https://klasma.github.io/Logging_0883/knärot/A 1677-2022 karta knärot.png", "A 1677-2022")</f>
        <v/>
      </c>
      <c r="V937">
        <f>HYPERLINK("https://klasma.github.io/Logging_0883/klagomål/A 1677-2022 FSC-klagomål.docx", "A 1677-2022")</f>
        <v/>
      </c>
      <c r="W937">
        <f>HYPERLINK("https://klasma.github.io/Logging_0883/klagomålsmail/A 1677-2022 FSC-klagomål mail.docx", "A 1677-2022")</f>
        <v/>
      </c>
      <c r="X937">
        <f>HYPERLINK("https://klasma.github.io/Logging_0883/tillsyn/A 1677-2022 tillsynsbegäran.docx", "A 1677-2022")</f>
        <v/>
      </c>
      <c r="Y937">
        <f>HYPERLINK("https://klasma.github.io/Logging_0883/tillsynsmail/A 1677-2022 tillsynsbegäran mail.docx", "A 1677-2022")</f>
        <v/>
      </c>
    </row>
    <row r="938" ht="15" customHeight="1">
      <c r="A938" t="inlineStr">
        <is>
          <t>A 1929-2022</t>
        </is>
      </c>
      <c r="B938" s="1" t="n">
        <v>44575</v>
      </c>
      <c r="C938" s="1" t="n">
        <v>45832</v>
      </c>
      <c r="D938" t="inlineStr">
        <is>
          <t>KALMAR LÄN</t>
        </is>
      </c>
      <c r="E938" t="inlineStr">
        <is>
          <t>KALMAR</t>
        </is>
      </c>
      <c r="G938" t="n">
        <v>3.3</v>
      </c>
      <c r="H938" t="n">
        <v>1</v>
      </c>
      <c r="I938" t="n">
        <v>0</v>
      </c>
      <c r="J938" t="n">
        <v>0</v>
      </c>
      <c r="K938" t="n">
        <v>1</v>
      </c>
      <c r="L938" t="n">
        <v>0</v>
      </c>
      <c r="M938" t="n">
        <v>0</v>
      </c>
      <c r="N938" t="n">
        <v>0</v>
      </c>
      <c r="O938" t="n">
        <v>1</v>
      </c>
      <c r="P938" t="n">
        <v>1</v>
      </c>
      <c r="Q938" t="n">
        <v>1</v>
      </c>
      <c r="R938" s="2" t="inlineStr">
        <is>
          <t>Knärot</t>
        </is>
      </c>
      <c r="S938">
        <f>HYPERLINK("https://klasma.github.io/Logging_0880/artfynd/A 1929-2022 artfynd.xlsx", "A 1929-2022")</f>
        <v/>
      </c>
      <c r="T938">
        <f>HYPERLINK("https://klasma.github.io/Logging_0880/kartor/A 1929-2022 karta.png", "A 1929-2022")</f>
        <v/>
      </c>
      <c r="U938">
        <f>HYPERLINK("https://klasma.github.io/Logging_0880/knärot/A 1929-2022 karta knärot.png", "A 1929-2022")</f>
        <v/>
      </c>
      <c r="V938">
        <f>HYPERLINK("https://klasma.github.io/Logging_0880/klagomål/A 1929-2022 FSC-klagomål.docx", "A 1929-2022")</f>
        <v/>
      </c>
      <c r="W938">
        <f>HYPERLINK("https://klasma.github.io/Logging_0880/klagomålsmail/A 1929-2022 FSC-klagomål mail.docx", "A 1929-2022")</f>
        <v/>
      </c>
      <c r="X938">
        <f>HYPERLINK("https://klasma.github.io/Logging_0880/tillsyn/A 1929-2022 tillsynsbegäran.docx", "A 1929-2022")</f>
        <v/>
      </c>
      <c r="Y938">
        <f>HYPERLINK("https://klasma.github.io/Logging_0880/tillsynsmail/A 1929-2022 tillsynsbegäran mail.docx", "A 1929-2022")</f>
        <v/>
      </c>
    </row>
    <row r="939" ht="15" customHeight="1">
      <c r="A939" t="inlineStr">
        <is>
          <t>A 5755-2022</t>
        </is>
      </c>
      <c r="B939" s="1" t="n">
        <v>44596</v>
      </c>
      <c r="C939" s="1" t="n">
        <v>45832</v>
      </c>
      <c r="D939" t="inlineStr">
        <is>
          <t>KALMAR LÄN</t>
        </is>
      </c>
      <c r="E939" t="inlineStr">
        <is>
          <t>TORSÅS</t>
        </is>
      </c>
      <c r="G939" t="n">
        <v>1.4</v>
      </c>
      <c r="H939" t="n">
        <v>0</v>
      </c>
      <c r="I939" t="n">
        <v>0</v>
      </c>
      <c r="J939" t="n">
        <v>1</v>
      </c>
      <c r="K939" t="n">
        <v>0</v>
      </c>
      <c r="L939" t="n">
        <v>0</v>
      </c>
      <c r="M939" t="n">
        <v>0</v>
      </c>
      <c r="N939" t="n">
        <v>0</v>
      </c>
      <c r="O939" t="n">
        <v>1</v>
      </c>
      <c r="P939" t="n">
        <v>0</v>
      </c>
      <c r="Q939" t="n">
        <v>1</v>
      </c>
      <c r="R939" s="2" t="inlineStr">
        <is>
          <t>Åkerkål</t>
        </is>
      </c>
      <c r="S939">
        <f>HYPERLINK("https://klasma.github.io/Logging_0834/artfynd/A 5755-2022 artfynd.xlsx", "A 5755-2022")</f>
        <v/>
      </c>
      <c r="T939">
        <f>HYPERLINK("https://klasma.github.io/Logging_0834/kartor/A 5755-2022 karta.png", "A 5755-2022")</f>
        <v/>
      </c>
      <c r="V939">
        <f>HYPERLINK("https://klasma.github.io/Logging_0834/klagomål/A 5755-2022 FSC-klagomål.docx", "A 5755-2022")</f>
        <v/>
      </c>
      <c r="W939">
        <f>HYPERLINK("https://klasma.github.io/Logging_0834/klagomålsmail/A 5755-2022 FSC-klagomål mail.docx", "A 5755-2022")</f>
        <v/>
      </c>
      <c r="X939">
        <f>HYPERLINK("https://klasma.github.io/Logging_0834/tillsyn/A 5755-2022 tillsynsbegäran.docx", "A 5755-2022")</f>
        <v/>
      </c>
      <c r="Y939">
        <f>HYPERLINK("https://klasma.github.io/Logging_0834/tillsynsmail/A 5755-2022 tillsynsbegäran mail.docx", "A 5755-2022")</f>
        <v/>
      </c>
    </row>
    <row r="940" ht="15" customHeight="1">
      <c r="A940" t="inlineStr">
        <is>
          <t>A 6849-2022</t>
        </is>
      </c>
      <c r="B940" s="1" t="n">
        <v>44602</v>
      </c>
      <c r="C940" s="1" t="n">
        <v>45832</v>
      </c>
      <c r="D940" t="inlineStr">
        <is>
          <t>KALMAR LÄN</t>
        </is>
      </c>
      <c r="E940" t="inlineStr">
        <is>
          <t>NYBRO</t>
        </is>
      </c>
      <c r="G940" t="n">
        <v>1.8</v>
      </c>
      <c r="H940" t="n">
        <v>0</v>
      </c>
      <c r="I940" t="n">
        <v>1</v>
      </c>
      <c r="J940" t="n">
        <v>0</v>
      </c>
      <c r="K940" t="n">
        <v>0</v>
      </c>
      <c r="L940" t="n">
        <v>0</v>
      </c>
      <c r="M940" t="n">
        <v>0</v>
      </c>
      <c r="N940" t="n">
        <v>0</v>
      </c>
      <c r="O940" t="n">
        <v>0</v>
      </c>
      <c r="P940" t="n">
        <v>0</v>
      </c>
      <c r="Q940" t="n">
        <v>1</v>
      </c>
      <c r="R940" s="2" t="inlineStr">
        <is>
          <t>Vågbandad barkbock</t>
        </is>
      </c>
      <c r="S940">
        <f>HYPERLINK("https://klasma.github.io/Logging_0881/artfynd/A 6849-2022 artfynd.xlsx", "A 6849-2022")</f>
        <v/>
      </c>
      <c r="T940">
        <f>HYPERLINK("https://klasma.github.io/Logging_0881/kartor/A 6849-2022 karta.png", "A 6849-2022")</f>
        <v/>
      </c>
      <c r="V940">
        <f>HYPERLINK("https://klasma.github.io/Logging_0881/klagomål/A 6849-2022 FSC-klagomål.docx", "A 6849-2022")</f>
        <v/>
      </c>
      <c r="W940">
        <f>HYPERLINK("https://klasma.github.io/Logging_0881/klagomålsmail/A 6849-2022 FSC-klagomål mail.docx", "A 6849-2022")</f>
        <v/>
      </c>
      <c r="X940">
        <f>HYPERLINK("https://klasma.github.io/Logging_0881/tillsyn/A 6849-2022 tillsynsbegäran.docx", "A 6849-2022")</f>
        <v/>
      </c>
      <c r="Y940">
        <f>HYPERLINK("https://klasma.github.io/Logging_0881/tillsynsmail/A 6849-2022 tillsynsbegäran mail.docx", "A 6849-2022")</f>
        <v/>
      </c>
    </row>
    <row r="941" ht="15" customHeight="1">
      <c r="A941" t="inlineStr">
        <is>
          <t>A 7032-2022</t>
        </is>
      </c>
      <c r="B941" s="1" t="n">
        <v>44603</v>
      </c>
      <c r="C941" s="1" t="n">
        <v>45832</v>
      </c>
      <c r="D941" t="inlineStr">
        <is>
          <t>KALMAR LÄN</t>
        </is>
      </c>
      <c r="E941" t="inlineStr">
        <is>
          <t>HÖGSBY</t>
        </is>
      </c>
      <c r="G941" t="n">
        <v>0.7</v>
      </c>
      <c r="H941" t="n">
        <v>1</v>
      </c>
      <c r="I941" t="n">
        <v>0</v>
      </c>
      <c r="J941" t="n">
        <v>0</v>
      </c>
      <c r="K941" t="n">
        <v>1</v>
      </c>
      <c r="L941" t="n">
        <v>0</v>
      </c>
      <c r="M941" t="n">
        <v>0</v>
      </c>
      <c r="N941" t="n">
        <v>0</v>
      </c>
      <c r="O941" t="n">
        <v>1</v>
      </c>
      <c r="P941" t="n">
        <v>1</v>
      </c>
      <c r="Q941" t="n">
        <v>1</v>
      </c>
      <c r="R941" s="2" t="inlineStr">
        <is>
          <t>Sandödla</t>
        </is>
      </c>
      <c r="S941">
        <f>HYPERLINK("https://klasma.github.io/Logging_0821/artfynd/A 7032-2022 artfynd.xlsx", "A 7032-2022")</f>
        <v/>
      </c>
      <c r="T941">
        <f>HYPERLINK("https://klasma.github.io/Logging_0821/kartor/A 7032-2022 karta.png", "A 7032-2022")</f>
        <v/>
      </c>
      <c r="V941">
        <f>HYPERLINK("https://klasma.github.io/Logging_0821/klagomål/A 7032-2022 FSC-klagomål.docx", "A 7032-2022")</f>
        <v/>
      </c>
      <c r="W941">
        <f>HYPERLINK("https://klasma.github.io/Logging_0821/klagomålsmail/A 7032-2022 FSC-klagomål mail.docx", "A 7032-2022")</f>
        <v/>
      </c>
      <c r="X941">
        <f>HYPERLINK("https://klasma.github.io/Logging_0821/tillsyn/A 7032-2022 tillsynsbegäran.docx", "A 7032-2022")</f>
        <v/>
      </c>
      <c r="Y941">
        <f>HYPERLINK("https://klasma.github.io/Logging_0821/tillsynsmail/A 7032-2022 tillsynsbegäran mail.docx", "A 7032-2022")</f>
        <v/>
      </c>
    </row>
    <row r="942" ht="15" customHeight="1">
      <c r="A942" t="inlineStr">
        <is>
          <t>A 10292-2022</t>
        </is>
      </c>
      <c r="B942" s="1" t="n">
        <v>44622</v>
      </c>
      <c r="C942" s="1" t="n">
        <v>45832</v>
      </c>
      <c r="D942" t="inlineStr">
        <is>
          <t>KALMAR LÄN</t>
        </is>
      </c>
      <c r="E942" t="inlineStr">
        <is>
          <t>BORGHOLM</t>
        </is>
      </c>
      <c r="G942" t="n">
        <v>4</v>
      </c>
      <c r="H942" t="n">
        <v>1</v>
      </c>
      <c r="I942" t="n">
        <v>0</v>
      </c>
      <c r="J942" t="n">
        <v>0</v>
      </c>
      <c r="K942" t="n">
        <v>0</v>
      </c>
      <c r="L942" t="n">
        <v>0</v>
      </c>
      <c r="M942" t="n">
        <v>0</v>
      </c>
      <c r="N942" t="n">
        <v>0</v>
      </c>
      <c r="O942" t="n">
        <v>0</v>
      </c>
      <c r="P942" t="n">
        <v>0</v>
      </c>
      <c r="Q942" t="n">
        <v>1</v>
      </c>
      <c r="R942" s="2" t="inlineStr">
        <is>
          <t>Sädgås</t>
        </is>
      </c>
      <c r="S942">
        <f>HYPERLINK("https://klasma.github.io/Logging_0885/artfynd/A 10292-2022 artfynd.xlsx", "A 10292-2022")</f>
        <v/>
      </c>
      <c r="T942">
        <f>HYPERLINK("https://klasma.github.io/Logging_0885/kartor/A 10292-2022 karta.png", "A 10292-2022")</f>
        <v/>
      </c>
      <c r="V942">
        <f>HYPERLINK("https://klasma.github.io/Logging_0885/klagomål/A 10292-2022 FSC-klagomål.docx", "A 10292-2022")</f>
        <v/>
      </c>
      <c r="W942">
        <f>HYPERLINK("https://klasma.github.io/Logging_0885/klagomålsmail/A 10292-2022 FSC-klagomål mail.docx", "A 10292-2022")</f>
        <v/>
      </c>
      <c r="X942">
        <f>HYPERLINK("https://klasma.github.io/Logging_0885/tillsyn/A 10292-2022 tillsynsbegäran.docx", "A 10292-2022")</f>
        <v/>
      </c>
      <c r="Y942">
        <f>HYPERLINK("https://klasma.github.io/Logging_0885/tillsynsmail/A 10292-2022 tillsynsbegäran mail.docx", "A 10292-2022")</f>
        <v/>
      </c>
    </row>
    <row r="943" ht="15" customHeight="1">
      <c r="A943" t="inlineStr">
        <is>
          <t>A 10989-2022</t>
        </is>
      </c>
      <c r="B943" s="1" t="n">
        <v>44628</v>
      </c>
      <c r="C943" s="1" t="n">
        <v>45832</v>
      </c>
      <c r="D943" t="inlineStr">
        <is>
          <t>KALMAR LÄN</t>
        </is>
      </c>
      <c r="E943" t="inlineStr">
        <is>
          <t>HÖGSBY</t>
        </is>
      </c>
      <c r="F943" t="inlineStr">
        <is>
          <t>Kyrkan</t>
        </is>
      </c>
      <c r="G943" t="n">
        <v>6.8</v>
      </c>
      <c r="H943" t="n">
        <v>1</v>
      </c>
      <c r="I943" t="n">
        <v>1</v>
      </c>
      <c r="J943" t="n">
        <v>0</v>
      </c>
      <c r="K943" t="n">
        <v>0</v>
      </c>
      <c r="L943" t="n">
        <v>0</v>
      </c>
      <c r="M943" t="n">
        <v>0</v>
      </c>
      <c r="N943" t="n">
        <v>0</v>
      </c>
      <c r="O943" t="n">
        <v>0</v>
      </c>
      <c r="P943" t="n">
        <v>0</v>
      </c>
      <c r="Q943" t="n">
        <v>1</v>
      </c>
      <c r="R943" s="2" t="inlineStr">
        <is>
          <t>Purpurknipprot</t>
        </is>
      </c>
      <c r="S943">
        <f>HYPERLINK("https://klasma.github.io/Logging_0821/artfynd/A 10989-2022 artfynd.xlsx", "A 10989-2022")</f>
        <v/>
      </c>
      <c r="T943">
        <f>HYPERLINK("https://klasma.github.io/Logging_0821/kartor/A 10989-2022 karta.png", "A 10989-2022")</f>
        <v/>
      </c>
      <c r="V943">
        <f>HYPERLINK("https://klasma.github.io/Logging_0821/klagomål/A 10989-2022 FSC-klagomål.docx", "A 10989-2022")</f>
        <v/>
      </c>
      <c r="W943">
        <f>HYPERLINK("https://klasma.github.io/Logging_0821/klagomålsmail/A 10989-2022 FSC-klagomål mail.docx", "A 10989-2022")</f>
        <v/>
      </c>
      <c r="X943">
        <f>HYPERLINK("https://klasma.github.io/Logging_0821/tillsyn/A 10989-2022 tillsynsbegäran.docx", "A 10989-2022")</f>
        <v/>
      </c>
      <c r="Y943">
        <f>HYPERLINK("https://klasma.github.io/Logging_0821/tillsynsmail/A 10989-2022 tillsynsbegäran mail.docx", "A 10989-2022")</f>
        <v/>
      </c>
    </row>
    <row r="944" ht="15" customHeight="1">
      <c r="A944" t="inlineStr">
        <is>
          <t>A 11609-2022</t>
        </is>
      </c>
      <c r="B944" s="1" t="n">
        <v>44631</v>
      </c>
      <c r="C944" s="1" t="n">
        <v>45832</v>
      </c>
      <c r="D944" t="inlineStr">
        <is>
          <t>KALMAR LÄN</t>
        </is>
      </c>
      <c r="E944" t="inlineStr">
        <is>
          <t>VÄSTERVIK</t>
        </is>
      </c>
      <c r="F944" t="inlineStr">
        <is>
          <t>Holmen skog AB</t>
        </is>
      </c>
      <c r="G944" t="n">
        <v>3.2</v>
      </c>
      <c r="H944" t="n">
        <v>0</v>
      </c>
      <c r="I944" t="n">
        <v>0</v>
      </c>
      <c r="J944" t="n">
        <v>1</v>
      </c>
      <c r="K944" t="n">
        <v>0</v>
      </c>
      <c r="L944" t="n">
        <v>0</v>
      </c>
      <c r="M944" t="n">
        <v>0</v>
      </c>
      <c r="N944" t="n">
        <v>0</v>
      </c>
      <c r="O944" t="n">
        <v>1</v>
      </c>
      <c r="P944" t="n">
        <v>0</v>
      </c>
      <c r="Q944" t="n">
        <v>1</v>
      </c>
      <c r="R944" s="2" t="inlineStr">
        <is>
          <t>Tallticka</t>
        </is>
      </c>
      <c r="S944">
        <f>HYPERLINK("https://klasma.github.io/Logging_0883/artfynd/A 11609-2022 artfynd.xlsx", "A 11609-2022")</f>
        <v/>
      </c>
      <c r="T944">
        <f>HYPERLINK("https://klasma.github.io/Logging_0883/kartor/A 11609-2022 karta.png", "A 11609-2022")</f>
        <v/>
      </c>
      <c r="U944">
        <f>HYPERLINK("https://klasma.github.io/Logging_0883/knärot/A 11609-2022 karta knärot.png", "A 11609-2022")</f>
        <v/>
      </c>
      <c r="V944">
        <f>HYPERLINK("https://klasma.github.io/Logging_0883/klagomål/A 11609-2022 FSC-klagomål.docx", "A 11609-2022")</f>
        <v/>
      </c>
      <c r="W944">
        <f>HYPERLINK("https://klasma.github.io/Logging_0883/klagomålsmail/A 11609-2022 FSC-klagomål mail.docx", "A 11609-2022")</f>
        <v/>
      </c>
      <c r="X944">
        <f>HYPERLINK("https://klasma.github.io/Logging_0883/tillsyn/A 11609-2022 tillsynsbegäran.docx", "A 11609-2022")</f>
        <v/>
      </c>
      <c r="Y944">
        <f>HYPERLINK("https://klasma.github.io/Logging_0883/tillsynsmail/A 11609-2022 tillsynsbegäran mail.docx", "A 11609-2022")</f>
        <v/>
      </c>
    </row>
    <row r="945" ht="15" customHeight="1">
      <c r="A945" t="inlineStr">
        <is>
          <t>A 11823-2022</t>
        </is>
      </c>
      <c r="B945" s="1" t="n">
        <v>44634</v>
      </c>
      <c r="C945" s="1" t="n">
        <v>45832</v>
      </c>
      <c r="D945" t="inlineStr">
        <is>
          <t>KALMAR LÄN</t>
        </is>
      </c>
      <c r="E945" t="inlineStr">
        <is>
          <t>NYBRO</t>
        </is>
      </c>
      <c r="G945" t="n">
        <v>1.8</v>
      </c>
      <c r="H945" t="n">
        <v>0</v>
      </c>
      <c r="I945" t="n">
        <v>0</v>
      </c>
      <c r="J945" t="n">
        <v>1</v>
      </c>
      <c r="K945" t="n">
        <v>0</v>
      </c>
      <c r="L945" t="n">
        <v>0</v>
      </c>
      <c r="M945" t="n">
        <v>0</v>
      </c>
      <c r="N945" t="n">
        <v>0</v>
      </c>
      <c r="O945" t="n">
        <v>1</v>
      </c>
      <c r="P945" t="n">
        <v>0</v>
      </c>
      <c r="Q945" t="n">
        <v>1</v>
      </c>
      <c r="R945" s="2" t="inlineStr">
        <is>
          <t>Svinrot</t>
        </is>
      </c>
      <c r="S945">
        <f>HYPERLINK("https://klasma.github.io/Logging_0881/artfynd/A 11823-2022 artfynd.xlsx", "A 11823-2022")</f>
        <v/>
      </c>
      <c r="T945">
        <f>HYPERLINK("https://klasma.github.io/Logging_0881/kartor/A 11823-2022 karta.png", "A 11823-2022")</f>
        <v/>
      </c>
      <c r="V945">
        <f>HYPERLINK("https://klasma.github.io/Logging_0881/klagomål/A 11823-2022 FSC-klagomål.docx", "A 11823-2022")</f>
        <v/>
      </c>
      <c r="W945">
        <f>HYPERLINK("https://klasma.github.io/Logging_0881/klagomålsmail/A 11823-2022 FSC-klagomål mail.docx", "A 11823-2022")</f>
        <v/>
      </c>
      <c r="X945">
        <f>HYPERLINK("https://klasma.github.io/Logging_0881/tillsyn/A 11823-2022 tillsynsbegäran.docx", "A 11823-2022")</f>
        <v/>
      </c>
      <c r="Y945">
        <f>HYPERLINK("https://klasma.github.io/Logging_0881/tillsynsmail/A 11823-2022 tillsynsbegäran mail.docx", "A 11823-2022")</f>
        <v/>
      </c>
    </row>
    <row r="946" ht="15" customHeight="1">
      <c r="A946" t="inlineStr">
        <is>
          <t>A 11995-2022</t>
        </is>
      </c>
      <c r="B946" s="1" t="n">
        <v>44635</v>
      </c>
      <c r="C946" s="1" t="n">
        <v>45832</v>
      </c>
      <c r="D946" t="inlineStr">
        <is>
          <t>KALMAR LÄN</t>
        </is>
      </c>
      <c r="E946" t="inlineStr">
        <is>
          <t>HÖGSBY</t>
        </is>
      </c>
      <c r="G946" t="n">
        <v>2.9</v>
      </c>
      <c r="H946" t="n">
        <v>1</v>
      </c>
      <c r="I946" t="n">
        <v>0</v>
      </c>
      <c r="J946" t="n">
        <v>0</v>
      </c>
      <c r="K946" t="n">
        <v>0</v>
      </c>
      <c r="L946" t="n">
        <v>0</v>
      </c>
      <c r="M946" t="n">
        <v>0</v>
      </c>
      <c r="N946" t="n">
        <v>0</v>
      </c>
      <c r="O946" t="n">
        <v>0</v>
      </c>
      <c r="P946" t="n">
        <v>0</v>
      </c>
      <c r="Q946" t="n">
        <v>1</v>
      </c>
      <c r="R946" s="2" t="inlineStr">
        <is>
          <t>Gullviva</t>
        </is>
      </c>
      <c r="S946">
        <f>HYPERLINK("https://klasma.github.io/Logging_0821/artfynd/A 11995-2022 artfynd.xlsx", "A 11995-2022")</f>
        <v/>
      </c>
      <c r="T946">
        <f>HYPERLINK("https://klasma.github.io/Logging_0821/kartor/A 11995-2022 karta.png", "A 11995-2022")</f>
        <v/>
      </c>
      <c r="V946">
        <f>HYPERLINK("https://klasma.github.io/Logging_0821/klagomål/A 11995-2022 FSC-klagomål.docx", "A 11995-2022")</f>
        <v/>
      </c>
      <c r="W946">
        <f>HYPERLINK("https://klasma.github.io/Logging_0821/klagomålsmail/A 11995-2022 FSC-klagomål mail.docx", "A 11995-2022")</f>
        <v/>
      </c>
      <c r="X946">
        <f>HYPERLINK("https://klasma.github.io/Logging_0821/tillsyn/A 11995-2022 tillsynsbegäran.docx", "A 11995-2022")</f>
        <v/>
      </c>
      <c r="Y946">
        <f>HYPERLINK("https://klasma.github.io/Logging_0821/tillsynsmail/A 11995-2022 tillsynsbegäran mail.docx", "A 11995-2022")</f>
        <v/>
      </c>
    </row>
    <row r="947" ht="15" customHeight="1">
      <c r="A947" t="inlineStr">
        <is>
          <t>A 12662-2022</t>
        </is>
      </c>
      <c r="B947" s="1" t="n">
        <v>44641</v>
      </c>
      <c r="C947" s="1" t="n">
        <v>45832</v>
      </c>
      <c r="D947" t="inlineStr">
        <is>
          <t>KALMAR LÄN</t>
        </is>
      </c>
      <c r="E947" t="inlineStr">
        <is>
          <t>VÄSTERVIK</t>
        </is>
      </c>
      <c r="G947" t="n">
        <v>2.1</v>
      </c>
      <c r="H947" t="n">
        <v>0</v>
      </c>
      <c r="I947" t="n">
        <v>1</v>
      </c>
      <c r="J947" t="n">
        <v>0</v>
      </c>
      <c r="K947" t="n">
        <v>0</v>
      </c>
      <c r="L947" t="n">
        <v>0</v>
      </c>
      <c r="M947" t="n">
        <v>0</v>
      </c>
      <c r="N947" t="n">
        <v>0</v>
      </c>
      <c r="O947" t="n">
        <v>0</v>
      </c>
      <c r="P947" t="n">
        <v>0</v>
      </c>
      <c r="Q947" t="n">
        <v>1</v>
      </c>
      <c r="R947" s="2" t="inlineStr">
        <is>
          <t>Blåmossa</t>
        </is>
      </c>
      <c r="S947">
        <f>HYPERLINK("https://klasma.github.io/Logging_0883/artfynd/A 12662-2022 artfynd.xlsx", "A 12662-2022")</f>
        <v/>
      </c>
      <c r="T947">
        <f>HYPERLINK("https://klasma.github.io/Logging_0883/kartor/A 12662-2022 karta.png", "A 12662-2022")</f>
        <v/>
      </c>
      <c r="V947">
        <f>HYPERLINK("https://klasma.github.io/Logging_0883/klagomål/A 12662-2022 FSC-klagomål.docx", "A 12662-2022")</f>
        <v/>
      </c>
      <c r="W947">
        <f>HYPERLINK("https://klasma.github.io/Logging_0883/klagomålsmail/A 12662-2022 FSC-klagomål mail.docx", "A 12662-2022")</f>
        <v/>
      </c>
      <c r="X947">
        <f>HYPERLINK("https://klasma.github.io/Logging_0883/tillsyn/A 12662-2022 tillsynsbegäran.docx", "A 12662-2022")</f>
        <v/>
      </c>
      <c r="Y947">
        <f>HYPERLINK("https://klasma.github.io/Logging_0883/tillsynsmail/A 12662-2022 tillsynsbegäran mail.docx", "A 12662-2022")</f>
        <v/>
      </c>
    </row>
    <row r="948" ht="15" customHeight="1">
      <c r="A948" t="inlineStr">
        <is>
          <t>A 13690-2022</t>
        </is>
      </c>
      <c r="B948" s="1" t="n">
        <v>44648</v>
      </c>
      <c r="C948" s="1" t="n">
        <v>45832</v>
      </c>
      <c r="D948" t="inlineStr">
        <is>
          <t>KALMAR LÄN</t>
        </is>
      </c>
      <c r="E948" t="inlineStr">
        <is>
          <t>NYBRO</t>
        </is>
      </c>
      <c r="F948" t="inlineStr">
        <is>
          <t>Kommuner</t>
        </is>
      </c>
      <c r="G948" t="n">
        <v>8.300000000000001</v>
      </c>
      <c r="H948" t="n">
        <v>1</v>
      </c>
      <c r="I948" t="n">
        <v>0</v>
      </c>
      <c r="J948" t="n">
        <v>0</v>
      </c>
      <c r="K948" t="n">
        <v>1</v>
      </c>
      <c r="L948" t="n">
        <v>0</v>
      </c>
      <c r="M948" t="n">
        <v>0</v>
      </c>
      <c r="N948" t="n">
        <v>0</v>
      </c>
      <c r="O948" t="n">
        <v>1</v>
      </c>
      <c r="P948" t="n">
        <v>1</v>
      </c>
      <c r="Q948" t="n">
        <v>1</v>
      </c>
      <c r="R948" s="2" t="inlineStr">
        <is>
          <t>Knärot</t>
        </is>
      </c>
      <c r="S948">
        <f>HYPERLINK("https://klasma.github.io/Logging_0881/artfynd/A 13690-2022 artfynd.xlsx", "A 13690-2022")</f>
        <v/>
      </c>
      <c r="T948">
        <f>HYPERLINK("https://klasma.github.io/Logging_0881/kartor/A 13690-2022 karta.png", "A 13690-2022")</f>
        <v/>
      </c>
      <c r="U948">
        <f>HYPERLINK("https://klasma.github.io/Logging_0881/knärot/A 13690-2022 karta knärot.png", "A 13690-2022")</f>
        <v/>
      </c>
      <c r="V948">
        <f>HYPERLINK("https://klasma.github.io/Logging_0881/klagomål/A 13690-2022 FSC-klagomål.docx", "A 13690-2022")</f>
        <v/>
      </c>
      <c r="W948">
        <f>HYPERLINK("https://klasma.github.io/Logging_0881/klagomålsmail/A 13690-2022 FSC-klagomål mail.docx", "A 13690-2022")</f>
        <v/>
      </c>
      <c r="X948">
        <f>HYPERLINK("https://klasma.github.io/Logging_0881/tillsyn/A 13690-2022 tillsynsbegäran.docx", "A 13690-2022")</f>
        <v/>
      </c>
      <c r="Y948">
        <f>HYPERLINK("https://klasma.github.io/Logging_0881/tillsynsmail/A 13690-2022 tillsynsbegäran mail.docx", "A 13690-2022")</f>
        <v/>
      </c>
    </row>
    <row r="949" ht="15" customHeight="1">
      <c r="A949" t="inlineStr">
        <is>
          <t>A 14858-2022</t>
        </is>
      </c>
      <c r="B949" s="1" t="n">
        <v>44656</v>
      </c>
      <c r="C949" s="1" t="n">
        <v>45832</v>
      </c>
      <c r="D949" t="inlineStr">
        <is>
          <t>KALMAR LÄN</t>
        </is>
      </c>
      <c r="E949" t="inlineStr">
        <is>
          <t>NYBRO</t>
        </is>
      </c>
      <c r="F949" t="inlineStr">
        <is>
          <t>Kommuner</t>
        </is>
      </c>
      <c r="G949" t="n">
        <v>4.9</v>
      </c>
      <c r="H949" t="n">
        <v>0</v>
      </c>
      <c r="I949" t="n">
        <v>0</v>
      </c>
      <c r="J949" t="n">
        <v>0</v>
      </c>
      <c r="K949" t="n">
        <v>1</v>
      </c>
      <c r="L949" t="n">
        <v>0</v>
      </c>
      <c r="M949" t="n">
        <v>0</v>
      </c>
      <c r="N949" t="n">
        <v>0</v>
      </c>
      <c r="O949" t="n">
        <v>1</v>
      </c>
      <c r="P949" t="n">
        <v>1</v>
      </c>
      <c r="Q949" t="n">
        <v>1</v>
      </c>
      <c r="R949" s="2" t="inlineStr">
        <is>
          <t>Apelticka</t>
        </is>
      </c>
      <c r="S949">
        <f>HYPERLINK("https://klasma.github.io/Logging_0881/artfynd/A 14858-2022 artfynd.xlsx", "A 14858-2022")</f>
        <v/>
      </c>
      <c r="T949">
        <f>HYPERLINK("https://klasma.github.io/Logging_0881/kartor/A 14858-2022 karta.png", "A 14858-2022")</f>
        <v/>
      </c>
      <c r="V949">
        <f>HYPERLINK("https://klasma.github.io/Logging_0881/klagomål/A 14858-2022 FSC-klagomål.docx", "A 14858-2022")</f>
        <v/>
      </c>
      <c r="W949">
        <f>HYPERLINK("https://klasma.github.io/Logging_0881/klagomålsmail/A 14858-2022 FSC-klagomål mail.docx", "A 14858-2022")</f>
        <v/>
      </c>
      <c r="X949">
        <f>HYPERLINK("https://klasma.github.io/Logging_0881/tillsyn/A 14858-2022 tillsynsbegäran.docx", "A 14858-2022")</f>
        <v/>
      </c>
      <c r="Y949">
        <f>HYPERLINK("https://klasma.github.io/Logging_0881/tillsynsmail/A 14858-2022 tillsynsbegäran mail.docx", "A 14858-2022")</f>
        <v/>
      </c>
    </row>
    <row r="950" ht="15" customHeight="1">
      <c r="A950" t="inlineStr">
        <is>
          <t>A 15378-2022</t>
        </is>
      </c>
      <c r="B950" s="1" t="n">
        <v>44659</v>
      </c>
      <c r="C950" s="1" t="n">
        <v>45832</v>
      </c>
      <c r="D950" t="inlineStr">
        <is>
          <t>KALMAR LÄN</t>
        </is>
      </c>
      <c r="E950" t="inlineStr">
        <is>
          <t>VÄSTERVIK</t>
        </is>
      </c>
      <c r="G950" t="n">
        <v>1.4</v>
      </c>
      <c r="H950" t="n">
        <v>0</v>
      </c>
      <c r="I950" t="n">
        <v>0</v>
      </c>
      <c r="J950" t="n">
        <v>1</v>
      </c>
      <c r="K950" t="n">
        <v>0</v>
      </c>
      <c r="L950" t="n">
        <v>0</v>
      </c>
      <c r="M950" t="n">
        <v>0</v>
      </c>
      <c r="N950" t="n">
        <v>0</v>
      </c>
      <c r="O950" t="n">
        <v>1</v>
      </c>
      <c r="P950" t="n">
        <v>0</v>
      </c>
      <c r="Q950" t="n">
        <v>1</v>
      </c>
      <c r="R950" s="2" t="inlineStr">
        <is>
          <t>Klofibbla</t>
        </is>
      </c>
      <c r="S950">
        <f>HYPERLINK("https://klasma.github.io/Logging_0883/artfynd/A 15378-2022 artfynd.xlsx", "A 15378-2022")</f>
        <v/>
      </c>
      <c r="T950">
        <f>HYPERLINK("https://klasma.github.io/Logging_0883/kartor/A 15378-2022 karta.png", "A 15378-2022")</f>
        <v/>
      </c>
      <c r="V950">
        <f>HYPERLINK("https://klasma.github.io/Logging_0883/klagomål/A 15378-2022 FSC-klagomål.docx", "A 15378-2022")</f>
        <v/>
      </c>
      <c r="W950">
        <f>HYPERLINK("https://klasma.github.io/Logging_0883/klagomålsmail/A 15378-2022 FSC-klagomål mail.docx", "A 15378-2022")</f>
        <v/>
      </c>
      <c r="X950">
        <f>HYPERLINK("https://klasma.github.io/Logging_0883/tillsyn/A 15378-2022 tillsynsbegäran.docx", "A 15378-2022")</f>
        <v/>
      </c>
      <c r="Y950">
        <f>HYPERLINK("https://klasma.github.io/Logging_0883/tillsynsmail/A 15378-2022 tillsynsbegäran mail.docx", "A 15378-2022")</f>
        <v/>
      </c>
    </row>
    <row r="951" ht="15" customHeight="1">
      <c r="A951" t="inlineStr">
        <is>
          <t>A 19384-2022</t>
        </is>
      </c>
      <c r="B951" s="1" t="n">
        <v>44692</v>
      </c>
      <c r="C951" s="1" t="n">
        <v>45832</v>
      </c>
      <c r="D951" t="inlineStr">
        <is>
          <t>KALMAR LÄN</t>
        </is>
      </c>
      <c r="E951" t="inlineStr">
        <is>
          <t>NYBRO</t>
        </is>
      </c>
      <c r="G951" t="n">
        <v>3.2</v>
      </c>
      <c r="H951" t="n">
        <v>0</v>
      </c>
      <c r="I951" t="n">
        <v>1</v>
      </c>
      <c r="J951" t="n">
        <v>0</v>
      </c>
      <c r="K951" t="n">
        <v>0</v>
      </c>
      <c r="L951" t="n">
        <v>0</v>
      </c>
      <c r="M951" t="n">
        <v>0</v>
      </c>
      <c r="N951" t="n">
        <v>0</v>
      </c>
      <c r="O951" t="n">
        <v>0</v>
      </c>
      <c r="P951" t="n">
        <v>0</v>
      </c>
      <c r="Q951" t="n">
        <v>1</v>
      </c>
      <c r="R951" s="2" t="inlineStr">
        <is>
          <t>Sotlav</t>
        </is>
      </c>
      <c r="S951">
        <f>HYPERLINK("https://klasma.github.io/Logging_0881/artfynd/A 19384-2022 artfynd.xlsx", "A 19384-2022")</f>
        <v/>
      </c>
      <c r="T951">
        <f>HYPERLINK("https://klasma.github.io/Logging_0881/kartor/A 19384-2022 karta.png", "A 19384-2022")</f>
        <v/>
      </c>
      <c r="V951">
        <f>HYPERLINK("https://klasma.github.io/Logging_0881/klagomål/A 19384-2022 FSC-klagomål.docx", "A 19384-2022")</f>
        <v/>
      </c>
      <c r="W951">
        <f>HYPERLINK("https://klasma.github.io/Logging_0881/klagomålsmail/A 19384-2022 FSC-klagomål mail.docx", "A 19384-2022")</f>
        <v/>
      </c>
      <c r="X951">
        <f>HYPERLINK("https://klasma.github.io/Logging_0881/tillsyn/A 19384-2022 tillsynsbegäran.docx", "A 19384-2022")</f>
        <v/>
      </c>
      <c r="Y951">
        <f>HYPERLINK("https://klasma.github.io/Logging_0881/tillsynsmail/A 19384-2022 tillsynsbegäran mail.docx", "A 19384-2022")</f>
        <v/>
      </c>
    </row>
    <row r="952" ht="15" customHeight="1">
      <c r="A952" t="inlineStr">
        <is>
          <t>A 19900-2022</t>
        </is>
      </c>
      <c r="B952" s="1" t="n">
        <v>44697</v>
      </c>
      <c r="C952" s="1" t="n">
        <v>45832</v>
      </c>
      <c r="D952" t="inlineStr">
        <is>
          <t>KALMAR LÄN</t>
        </is>
      </c>
      <c r="E952" t="inlineStr">
        <is>
          <t>VÄSTERVIK</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HYPERLINK("https://klasma.github.io/Logging_0883/artfynd/A 19900-2022 artfynd.xlsx", "A 19900-2022")</f>
        <v/>
      </c>
      <c r="T952">
        <f>HYPERLINK("https://klasma.github.io/Logging_0883/kartor/A 19900-2022 karta.png", "A 19900-2022")</f>
        <v/>
      </c>
      <c r="U952">
        <f>HYPERLINK("https://klasma.github.io/Logging_0883/knärot/A 19900-2022 karta knärot.png", "A 19900-2022")</f>
        <v/>
      </c>
      <c r="V952">
        <f>HYPERLINK("https://klasma.github.io/Logging_0883/klagomål/A 19900-2022 FSC-klagomål.docx", "A 19900-2022")</f>
        <v/>
      </c>
      <c r="W952">
        <f>HYPERLINK("https://klasma.github.io/Logging_0883/klagomålsmail/A 19900-2022 FSC-klagomål mail.docx", "A 19900-2022")</f>
        <v/>
      </c>
      <c r="X952">
        <f>HYPERLINK("https://klasma.github.io/Logging_0883/tillsyn/A 19900-2022 tillsynsbegäran.docx", "A 19900-2022")</f>
        <v/>
      </c>
      <c r="Y952">
        <f>HYPERLINK("https://klasma.github.io/Logging_0883/tillsynsmail/A 19900-2022 tillsynsbegäran mail.docx", "A 19900-2022")</f>
        <v/>
      </c>
    </row>
    <row r="953" ht="15" customHeight="1">
      <c r="A953" t="inlineStr">
        <is>
          <t>A 21489-2022</t>
        </is>
      </c>
      <c r="B953" s="1" t="n">
        <v>44706</v>
      </c>
      <c r="C953" s="1" t="n">
        <v>45832</v>
      </c>
      <c r="D953" t="inlineStr">
        <is>
          <t>KALMAR LÄN</t>
        </is>
      </c>
      <c r="E953" t="inlineStr">
        <is>
          <t>VIMMERBY</t>
        </is>
      </c>
      <c r="G953" t="n">
        <v>4.8</v>
      </c>
      <c r="H953" t="n">
        <v>0</v>
      </c>
      <c r="I953" t="n">
        <v>0</v>
      </c>
      <c r="J953" t="n">
        <v>0</v>
      </c>
      <c r="K953" t="n">
        <v>1</v>
      </c>
      <c r="L953" t="n">
        <v>0</v>
      </c>
      <c r="M953" t="n">
        <v>0</v>
      </c>
      <c r="N953" t="n">
        <v>0</v>
      </c>
      <c r="O953" t="n">
        <v>1</v>
      </c>
      <c r="P953" t="n">
        <v>1</v>
      </c>
      <c r="Q953" t="n">
        <v>1</v>
      </c>
      <c r="R953" s="2" t="inlineStr">
        <is>
          <t>Späd fetfibbla</t>
        </is>
      </c>
      <c r="S953">
        <f>HYPERLINK("https://klasma.github.io/Logging_0884/artfynd/A 21489-2022 artfynd.xlsx", "A 21489-2022")</f>
        <v/>
      </c>
      <c r="T953">
        <f>HYPERLINK("https://klasma.github.io/Logging_0884/kartor/A 21489-2022 karta.png", "A 21489-2022")</f>
        <v/>
      </c>
      <c r="V953">
        <f>HYPERLINK("https://klasma.github.io/Logging_0884/klagomål/A 21489-2022 FSC-klagomål.docx", "A 21489-2022")</f>
        <v/>
      </c>
      <c r="W953">
        <f>HYPERLINK("https://klasma.github.io/Logging_0884/klagomålsmail/A 21489-2022 FSC-klagomål mail.docx", "A 21489-2022")</f>
        <v/>
      </c>
      <c r="X953">
        <f>HYPERLINK("https://klasma.github.io/Logging_0884/tillsyn/A 21489-2022 tillsynsbegäran.docx", "A 21489-2022")</f>
        <v/>
      </c>
      <c r="Y953">
        <f>HYPERLINK("https://klasma.github.io/Logging_0884/tillsynsmail/A 21489-2022 tillsynsbegäran mail.docx", "A 21489-2022")</f>
        <v/>
      </c>
    </row>
    <row r="954" ht="15" customHeight="1">
      <c r="A954" t="inlineStr">
        <is>
          <t>A 24096-2022</t>
        </is>
      </c>
      <c r="B954" s="1" t="n">
        <v>44725</v>
      </c>
      <c r="C954" s="1" t="n">
        <v>45832</v>
      </c>
      <c r="D954" t="inlineStr">
        <is>
          <t>KALMAR LÄN</t>
        </is>
      </c>
      <c r="E954" t="inlineStr">
        <is>
          <t>BORGHOLM</t>
        </is>
      </c>
      <c r="G954" t="n">
        <v>1.9</v>
      </c>
      <c r="H954" t="n">
        <v>0</v>
      </c>
      <c r="I954" t="n">
        <v>1</v>
      </c>
      <c r="J954" t="n">
        <v>0</v>
      </c>
      <c r="K954" t="n">
        <v>0</v>
      </c>
      <c r="L954" t="n">
        <v>0</v>
      </c>
      <c r="M954" t="n">
        <v>0</v>
      </c>
      <c r="N954" t="n">
        <v>0</v>
      </c>
      <c r="O954" t="n">
        <v>0</v>
      </c>
      <c r="P954" t="n">
        <v>0</v>
      </c>
      <c r="Q954" t="n">
        <v>1</v>
      </c>
      <c r="R954" s="2" t="inlineStr">
        <is>
          <t>Sårläka</t>
        </is>
      </c>
      <c r="S954">
        <f>HYPERLINK("https://klasma.github.io/Logging_0885/artfynd/A 24096-2022 artfynd.xlsx", "A 24096-2022")</f>
        <v/>
      </c>
      <c r="T954">
        <f>HYPERLINK("https://klasma.github.io/Logging_0885/kartor/A 24096-2022 karta.png", "A 24096-2022")</f>
        <v/>
      </c>
      <c r="V954">
        <f>HYPERLINK("https://klasma.github.io/Logging_0885/klagomål/A 24096-2022 FSC-klagomål.docx", "A 24096-2022")</f>
        <v/>
      </c>
      <c r="W954">
        <f>HYPERLINK("https://klasma.github.io/Logging_0885/klagomålsmail/A 24096-2022 FSC-klagomål mail.docx", "A 24096-2022")</f>
        <v/>
      </c>
      <c r="X954">
        <f>HYPERLINK("https://klasma.github.io/Logging_0885/tillsyn/A 24096-2022 tillsynsbegäran.docx", "A 24096-2022")</f>
        <v/>
      </c>
      <c r="Y954">
        <f>HYPERLINK("https://klasma.github.io/Logging_0885/tillsynsmail/A 24096-2022 tillsynsbegäran mail.docx", "A 24096-2022")</f>
        <v/>
      </c>
    </row>
    <row r="955" ht="15" customHeight="1">
      <c r="A955" t="inlineStr">
        <is>
          <t>A 24437-2022</t>
        </is>
      </c>
      <c r="B955" s="1" t="n">
        <v>44726</v>
      </c>
      <c r="C955" s="1" t="n">
        <v>45832</v>
      </c>
      <c r="D955" t="inlineStr">
        <is>
          <t>KALMAR LÄN</t>
        </is>
      </c>
      <c r="E955" t="inlineStr">
        <is>
          <t>KALMAR</t>
        </is>
      </c>
      <c r="G955" t="n">
        <v>21.2</v>
      </c>
      <c r="H955" t="n">
        <v>0</v>
      </c>
      <c r="I955" t="n">
        <v>0</v>
      </c>
      <c r="J955" t="n">
        <v>1</v>
      </c>
      <c r="K955" t="n">
        <v>0</v>
      </c>
      <c r="L955" t="n">
        <v>0</v>
      </c>
      <c r="M955" t="n">
        <v>0</v>
      </c>
      <c r="N955" t="n">
        <v>0</v>
      </c>
      <c r="O955" t="n">
        <v>1</v>
      </c>
      <c r="P955" t="n">
        <v>0</v>
      </c>
      <c r="Q955" t="n">
        <v>1</v>
      </c>
      <c r="R955" s="2" t="inlineStr">
        <is>
          <t>Paddfot</t>
        </is>
      </c>
      <c r="S955">
        <f>HYPERLINK("https://klasma.github.io/Logging_0880/artfynd/A 24437-2022 artfynd.xlsx", "A 24437-2022")</f>
        <v/>
      </c>
      <c r="T955">
        <f>HYPERLINK("https://klasma.github.io/Logging_0880/kartor/A 24437-2022 karta.png", "A 24437-2022")</f>
        <v/>
      </c>
      <c r="V955">
        <f>HYPERLINK("https://klasma.github.io/Logging_0880/klagomål/A 24437-2022 FSC-klagomål.docx", "A 24437-2022")</f>
        <v/>
      </c>
      <c r="W955">
        <f>HYPERLINK("https://klasma.github.io/Logging_0880/klagomålsmail/A 24437-2022 FSC-klagomål mail.docx", "A 24437-2022")</f>
        <v/>
      </c>
      <c r="X955">
        <f>HYPERLINK("https://klasma.github.io/Logging_0880/tillsyn/A 24437-2022 tillsynsbegäran.docx", "A 24437-2022")</f>
        <v/>
      </c>
      <c r="Y955">
        <f>HYPERLINK("https://klasma.github.io/Logging_0880/tillsynsmail/A 24437-2022 tillsynsbegäran mail.docx", "A 24437-2022")</f>
        <v/>
      </c>
    </row>
    <row r="956" ht="15" customHeight="1">
      <c r="A956" t="inlineStr">
        <is>
          <t>A 26056-2022</t>
        </is>
      </c>
      <c r="B956" s="1" t="n">
        <v>44734</v>
      </c>
      <c r="C956" s="1" t="n">
        <v>45832</v>
      </c>
      <c r="D956" t="inlineStr">
        <is>
          <t>KALMAR LÄN</t>
        </is>
      </c>
      <c r="E956" t="inlineStr">
        <is>
          <t>VÄSTERVIK</t>
        </is>
      </c>
      <c r="G956" t="n">
        <v>1.1</v>
      </c>
      <c r="H956" t="n">
        <v>0</v>
      </c>
      <c r="I956" t="n">
        <v>0</v>
      </c>
      <c r="J956" t="n">
        <v>1</v>
      </c>
      <c r="K956" t="n">
        <v>0</v>
      </c>
      <c r="L956" t="n">
        <v>0</v>
      </c>
      <c r="M956" t="n">
        <v>0</v>
      </c>
      <c r="N956" t="n">
        <v>0</v>
      </c>
      <c r="O956" t="n">
        <v>1</v>
      </c>
      <c r="P956" t="n">
        <v>0</v>
      </c>
      <c r="Q956" t="n">
        <v>1</v>
      </c>
      <c r="R956" s="2" t="inlineStr">
        <is>
          <t>Slåtterfibbla</t>
        </is>
      </c>
      <c r="S956">
        <f>HYPERLINK("https://klasma.github.io/Logging_0883/artfynd/A 26056-2022 artfynd.xlsx", "A 26056-2022")</f>
        <v/>
      </c>
      <c r="T956">
        <f>HYPERLINK("https://klasma.github.io/Logging_0883/kartor/A 26056-2022 karta.png", "A 26056-2022")</f>
        <v/>
      </c>
      <c r="V956">
        <f>HYPERLINK("https://klasma.github.io/Logging_0883/klagomål/A 26056-2022 FSC-klagomål.docx", "A 26056-2022")</f>
        <v/>
      </c>
      <c r="W956">
        <f>HYPERLINK("https://klasma.github.io/Logging_0883/klagomålsmail/A 26056-2022 FSC-klagomål mail.docx", "A 26056-2022")</f>
        <v/>
      </c>
      <c r="X956">
        <f>HYPERLINK("https://klasma.github.io/Logging_0883/tillsyn/A 26056-2022 tillsynsbegäran.docx", "A 26056-2022")</f>
        <v/>
      </c>
      <c r="Y956">
        <f>HYPERLINK("https://klasma.github.io/Logging_0883/tillsynsmail/A 26056-2022 tillsynsbegäran mail.docx", "A 26056-2022")</f>
        <v/>
      </c>
    </row>
    <row r="957" ht="15" customHeight="1">
      <c r="A957" t="inlineStr">
        <is>
          <t>A 30473-2022</t>
        </is>
      </c>
      <c r="B957" s="1" t="n">
        <v>44761</v>
      </c>
      <c r="C957" s="1" t="n">
        <v>45832</v>
      </c>
      <c r="D957" t="inlineStr">
        <is>
          <t>KALMAR LÄN</t>
        </is>
      </c>
      <c r="E957" t="inlineStr">
        <is>
          <t>VIMMERBY</t>
        </is>
      </c>
      <c r="G957" t="n">
        <v>4.2</v>
      </c>
      <c r="H957" t="n">
        <v>1</v>
      </c>
      <c r="I957" t="n">
        <v>0</v>
      </c>
      <c r="J957" t="n">
        <v>1</v>
      </c>
      <c r="K957" t="n">
        <v>0</v>
      </c>
      <c r="L957" t="n">
        <v>0</v>
      </c>
      <c r="M957" t="n">
        <v>0</v>
      </c>
      <c r="N957" t="n">
        <v>0</v>
      </c>
      <c r="O957" t="n">
        <v>1</v>
      </c>
      <c r="P957" t="n">
        <v>0</v>
      </c>
      <c r="Q957" t="n">
        <v>1</v>
      </c>
      <c r="R957" s="2" t="inlineStr">
        <is>
          <t>Talltita</t>
        </is>
      </c>
      <c r="S957">
        <f>HYPERLINK("https://klasma.github.io/Logging_0884/artfynd/A 30473-2022 artfynd.xlsx", "A 30473-2022")</f>
        <v/>
      </c>
      <c r="T957">
        <f>HYPERLINK("https://klasma.github.io/Logging_0884/kartor/A 30473-2022 karta.png", "A 30473-2022")</f>
        <v/>
      </c>
      <c r="V957">
        <f>HYPERLINK("https://klasma.github.io/Logging_0884/klagomål/A 30473-2022 FSC-klagomål.docx", "A 30473-2022")</f>
        <v/>
      </c>
      <c r="W957">
        <f>HYPERLINK("https://klasma.github.io/Logging_0884/klagomålsmail/A 30473-2022 FSC-klagomål mail.docx", "A 30473-2022")</f>
        <v/>
      </c>
      <c r="X957">
        <f>HYPERLINK("https://klasma.github.io/Logging_0884/tillsyn/A 30473-2022 tillsynsbegäran.docx", "A 30473-2022")</f>
        <v/>
      </c>
      <c r="Y957">
        <f>HYPERLINK("https://klasma.github.io/Logging_0884/tillsynsmail/A 30473-2022 tillsynsbegäran mail.docx", "A 30473-2022")</f>
        <v/>
      </c>
      <c r="Z957">
        <f>HYPERLINK("https://klasma.github.io/Logging_0884/fåglar/A 30473-2022 prioriterade fågelarter.docx", "A 30473-2022")</f>
        <v/>
      </c>
    </row>
    <row r="958" ht="15" customHeight="1">
      <c r="A958" t="inlineStr">
        <is>
          <t>A 30597-2022</t>
        </is>
      </c>
      <c r="B958" s="1" t="n">
        <v>44762</v>
      </c>
      <c r="C958" s="1" t="n">
        <v>45832</v>
      </c>
      <c r="D958" t="inlineStr">
        <is>
          <t>KALMAR LÄN</t>
        </is>
      </c>
      <c r="E958" t="inlineStr">
        <is>
          <t>EMMABODA</t>
        </is>
      </c>
      <c r="G958" t="n">
        <v>0.9</v>
      </c>
      <c r="H958" t="n">
        <v>1</v>
      </c>
      <c r="I958" t="n">
        <v>0</v>
      </c>
      <c r="J958" t="n">
        <v>0</v>
      </c>
      <c r="K958" t="n">
        <v>0</v>
      </c>
      <c r="L958" t="n">
        <v>0</v>
      </c>
      <c r="M958" t="n">
        <v>0</v>
      </c>
      <c r="N958" t="n">
        <v>0</v>
      </c>
      <c r="O958" t="n">
        <v>0</v>
      </c>
      <c r="P958" t="n">
        <v>0</v>
      </c>
      <c r="Q958" t="n">
        <v>1</v>
      </c>
      <c r="R958" s="2" t="inlineStr">
        <is>
          <t>Hasselmus</t>
        </is>
      </c>
      <c r="S958">
        <f>HYPERLINK("https://klasma.github.io/Logging_0862/artfynd/A 30597-2022 artfynd.xlsx", "A 30597-2022")</f>
        <v/>
      </c>
      <c r="T958">
        <f>HYPERLINK("https://klasma.github.io/Logging_0862/kartor/A 30597-2022 karta.png", "A 30597-2022")</f>
        <v/>
      </c>
      <c r="V958">
        <f>HYPERLINK("https://klasma.github.io/Logging_0862/klagomål/A 30597-2022 FSC-klagomål.docx", "A 30597-2022")</f>
        <v/>
      </c>
      <c r="W958">
        <f>HYPERLINK("https://klasma.github.io/Logging_0862/klagomålsmail/A 30597-2022 FSC-klagomål mail.docx", "A 30597-2022")</f>
        <v/>
      </c>
      <c r="X958">
        <f>HYPERLINK("https://klasma.github.io/Logging_0862/tillsyn/A 30597-2022 tillsynsbegäran.docx", "A 30597-2022")</f>
        <v/>
      </c>
      <c r="Y958">
        <f>HYPERLINK("https://klasma.github.io/Logging_0862/tillsynsmail/A 30597-2022 tillsynsbegäran mail.docx", "A 30597-2022")</f>
        <v/>
      </c>
    </row>
    <row r="959" ht="15" customHeight="1">
      <c r="A959" t="inlineStr">
        <is>
          <t>A 31295-2022</t>
        </is>
      </c>
      <c r="B959" s="1" t="n">
        <v>44772</v>
      </c>
      <c r="C959" s="1" t="n">
        <v>45832</v>
      </c>
      <c r="D959" t="inlineStr">
        <is>
          <t>KALMAR LÄN</t>
        </is>
      </c>
      <c r="E959" t="inlineStr">
        <is>
          <t>BORGHOLM</t>
        </is>
      </c>
      <c r="F959" t="inlineStr">
        <is>
          <t>Sveaskog</t>
        </is>
      </c>
      <c r="G959" t="n">
        <v>6.1</v>
      </c>
      <c r="H959" t="n">
        <v>0</v>
      </c>
      <c r="I959" t="n">
        <v>0</v>
      </c>
      <c r="J959" t="n">
        <v>0</v>
      </c>
      <c r="K959" t="n">
        <v>0</v>
      </c>
      <c r="L959" t="n">
        <v>1</v>
      </c>
      <c r="M959" t="n">
        <v>0</v>
      </c>
      <c r="N959" t="n">
        <v>0</v>
      </c>
      <c r="O959" t="n">
        <v>1</v>
      </c>
      <c r="P959" t="n">
        <v>1</v>
      </c>
      <c r="Q959" t="n">
        <v>1</v>
      </c>
      <c r="R959" s="2" t="inlineStr">
        <is>
          <t>Skärrande gräshoppa</t>
        </is>
      </c>
      <c r="S959">
        <f>HYPERLINK("https://klasma.github.io/Logging_0885/artfynd/A 31295-2022 artfynd.xlsx", "A 31295-2022")</f>
        <v/>
      </c>
      <c r="T959">
        <f>HYPERLINK("https://klasma.github.io/Logging_0885/kartor/A 31295-2022 karta.png", "A 31295-2022")</f>
        <v/>
      </c>
      <c r="V959">
        <f>HYPERLINK("https://klasma.github.io/Logging_0885/klagomål/A 31295-2022 FSC-klagomål.docx", "A 31295-2022")</f>
        <v/>
      </c>
      <c r="W959">
        <f>HYPERLINK("https://klasma.github.io/Logging_0885/klagomålsmail/A 31295-2022 FSC-klagomål mail.docx", "A 31295-2022")</f>
        <v/>
      </c>
      <c r="X959">
        <f>HYPERLINK("https://klasma.github.io/Logging_0885/tillsyn/A 31295-2022 tillsynsbegäran.docx", "A 31295-2022")</f>
        <v/>
      </c>
      <c r="Y959">
        <f>HYPERLINK("https://klasma.github.io/Logging_0885/tillsynsmail/A 31295-2022 tillsynsbegäran mail.docx", "A 31295-2022")</f>
        <v/>
      </c>
    </row>
    <row r="960" ht="15" customHeight="1">
      <c r="A960" t="inlineStr">
        <is>
          <t>A 32030-2022</t>
        </is>
      </c>
      <c r="B960" s="1" t="n">
        <v>44778</v>
      </c>
      <c r="C960" s="1" t="n">
        <v>45832</v>
      </c>
      <c r="D960" t="inlineStr">
        <is>
          <t>KALMAR LÄN</t>
        </is>
      </c>
      <c r="E960" t="inlineStr">
        <is>
          <t>OSKARSHAMN</t>
        </is>
      </c>
      <c r="G960" t="n">
        <v>2.4</v>
      </c>
      <c r="H960" t="n">
        <v>1</v>
      </c>
      <c r="I960" t="n">
        <v>0</v>
      </c>
      <c r="J960" t="n">
        <v>0</v>
      </c>
      <c r="K960" t="n">
        <v>0</v>
      </c>
      <c r="L960" t="n">
        <v>0</v>
      </c>
      <c r="M960" t="n">
        <v>0</v>
      </c>
      <c r="N960" t="n">
        <v>0</v>
      </c>
      <c r="O960" t="n">
        <v>0</v>
      </c>
      <c r="P960" t="n">
        <v>0</v>
      </c>
      <c r="Q960" t="n">
        <v>1</v>
      </c>
      <c r="R960" s="2" t="inlineStr">
        <is>
          <t>Blåsippa</t>
        </is>
      </c>
      <c r="S960">
        <f>HYPERLINK("https://klasma.github.io/Logging_0882/artfynd/A 32030-2022 artfynd.xlsx", "A 32030-2022")</f>
        <v/>
      </c>
      <c r="T960">
        <f>HYPERLINK("https://klasma.github.io/Logging_0882/kartor/A 32030-2022 karta.png", "A 32030-2022")</f>
        <v/>
      </c>
      <c r="V960">
        <f>HYPERLINK("https://klasma.github.io/Logging_0882/klagomål/A 32030-2022 FSC-klagomål.docx", "A 32030-2022")</f>
        <v/>
      </c>
      <c r="W960">
        <f>HYPERLINK("https://klasma.github.io/Logging_0882/klagomålsmail/A 32030-2022 FSC-klagomål mail.docx", "A 32030-2022")</f>
        <v/>
      </c>
      <c r="X960">
        <f>HYPERLINK("https://klasma.github.io/Logging_0882/tillsyn/A 32030-2022 tillsynsbegäran.docx", "A 32030-2022")</f>
        <v/>
      </c>
      <c r="Y960">
        <f>HYPERLINK("https://klasma.github.io/Logging_0882/tillsynsmail/A 32030-2022 tillsynsbegäran mail.docx", "A 32030-2022")</f>
        <v/>
      </c>
    </row>
    <row r="961" ht="15" customHeight="1">
      <c r="A961" t="inlineStr">
        <is>
          <t>A 33209-2022</t>
        </is>
      </c>
      <c r="B961" s="1" t="n">
        <v>44785</v>
      </c>
      <c r="C961" s="1" t="n">
        <v>45832</v>
      </c>
      <c r="D961" t="inlineStr">
        <is>
          <t>KALMAR LÄN</t>
        </is>
      </c>
      <c r="E961" t="inlineStr">
        <is>
          <t>VÄSTERVIK</t>
        </is>
      </c>
      <c r="G961" t="n">
        <v>1.4</v>
      </c>
      <c r="H961" t="n">
        <v>0</v>
      </c>
      <c r="I961" t="n">
        <v>0</v>
      </c>
      <c r="J961" t="n">
        <v>1</v>
      </c>
      <c r="K961" t="n">
        <v>0</v>
      </c>
      <c r="L961" t="n">
        <v>0</v>
      </c>
      <c r="M961" t="n">
        <v>0</v>
      </c>
      <c r="N961" t="n">
        <v>0</v>
      </c>
      <c r="O961" t="n">
        <v>1</v>
      </c>
      <c r="P961" t="n">
        <v>0</v>
      </c>
      <c r="Q961" t="n">
        <v>1</v>
      </c>
      <c r="R961" s="2" t="inlineStr">
        <is>
          <t>Slåtterfibbla</t>
        </is>
      </c>
      <c r="S961">
        <f>HYPERLINK("https://klasma.github.io/Logging_0883/artfynd/A 33209-2022 artfynd.xlsx", "A 33209-2022")</f>
        <v/>
      </c>
      <c r="T961">
        <f>HYPERLINK("https://klasma.github.io/Logging_0883/kartor/A 33209-2022 karta.png", "A 33209-2022")</f>
        <v/>
      </c>
      <c r="V961">
        <f>HYPERLINK("https://klasma.github.io/Logging_0883/klagomål/A 33209-2022 FSC-klagomål.docx", "A 33209-2022")</f>
        <v/>
      </c>
      <c r="W961">
        <f>HYPERLINK("https://klasma.github.io/Logging_0883/klagomålsmail/A 33209-2022 FSC-klagomål mail.docx", "A 33209-2022")</f>
        <v/>
      </c>
      <c r="X961">
        <f>HYPERLINK("https://klasma.github.io/Logging_0883/tillsyn/A 33209-2022 tillsynsbegäran.docx", "A 33209-2022")</f>
        <v/>
      </c>
      <c r="Y961">
        <f>HYPERLINK("https://klasma.github.io/Logging_0883/tillsynsmail/A 33209-2022 tillsynsbegäran mail.docx", "A 33209-2022")</f>
        <v/>
      </c>
    </row>
    <row r="962" ht="15" customHeight="1">
      <c r="A962" t="inlineStr">
        <is>
          <t>A 33241-2022</t>
        </is>
      </c>
      <c r="B962" s="1" t="n">
        <v>44786</v>
      </c>
      <c r="C962" s="1" t="n">
        <v>45832</v>
      </c>
      <c r="D962" t="inlineStr">
        <is>
          <t>KALMAR LÄN</t>
        </is>
      </c>
      <c r="E962" t="inlineStr">
        <is>
          <t>OSKARSHAMN</t>
        </is>
      </c>
      <c r="G962" t="n">
        <v>3</v>
      </c>
      <c r="H962" t="n">
        <v>0</v>
      </c>
      <c r="I962" t="n">
        <v>1</v>
      </c>
      <c r="J962" t="n">
        <v>0</v>
      </c>
      <c r="K962" t="n">
        <v>0</v>
      </c>
      <c r="L962" t="n">
        <v>0</v>
      </c>
      <c r="M962" t="n">
        <v>0</v>
      </c>
      <c r="N962" t="n">
        <v>0</v>
      </c>
      <c r="O962" t="n">
        <v>0</v>
      </c>
      <c r="P962" t="n">
        <v>0</v>
      </c>
      <c r="Q962" t="n">
        <v>1</v>
      </c>
      <c r="R962" s="2" t="inlineStr">
        <is>
          <t>Fällmossa</t>
        </is>
      </c>
      <c r="S962">
        <f>HYPERLINK("https://klasma.github.io/Logging_0882/artfynd/A 33241-2022 artfynd.xlsx", "A 33241-2022")</f>
        <v/>
      </c>
      <c r="T962">
        <f>HYPERLINK("https://klasma.github.io/Logging_0882/kartor/A 33241-2022 karta.png", "A 33241-2022")</f>
        <v/>
      </c>
      <c r="V962">
        <f>HYPERLINK("https://klasma.github.io/Logging_0882/klagomål/A 33241-2022 FSC-klagomål.docx", "A 33241-2022")</f>
        <v/>
      </c>
      <c r="W962">
        <f>HYPERLINK("https://klasma.github.io/Logging_0882/klagomålsmail/A 33241-2022 FSC-klagomål mail.docx", "A 33241-2022")</f>
        <v/>
      </c>
      <c r="X962">
        <f>HYPERLINK("https://klasma.github.io/Logging_0882/tillsyn/A 33241-2022 tillsynsbegäran.docx", "A 33241-2022")</f>
        <v/>
      </c>
      <c r="Y962">
        <f>HYPERLINK("https://klasma.github.io/Logging_0882/tillsynsmail/A 33241-2022 tillsynsbegäran mail.docx", "A 33241-2022")</f>
        <v/>
      </c>
    </row>
    <row r="963" ht="15" customHeight="1">
      <c r="A963" t="inlineStr">
        <is>
          <t>A 34081-2022</t>
        </is>
      </c>
      <c r="B963" s="1" t="n">
        <v>44791</v>
      </c>
      <c r="C963" s="1" t="n">
        <v>45832</v>
      </c>
      <c r="D963" t="inlineStr">
        <is>
          <t>KALMAR LÄN</t>
        </is>
      </c>
      <c r="E963" t="inlineStr">
        <is>
          <t>MÖNSTERÅS</t>
        </is>
      </c>
      <c r="G963" t="n">
        <v>1.9</v>
      </c>
      <c r="H963" t="n">
        <v>1</v>
      </c>
      <c r="I963" t="n">
        <v>0</v>
      </c>
      <c r="J963" t="n">
        <v>0</v>
      </c>
      <c r="K963" t="n">
        <v>1</v>
      </c>
      <c r="L963" t="n">
        <v>0</v>
      </c>
      <c r="M963" t="n">
        <v>0</v>
      </c>
      <c r="N963" t="n">
        <v>0</v>
      </c>
      <c r="O963" t="n">
        <v>1</v>
      </c>
      <c r="P963" t="n">
        <v>1</v>
      </c>
      <c r="Q963" t="n">
        <v>1</v>
      </c>
      <c r="R963" s="2" t="inlineStr">
        <is>
          <t>Knärot</t>
        </is>
      </c>
      <c r="S963">
        <f>HYPERLINK("https://klasma.github.io/Logging_0861/artfynd/A 34081-2022 artfynd.xlsx", "A 34081-2022")</f>
        <v/>
      </c>
      <c r="T963">
        <f>HYPERLINK("https://klasma.github.io/Logging_0861/kartor/A 34081-2022 karta.png", "A 34081-2022")</f>
        <v/>
      </c>
      <c r="U963">
        <f>HYPERLINK("https://klasma.github.io/Logging_0861/knärot/A 34081-2022 karta knärot.png", "A 34081-2022")</f>
        <v/>
      </c>
      <c r="V963">
        <f>HYPERLINK("https://klasma.github.io/Logging_0861/klagomål/A 34081-2022 FSC-klagomål.docx", "A 34081-2022")</f>
        <v/>
      </c>
      <c r="W963">
        <f>HYPERLINK("https://klasma.github.io/Logging_0861/klagomålsmail/A 34081-2022 FSC-klagomål mail.docx", "A 34081-2022")</f>
        <v/>
      </c>
      <c r="X963">
        <f>HYPERLINK("https://klasma.github.io/Logging_0861/tillsyn/A 34081-2022 tillsynsbegäran.docx", "A 34081-2022")</f>
        <v/>
      </c>
      <c r="Y963">
        <f>HYPERLINK("https://klasma.github.io/Logging_0861/tillsynsmail/A 34081-2022 tillsynsbegäran mail.docx", "A 34081-2022")</f>
        <v/>
      </c>
    </row>
    <row r="964" ht="15" customHeight="1">
      <c r="A964" t="inlineStr">
        <is>
          <t>A 36625-2022</t>
        </is>
      </c>
      <c r="B964" s="1" t="n">
        <v>44804</v>
      </c>
      <c r="C964" s="1" t="n">
        <v>45832</v>
      </c>
      <c r="D964" t="inlineStr">
        <is>
          <t>KALMAR LÄN</t>
        </is>
      </c>
      <c r="E964" t="inlineStr">
        <is>
          <t>TORSÅS</t>
        </is>
      </c>
      <c r="G964" t="n">
        <v>7.5</v>
      </c>
      <c r="H964" t="n">
        <v>0</v>
      </c>
      <c r="I964" t="n">
        <v>1</v>
      </c>
      <c r="J964" t="n">
        <v>0</v>
      </c>
      <c r="K964" t="n">
        <v>0</v>
      </c>
      <c r="L964" t="n">
        <v>0</v>
      </c>
      <c r="M964" t="n">
        <v>0</v>
      </c>
      <c r="N964" t="n">
        <v>0</v>
      </c>
      <c r="O964" t="n">
        <v>0</v>
      </c>
      <c r="P964" t="n">
        <v>0</v>
      </c>
      <c r="Q964" t="n">
        <v>1</v>
      </c>
      <c r="R964" s="2" t="inlineStr">
        <is>
          <t>Stor revmossa</t>
        </is>
      </c>
      <c r="S964">
        <f>HYPERLINK("https://klasma.github.io/Logging_0834/artfynd/A 36625-2022 artfynd.xlsx", "A 36625-2022")</f>
        <v/>
      </c>
      <c r="T964">
        <f>HYPERLINK("https://klasma.github.io/Logging_0834/kartor/A 36625-2022 karta.png", "A 36625-2022")</f>
        <v/>
      </c>
      <c r="V964">
        <f>HYPERLINK("https://klasma.github.io/Logging_0834/klagomål/A 36625-2022 FSC-klagomål.docx", "A 36625-2022")</f>
        <v/>
      </c>
      <c r="W964">
        <f>HYPERLINK("https://klasma.github.io/Logging_0834/klagomålsmail/A 36625-2022 FSC-klagomål mail.docx", "A 36625-2022")</f>
        <v/>
      </c>
      <c r="X964">
        <f>HYPERLINK("https://klasma.github.io/Logging_0834/tillsyn/A 36625-2022 tillsynsbegäran.docx", "A 36625-2022")</f>
        <v/>
      </c>
      <c r="Y964">
        <f>HYPERLINK("https://klasma.github.io/Logging_0834/tillsynsmail/A 36625-2022 tillsynsbegäran mail.docx", "A 36625-2022")</f>
        <v/>
      </c>
    </row>
    <row r="965" ht="15" customHeight="1">
      <c r="A965" t="inlineStr">
        <is>
          <t>A 39199-2022</t>
        </is>
      </c>
      <c r="B965" s="1" t="n">
        <v>44817</v>
      </c>
      <c r="C965" s="1" t="n">
        <v>45832</v>
      </c>
      <c r="D965" t="inlineStr">
        <is>
          <t>KALMAR LÄN</t>
        </is>
      </c>
      <c r="E965" t="inlineStr">
        <is>
          <t>MÖNSTERÅS</t>
        </is>
      </c>
      <c r="G965" t="n">
        <v>5.2</v>
      </c>
      <c r="H965" t="n">
        <v>0</v>
      </c>
      <c r="I965" t="n">
        <v>0</v>
      </c>
      <c r="J965" t="n">
        <v>0</v>
      </c>
      <c r="K965" t="n">
        <v>0</v>
      </c>
      <c r="L965" t="n">
        <v>1</v>
      </c>
      <c r="M965" t="n">
        <v>0</v>
      </c>
      <c r="N965" t="n">
        <v>0</v>
      </c>
      <c r="O965" t="n">
        <v>1</v>
      </c>
      <c r="P965" t="n">
        <v>1</v>
      </c>
      <c r="Q965" t="n">
        <v>1</v>
      </c>
      <c r="R965" s="2" t="inlineStr">
        <is>
          <t>Ask</t>
        </is>
      </c>
      <c r="S965">
        <f>HYPERLINK("https://klasma.github.io/Logging_0861/artfynd/A 39199-2022 artfynd.xlsx", "A 39199-2022")</f>
        <v/>
      </c>
      <c r="T965">
        <f>HYPERLINK("https://klasma.github.io/Logging_0861/kartor/A 39199-2022 karta.png", "A 39199-2022")</f>
        <v/>
      </c>
      <c r="V965">
        <f>HYPERLINK("https://klasma.github.io/Logging_0861/klagomål/A 39199-2022 FSC-klagomål.docx", "A 39199-2022")</f>
        <v/>
      </c>
      <c r="W965">
        <f>HYPERLINK("https://klasma.github.io/Logging_0861/klagomålsmail/A 39199-2022 FSC-klagomål mail.docx", "A 39199-2022")</f>
        <v/>
      </c>
      <c r="X965">
        <f>HYPERLINK("https://klasma.github.io/Logging_0861/tillsyn/A 39199-2022 tillsynsbegäran.docx", "A 39199-2022")</f>
        <v/>
      </c>
      <c r="Y965">
        <f>HYPERLINK("https://klasma.github.io/Logging_0861/tillsynsmail/A 39199-2022 tillsynsbegäran mail.docx", "A 39199-2022")</f>
        <v/>
      </c>
    </row>
    <row r="966" ht="15" customHeight="1">
      <c r="A966" t="inlineStr">
        <is>
          <t>A 40258-2022</t>
        </is>
      </c>
      <c r="B966" s="1" t="n">
        <v>44820</v>
      </c>
      <c r="C966" s="1" t="n">
        <v>45832</v>
      </c>
      <c r="D966" t="inlineStr">
        <is>
          <t>KALMAR LÄN</t>
        </is>
      </c>
      <c r="E966" t="inlineStr">
        <is>
          <t>OSKARSHAMN</t>
        </is>
      </c>
      <c r="G966" t="n">
        <v>2.8</v>
      </c>
      <c r="H966" t="n">
        <v>0</v>
      </c>
      <c r="I966" t="n">
        <v>0</v>
      </c>
      <c r="J966" t="n">
        <v>1</v>
      </c>
      <c r="K966" t="n">
        <v>0</v>
      </c>
      <c r="L966" t="n">
        <v>0</v>
      </c>
      <c r="M966" t="n">
        <v>0</v>
      </c>
      <c r="N966" t="n">
        <v>0</v>
      </c>
      <c r="O966" t="n">
        <v>1</v>
      </c>
      <c r="P966" t="n">
        <v>0</v>
      </c>
      <c r="Q966" t="n">
        <v>1</v>
      </c>
      <c r="R966" s="2" t="inlineStr">
        <is>
          <t>Orange taggsvamp</t>
        </is>
      </c>
      <c r="S966">
        <f>HYPERLINK("https://klasma.github.io/Logging_0882/artfynd/A 40258-2022 artfynd.xlsx", "A 40258-2022")</f>
        <v/>
      </c>
      <c r="T966">
        <f>HYPERLINK("https://klasma.github.io/Logging_0882/kartor/A 40258-2022 karta.png", "A 40258-2022")</f>
        <v/>
      </c>
      <c r="V966">
        <f>HYPERLINK("https://klasma.github.io/Logging_0882/klagomål/A 40258-2022 FSC-klagomål.docx", "A 40258-2022")</f>
        <v/>
      </c>
      <c r="W966">
        <f>HYPERLINK("https://klasma.github.io/Logging_0882/klagomålsmail/A 40258-2022 FSC-klagomål mail.docx", "A 40258-2022")</f>
        <v/>
      </c>
      <c r="X966">
        <f>HYPERLINK("https://klasma.github.io/Logging_0882/tillsyn/A 40258-2022 tillsynsbegäran.docx", "A 40258-2022")</f>
        <v/>
      </c>
      <c r="Y966">
        <f>HYPERLINK("https://klasma.github.io/Logging_0882/tillsynsmail/A 40258-2022 tillsynsbegäran mail.docx", "A 40258-2022")</f>
        <v/>
      </c>
    </row>
    <row r="967" ht="15" customHeight="1">
      <c r="A967" t="inlineStr">
        <is>
          <t>A 40924-2022</t>
        </is>
      </c>
      <c r="B967" s="1" t="n">
        <v>44825</v>
      </c>
      <c r="C967" s="1" t="n">
        <v>45832</v>
      </c>
      <c r="D967" t="inlineStr">
        <is>
          <t>KALMAR LÄN</t>
        </is>
      </c>
      <c r="E967" t="inlineStr">
        <is>
          <t>VÄSTERVIK</t>
        </is>
      </c>
      <c r="F967" t="inlineStr">
        <is>
          <t>Sveaskog</t>
        </is>
      </c>
      <c r="G967" t="n">
        <v>0.5</v>
      </c>
      <c r="H967" t="n">
        <v>1</v>
      </c>
      <c r="I967" t="n">
        <v>0</v>
      </c>
      <c r="J967" t="n">
        <v>1</v>
      </c>
      <c r="K967" t="n">
        <v>0</v>
      </c>
      <c r="L967" t="n">
        <v>0</v>
      </c>
      <c r="M967" t="n">
        <v>0</v>
      </c>
      <c r="N967" t="n">
        <v>0</v>
      </c>
      <c r="O967" t="n">
        <v>1</v>
      </c>
      <c r="P967" t="n">
        <v>0</v>
      </c>
      <c r="Q967" t="n">
        <v>1</v>
      </c>
      <c r="R967" s="2" t="inlineStr">
        <is>
          <t>Barbastell</t>
        </is>
      </c>
      <c r="S967">
        <f>HYPERLINK("https://klasma.github.io/Logging_0883/artfynd/A 40924-2022 artfynd.xlsx", "A 40924-2022")</f>
        <v/>
      </c>
      <c r="T967">
        <f>HYPERLINK("https://klasma.github.io/Logging_0883/kartor/A 40924-2022 karta.png", "A 40924-2022")</f>
        <v/>
      </c>
      <c r="V967">
        <f>HYPERLINK("https://klasma.github.io/Logging_0883/klagomål/A 40924-2022 FSC-klagomål.docx", "A 40924-2022")</f>
        <v/>
      </c>
      <c r="W967">
        <f>HYPERLINK("https://klasma.github.io/Logging_0883/klagomålsmail/A 40924-2022 FSC-klagomål mail.docx", "A 40924-2022")</f>
        <v/>
      </c>
      <c r="X967">
        <f>HYPERLINK("https://klasma.github.io/Logging_0883/tillsyn/A 40924-2022 tillsynsbegäran.docx", "A 40924-2022")</f>
        <v/>
      </c>
      <c r="Y967">
        <f>HYPERLINK("https://klasma.github.io/Logging_0883/tillsynsmail/A 40924-2022 tillsynsbegäran mail.docx", "A 40924-2022")</f>
        <v/>
      </c>
    </row>
    <row r="968" ht="15" customHeight="1">
      <c r="A968" t="inlineStr">
        <is>
          <t>A 41879-2022</t>
        </is>
      </c>
      <c r="B968" s="1" t="n">
        <v>44827</v>
      </c>
      <c r="C968" s="1" t="n">
        <v>45832</v>
      </c>
      <c r="D968" t="inlineStr">
        <is>
          <t>KALMAR LÄN</t>
        </is>
      </c>
      <c r="E968" t="inlineStr">
        <is>
          <t>MÖNSTERÅS</t>
        </is>
      </c>
      <c r="F968" t="inlineStr">
        <is>
          <t>Kyrkan</t>
        </is>
      </c>
      <c r="G968" t="n">
        <v>1</v>
      </c>
      <c r="H968" t="n">
        <v>0</v>
      </c>
      <c r="I968" t="n">
        <v>0</v>
      </c>
      <c r="J968" t="n">
        <v>1</v>
      </c>
      <c r="K968" t="n">
        <v>0</v>
      </c>
      <c r="L968" t="n">
        <v>0</v>
      </c>
      <c r="M968" t="n">
        <v>0</v>
      </c>
      <c r="N968" t="n">
        <v>0</v>
      </c>
      <c r="O968" t="n">
        <v>1</v>
      </c>
      <c r="P968" t="n">
        <v>0</v>
      </c>
      <c r="Q968" t="n">
        <v>1</v>
      </c>
      <c r="R968" s="2" t="inlineStr">
        <is>
          <t>Brunag</t>
        </is>
      </c>
      <c r="S968">
        <f>HYPERLINK("https://klasma.github.io/Logging_0861/artfynd/A 41879-2022 artfynd.xlsx", "A 41879-2022")</f>
        <v/>
      </c>
      <c r="T968">
        <f>HYPERLINK("https://klasma.github.io/Logging_0861/kartor/A 41879-2022 karta.png", "A 41879-2022")</f>
        <v/>
      </c>
      <c r="V968">
        <f>HYPERLINK("https://klasma.github.io/Logging_0861/klagomål/A 41879-2022 FSC-klagomål.docx", "A 41879-2022")</f>
        <v/>
      </c>
      <c r="W968">
        <f>HYPERLINK("https://klasma.github.io/Logging_0861/klagomålsmail/A 41879-2022 FSC-klagomål mail.docx", "A 41879-2022")</f>
        <v/>
      </c>
      <c r="X968">
        <f>HYPERLINK("https://klasma.github.io/Logging_0861/tillsyn/A 41879-2022 tillsynsbegäran.docx", "A 41879-2022")</f>
        <v/>
      </c>
      <c r="Y968">
        <f>HYPERLINK("https://klasma.github.io/Logging_0861/tillsynsmail/A 41879-2022 tillsynsbegäran mail.docx", "A 41879-2022")</f>
        <v/>
      </c>
    </row>
    <row r="969" ht="15" customHeight="1">
      <c r="A969" t="inlineStr">
        <is>
          <t>A 42052-2022</t>
        </is>
      </c>
      <c r="B969" s="1" t="n">
        <v>44830</v>
      </c>
      <c r="C969" s="1" t="n">
        <v>45832</v>
      </c>
      <c r="D969" t="inlineStr">
        <is>
          <t>KALMAR LÄN</t>
        </is>
      </c>
      <c r="E969" t="inlineStr">
        <is>
          <t>KALMAR</t>
        </is>
      </c>
      <c r="G969" t="n">
        <v>5.1</v>
      </c>
      <c r="H969" t="n">
        <v>1</v>
      </c>
      <c r="I969" t="n">
        <v>0</v>
      </c>
      <c r="J969" t="n">
        <v>0</v>
      </c>
      <c r="K969" t="n">
        <v>0</v>
      </c>
      <c r="L969" t="n">
        <v>0</v>
      </c>
      <c r="M969" t="n">
        <v>0</v>
      </c>
      <c r="N969" t="n">
        <v>0</v>
      </c>
      <c r="O969" t="n">
        <v>0</v>
      </c>
      <c r="P969" t="n">
        <v>0</v>
      </c>
      <c r="Q969" t="n">
        <v>1</v>
      </c>
      <c r="R969" s="2" t="inlineStr">
        <is>
          <t>Brudsporre</t>
        </is>
      </c>
      <c r="S969">
        <f>HYPERLINK("https://klasma.github.io/Logging_0880/artfynd/A 42052-2022 artfynd.xlsx", "A 42052-2022")</f>
        <v/>
      </c>
      <c r="T969">
        <f>HYPERLINK("https://klasma.github.io/Logging_0880/kartor/A 42052-2022 karta.png", "A 42052-2022")</f>
        <v/>
      </c>
      <c r="V969">
        <f>HYPERLINK("https://klasma.github.io/Logging_0880/klagomål/A 42052-2022 FSC-klagomål.docx", "A 42052-2022")</f>
        <v/>
      </c>
      <c r="W969">
        <f>HYPERLINK("https://klasma.github.io/Logging_0880/klagomålsmail/A 42052-2022 FSC-klagomål mail.docx", "A 42052-2022")</f>
        <v/>
      </c>
      <c r="X969">
        <f>HYPERLINK("https://klasma.github.io/Logging_0880/tillsyn/A 42052-2022 tillsynsbegäran.docx", "A 42052-2022")</f>
        <v/>
      </c>
      <c r="Y969">
        <f>HYPERLINK("https://klasma.github.io/Logging_0880/tillsynsmail/A 42052-2022 tillsynsbegäran mail.docx", "A 42052-2022")</f>
        <v/>
      </c>
    </row>
    <row r="970" ht="15" customHeight="1">
      <c r="A970" t="inlineStr">
        <is>
          <t>A 46559-2022</t>
        </is>
      </c>
      <c r="B970" s="1" t="n">
        <v>44848</v>
      </c>
      <c r="C970" s="1" t="n">
        <v>45832</v>
      </c>
      <c r="D970" t="inlineStr">
        <is>
          <t>KALMAR LÄN</t>
        </is>
      </c>
      <c r="E970" t="inlineStr">
        <is>
          <t>VÄSTERVIK</t>
        </is>
      </c>
      <c r="F970" t="inlineStr">
        <is>
          <t>Sveaskog</t>
        </is>
      </c>
      <c r="G970" t="n">
        <v>2.2</v>
      </c>
      <c r="H970" t="n">
        <v>1</v>
      </c>
      <c r="I970" t="n">
        <v>0</v>
      </c>
      <c r="J970" t="n">
        <v>0</v>
      </c>
      <c r="K970" t="n">
        <v>0</v>
      </c>
      <c r="L970" t="n">
        <v>0</v>
      </c>
      <c r="M970" t="n">
        <v>0</v>
      </c>
      <c r="N970" t="n">
        <v>0</v>
      </c>
      <c r="O970" t="n">
        <v>0</v>
      </c>
      <c r="P970" t="n">
        <v>0</v>
      </c>
      <c r="Q970" t="n">
        <v>1</v>
      </c>
      <c r="R970" s="2" t="inlineStr">
        <is>
          <t>Blåsippa</t>
        </is>
      </c>
      <c r="S970">
        <f>HYPERLINK("https://klasma.github.io/Logging_0883/artfynd/A 46559-2022 artfynd.xlsx", "A 46559-2022")</f>
        <v/>
      </c>
      <c r="T970">
        <f>HYPERLINK("https://klasma.github.io/Logging_0883/kartor/A 46559-2022 karta.png", "A 46559-2022")</f>
        <v/>
      </c>
      <c r="V970">
        <f>HYPERLINK("https://klasma.github.io/Logging_0883/klagomål/A 46559-2022 FSC-klagomål.docx", "A 46559-2022")</f>
        <v/>
      </c>
      <c r="W970">
        <f>HYPERLINK("https://klasma.github.io/Logging_0883/klagomålsmail/A 46559-2022 FSC-klagomål mail.docx", "A 46559-2022")</f>
        <v/>
      </c>
      <c r="X970">
        <f>HYPERLINK("https://klasma.github.io/Logging_0883/tillsyn/A 46559-2022 tillsynsbegäran.docx", "A 46559-2022")</f>
        <v/>
      </c>
      <c r="Y970">
        <f>HYPERLINK("https://klasma.github.io/Logging_0883/tillsynsmail/A 46559-2022 tillsynsbegäran mail.docx", "A 46559-2022")</f>
        <v/>
      </c>
    </row>
    <row r="971" ht="15" customHeight="1">
      <c r="A971" t="inlineStr">
        <is>
          <t>A 46556-2022</t>
        </is>
      </c>
      <c r="B971" s="1" t="n">
        <v>44848</v>
      </c>
      <c r="C971" s="1" t="n">
        <v>45832</v>
      </c>
      <c r="D971" t="inlineStr">
        <is>
          <t>KALMAR LÄN</t>
        </is>
      </c>
      <c r="E971" t="inlineStr">
        <is>
          <t>VÄSTERVIK</t>
        </is>
      </c>
      <c r="F971" t="inlineStr">
        <is>
          <t>Sveaskog</t>
        </is>
      </c>
      <c r="G971" t="n">
        <v>1.5</v>
      </c>
      <c r="H971" t="n">
        <v>0</v>
      </c>
      <c r="I971" t="n">
        <v>1</v>
      </c>
      <c r="J971" t="n">
        <v>0</v>
      </c>
      <c r="K971" t="n">
        <v>0</v>
      </c>
      <c r="L971" t="n">
        <v>0</v>
      </c>
      <c r="M971" t="n">
        <v>0</v>
      </c>
      <c r="N971" t="n">
        <v>0</v>
      </c>
      <c r="O971" t="n">
        <v>0</v>
      </c>
      <c r="P971" t="n">
        <v>0</v>
      </c>
      <c r="Q971" t="n">
        <v>1</v>
      </c>
      <c r="R971" s="2" t="inlineStr">
        <is>
          <t>Fjällig taggsvamp s.str.</t>
        </is>
      </c>
      <c r="S971">
        <f>HYPERLINK("https://klasma.github.io/Logging_0883/artfynd/A 46556-2022 artfynd.xlsx", "A 46556-2022")</f>
        <v/>
      </c>
      <c r="T971">
        <f>HYPERLINK("https://klasma.github.io/Logging_0883/kartor/A 46556-2022 karta.png", "A 46556-2022")</f>
        <v/>
      </c>
      <c r="V971">
        <f>HYPERLINK("https://klasma.github.io/Logging_0883/klagomål/A 46556-2022 FSC-klagomål.docx", "A 46556-2022")</f>
        <v/>
      </c>
      <c r="W971">
        <f>HYPERLINK("https://klasma.github.io/Logging_0883/klagomålsmail/A 46556-2022 FSC-klagomål mail.docx", "A 46556-2022")</f>
        <v/>
      </c>
      <c r="X971">
        <f>HYPERLINK("https://klasma.github.io/Logging_0883/tillsyn/A 46556-2022 tillsynsbegäran.docx", "A 46556-2022")</f>
        <v/>
      </c>
      <c r="Y971">
        <f>HYPERLINK("https://klasma.github.io/Logging_0883/tillsynsmail/A 46556-2022 tillsynsbegäran mail.docx", "A 46556-2022")</f>
        <v/>
      </c>
    </row>
    <row r="972" ht="15" customHeight="1">
      <c r="A972" t="inlineStr">
        <is>
          <t>A 47672-2022</t>
        </is>
      </c>
      <c r="B972" s="1" t="n">
        <v>44854</v>
      </c>
      <c r="C972" s="1" t="n">
        <v>45832</v>
      </c>
      <c r="D972" t="inlineStr">
        <is>
          <t>KALMAR LÄN</t>
        </is>
      </c>
      <c r="E972" t="inlineStr">
        <is>
          <t>MÖNSTERÅS</t>
        </is>
      </c>
      <c r="G972" t="n">
        <v>4.6</v>
      </c>
      <c r="H972" t="n">
        <v>1</v>
      </c>
      <c r="I972" t="n">
        <v>0</v>
      </c>
      <c r="J972" t="n">
        <v>0</v>
      </c>
      <c r="K972" t="n">
        <v>1</v>
      </c>
      <c r="L972" t="n">
        <v>0</v>
      </c>
      <c r="M972" t="n">
        <v>0</v>
      </c>
      <c r="N972" t="n">
        <v>0</v>
      </c>
      <c r="O972" t="n">
        <v>1</v>
      </c>
      <c r="P972" t="n">
        <v>1</v>
      </c>
      <c r="Q972" t="n">
        <v>1</v>
      </c>
      <c r="R972" s="2" t="inlineStr">
        <is>
          <t>Knärot</t>
        </is>
      </c>
      <c r="S972">
        <f>HYPERLINK("https://klasma.github.io/Logging_0861/artfynd/A 47672-2022 artfynd.xlsx", "A 47672-2022")</f>
        <v/>
      </c>
      <c r="T972">
        <f>HYPERLINK("https://klasma.github.io/Logging_0861/kartor/A 47672-2022 karta.png", "A 47672-2022")</f>
        <v/>
      </c>
      <c r="U972">
        <f>HYPERLINK("https://klasma.github.io/Logging_0861/knärot/A 47672-2022 karta knärot.png", "A 47672-2022")</f>
        <v/>
      </c>
      <c r="V972">
        <f>HYPERLINK("https://klasma.github.io/Logging_0861/klagomål/A 47672-2022 FSC-klagomål.docx", "A 47672-2022")</f>
        <v/>
      </c>
      <c r="W972">
        <f>HYPERLINK("https://klasma.github.io/Logging_0861/klagomålsmail/A 47672-2022 FSC-klagomål mail.docx", "A 47672-2022")</f>
        <v/>
      </c>
      <c r="X972">
        <f>HYPERLINK("https://klasma.github.io/Logging_0861/tillsyn/A 47672-2022 tillsynsbegäran.docx", "A 47672-2022")</f>
        <v/>
      </c>
      <c r="Y972">
        <f>HYPERLINK("https://klasma.github.io/Logging_0861/tillsynsmail/A 47672-2022 tillsynsbegäran mail.docx", "A 47672-2022")</f>
        <v/>
      </c>
    </row>
    <row r="973" ht="15" customHeight="1">
      <c r="A973" t="inlineStr">
        <is>
          <t>A 48442-2022</t>
        </is>
      </c>
      <c r="B973" s="1" t="n">
        <v>44858</v>
      </c>
      <c r="C973" s="1" t="n">
        <v>45832</v>
      </c>
      <c r="D973" t="inlineStr">
        <is>
          <t>KALMAR LÄN</t>
        </is>
      </c>
      <c r="E973" t="inlineStr">
        <is>
          <t>OSKARSHAMN</t>
        </is>
      </c>
      <c r="G973" t="n">
        <v>2.9</v>
      </c>
      <c r="H973" t="n">
        <v>1</v>
      </c>
      <c r="I973" t="n">
        <v>1</v>
      </c>
      <c r="J973" t="n">
        <v>0</v>
      </c>
      <c r="K973" t="n">
        <v>0</v>
      </c>
      <c r="L973" t="n">
        <v>0</v>
      </c>
      <c r="M973" t="n">
        <v>0</v>
      </c>
      <c r="N973" t="n">
        <v>0</v>
      </c>
      <c r="O973" t="n">
        <v>0</v>
      </c>
      <c r="P973" t="n">
        <v>0</v>
      </c>
      <c r="Q973" t="n">
        <v>1</v>
      </c>
      <c r="R973" s="2" t="inlineStr">
        <is>
          <t>Ekoxe</t>
        </is>
      </c>
      <c r="S973">
        <f>HYPERLINK("https://klasma.github.io/Logging_0882/artfynd/A 48442-2022 artfynd.xlsx", "A 48442-2022")</f>
        <v/>
      </c>
      <c r="T973">
        <f>HYPERLINK("https://klasma.github.io/Logging_0882/kartor/A 48442-2022 karta.png", "A 48442-2022")</f>
        <v/>
      </c>
      <c r="V973">
        <f>HYPERLINK("https://klasma.github.io/Logging_0882/klagomål/A 48442-2022 FSC-klagomål.docx", "A 48442-2022")</f>
        <v/>
      </c>
      <c r="W973">
        <f>HYPERLINK("https://klasma.github.io/Logging_0882/klagomålsmail/A 48442-2022 FSC-klagomål mail.docx", "A 48442-2022")</f>
        <v/>
      </c>
      <c r="X973">
        <f>HYPERLINK("https://klasma.github.io/Logging_0882/tillsyn/A 48442-2022 tillsynsbegäran.docx", "A 48442-2022")</f>
        <v/>
      </c>
      <c r="Y973">
        <f>HYPERLINK("https://klasma.github.io/Logging_0882/tillsynsmail/A 48442-2022 tillsynsbegäran mail.docx", "A 48442-2022")</f>
        <v/>
      </c>
    </row>
    <row r="974" ht="15" customHeight="1">
      <c r="A974" t="inlineStr">
        <is>
          <t>A 51024-2022</t>
        </is>
      </c>
      <c r="B974" s="1" t="n">
        <v>44867</v>
      </c>
      <c r="C974" s="1" t="n">
        <v>45832</v>
      </c>
      <c r="D974" t="inlineStr">
        <is>
          <t>KALMAR LÄN</t>
        </is>
      </c>
      <c r="E974" t="inlineStr">
        <is>
          <t>VÄSTERVIK</t>
        </is>
      </c>
      <c r="F974" t="inlineStr">
        <is>
          <t>Holmen skog AB</t>
        </is>
      </c>
      <c r="G974" t="n">
        <v>7.6</v>
      </c>
      <c r="H974" t="n">
        <v>1</v>
      </c>
      <c r="I974" t="n">
        <v>0</v>
      </c>
      <c r="J974" t="n">
        <v>1</v>
      </c>
      <c r="K974" t="n">
        <v>0</v>
      </c>
      <c r="L974" t="n">
        <v>0</v>
      </c>
      <c r="M974" t="n">
        <v>0</v>
      </c>
      <c r="N974" t="n">
        <v>0</v>
      </c>
      <c r="O974" t="n">
        <v>1</v>
      </c>
      <c r="P974" t="n">
        <v>0</v>
      </c>
      <c r="Q974" t="n">
        <v>1</v>
      </c>
      <c r="R974" s="2" t="inlineStr">
        <is>
          <t>Talltita</t>
        </is>
      </c>
      <c r="S974">
        <f>HYPERLINK("https://klasma.github.io/Logging_0883/artfynd/A 51024-2022 artfynd.xlsx", "A 51024-2022")</f>
        <v/>
      </c>
      <c r="T974">
        <f>HYPERLINK("https://klasma.github.io/Logging_0883/kartor/A 51024-2022 karta.png", "A 51024-2022")</f>
        <v/>
      </c>
      <c r="V974">
        <f>HYPERLINK("https://klasma.github.io/Logging_0883/klagomål/A 51024-2022 FSC-klagomål.docx", "A 51024-2022")</f>
        <v/>
      </c>
      <c r="W974">
        <f>HYPERLINK("https://klasma.github.io/Logging_0883/klagomålsmail/A 51024-2022 FSC-klagomål mail.docx", "A 51024-2022")</f>
        <v/>
      </c>
      <c r="X974">
        <f>HYPERLINK("https://klasma.github.io/Logging_0883/tillsyn/A 51024-2022 tillsynsbegäran.docx", "A 51024-2022")</f>
        <v/>
      </c>
      <c r="Y974">
        <f>HYPERLINK("https://klasma.github.io/Logging_0883/tillsynsmail/A 51024-2022 tillsynsbegäran mail.docx", "A 51024-2022")</f>
        <v/>
      </c>
      <c r="Z974">
        <f>HYPERLINK("https://klasma.github.io/Logging_0883/fåglar/A 51024-2022 prioriterade fågelarter.docx", "A 51024-2022")</f>
        <v/>
      </c>
    </row>
    <row r="975" ht="15" customHeight="1">
      <c r="A975" t="inlineStr">
        <is>
          <t>A 52750-2022</t>
        </is>
      </c>
      <c r="B975" s="1" t="n">
        <v>44874</v>
      </c>
      <c r="C975" s="1" t="n">
        <v>45832</v>
      </c>
      <c r="D975" t="inlineStr">
        <is>
          <t>KALMAR LÄN</t>
        </is>
      </c>
      <c r="E975" t="inlineStr">
        <is>
          <t>NYBRO</t>
        </is>
      </c>
      <c r="G975" t="n">
        <v>15.6</v>
      </c>
      <c r="H975" t="n">
        <v>0</v>
      </c>
      <c r="I975" t="n">
        <v>0</v>
      </c>
      <c r="J975" t="n">
        <v>0</v>
      </c>
      <c r="K975" t="n">
        <v>1</v>
      </c>
      <c r="L975" t="n">
        <v>0</v>
      </c>
      <c r="M975" t="n">
        <v>0</v>
      </c>
      <c r="N975" t="n">
        <v>0</v>
      </c>
      <c r="O975" t="n">
        <v>1</v>
      </c>
      <c r="P975" t="n">
        <v>1</v>
      </c>
      <c r="Q975" t="n">
        <v>1</v>
      </c>
      <c r="R975" s="2" t="inlineStr">
        <is>
          <t>Ljungögontröst</t>
        </is>
      </c>
      <c r="S975">
        <f>HYPERLINK("https://klasma.github.io/Logging_0881/artfynd/A 52750-2022 artfynd.xlsx", "A 52750-2022")</f>
        <v/>
      </c>
      <c r="T975">
        <f>HYPERLINK("https://klasma.github.io/Logging_0881/kartor/A 52750-2022 karta.png", "A 52750-2022")</f>
        <v/>
      </c>
      <c r="V975">
        <f>HYPERLINK("https://klasma.github.io/Logging_0881/klagomål/A 52750-2022 FSC-klagomål.docx", "A 52750-2022")</f>
        <v/>
      </c>
      <c r="W975">
        <f>HYPERLINK("https://klasma.github.io/Logging_0881/klagomålsmail/A 52750-2022 FSC-klagomål mail.docx", "A 52750-2022")</f>
        <v/>
      </c>
      <c r="X975">
        <f>HYPERLINK("https://klasma.github.io/Logging_0881/tillsyn/A 52750-2022 tillsynsbegäran.docx", "A 52750-2022")</f>
        <v/>
      </c>
      <c r="Y975">
        <f>HYPERLINK("https://klasma.github.io/Logging_0881/tillsynsmail/A 52750-2022 tillsynsbegäran mail.docx", "A 52750-2022")</f>
        <v/>
      </c>
    </row>
    <row r="976" ht="15" customHeight="1">
      <c r="A976" t="inlineStr">
        <is>
          <t>A 53173-2022</t>
        </is>
      </c>
      <c r="B976" s="1" t="n">
        <v>44876</v>
      </c>
      <c r="C976" s="1" t="n">
        <v>45832</v>
      </c>
      <c r="D976" t="inlineStr">
        <is>
          <t>KALMAR LÄN</t>
        </is>
      </c>
      <c r="E976" t="inlineStr">
        <is>
          <t>MÖNSTERÅS</t>
        </is>
      </c>
      <c r="G976" t="n">
        <v>1.4</v>
      </c>
      <c r="H976" t="n">
        <v>1</v>
      </c>
      <c r="I976" t="n">
        <v>0</v>
      </c>
      <c r="J976" t="n">
        <v>1</v>
      </c>
      <c r="K976" t="n">
        <v>0</v>
      </c>
      <c r="L976" t="n">
        <v>0</v>
      </c>
      <c r="M976" t="n">
        <v>0</v>
      </c>
      <c r="N976" t="n">
        <v>0</v>
      </c>
      <c r="O976" t="n">
        <v>1</v>
      </c>
      <c r="P976" t="n">
        <v>0</v>
      </c>
      <c r="Q976" t="n">
        <v>1</v>
      </c>
      <c r="R976" s="2" t="inlineStr">
        <is>
          <t>Havsörn</t>
        </is>
      </c>
      <c r="S976">
        <f>HYPERLINK("https://klasma.github.io/Logging_0861/artfynd/A 53173-2022 artfynd.xlsx", "A 53173-2022")</f>
        <v/>
      </c>
      <c r="T976">
        <f>HYPERLINK("https://klasma.github.io/Logging_0861/kartor/A 53173-2022 karta.png", "A 53173-2022")</f>
        <v/>
      </c>
      <c r="V976">
        <f>HYPERLINK("https://klasma.github.io/Logging_0861/klagomål/A 53173-2022 FSC-klagomål.docx", "A 53173-2022")</f>
        <v/>
      </c>
      <c r="W976">
        <f>HYPERLINK("https://klasma.github.io/Logging_0861/klagomålsmail/A 53173-2022 FSC-klagomål mail.docx", "A 53173-2022")</f>
        <v/>
      </c>
      <c r="X976">
        <f>HYPERLINK("https://klasma.github.io/Logging_0861/tillsyn/A 53173-2022 tillsynsbegäran.docx", "A 53173-2022")</f>
        <v/>
      </c>
      <c r="Y976">
        <f>HYPERLINK("https://klasma.github.io/Logging_0861/tillsynsmail/A 53173-2022 tillsynsbegäran mail.docx", "A 53173-2022")</f>
        <v/>
      </c>
      <c r="Z976">
        <f>HYPERLINK("https://klasma.github.io/Logging_0861/fåglar/A 53173-2022 prioriterade fågelarter.docx", "A 53173-2022")</f>
        <v/>
      </c>
    </row>
    <row r="977" ht="15" customHeight="1">
      <c r="A977" t="inlineStr">
        <is>
          <t>A 53862-2022</t>
        </is>
      </c>
      <c r="B977" s="1" t="n">
        <v>44876</v>
      </c>
      <c r="C977" s="1" t="n">
        <v>45832</v>
      </c>
      <c r="D977" t="inlineStr">
        <is>
          <t>KALMAR LÄN</t>
        </is>
      </c>
      <c r="E977" t="inlineStr">
        <is>
          <t>HULTSFRED</t>
        </is>
      </c>
      <c r="F977" t="inlineStr">
        <is>
          <t>Kommuner</t>
        </is>
      </c>
      <c r="G977" t="n">
        <v>1.7</v>
      </c>
      <c r="H977" t="n">
        <v>1</v>
      </c>
      <c r="I977" t="n">
        <v>0</v>
      </c>
      <c r="J977" t="n">
        <v>0</v>
      </c>
      <c r="K977" t="n">
        <v>0</v>
      </c>
      <c r="L977" t="n">
        <v>0</v>
      </c>
      <c r="M977" t="n">
        <v>0</v>
      </c>
      <c r="N977" t="n">
        <v>0</v>
      </c>
      <c r="O977" t="n">
        <v>0</v>
      </c>
      <c r="P977" t="n">
        <v>0</v>
      </c>
      <c r="Q977" t="n">
        <v>1</v>
      </c>
      <c r="R977" s="2" t="inlineStr">
        <is>
          <t>Blåsippa</t>
        </is>
      </c>
      <c r="S977">
        <f>HYPERLINK("https://klasma.github.io/Logging_0860/artfynd/A 53862-2022 artfynd.xlsx", "A 53862-2022")</f>
        <v/>
      </c>
      <c r="T977">
        <f>HYPERLINK("https://klasma.github.io/Logging_0860/kartor/A 53862-2022 karta.png", "A 53862-2022")</f>
        <v/>
      </c>
      <c r="V977">
        <f>HYPERLINK("https://klasma.github.io/Logging_0860/klagomål/A 53862-2022 FSC-klagomål.docx", "A 53862-2022")</f>
        <v/>
      </c>
      <c r="W977">
        <f>HYPERLINK("https://klasma.github.io/Logging_0860/klagomålsmail/A 53862-2022 FSC-klagomål mail.docx", "A 53862-2022")</f>
        <v/>
      </c>
      <c r="X977">
        <f>HYPERLINK("https://klasma.github.io/Logging_0860/tillsyn/A 53862-2022 tillsynsbegäran.docx", "A 53862-2022")</f>
        <v/>
      </c>
      <c r="Y977">
        <f>HYPERLINK("https://klasma.github.io/Logging_0860/tillsynsmail/A 53862-2022 tillsynsbegäran mail.docx", "A 53862-2022")</f>
        <v/>
      </c>
    </row>
    <row r="978" ht="15" customHeight="1">
      <c r="A978" t="inlineStr">
        <is>
          <t>A 54193-2022</t>
        </is>
      </c>
      <c r="B978" s="1" t="n">
        <v>44881</v>
      </c>
      <c r="C978" s="1" t="n">
        <v>45832</v>
      </c>
      <c r="D978" t="inlineStr">
        <is>
          <t>KALMAR LÄN</t>
        </is>
      </c>
      <c r="E978" t="inlineStr">
        <is>
          <t>VÄSTERVIK</t>
        </is>
      </c>
      <c r="G978" t="n">
        <v>1.7</v>
      </c>
      <c r="H978" t="n">
        <v>0</v>
      </c>
      <c r="I978" t="n">
        <v>1</v>
      </c>
      <c r="J978" t="n">
        <v>0</v>
      </c>
      <c r="K978" t="n">
        <v>0</v>
      </c>
      <c r="L978" t="n">
        <v>0</v>
      </c>
      <c r="M978" t="n">
        <v>0</v>
      </c>
      <c r="N978" t="n">
        <v>0</v>
      </c>
      <c r="O978" t="n">
        <v>0</v>
      </c>
      <c r="P978" t="n">
        <v>0</v>
      </c>
      <c r="Q978" t="n">
        <v>1</v>
      </c>
      <c r="R978" s="2" t="inlineStr">
        <is>
          <t>Murgröna</t>
        </is>
      </c>
      <c r="S978">
        <f>HYPERLINK("https://klasma.github.io/Logging_0883/artfynd/A 54193-2022 artfynd.xlsx", "A 54193-2022")</f>
        <v/>
      </c>
      <c r="T978">
        <f>HYPERLINK("https://klasma.github.io/Logging_0883/kartor/A 54193-2022 karta.png", "A 54193-2022")</f>
        <v/>
      </c>
      <c r="U978">
        <f>HYPERLINK("https://klasma.github.io/Logging_0883/knärot/A 54193-2022 karta knärot.png", "A 54193-2022")</f>
        <v/>
      </c>
      <c r="V978">
        <f>HYPERLINK("https://klasma.github.io/Logging_0883/klagomål/A 54193-2022 FSC-klagomål.docx", "A 54193-2022")</f>
        <v/>
      </c>
      <c r="W978">
        <f>HYPERLINK("https://klasma.github.io/Logging_0883/klagomålsmail/A 54193-2022 FSC-klagomål mail.docx", "A 54193-2022")</f>
        <v/>
      </c>
      <c r="X978">
        <f>HYPERLINK("https://klasma.github.io/Logging_0883/tillsyn/A 54193-2022 tillsynsbegäran.docx", "A 54193-2022")</f>
        <v/>
      </c>
      <c r="Y978">
        <f>HYPERLINK("https://klasma.github.io/Logging_0883/tillsynsmail/A 54193-2022 tillsynsbegäran mail.docx", "A 54193-2022")</f>
        <v/>
      </c>
    </row>
    <row r="979" ht="15" customHeight="1">
      <c r="A979" t="inlineStr">
        <is>
          <t>A 54675-2022</t>
        </is>
      </c>
      <c r="B979" s="1" t="n">
        <v>44883</v>
      </c>
      <c r="C979" s="1" t="n">
        <v>45832</v>
      </c>
      <c r="D979" t="inlineStr">
        <is>
          <t>KALMAR LÄN</t>
        </is>
      </c>
      <c r="E979" t="inlineStr">
        <is>
          <t>HULTSFRED</t>
        </is>
      </c>
      <c r="G979" t="n">
        <v>1.1</v>
      </c>
      <c r="H979" t="n">
        <v>1</v>
      </c>
      <c r="I979" t="n">
        <v>0</v>
      </c>
      <c r="J979" t="n">
        <v>1</v>
      </c>
      <c r="K979" t="n">
        <v>0</v>
      </c>
      <c r="L979" t="n">
        <v>0</v>
      </c>
      <c r="M979" t="n">
        <v>0</v>
      </c>
      <c r="N979" t="n">
        <v>0</v>
      </c>
      <c r="O979" t="n">
        <v>1</v>
      </c>
      <c r="P979" t="n">
        <v>0</v>
      </c>
      <c r="Q979" t="n">
        <v>1</v>
      </c>
      <c r="R979" s="2" t="inlineStr">
        <is>
          <t>Talltita</t>
        </is>
      </c>
      <c r="S979">
        <f>HYPERLINK("https://klasma.github.io/Logging_0860/artfynd/A 54675-2022 artfynd.xlsx", "A 54675-2022")</f>
        <v/>
      </c>
      <c r="T979">
        <f>HYPERLINK("https://klasma.github.io/Logging_0860/kartor/A 54675-2022 karta.png", "A 54675-2022")</f>
        <v/>
      </c>
      <c r="V979">
        <f>HYPERLINK("https://klasma.github.io/Logging_0860/klagomål/A 54675-2022 FSC-klagomål.docx", "A 54675-2022")</f>
        <v/>
      </c>
      <c r="W979">
        <f>HYPERLINK("https://klasma.github.io/Logging_0860/klagomålsmail/A 54675-2022 FSC-klagomål mail.docx", "A 54675-2022")</f>
        <v/>
      </c>
      <c r="X979">
        <f>HYPERLINK("https://klasma.github.io/Logging_0860/tillsyn/A 54675-2022 tillsynsbegäran.docx", "A 54675-2022")</f>
        <v/>
      </c>
      <c r="Y979">
        <f>HYPERLINK("https://klasma.github.io/Logging_0860/tillsynsmail/A 54675-2022 tillsynsbegäran mail.docx", "A 54675-2022")</f>
        <v/>
      </c>
      <c r="Z979">
        <f>HYPERLINK("https://klasma.github.io/Logging_0860/fåglar/A 54675-2022 prioriterade fågelarter.docx", "A 54675-2022")</f>
        <v/>
      </c>
    </row>
    <row r="980" ht="15" customHeight="1">
      <c r="A980" t="inlineStr">
        <is>
          <t>A 54924-2022</t>
        </is>
      </c>
      <c r="B980" s="1" t="n">
        <v>44886</v>
      </c>
      <c r="C980" s="1" t="n">
        <v>45832</v>
      </c>
      <c r="D980" t="inlineStr">
        <is>
          <t>KALMAR LÄN</t>
        </is>
      </c>
      <c r="E980" t="inlineStr">
        <is>
          <t>MÖNSTERÅS</t>
        </is>
      </c>
      <c r="G980" t="n">
        <v>5</v>
      </c>
      <c r="H980" t="n">
        <v>1</v>
      </c>
      <c r="I980" t="n">
        <v>0</v>
      </c>
      <c r="J980" t="n">
        <v>0</v>
      </c>
      <c r="K980" t="n">
        <v>1</v>
      </c>
      <c r="L980" t="n">
        <v>0</v>
      </c>
      <c r="M980" t="n">
        <v>0</v>
      </c>
      <c r="N980" t="n">
        <v>0</v>
      </c>
      <c r="O980" t="n">
        <v>1</v>
      </c>
      <c r="P980" t="n">
        <v>1</v>
      </c>
      <c r="Q980" t="n">
        <v>1</v>
      </c>
      <c r="R980" s="2" t="inlineStr">
        <is>
          <t>Knärot</t>
        </is>
      </c>
      <c r="S980">
        <f>HYPERLINK("https://klasma.github.io/Logging_0861/artfynd/A 54924-2022 artfynd.xlsx", "A 54924-2022")</f>
        <v/>
      </c>
      <c r="T980">
        <f>HYPERLINK("https://klasma.github.io/Logging_0861/kartor/A 54924-2022 karta.png", "A 54924-2022")</f>
        <v/>
      </c>
      <c r="U980">
        <f>HYPERLINK("https://klasma.github.io/Logging_0861/knärot/A 54924-2022 karta knärot.png", "A 54924-2022")</f>
        <v/>
      </c>
      <c r="V980">
        <f>HYPERLINK("https://klasma.github.io/Logging_0861/klagomål/A 54924-2022 FSC-klagomål.docx", "A 54924-2022")</f>
        <v/>
      </c>
      <c r="W980">
        <f>HYPERLINK("https://klasma.github.io/Logging_0861/klagomålsmail/A 54924-2022 FSC-klagomål mail.docx", "A 54924-2022")</f>
        <v/>
      </c>
      <c r="X980">
        <f>HYPERLINK("https://klasma.github.io/Logging_0861/tillsyn/A 54924-2022 tillsynsbegäran.docx", "A 54924-2022")</f>
        <v/>
      </c>
      <c r="Y980">
        <f>HYPERLINK("https://klasma.github.io/Logging_0861/tillsynsmail/A 54924-2022 tillsynsbegäran mail.docx", "A 54924-2022")</f>
        <v/>
      </c>
    </row>
    <row r="981" ht="15" customHeight="1">
      <c r="A981" t="inlineStr">
        <is>
          <t>A 59178-2022</t>
        </is>
      </c>
      <c r="B981" s="1" t="n">
        <v>44904</v>
      </c>
      <c r="C981" s="1" t="n">
        <v>45832</v>
      </c>
      <c r="D981" t="inlineStr">
        <is>
          <t>KALMAR LÄN</t>
        </is>
      </c>
      <c r="E981" t="inlineStr">
        <is>
          <t>VÄSTERVIK</t>
        </is>
      </c>
      <c r="G981" t="n">
        <v>3.3</v>
      </c>
      <c r="H981" t="n">
        <v>0</v>
      </c>
      <c r="I981" t="n">
        <v>0</v>
      </c>
      <c r="J981" t="n">
        <v>1</v>
      </c>
      <c r="K981" t="n">
        <v>0</v>
      </c>
      <c r="L981" t="n">
        <v>0</v>
      </c>
      <c r="M981" t="n">
        <v>0</v>
      </c>
      <c r="N981" t="n">
        <v>0</v>
      </c>
      <c r="O981" t="n">
        <v>1</v>
      </c>
      <c r="P981" t="n">
        <v>0</v>
      </c>
      <c r="Q981" t="n">
        <v>1</v>
      </c>
      <c r="R981" s="2" t="inlineStr">
        <is>
          <t>Tallticka</t>
        </is>
      </c>
      <c r="S981">
        <f>HYPERLINK("https://klasma.github.io/Logging_0883/artfynd/A 59178-2022 artfynd.xlsx", "A 59178-2022")</f>
        <v/>
      </c>
      <c r="T981">
        <f>HYPERLINK("https://klasma.github.io/Logging_0883/kartor/A 59178-2022 karta.png", "A 59178-2022")</f>
        <v/>
      </c>
      <c r="V981">
        <f>HYPERLINK("https://klasma.github.io/Logging_0883/klagomål/A 59178-2022 FSC-klagomål.docx", "A 59178-2022")</f>
        <v/>
      </c>
      <c r="W981">
        <f>HYPERLINK("https://klasma.github.io/Logging_0883/klagomålsmail/A 59178-2022 FSC-klagomål mail.docx", "A 59178-2022")</f>
        <v/>
      </c>
      <c r="X981">
        <f>HYPERLINK("https://klasma.github.io/Logging_0883/tillsyn/A 59178-2022 tillsynsbegäran.docx", "A 59178-2022")</f>
        <v/>
      </c>
      <c r="Y981">
        <f>HYPERLINK("https://klasma.github.io/Logging_0883/tillsynsmail/A 59178-2022 tillsynsbegäran mail.docx", "A 59178-2022")</f>
        <v/>
      </c>
    </row>
    <row r="982" ht="15" customHeight="1">
      <c r="A982" t="inlineStr">
        <is>
          <t>A 59407-2022</t>
        </is>
      </c>
      <c r="B982" s="1" t="n">
        <v>44907</v>
      </c>
      <c r="C982" s="1" t="n">
        <v>45832</v>
      </c>
      <c r="D982" t="inlineStr">
        <is>
          <t>KALMAR LÄN</t>
        </is>
      </c>
      <c r="E982" t="inlineStr">
        <is>
          <t>HÖGSBY</t>
        </is>
      </c>
      <c r="G982" t="n">
        <v>1</v>
      </c>
      <c r="H982" t="n">
        <v>1</v>
      </c>
      <c r="I982" t="n">
        <v>0</v>
      </c>
      <c r="J982" t="n">
        <v>0</v>
      </c>
      <c r="K982" t="n">
        <v>0</v>
      </c>
      <c r="L982" t="n">
        <v>0</v>
      </c>
      <c r="M982" t="n">
        <v>0</v>
      </c>
      <c r="N982" t="n">
        <v>0</v>
      </c>
      <c r="O982" t="n">
        <v>0</v>
      </c>
      <c r="P982" t="n">
        <v>0</v>
      </c>
      <c r="Q982" t="n">
        <v>1</v>
      </c>
      <c r="R982" s="2" t="inlineStr">
        <is>
          <t>Blåsippa</t>
        </is>
      </c>
      <c r="S982">
        <f>HYPERLINK("https://klasma.github.io/Logging_0821/artfynd/A 59407-2022 artfynd.xlsx", "A 59407-2022")</f>
        <v/>
      </c>
      <c r="T982">
        <f>HYPERLINK("https://klasma.github.io/Logging_0821/kartor/A 59407-2022 karta.png", "A 59407-2022")</f>
        <v/>
      </c>
      <c r="V982">
        <f>HYPERLINK("https://klasma.github.io/Logging_0821/klagomål/A 59407-2022 FSC-klagomål.docx", "A 59407-2022")</f>
        <v/>
      </c>
      <c r="W982">
        <f>HYPERLINK("https://klasma.github.io/Logging_0821/klagomålsmail/A 59407-2022 FSC-klagomål mail.docx", "A 59407-2022")</f>
        <v/>
      </c>
      <c r="X982">
        <f>HYPERLINK("https://klasma.github.io/Logging_0821/tillsyn/A 59407-2022 tillsynsbegäran.docx", "A 59407-2022")</f>
        <v/>
      </c>
      <c r="Y982">
        <f>HYPERLINK("https://klasma.github.io/Logging_0821/tillsynsmail/A 59407-2022 tillsynsbegäran mail.docx", "A 59407-2022")</f>
        <v/>
      </c>
    </row>
    <row r="983" ht="15" customHeight="1">
      <c r="A983" t="inlineStr">
        <is>
          <t>A 60036-2022</t>
        </is>
      </c>
      <c r="B983" s="1" t="n">
        <v>44909</v>
      </c>
      <c r="C983" s="1" t="n">
        <v>45832</v>
      </c>
      <c r="D983" t="inlineStr">
        <is>
          <t>KALMAR LÄN</t>
        </is>
      </c>
      <c r="E983" t="inlineStr">
        <is>
          <t>NYBRO</t>
        </is>
      </c>
      <c r="G983" t="n">
        <v>8.699999999999999</v>
      </c>
      <c r="H983" t="n">
        <v>1</v>
      </c>
      <c r="I983" t="n">
        <v>0</v>
      </c>
      <c r="J983" t="n">
        <v>0</v>
      </c>
      <c r="K983" t="n">
        <v>1</v>
      </c>
      <c r="L983" t="n">
        <v>0</v>
      </c>
      <c r="M983" t="n">
        <v>0</v>
      </c>
      <c r="N983" t="n">
        <v>0</v>
      </c>
      <c r="O983" t="n">
        <v>1</v>
      </c>
      <c r="P983" t="n">
        <v>1</v>
      </c>
      <c r="Q983" t="n">
        <v>1</v>
      </c>
      <c r="R983" s="2" t="inlineStr">
        <is>
          <t>Knärot</t>
        </is>
      </c>
      <c r="S983">
        <f>HYPERLINK("https://klasma.github.io/Logging_0881/artfynd/A 60036-2022 artfynd.xlsx", "A 60036-2022")</f>
        <v/>
      </c>
      <c r="T983">
        <f>HYPERLINK("https://klasma.github.io/Logging_0881/kartor/A 60036-2022 karta.png", "A 60036-2022")</f>
        <v/>
      </c>
      <c r="U983">
        <f>HYPERLINK("https://klasma.github.io/Logging_0881/knärot/A 60036-2022 karta knärot.png", "A 60036-2022")</f>
        <v/>
      </c>
      <c r="V983">
        <f>HYPERLINK("https://klasma.github.io/Logging_0881/klagomål/A 60036-2022 FSC-klagomål.docx", "A 60036-2022")</f>
        <v/>
      </c>
      <c r="W983">
        <f>HYPERLINK("https://klasma.github.io/Logging_0881/klagomålsmail/A 60036-2022 FSC-klagomål mail.docx", "A 60036-2022")</f>
        <v/>
      </c>
      <c r="X983">
        <f>HYPERLINK("https://klasma.github.io/Logging_0881/tillsyn/A 60036-2022 tillsynsbegäran.docx", "A 60036-2022")</f>
        <v/>
      </c>
      <c r="Y983">
        <f>HYPERLINK("https://klasma.github.io/Logging_0881/tillsynsmail/A 60036-2022 tillsynsbegäran mail.docx", "A 60036-2022")</f>
        <v/>
      </c>
    </row>
    <row r="984" ht="15" customHeight="1">
      <c r="A984" t="inlineStr">
        <is>
          <t>A 61236-2022</t>
        </is>
      </c>
      <c r="B984" s="1" t="n">
        <v>44915</v>
      </c>
      <c r="C984" s="1" t="n">
        <v>45832</v>
      </c>
      <c r="D984" t="inlineStr">
        <is>
          <t>KALMAR LÄN</t>
        </is>
      </c>
      <c r="E984" t="inlineStr">
        <is>
          <t>KALMAR</t>
        </is>
      </c>
      <c r="G984" t="n">
        <v>1.4</v>
      </c>
      <c r="H984" t="n">
        <v>0</v>
      </c>
      <c r="I984" t="n">
        <v>1</v>
      </c>
      <c r="J984" t="n">
        <v>0</v>
      </c>
      <c r="K984" t="n">
        <v>0</v>
      </c>
      <c r="L984" t="n">
        <v>0</v>
      </c>
      <c r="M984" t="n">
        <v>0</v>
      </c>
      <c r="N984" t="n">
        <v>0</v>
      </c>
      <c r="O984" t="n">
        <v>0</v>
      </c>
      <c r="P984" t="n">
        <v>0</v>
      </c>
      <c r="Q984" t="n">
        <v>1</v>
      </c>
      <c r="R984" s="2" t="inlineStr">
        <is>
          <t>Murgröna</t>
        </is>
      </c>
      <c r="S984">
        <f>HYPERLINK("https://klasma.github.io/Logging_0880/artfynd/A 61236-2022 artfynd.xlsx", "A 61236-2022")</f>
        <v/>
      </c>
      <c r="T984">
        <f>HYPERLINK("https://klasma.github.io/Logging_0880/kartor/A 61236-2022 karta.png", "A 61236-2022")</f>
        <v/>
      </c>
      <c r="V984">
        <f>HYPERLINK("https://klasma.github.io/Logging_0880/klagomål/A 61236-2022 FSC-klagomål.docx", "A 61236-2022")</f>
        <v/>
      </c>
      <c r="W984">
        <f>HYPERLINK("https://klasma.github.io/Logging_0880/klagomålsmail/A 61236-2022 FSC-klagomål mail.docx", "A 61236-2022")</f>
        <v/>
      </c>
      <c r="X984">
        <f>HYPERLINK("https://klasma.github.io/Logging_0880/tillsyn/A 61236-2022 tillsynsbegäran.docx", "A 61236-2022")</f>
        <v/>
      </c>
      <c r="Y984">
        <f>HYPERLINK("https://klasma.github.io/Logging_0880/tillsynsmail/A 61236-2022 tillsynsbegäran mail.docx", "A 61236-2022")</f>
        <v/>
      </c>
    </row>
    <row r="985" ht="15" customHeight="1">
      <c r="A985" t="inlineStr">
        <is>
          <t>A 61790-2022</t>
        </is>
      </c>
      <c r="B985" s="1" t="n">
        <v>44917</v>
      </c>
      <c r="C985" s="1" t="n">
        <v>45832</v>
      </c>
      <c r="D985" t="inlineStr">
        <is>
          <t>KALMAR LÄN</t>
        </is>
      </c>
      <c r="E985" t="inlineStr">
        <is>
          <t>NYBRO</t>
        </is>
      </c>
      <c r="F985" t="inlineStr">
        <is>
          <t>Kommuner</t>
        </is>
      </c>
      <c r="G985" t="n">
        <v>3.7</v>
      </c>
      <c r="H985" t="n">
        <v>0</v>
      </c>
      <c r="I985" t="n">
        <v>1</v>
      </c>
      <c r="J985" t="n">
        <v>0</v>
      </c>
      <c r="K985" t="n">
        <v>0</v>
      </c>
      <c r="L985" t="n">
        <v>0</v>
      </c>
      <c r="M985" t="n">
        <v>0</v>
      </c>
      <c r="N985" t="n">
        <v>0</v>
      </c>
      <c r="O985" t="n">
        <v>0</v>
      </c>
      <c r="P985" t="n">
        <v>0</v>
      </c>
      <c r="Q985" t="n">
        <v>1</v>
      </c>
      <c r="R985" s="2" t="inlineStr">
        <is>
          <t>Grönpyrola</t>
        </is>
      </c>
      <c r="S985">
        <f>HYPERLINK("https://klasma.github.io/Logging_0881/artfynd/A 61790-2022 artfynd.xlsx", "A 61790-2022")</f>
        <v/>
      </c>
      <c r="T985">
        <f>HYPERLINK("https://klasma.github.io/Logging_0881/kartor/A 61790-2022 karta.png", "A 61790-2022")</f>
        <v/>
      </c>
      <c r="V985">
        <f>HYPERLINK("https://klasma.github.io/Logging_0881/klagomål/A 61790-2022 FSC-klagomål.docx", "A 61790-2022")</f>
        <v/>
      </c>
      <c r="W985">
        <f>HYPERLINK("https://klasma.github.io/Logging_0881/klagomålsmail/A 61790-2022 FSC-klagomål mail.docx", "A 61790-2022")</f>
        <v/>
      </c>
      <c r="X985">
        <f>HYPERLINK("https://klasma.github.io/Logging_0881/tillsyn/A 61790-2022 tillsynsbegäran.docx", "A 61790-2022")</f>
        <v/>
      </c>
      <c r="Y985">
        <f>HYPERLINK("https://klasma.github.io/Logging_0881/tillsynsmail/A 61790-2022 tillsynsbegäran mail.docx", "A 61790-2022")</f>
        <v/>
      </c>
    </row>
    <row r="986" ht="15" customHeight="1">
      <c r="A986" t="inlineStr">
        <is>
          <t>A 61771-2022</t>
        </is>
      </c>
      <c r="B986" s="1" t="n">
        <v>44917</v>
      </c>
      <c r="C986" s="1" t="n">
        <v>45832</v>
      </c>
      <c r="D986" t="inlineStr">
        <is>
          <t>KALMAR LÄN</t>
        </is>
      </c>
      <c r="E986" t="inlineStr">
        <is>
          <t>NYBRO</t>
        </is>
      </c>
      <c r="F986" t="inlineStr">
        <is>
          <t>Kommuner</t>
        </is>
      </c>
      <c r="G986" t="n">
        <v>10.4</v>
      </c>
      <c r="H986" t="n">
        <v>1</v>
      </c>
      <c r="I986" t="n">
        <v>0</v>
      </c>
      <c r="J986" t="n">
        <v>1</v>
      </c>
      <c r="K986" t="n">
        <v>0</v>
      </c>
      <c r="L986" t="n">
        <v>0</v>
      </c>
      <c r="M986" t="n">
        <v>0</v>
      </c>
      <c r="N986" t="n">
        <v>0</v>
      </c>
      <c r="O986" t="n">
        <v>1</v>
      </c>
      <c r="P986" t="n">
        <v>0</v>
      </c>
      <c r="Q986" t="n">
        <v>1</v>
      </c>
      <c r="R986" s="2" t="inlineStr">
        <is>
          <t>Talltita</t>
        </is>
      </c>
      <c r="S986">
        <f>HYPERLINK("https://klasma.github.io/Logging_0881/artfynd/A 61771-2022 artfynd.xlsx", "A 61771-2022")</f>
        <v/>
      </c>
      <c r="T986">
        <f>HYPERLINK("https://klasma.github.io/Logging_0881/kartor/A 61771-2022 karta.png", "A 61771-2022")</f>
        <v/>
      </c>
      <c r="V986">
        <f>HYPERLINK("https://klasma.github.io/Logging_0881/klagomål/A 61771-2022 FSC-klagomål.docx", "A 61771-2022")</f>
        <v/>
      </c>
      <c r="W986">
        <f>HYPERLINK("https://klasma.github.io/Logging_0881/klagomålsmail/A 61771-2022 FSC-klagomål mail.docx", "A 61771-2022")</f>
        <v/>
      </c>
      <c r="X986">
        <f>HYPERLINK("https://klasma.github.io/Logging_0881/tillsyn/A 61771-2022 tillsynsbegäran.docx", "A 61771-2022")</f>
        <v/>
      </c>
      <c r="Y986">
        <f>HYPERLINK("https://klasma.github.io/Logging_0881/tillsynsmail/A 61771-2022 tillsynsbegäran mail.docx", "A 61771-2022")</f>
        <v/>
      </c>
      <c r="Z986">
        <f>HYPERLINK("https://klasma.github.io/Logging_0881/fåglar/A 61771-2022 prioriterade fågelarter.docx", "A 61771-2022")</f>
        <v/>
      </c>
    </row>
    <row r="987" ht="15" customHeight="1">
      <c r="A987" t="inlineStr">
        <is>
          <t>A 141-2023</t>
        </is>
      </c>
      <c r="B987" s="1" t="n">
        <v>44928</v>
      </c>
      <c r="C987" s="1" t="n">
        <v>45832</v>
      </c>
      <c r="D987" t="inlineStr">
        <is>
          <t>KALMAR LÄN</t>
        </is>
      </c>
      <c r="E987" t="inlineStr">
        <is>
          <t>HULTSFRED</t>
        </is>
      </c>
      <c r="F987" t="inlineStr">
        <is>
          <t>Sveaskog</t>
        </is>
      </c>
      <c r="G987" t="n">
        <v>7.6</v>
      </c>
      <c r="H987" t="n">
        <v>0</v>
      </c>
      <c r="I987" t="n">
        <v>0</v>
      </c>
      <c r="J987" t="n">
        <v>1</v>
      </c>
      <c r="K987" t="n">
        <v>0</v>
      </c>
      <c r="L987" t="n">
        <v>0</v>
      </c>
      <c r="M987" t="n">
        <v>0</v>
      </c>
      <c r="N987" t="n">
        <v>0</v>
      </c>
      <c r="O987" t="n">
        <v>1</v>
      </c>
      <c r="P987" t="n">
        <v>0</v>
      </c>
      <c r="Q987" t="n">
        <v>1</v>
      </c>
      <c r="R987" s="2" t="inlineStr">
        <is>
          <t>Vedtrappmossa</t>
        </is>
      </c>
      <c r="S987">
        <f>HYPERLINK("https://klasma.github.io/Logging_0860/artfynd/A 141-2023 artfynd.xlsx", "A 141-2023")</f>
        <v/>
      </c>
      <c r="T987">
        <f>HYPERLINK("https://klasma.github.io/Logging_0860/kartor/A 141-2023 karta.png", "A 141-2023")</f>
        <v/>
      </c>
      <c r="V987">
        <f>HYPERLINK("https://klasma.github.io/Logging_0860/klagomål/A 141-2023 FSC-klagomål.docx", "A 141-2023")</f>
        <v/>
      </c>
      <c r="W987">
        <f>HYPERLINK("https://klasma.github.io/Logging_0860/klagomålsmail/A 141-2023 FSC-klagomål mail.docx", "A 141-2023")</f>
        <v/>
      </c>
      <c r="X987">
        <f>HYPERLINK("https://klasma.github.io/Logging_0860/tillsyn/A 141-2023 tillsynsbegäran.docx", "A 141-2023")</f>
        <v/>
      </c>
      <c r="Y987">
        <f>HYPERLINK("https://klasma.github.io/Logging_0860/tillsynsmail/A 141-2023 tillsynsbegäran mail.docx", "A 141-2023")</f>
        <v/>
      </c>
    </row>
    <row r="988" ht="15" customHeight="1">
      <c r="A988" t="inlineStr">
        <is>
          <t>A 183-2023</t>
        </is>
      </c>
      <c r="B988" s="1" t="n">
        <v>44928</v>
      </c>
      <c r="C988" s="1" t="n">
        <v>45832</v>
      </c>
      <c r="D988" t="inlineStr">
        <is>
          <t>KALMAR LÄN</t>
        </is>
      </c>
      <c r="E988" t="inlineStr">
        <is>
          <t>KALMAR</t>
        </is>
      </c>
      <c r="F988" t="inlineStr">
        <is>
          <t>Sveaskog</t>
        </is>
      </c>
      <c r="G988" t="n">
        <v>16.2</v>
      </c>
      <c r="H988" t="n">
        <v>1</v>
      </c>
      <c r="I988" t="n">
        <v>0</v>
      </c>
      <c r="J988" t="n">
        <v>1</v>
      </c>
      <c r="K988" t="n">
        <v>0</v>
      </c>
      <c r="L988" t="n">
        <v>0</v>
      </c>
      <c r="M988" t="n">
        <v>0</v>
      </c>
      <c r="N988" t="n">
        <v>0</v>
      </c>
      <c r="O988" t="n">
        <v>1</v>
      </c>
      <c r="P988" t="n">
        <v>0</v>
      </c>
      <c r="Q988" t="n">
        <v>1</v>
      </c>
      <c r="R988" s="2" t="inlineStr">
        <is>
          <t>Talltita</t>
        </is>
      </c>
      <c r="S988">
        <f>HYPERLINK("https://klasma.github.io/Logging_0880/artfynd/A 183-2023 artfynd.xlsx", "A 183-2023")</f>
        <v/>
      </c>
      <c r="T988">
        <f>HYPERLINK("https://klasma.github.io/Logging_0880/kartor/A 183-2023 karta.png", "A 183-2023")</f>
        <v/>
      </c>
      <c r="V988">
        <f>HYPERLINK("https://klasma.github.io/Logging_0880/klagomål/A 183-2023 FSC-klagomål.docx", "A 183-2023")</f>
        <v/>
      </c>
      <c r="W988">
        <f>HYPERLINK("https://klasma.github.io/Logging_0880/klagomålsmail/A 183-2023 FSC-klagomål mail.docx", "A 183-2023")</f>
        <v/>
      </c>
      <c r="X988">
        <f>HYPERLINK("https://klasma.github.io/Logging_0880/tillsyn/A 183-2023 tillsynsbegäran.docx", "A 183-2023")</f>
        <v/>
      </c>
      <c r="Y988">
        <f>HYPERLINK("https://klasma.github.io/Logging_0880/tillsynsmail/A 183-2023 tillsynsbegäran mail.docx", "A 183-2023")</f>
        <v/>
      </c>
      <c r="Z988">
        <f>HYPERLINK("https://klasma.github.io/Logging_0880/fåglar/A 183-2023 prioriterade fågelarter.docx", "A 183-2023")</f>
        <v/>
      </c>
    </row>
    <row r="989" ht="15" customHeight="1">
      <c r="A989" t="inlineStr">
        <is>
          <t>A 764-2023</t>
        </is>
      </c>
      <c r="B989" s="1" t="n">
        <v>44931</v>
      </c>
      <c r="C989" s="1" t="n">
        <v>45832</v>
      </c>
      <c r="D989" t="inlineStr">
        <is>
          <t>KALMAR LÄN</t>
        </is>
      </c>
      <c r="E989" t="inlineStr">
        <is>
          <t>KALMAR</t>
        </is>
      </c>
      <c r="G989" t="n">
        <v>4.1</v>
      </c>
      <c r="H989" t="n">
        <v>0</v>
      </c>
      <c r="I989" t="n">
        <v>1</v>
      </c>
      <c r="J989" t="n">
        <v>0</v>
      </c>
      <c r="K989" t="n">
        <v>0</v>
      </c>
      <c r="L989" t="n">
        <v>0</v>
      </c>
      <c r="M989" t="n">
        <v>0</v>
      </c>
      <c r="N989" t="n">
        <v>0</v>
      </c>
      <c r="O989" t="n">
        <v>0</v>
      </c>
      <c r="P989" t="n">
        <v>0</v>
      </c>
      <c r="Q989" t="n">
        <v>1</v>
      </c>
      <c r="R989" s="2" t="inlineStr">
        <is>
          <t>Blåmossa</t>
        </is>
      </c>
      <c r="S989">
        <f>HYPERLINK("https://klasma.github.io/Logging_0880/artfynd/A 764-2023 artfynd.xlsx", "A 764-2023")</f>
        <v/>
      </c>
      <c r="T989">
        <f>HYPERLINK("https://klasma.github.io/Logging_0880/kartor/A 764-2023 karta.png", "A 764-2023")</f>
        <v/>
      </c>
      <c r="V989">
        <f>HYPERLINK("https://klasma.github.io/Logging_0880/klagomål/A 764-2023 FSC-klagomål.docx", "A 764-2023")</f>
        <v/>
      </c>
      <c r="W989">
        <f>HYPERLINK("https://klasma.github.io/Logging_0880/klagomålsmail/A 764-2023 FSC-klagomål mail.docx", "A 764-2023")</f>
        <v/>
      </c>
      <c r="X989">
        <f>HYPERLINK("https://klasma.github.io/Logging_0880/tillsyn/A 764-2023 tillsynsbegäran.docx", "A 764-2023")</f>
        <v/>
      </c>
      <c r="Y989">
        <f>HYPERLINK("https://klasma.github.io/Logging_0880/tillsynsmail/A 764-2023 tillsynsbegäran mail.docx", "A 764-2023")</f>
        <v/>
      </c>
    </row>
    <row r="990" ht="15" customHeight="1">
      <c r="A990" t="inlineStr">
        <is>
          <t>A 975-2023</t>
        </is>
      </c>
      <c r="B990" s="1" t="n">
        <v>44935</v>
      </c>
      <c r="C990" s="1" t="n">
        <v>45832</v>
      </c>
      <c r="D990" t="inlineStr">
        <is>
          <t>KALMAR LÄN</t>
        </is>
      </c>
      <c r="E990" t="inlineStr">
        <is>
          <t>VÄSTERVIK</t>
        </is>
      </c>
      <c r="G990" t="n">
        <v>1.7</v>
      </c>
      <c r="H990" t="n">
        <v>1</v>
      </c>
      <c r="I990" t="n">
        <v>0</v>
      </c>
      <c r="J990" t="n">
        <v>0</v>
      </c>
      <c r="K990" t="n">
        <v>1</v>
      </c>
      <c r="L990" t="n">
        <v>0</v>
      </c>
      <c r="M990" t="n">
        <v>0</v>
      </c>
      <c r="N990" t="n">
        <v>0</v>
      </c>
      <c r="O990" t="n">
        <v>1</v>
      </c>
      <c r="P990" t="n">
        <v>1</v>
      </c>
      <c r="Q990" t="n">
        <v>1</v>
      </c>
      <c r="R990" s="2" t="inlineStr">
        <is>
          <t>Läderbagge</t>
        </is>
      </c>
      <c r="S990">
        <f>HYPERLINK("https://klasma.github.io/Logging_0883/artfynd/A 975-2023 artfynd.xlsx", "A 975-2023")</f>
        <v/>
      </c>
      <c r="T990">
        <f>HYPERLINK("https://klasma.github.io/Logging_0883/kartor/A 975-2023 karta.png", "A 975-2023")</f>
        <v/>
      </c>
      <c r="V990">
        <f>HYPERLINK("https://klasma.github.io/Logging_0883/klagomål/A 975-2023 FSC-klagomål.docx", "A 975-2023")</f>
        <v/>
      </c>
      <c r="W990">
        <f>HYPERLINK("https://klasma.github.io/Logging_0883/klagomålsmail/A 975-2023 FSC-klagomål mail.docx", "A 975-2023")</f>
        <v/>
      </c>
      <c r="X990">
        <f>HYPERLINK("https://klasma.github.io/Logging_0883/tillsyn/A 975-2023 tillsynsbegäran.docx", "A 975-2023")</f>
        <v/>
      </c>
      <c r="Y990">
        <f>HYPERLINK("https://klasma.github.io/Logging_0883/tillsynsmail/A 975-2023 tillsynsbegäran mail.docx", "A 975-2023")</f>
        <v/>
      </c>
    </row>
    <row r="991" ht="15" customHeight="1">
      <c r="A991" t="inlineStr">
        <is>
          <t>A 1024-2023</t>
        </is>
      </c>
      <c r="B991" s="1" t="n">
        <v>44935</v>
      </c>
      <c r="C991" s="1" t="n">
        <v>45832</v>
      </c>
      <c r="D991" t="inlineStr">
        <is>
          <t>KALMAR LÄN</t>
        </is>
      </c>
      <c r="E991" t="inlineStr">
        <is>
          <t>VÄSTERVIK</t>
        </is>
      </c>
      <c r="F991" t="inlineStr">
        <is>
          <t>Holmen skog AB</t>
        </is>
      </c>
      <c r="G991" t="n">
        <v>1.9</v>
      </c>
      <c r="H991" t="n">
        <v>0</v>
      </c>
      <c r="I991" t="n">
        <v>0</v>
      </c>
      <c r="J991" t="n">
        <v>1</v>
      </c>
      <c r="K991" t="n">
        <v>0</v>
      </c>
      <c r="L991" t="n">
        <v>0</v>
      </c>
      <c r="M991" t="n">
        <v>0</v>
      </c>
      <c r="N991" t="n">
        <v>0</v>
      </c>
      <c r="O991" t="n">
        <v>1</v>
      </c>
      <c r="P991" t="n">
        <v>0</v>
      </c>
      <c r="Q991" t="n">
        <v>1</v>
      </c>
      <c r="R991" s="2" t="inlineStr">
        <is>
          <t>Ekticka</t>
        </is>
      </c>
      <c r="S991">
        <f>HYPERLINK("https://klasma.github.io/Logging_0883/artfynd/A 1024-2023 artfynd.xlsx", "A 1024-2023")</f>
        <v/>
      </c>
      <c r="T991">
        <f>HYPERLINK("https://klasma.github.io/Logging_0883/kartor/A 1024-2023 karta.png", "A 1024-2023")</f>
        <v/>
      </c>
      <c r="V991">
        <f>HYPERLINK("https://klasma.github.io/Logging_0883/klagomål/A 1024-2023 FSC-klagomål.docx", "A 1024-2023")</f>
        <v/>
      </c>
      <c r="W991">
        <f>HYPERLINK("https://klasma.github.io/Logging_0883/klagomålsmail/A 1024-2023 FSC-klagomål mail.docx", "A 1024-2023")</f>
        <v/>
      </c>
      <c r="X991">
        <f>HYPERLINK("https://klasma.github.io/Logging_0883/tillsyn/A 1024-2023 tillsynsbegäran.docx", "A 1024-2023")</f>
        <v/>
      </c>
      <c r="Y991">
        <f>HYPERLINK("https://klasma.github.io/Logging_0883/tillsynsmail/A 1024-2023 tillsynsbegäran mail.docx", "A 1024-2023")</f>
        <v/>
      </c>
    </row>
    <row r="992" ht="15" customHeight="1">
      <c r="A992" t="inlineStr">
        <is>
          <t>A 2637-2023</t>
        </is>
      </c>
      <c r="B992" s="1" t="n">
        <v>44942</v>
      </c>
      <c r="C992" s="1" t="n">
        <v>45832</v>
      </c>
      <c r="D992" t="inlineStr">
        <is>
          <t>KALMAR LÄN</t>
        </is>
      </c>
      <c r="E992" t="inlineStr">
        <is>
          <t>HULTSFRED</t>
        </is>
      </c>
      <c r="G992" t="n">
        <v>13.1</v>
      </c>
      <c r="H992" t="n">
        <v>0</v>
      </c>
      <c r="I992" t="n">
        <v>1</v>
      </c>
      <c r="J992" t="n">
        <v>0</v>
      </c>
      <c r="K992" t="n">
        <v>0</v>
      </c>
      <c r="L992" t="n">
        <v>0</v>
      </c>
      <c r="M992" t="n">
        <v>0</v>
      </c>
      <c r="N992" t="n">
        <v>0</v>
      </c>
      <c r="O992" t="n">
        <v>0</v>
      </c>
      <c r="P992" t="n">
        <v>0</v>
      </c>
      <c r="Q992" t="n">
        <v>1</v>
      </c>
      <c r="R992" s="2" t="inlineStr">
        <is>
          <t>Björksplintborre</t>
        </is>
      </c>
      <c r="S992">
        <f>HYPERLINK("https://klasma.github.io/Logging_0860/artfynd/A 2637-2023 artfynd.xlsx", "A 2637-2023")</f>
        <v/>
      </c>
      <c r="T992">
        <f>HYPERLINK("https://klasma.github.io/Logging_0860/kartor/A 2637-2023 karta.png", "A 2637-2023")</f>
        <v/>
      </c>
      <c r="V992">
        <f>HYPERLINK("https://klasma.github.io/Logging_0860/klagomål/A 2637-2023 FSC-klagomål.docx", "A 2637-2023")</f>
        <v/>
      </c>
      <c r="W992">
        <f>HYPERLINK("https://klasma.github.io/Logging_0860/klagomålsmail/A 2637-2023 FSC-klagomål mail.docx", "A 2637-2023")</f>
        <v/>
      </c>
      <c r="X992">
        <f>HYPERLINK("https://klasma.github.io/Logging_0860/tillsyn/A 2637-2023 tillsynsbegäran.docx", "A 2637-2023")</f>
        <v/>
      </c>
      <c r="Y992">
        <f>HYPERLINK("https://klasma.github.io/Logging_0860/tillsynsmail/A 2637-2023 tillsynsbegäran mail.docx", "A 2637-2023")</f>
        <v/>
      </c>
    </row>
    <row r="993" ht="15" customHeight="1">
      <c r="A993" t="inlineStr">
        <is>
          <t>A 3404-2023</t>
        </is>
      </c>
      <c r="B993" s="1" t="n">
        <v>44949</v>
      </c>
      <c r="C993" s="1" t="n">
        <v>45832</v>
      </c>
      <c r="D993" t="inlineStr">
        <is>
          <t>KALMAR LÄN</t>
        </is>
      </c>
      <c r="E993" t="inlineStr">
        <is>
          <t>KALMAR</t>
        </is>
      </c>
      <c r="G993" t="n">
        <v>2</v>
      </c>
      <c r="H993" t="n">
        <v>0</v>
      </c>
      <c r="I993" t="n">
        <v>1</v>
      </c>
      <c r="J993" t="n">
        <v>0</v>
      </c>
      <c r="K993" t="n">
        <v>0</v>
      </c>
      <c r="L993" t="n">
        <v>0</v>
      </c>
      <c r="M993" t="n">
        <v>0</v>
      </c>
      <c r="N993" t="n">
        <v>0</v>
      </c>
      <c r="O993" t="n">
        <v>0</v>
      </c>
      <c r="P993" t="n">
        <v>0</v>
      </c>
      <c r="Q993" t="n">
        <v>1</v>
      </c>
      <c r="R993" s="2" t="inlineStr">
        <is>
          <t>Murgröna</t>
        </is>
      </c>
      <c r="S993">
        <f>HYPERLINK("https://klasma.github.io/Logging_0880/artfynd/A 3404-2023 artfynd.xlsx", "A 3404-2023")</f>
        <v/>
      </c>
      <c r="T993">
        <f>HYPERLINK("https://klasma.github.io/Logging_0880/kartor/A 3404-2023 karta.png", "A 3404-2023")</f>
        <v/>
      </c>
      <c r="V993">
        <f>HYPERLINK("https://klasma.github.io/Logging_0880/klagomål/A 3404-2023 FSC-klagomål.docx", "A 3404-2023")</f>
        <v/>
      </c>
      <c r="W993">
        <f>HYPERLINK("https://klasma.github.io/Logging_0880/klagomålsmail/A 3404-2023 FSC-klagomål mail.docx", "A 3404-2023")</f>
        <v/>
      </c>
      <c r="X993">
        <f>HYPERLINK("https://klasma.github.io/Logging_0880/tillsyn/A 3404-2023 tillsynsbegäran.docx", "A 3404-2023")</f>
        <v/>
      </c>
      <c r="Y993">
        <f>HYPERLINK("https://klasma.github.io/Logging_0880/tillsynsmail/A 3404-2023 tillsynsbegäran mail.docx", "A 3404-2023")</f>
        <v/>
      </c>
    </row>
    <row r="994" ht="15" customHeight="1">
      <c r="A994" t="inlineStr">
        <is>
          <t>A 4371-2023</t>
        </is>
      </c>
      <c r="B994" s="1" t="n">
        <v>44955</v>
      </c>
      <c r="C994" s="1" t="n">
        <v>45832</v>
      </c>
      <c r="D994" t="inlineStr">
        <is>
          <t>KALMAR LÄN</t>
        </is>
      </c>
      <c r="E994" t="inlineStr">
        <is>
          <t>MÖNSTERÅS</t>
        </is>
      </c>
      <c r="G994" t="n">
        <v>2.3</v>
      </c>
      <c r="H994" t="n">
        <v>0</v>
      </c>
      <c r="I994" t="n">
        <v>0</v>
      </c>
      <c r="J994" t="n">
        <v>1</v>
      </c>
      <c r="K994" t="n">
        <v>0</v>
      </c>
      <c r="L994" t="n">
        <v>0</v>
      </c>
      <c r="M994" t="n">
        <v>0</v>
      </c>
      <c r="N994" t="n">
        <v>0</v>
      </c>
      <c r="O994" t="n">
        <v>1</v>
      </c>
      <c r="P994" t="n">
        <v>0</v>
      </c>
      <c r="Q994" t="n">
        <v>1</v>
      </c>
      <c r="R994" s="2" t="inlineStr">
        <is>
          <t>Svinrot</t>
        </is>
      </c>
      <c r="S994">
        <f>HYPERLINK("https://klasma.github.io/Logging_0861/artfynd/A 4371-2023 artfynd.xlsx", "A 4371-2023")</f>
        <v/>
      </c>
      <c r="T994">
        <f>HYPERLINK("https://klasma.github.io/Logging_0861/kartor/A 4371-2023 karta.png", "A 4371-2023")</f>
        <v/>
      </c>
      <c r="V994">
        <f>HYPERLINK("https://klasma.github.io/Logging_0861/klagomål/A 4371-2023 FSC-klagomål.docx", "A 4371-2023")</f>
        <v/>
      </c>
      <c r="W994">
        <f>HYPERLINK("https://klasma.github.io/Logging_0861/klagomålsmail/A 4371-2023 FSC-klagomål mail.docx", "A 4371-2023")</f>
        <v/>
      </c>
      <c r="X994">
        <f>HYPERLINK("https://klasma.github.io/Logging_0861/tillsyn/A 4371-2023 tillsynsbegäran.docx", "A 4371-2023")</f>
        <v/>
      </c>
      <c r="Y994">
        <f>HYPERLINK("https://klasma.github.io/Logging_0861/tillsynsmail/A 4371-2023 tillsynsbegäran mail.docx", "A 4371-2023")</f>
        <v/>
      </c>
    </row>
    <row r="995" ht="15" customHeight="1">
      <c r="A995" t="inlineStr">
        <is>
          <t>A 6612-2023</t>
        </is>
      </c>
      <c r="B995" s="1" t="n">
        <v>44966</v>
      </c>
      <c r="C995" s="1" t="n">
        <v>45832</v>
      </c>
      <c r="D995" t="inlineStr">
        <is>
          <t>KALMAR LÄN</t>
        </is>
      </c>
      <c r="E995" t="inlineStr">
        <is>
          <t>EMMABODA</t>
        </is>
      </c>
      <c r="G995" t="n">
        <v>1</v>
      </c>
      <c r="H995" t="n">
        <v>1</v>
      </c>
      <c r="I995" t="n">
        <v>1</v>
      </c>
      <c r="J995" t="n">
        <v>0</v>
      </c>
      <c r="K995" t="n">
        <v>0</v>
      </c>
      <c r="L995" t="n">
        <v>0</v>
      </c>
      <c r="M995" t="n">
        <v>0</v>
      </c>
      <c r="N995" t="n">
        <v>0</v>
      </c>
      <c r="O995" t="n">
        <v>0</v>
      </c>
      <c r="P995" t="n">
        <v>0</v>
      </c>
      <c r="Q995" t="n">
        <v>1</v>
      </c>
      <c r="R995" s="2" t="inlineStr">
        <is>
          <t>Korallrot</t>
        </is>
      </c>
      <c r="S995">
        <f>HYPERLINK("https://klasma.github.io/Logging_0862/artfynd/A 6612-2023 artfynd.xlsx", "A 6612-2023")</f>
        <v/>
      </c>
      <c r="T995">
        <f>HYPERLINK("https://klasma.github.io/Logging_0862/kartor/A 6612-2023 karta.png", "A 6612-2023")</f>
        <v/>
      </c>
      <c r="V995">
        <f>HYPERLINK("https://klasma.github.io/Logging_0862/klagomål/A 6612-2023 FSC-klagomål.docx", "A 6612-2023")</f>
        <v/>
      </c>
      <c r="W995">
        <f>HYPERLINK("https://klasma.github.io/Logging_0862/klagomålsmail/A 6612-2023 FSC-klagomål mail.docx", "A 6612-2023")</f>
        <v/>
      </c>
      <c r="X995">
        <f>HYPERLINK("https://klasma.github.io/Logging_0862/tillsyn/A 6612-2023 tillsynsbegäran.docx", "A 6612-2023")</f>
        <v/>
      </c>
      <c r="Y995">
        <f>HYPERLINK("https://klasma.github.io/Logging_0862/tillsynsmail/A 6612-2023 tillsynsbegäran mail.docx", "A 6612-2023")</f>
        <v/>
      </c>
    </row>
    <row r="996" ht="15" customHeight="1">
      <c r="A996" t="inlineStr">
        <is>
          <t>A 6676-2023</t>
        </is>
      </c>
      <c r="B996" s="1" t="n">
        <v>44966</v>
      </c>
      <c r="C996" s="1" t="n">
        <v>45832</v>
      </c>
      <c r="D996" t="inlineStr">
        <is>
          <t>KALMAR LÄN</t>
        </is>
      </c>
      <c r="E996" t="inlineStr">
        <is>
          <t>NYBRO</t>
        </is>
      </c>
      <c r="G996" t="n">
        <v>0.7</v>
      </c>
      <c r="H996" t="n">
        <v>0</v>
      </c>
      <c r="I996" t="n">
        <v>0</v>
      </c>
      <c r="J996" t="n">
        <v>1</v>
      </c>
      <c r="K996" t="n">
        <v>0</v>
      </c>
      <c r="L996" t="n">
        <v>0</v>
      </c>
      <c r="M996" t="n">
        <v>0</v>
      </c>
      <c r="N996" t="n">
        <v>0</v>
      </c>
      <c r="O996" t="n">
        <v>1</v>
      </c>
      <c r="P996" t="n">
        <v>0</v>
      </c>
      <c r="Q996" t="n">
        <v>1</v>
      </c>
      <c r="R996" s="2" t="inlineStr">
        <is>
          <t>Etternässla</t>
        </is>
      </c>
      <c r="S996">
        <f>HYPERLINK("https://klasma.github.io/Logging_0881/artfynd/A 6676-2023 artfynd.xlsx", "A 6676-2023")</f>
        <v/>
      </c>
      <c r="T996">
        <f>HYPERLINK("https://klasma.github.io/Logging_0881/kartor/A 6676-2023 karta.png", "A 6676-2023")</f>
        <v/>
      </c>
      <c r="V996">
        <f>HYPERLINK("https://klasma.github.io/Logging_0881/klagomål/A 6676-2023 FSC-klagomål.docx", "A 6676-2023")</f>
        <v/>
      </c>
      <c r="W996">
        <f>HYPERLINK("https://klasma.github.io/Logging_0881/klagomålsmail/A 6676-2023 FSC-klagomål mail.docx", "A 6676-2023")</f>
        <v/>
      </c>
      <c r="X996">
        <f>HYPERLINK("https://klasma.github.io/Logging_0881/tillsyn/A 6676-2023 tillsynsbegäran.docx", "A 6676-2023")</f>
        <v/>
      </c>
      <c r="Y996">
        <f>HYPERLINK("https://klasma.github.io/Logging_0881/tillsynsmail/A 6676-2023 tillsynsbegäran mail.docx", "A 6676-2023")</f>
        <v/>
      </c>
    </row>
    <row r="997" ht="15" customHeight="1">
      <c r="A997" t="inlineStr">
        <is>
          <t>A 8722-2023</t>
        </is>
      </c>
      <c r="B997" s="1" t="n">
        <v>44978</v>
      </c>
      <c r="C997" s="1" t="n">
        <v>45832</v>
      </c>
      <c r="D997" t="inlineStr">
        <is>
          <t>KALMAR LÄN</t>
        </is>
      </c>
      <c r="E997" t="inlineStr">
        <is>
          <t>OSKARSHAMN</t>
        </is>
      </c>
      <c r="G997" t="n">
        <v>1.3</v>
      </c>
      <c r="H997" t="n">
        <v>1</v>
      </c>
      <c r="I997" t="n">
        <v>0</v>
      </c>
      <c r="J997" t="n">
        <v>0</v>
      </c>
      <c r="K997" t="n">
        <v>0</v>
      </c>
      <c r="L997" t="n">
        <v>0</v>
      </c>
      <c r="M997" t="n">
        <v>0</v>
      </c>
      <c r="N997" t="n">
        <v>0</v>
      </c>
      <c r="O997" t="n">
        <v>0</v>
      </c>
      <c r="P997" t="n">
        <v>0</v>
      </c>
      <c r="Q997" t="n">
        <v>1</v>
      </c>
      <c r="R997" s="2" t="inlineStr">
        <is>
          <t>Blåsippa</t>
        </is>
      </c>
      <c r="S997">
        <f>HYPERLINK("https://klasma.github.io/Logging_0882/artfynd/A 8722-2023 artfynd.xlsx", "A 8722-2023")</f>
        <v/>
      </c>
      <c r="T997">
        <f>HYPERLINK("https://klasma.github.io/Logging_0882/kartor/A 8722-2023 karta.png", "A 8722-2023")</f>
        <v/>
      </c>
      <c r="V997">
        <f>HYPERLINK("https://klasma.github.io/Logging_0882/klagomål/A 8722-2023 FSC-klagomål.docx", "A 8722-2023")</f>
        <v/>
      </c>
      <c r="W997">
        <f>HYPERLINK("https://klasma.github.io/Logging_0882/klagomålsmail/A 8722-2023 FSC-klagomål mail.docx", "A 8722-2023")</f>
        <v/>
      </c>
      <c r="X997">
        <f>HYPERLINK("https://klasma.github.io/Logging_0882/tillsyn/A 8722-2023 tillsynsbegäran.docx", "A 8722-2023")</f>
        <v/>
      </c>
      <c r="Y997">
        <f>HYPERLINK("https://klasma.github.io/Logging_0882/tillsynsmail/A 8722-2023 tillsynsbegäran mail.docx", "A 8722-2023")</f>
        <v/>
      </c>
    </row>
    <row r="998" ht="15" customHeight="1">
      <c r="A998" t="inlineStr">
        <is>
          <t>A 9153-2023</t>
        </is>
      </c>
      <c r="B998" s="1" t="n">
        <v>44980</v>
      </c>
      <c r="C998" s="1" t="n">
        <v>45832</v>
      </c>
      <c r="D998" t="inlineStr">
        <is>
          <t>KALMAR LÄN</t>
        </is>
      </c>
      <c r="E998" t="inlineStr">
        <is>
          <t>NYBRO</t>
        </is>
      </c>
      <c r="G998" t="n">
        <v>2</v>
      </c>
      <c r="H998" t="n">
        <v>1</v>
      </c>
      <c r="I998" t="n">
        <v>0</v>
      </c>
      <c r="J998" t="n">
        <v>0</v>
      </c>
      <c r="K998" t="n">
        <v>1</v>
      </c>
      <c r="L998" t="n">
        <v>0</v>
      </c>
      <c r="M998" t="n">
        <v>0</v>
      </c>
      <c r="N998" t="n">
        <v>0</v>
      </c>
      <c r="O998" t="n">
        <v>1</v>
      </c>
      <c r="P998" t="n">
        <v>1</v>
      </c>
      <c r="Q998" t="n">
        <v>1</v>
      </c>
      <c r="R998" s="2" t="inlineStr">
        <is>
          <t>Sandödla</t>
        </is>
      </c>
      <c r="S998">
        <f>HYPERLINK("https://klasma.github.io/Logging_0881/artfynd/A 9153-2023 artfynd.xlsx", "A 9153-2023")</f>
        <v/>
      </c>
      <c r="T998">
        <f>HYPERLINK("https://klasma.github.io/Logging_0881/kartor/A 9153-2023 karta.png", "A 9153-2023")</f>
        <v/>
      </c>
      <c r="V998">
        <f>HYPERLINK("https://klasma.github.io/Logging_0881/klagomål/A 9153-2023 FSC-klagomål.docx", "A 9153-2023")</f>
        <v/>
      </c>
      <c r="W998">
        <f>HYPERLINK("https://klasma.github.io/Logging_0881/klagomålsmail/A 9153-2023 FSC-klagomål mail.docx", "A 9153-2023")</f>
        <v/>
      </c>
      <c r="X998">
        <f>HYPERLINK("https://klasma.github.io/Logging_0881/tillsyn/A 9153-2023 tillsynsbegäran.docx", "A 9153-2023")</f>
        <v/>
      </c>
      <c r="Y998">
        <f>HYPERLINK("https://klasma.github.io/Logging_0881/tillsynsmail/A 9153-2023 tillsynsbegäran mail.docx", "A 9153-2023")</f>
        <v/>
      </c>
    </row>
    <row r="999" ht="15" customHeight="1">
      <c r="A999" t="inlineStr">
        <is>
          <t>A 10333-2023</t>
        </is>
      </c>
      <c r="B999" s="1" t="n">
        <v>44980</v>
      </c>
      <c r="C999" s="1" t="n">
        <v>45832</v>
      </c>
      <c r="D999" t="inlineStr">
        <is>
          <t>KALMAR LÄN</t>
        </is>
      </c>
      <c r="E999" t="inlineStr">
        <is>
          <t>HULTSFRED</t>
        </is>
      </c>
      <c r="G999" t="n">
        <v>5</v>
      </c>
      <c r="H999" t="n">
        <v>1</v>
      </c>
      <c r="I999" t="n">
        <v>0</v>
      </c>
      <c r="J999" t="n">
        <v>0</v>
      </c>
      <c r="K999" t="n">
        <v>0</v>
      </c>
      <c r="L999" t="n">
        <v>0</v>
      </c>
      <c r="M999" t="n">
        <v>0</v>
      </c>
      <c r="N999" t="n">
        <v>0</v>
      </c>
      <c r="O999" t="n">
        <v>0</v>
      </c>
      <c r="P999" t="n">
        <v>0</v>
      </c>
      <c r="Q999" t="n">
        <v>1</v>
      </c>
      <c r="R999" s="2" t="inlineStr">
        <is>
          <t>Blåsippa</t>
        </is>
      </c>
      <c r="S999">
        <f>HYPERLINK("https://klasma.github.io/Logging_0860/artfynd/A 10333-2023 artfynd.xlsx", "A 10333-2023")</f>
        <v/>
      </c>
      <c r="T999">
        <f>HYPERLINK("https://klasma.github.io/Logging_0860/kartor/A 10333-2023 karta.png", "A 10333-2023")</f>
        <v/>
      </c>
      <c r="V999">
        <f>HYPERLINK("https://klasma.github.io/Logging_0860/klagomål/A 10333-2023 FSC-klagomål.docx", "A 10333-2023")</f>
        <v/>
      </c>
      <c r="W999">
        <f>HYPERLINK("https://klasma.github.io/Logging_0860/klagomålsmail/A 10333-2023 FSC-klagomål mail.docx", "A 10333-2023")</f>
        <v/>
      </c>
      <c r="X999">
        <f>HYPERLINK("https://klasma.github.io/Logging_0860/tillsyn/A 10333-2023 tillsynsbegäran.docx", "A 10333-2023")</f>
        <v/>
      </c>
      <c r="Y999">
        <f>HYPERLINK("https://klasma.github.io/Logging_0860/tillsynsmail/A 10333-2023 tillsynsbegäran mail.docx", "A 10333-2023")</f>
        <v/>
      </c>
    </row>
    <row r="1000" ht="15" customHeight="1">
      <c r="A1000" t="inlineStr">
        <is>
          <t>A 9565-2023</t>
        </is>
      </c>
      <c r="B1000" s="1" t="n">
        <v>44982</v>
      </c>
      <c r="C1000" s="1" t="n">
        <v>45832</v>
      </c>
      <c r="D1000" t="inlineStr">
        <is>
          <t>KALMAR LÄN</t>
        </is>
      </c>
      <c r="E1000" t="inlineStr">
        <is>
          <t>HÖGSBY</t>
        </is>
      </c>
      <c r="F1000" t="inlineStr">
        <is>
          <t>Sveaskog</t>
        </is>
      </c>
      <c r="G1000" t="n">
        <v>3.6</v>
      </c>
      <c r="H1000" t="n">
        <v>0</v>
      </c>
      <c r="I1000" t="n">
        <v>0</v>
      </c>
      <c r="J1000" t="n">
        <v>1</v>
      </c>
      <c r="K1000" t="n">
        <v>0</v>
      </c>
      <c r="L1000" t="n">
        <v>0</v>
      </c>
      <c r="M1000" t="n">
        <v>0</v>
      </c>
      <c r="N1000" t="n">
        <v>0</v>
      </c>
      <c r="O1000" t="n">
        <v>1</v>
      </c>
      <c r="P1000" t="n">
        <v>0</v>
      </c>
      <c r="Q1000" t="n">
        <v>1</v>
      </c>
      <c r="R1000" s="2" t="inlineStr">
        <is>
          <t>Thamiaraea hospita</t>
        </is>
      </c>
      <c r="S1000">
        <f>HYPERLINK("https://klasma.github.io/Logging_0821/artfynd/A 9565-2023 artfynd.xlsx", "A 9565-2023")</f>
        <v/>
      </c>
      <c r="T1000">
        <f>HYPERLINK("https://klasma.github.io/Logging_0821/kartor/A 9565-2023 karta.png", "A 9565-2023")</f>
        <v/>
      </c>
      <c r="V1000">
        <f>HYPERLINK("https://klasma.github.io/Logging_0821/klagomål/A 9565-2023 FSC-klagomål.docx", "A 9565-2023")</f>
        <v/>
      </c>
      <c r="W1000">
        <f>HYPERLINK("https://klasma.github.io/Logging_0821/klagomålsmail/A 9565-2023 FSC-klagomål mail.docx", "A 9565-2023")</f>
        <v/>
      </c>
      <c r="X1000">
        <f>HYPERLINK("https://klasma.github.io/Logging_0821/tillsyn/A 9565-2023 tillsynsbegäran.docx", "A 9565-2023")</f>
        <v/>
      </c>
      <c r="Y1000">
        <f>HYPERLINK("https://klasma.github.io/Logging_0821/tillsynsmail/A 9565-2023 tillsynsbegäran mail.docx", "A 9565-2023")</f>
        <v/>
      </c>
    </row>
    <row r="1001" ht="15" customHeight="1">
      <c r="A1001" t="inlineStr">
        <is>
          <t>A 9638-2023</t>
        </is>
      </c>
      <c r="B1001" s="1" t="n">
        <v>44984</v>
      </c>
      <c r="C1001" s="1" t="n">
        <v>45832</v>
      </c>
      <c r="D1001" t="inlineStr">
        <is>
          <t>KALMAR LÄN</t>
        </is>
      </c>
      <c r="E1001" t="inlineStr">
        <is>
          <t>VIMMERBY</t>
        </is>
      </c>
      <c r="G1001" t="n">
        <v>6.3</v>
      </c>
      <c r="H1001" t="n">
        <v>0</v>
      </c>
      <c r="I1001" t="n">
        <v>1</v>
      </c>
      <c r="J1001" t="n">
        <v>0</v>
      </c>
      <c r="K1001" t="n">
        <v>0</v>
      </c>
      <c r="L1001" t="n">
        <v>0</v>
      </c>
      <c r="M1001" t="n">
        <v>0</v>
      </c>
      <c r="N1001" t="n">
        <v>0</v>
      </c>
      <c r="O1001" t="n">
        <v>0</v>
      </c>
      <c r="P1001" t="n">
        <v>0</v>
      </c>
      <c r="Q1001" t="n">
        <v>1</v>
      </c>
      <c r="R1001" s="2" t="inlineStr">
        <is>
          <t>Fällmossa</t>
        </is>
      </c>
      <c r="S1001">
        <f>HYPERLINK("https://klasma.github.io/Logging_0884/artfynd/A 9638-2023 artfynd.xlsx", "A 9638-2023")</f>
        <v/>
      </c>
      <c r="T1001">
        <f>HYPERLINK("https://klasma.github.io/Logging_0884/kartor/A 9638-2023 karta.png", "A 9638-2023")</f>
        <v/>
      </c>
      <c r="V1001">
        <f>HYPERLINK("https://klasma.github.io/Logging_0884/klagomål/A 9638-2023 FSC-klagomål.docx", "A 9638-2023")</f>
        <v/>
      </c>
      <c r="W1001">
        <f>HYPERLINK("https://klasma.github.io/Logging_0884/klagomålsmail/A 9638-2023 FSC-klagomål mail.docx", "A 9638-2023")</f>
        <v/>
      </c>
      <c r="X1001">
        <f>HYPERLINK("https://klasma.github.io/Logging_0884/tillsyn/A 9638-2023 tillsynsbegäran.docx", "A 9638-2023")</f>
        <v/>
      </c>
      <c r="Y1001">
        <f>HYPERLINK("https://klasma.github.io/Logging_0884/tillsynsmail/A 9638-2023 tillsynsbegäran mail.docx", "A 9638-2023")</f>
        <v/>
      </c>
    </row>
    <row r="1002" ht="15" customHeight="1">
      <c r="A1002" t="inlineStr">
        <is>
          <t>A 9642-2023</t>
        </is>
      </c>
      <c r="B1002" s="1" t="n">
        <v>44984</v>
      </c>
      <c r="C1002" s="1" t="n">
        <v>45832</v>
      </c>
      <c r="D1002" t="inlineStr">
        <is>
          <t>KALMAR LÄN</t>
        </is>
      </c>
      <c r="E1002" t="inlineStr">
        <is>
          <t>VIMMERBY</t>
        </is>
      </c>
      <c r="G1002" t="n">
        <v>4</v>
      </c>
      <c r="H1002" t="n">
        <v>1</v>
      </c>
      <c r="I1002" t="n">
        <v>0</v>
      </c>
      <c r="J1002" t="n">
        <v>1</v>
      </c>
      <c r="K1002" t="n">
        <v>0</v>
      </c>
      <c r="L1002" t="n">
        <v>0</v>
      </c>
      <c r="M1002" t="n">
        <v>0</v>
      </c>
      <c r="N1002" t="n">
        <v>0</v>
      </c>
      <c r="O1002" t="n">
        <v>1</v>
      </c>
      <c r="P1002" t="n">
        <v>0</v>
      </c>
      <c r="Q1002" t="n">
        <v>1</v>
      </c>
      <c r="R1002" s="2" t="inlineStr">
        <is>
          <t>Spillkråka</t>
        </is>
      </c>
      <c r="S1002">
        <f>HYPERLINK("https://klasma.github.io/Logging_0884/artfynd/A 9642-2023 artfynd.xlsx", "A 9642-2023")</f>
        <v/>
      </c>
      <c r="T1002">
        <f>HYPERLINK("https://klasma.github.io/Logging_0884/kartor/A 9642-2023 karta.png", "A 9642-2023")</f>
        <v/>
      </c>
      <c r="V1002">
        <f>HYPERLINK("https://klasma.github.io/Logging_0884/klagomål/A 9642-2023 FSC-klagomål.docx", "A 9642-2023")</f>
        <v/>
      </c>
      <c r="W1002">
        <f>HYPERLINK("https://klasma.github.io/Logging_0884/klagomålsmail/A 9642-2023 FSC-klagomål mail.docx", "A 9642-2023")</f>
        <v/>
      </c>
      <c r="X1002">
        <f>HYPERLINK("https://klasma.github.io/Logging_0884/tillsyn/A 9642-2023 tillsynsbegäran.docx", "A 9642-2023")</f>
        <v/>
      </c>
      <c r="Y1002">
        <f>HYPERLINK("https://klasma.github.io/Logging_0884/tillsynsmail/A 9642-2023 tillsynsbegäran mail.docx", "A 9642-2023")</f>
        <v/>
      </c>
      <c r="Z1002">
        <f>HYPERLINK("https://klasma.github.io/Logging_0884/fåglar/A 9642-2023 prioriterade fågelarter.docx", "A 9642-2023")</f>
        <v/>
      </c>
    </row>
    <row r="1003" ht="15" customHeight="1">
      <c r="A1003" t="inlineStr">
        <is>
          <t>A 9633-2023</t>
        </is>
      </c>
      <c r="B1003" s="1" t="n">
        <v>44984</v>
      </c>
      <c r="C1003" s="1" t="n">
        <v>45832</v>
      </c>
      <c r="D1003" t="inlineStr">
        <is>
          <t>KALMAR LÄN</t>
        </is>
      </c>
      <c r="E1003" t="inlineStr">
        <is>
          <t>EMMABODA</t>
        </is>
      </c>
      <c r="G1003" t="n">
        <v>3.5</v>
      </c>
      <c r="H1003" t="n">
        <v>0</v>
      </c>
      <c r="I1003" t="n">
        <v>0</v>
      </c>
      <c r="J1003" t="n">
        <v>1</v>
      </c>
      <c r="K1003" t="n">
        <v>0</v>
      </c>
      <c r="L1003" t="n">
        <v>0</v>
      </c>
      <c r="M1003" t="n">
        <v>0</v>
      </c>
      <c r="N1003" t="n">
        <v>0</v>
      </c>
      <c r="O1003" t="n">
        <v>1</v>
      </c>
      <c r="P1003" t="n">
        <v>0</v>
      </c>
      <c r="Q1003" t="n">
        <v>1</v>
      </c>
      <c r="R1003" s="2" t="inlineStr">
        <is>
          <t>Småjungfrukam</t>
        </is>
      </c>
      <c r="S1003">
        <f>HYPERLINK("https://klasma.github.io/Logging_0862/artfynd/A 9633-2023 artfynd.xlsx", "A 9633-2023")</f>
        <v/>
      </c>
      <c r="T1003">
        <f>HYPERLINK("https://klasma.github.io/Logging_0862/kartor/A 9633-2023 karta.png", "A 9633-2023")</f>
        <v/>
      </c>
      <c r="V1003">
        <f>HYPERLINK("https://klasma.github.io/Logging_0862/klagomål/A 9633-2023 FSC-klagomål.docx", "A 9633-2023")</f>
        <v/>
      </c>
      <c r="W1003">
        <f>HYPERLINK("https://klasma.github.io/Logging_0862/klagomålsmail/A 9633-2023 FSC-klagomål mail.docx", "A 9633-2023")</f>
        <v/>
      </c>
      <c r="X1003">
        <f>HYPERLINK("https://klasma.github.io/Logging_0862/tillsyn/A 9633-2023 tillsynsbegäran.docx", "A 9633-2023")</f>
        <v/>
      </c>
      <c r="Y1003">
        <f>HYPERLINK("https://klasma.github.io/Logging_0862/tillsynsmail/A 9633-2023 tillsynsbegäran mail.docx", "A 9633-2023")</f>
        <v/>
      </c>
    </row>
    <row r="1004" ht="15" customHeight="1">
      <c r="A1004" t="inlineStr">
        <is>
          <t>A 9688-2023</t>
        </is>
      </c>
      <c r="B1004" s="1" t="n">
        <v>44984</v>
      </c>
      <c r="C1004" s="1" t="n">
        <v>45832</v>
      </c>
      <c r="D1004" t="inlineStr">
        <is>
          <t>KALMAR LÄN</t>
        </is>
      </c>
      <c r="E1004" t="inlineStr">
        <is>
          <t>TORSÅS</t>
        </is>
      </c>
      <c r="G1004" t="n">
        <v>3.3</v>
      </c>
      <c r="H1004" t="n">
        <v>1</v>
      </c>
      <c r="I1004" t="n">
        <v>0</v>
      </c>
      <c r="J1004" t="n">
        <v>0</v>
      </c>
      <c r="K1004" t="n">
        <v>0</v>
      </c>
      <c r="L1004" t="n">
        <v>0</v>
      </c>
      <c r="M1004" t="n">
        <v>0</v>
      </c>
      <c r="N1004" t="n">
        <v>0</v>
      </c>
      <c r="O1004" t="n">
        <v>0</v>
      </c>
      <c r="P1004" t="n">
        <v>0</v>
      </c>
      <c r="Q1004" t="n">
        <v>1</v>
      </c>
      <c r="R1004" s="2" t="inlineStr">
        <is>
          <t>Gullviva</t>
        </is>
      </c>
      <c r="S1004">
        <f>HYPERLINK("https://klasma.github.io/Logging_0834/artfynd/A 9688-2023 artfynd.xlsx", "A 9688-2023")</f>
        <v/>
      </c>
      <c r="T1004">
        <f>HYPERLINK("https://klasma.github.io/Logging_0834/kartor/A 9688-2023 karta.png", "A 9688-2023")</f>
        <v/>
      </c>
      <c r="V1004">
        <f>HYPERLINK("https://klasma.github.io/Logging_0834/klagomål/A 9688-2023 FSC-klagomål.docx", "A 9688-2023")</f>
        <v/>
      </c>
      <c r="W1004">
        <f>HYPERLINK("https://klasma.github.io/Logging_0834/klagomålsmail/A 9688-2023 FSC-klagomål mail.docx", "A 9688-2023")</f>
        <v/>
      </c>
      <c r="X1004">
        <f>HYPERLINK("https://klasma.github.io/Logging_0834/tillsyn/A 9688-2023 tillsynsbegäran.docx", "A 9688-2023")</f>
        <v/>
      </c>
      <c r="Y1004">
        <f>HYPERLINK("https://klasma.github.io/Logging_0834/tillsynsmail/A 9688-2023 tillsynsbegäran mail.docx", "A 9688-2023")</f>
        <v/>
      </c>
    </row>
    <row r="1005" ht="15" customHeight="1">
      <c r="A1005" t="inlineStr">
        <is>
          <t>A 9745-2023</t>
        </is>
      </c>
      <c r="B1005" s="1" t="n">
        <v>44984</v>
      </c>
      <c r="C1005" s="1" t="n">
        <v>45832</v>
      </c>
      <c r="D1005" t="inlineStr">
        <is>
          <t>KALMAR LÄN</t>
        </is>
      </c>
      <c r="E1005" t="inlineStr">
        <is>
          <t>BORGHOLM</t>
        </is>
      </c>
      <c r="G1005" t="n">
        <v>1.2</v>
      </c>
      <c r="H1005" t="n">
        <v>1</v>
      </c>
      <c r="I1005" t="n">
        <v>1</v>
      </c>
      <c r="J1005" t="n">
        <v>0</v>
      </c>
      <c r="K1005" t="n">
        <v>0</v>
      </c>
      <c r="L1005" t="n">
        <v>0</v>
      </c>
      <c r="M1005" t="n">
        <v>0</v>
      </c>
      <c r="N1005" t="n">
        <v>0</v>
      </c>
      <c r="O1005" t="n">
        <v>0</v>
      </c>
      <c r="P1005" t="n">
        <v>0</v>
      </c>
      <c r="Q1005" t="n">
        <v>1</v>
      </c>
      <c r="R1005" s="2" t="inlineStr">
        <is>
          <t>Skogsknipprot</t>
        </is>
      </c>
      <c r="S1005">
        <f>HYPERLINK("https://klasma.github.io/Logging_0885/artfynd/A 9745-2023 artfynd.xlsx", "A 9745-2023")</f>
        <v/>
      </c>
      <c r="T1005">
        <f>HYPERLINK("https://klasma.github.io/Logging_0885/kartor/A 9745-2023 karta.png", "A 9745-2023")</f>
        <v/>
      </c>
      <c r="V1005">
        <f>HYPERLINK("https://klasma.github.io/Logging_0885/klagomål/A 9745-2023 FSC-klagomål.docx", "A 9745-2023")</f>
        <v/>
      </c>
      <c r="W1005">
        <f>HYPERLINK("https://klasma.github.io/Logging_0885/klagomålsmail/A 9745-2023 FSC-klagomål mail.docx", "A 9745-2023")</f>
        <v/>
      </c>
      <c r="X1005">
        <f>HYPERLINK("https://klasma.github.io/Logging_0885/tillsyn/A 9745-2023 tillsynsbegäran.docx", "A 9745-2023")</f>
        <v/>
      </c>
      <c r="Y1005">
        <f>HYPERLINK("https://klasma.github.io/Logging_0885/tillsynsmail/A 9745-2023 tillsynsbegäran mail.docx", "A 9745-2023")</f>
        <v/>
      </c>
    </row>
    <row r="1006" ht="15" customHeight="1">
      <c r="A1006" t="inlineStr">
        <is>
          <t>A 10924-2023</t>
        </is>
      </c>
      <c r="B1006" s="1" t="n">
        <v>44991</v>
      </c>
      <c r="C1006" s="1" t="n">
        <v>45832</v>
      </c>
      <c r="D1006" t="inlineStr">
        <is>
          <t>KALMAR LÄN</t>
        </is>
      </c>
      <c r="E1006" t="inlineStr">
        <is>
          <t>KALMAR</t>
        </is>
      </c>
      <c r="G1006" t="n">
        <v>0.5</v>
      </c>
      <c r="H1006" t="n">
        <v>1</v>
      </c>
      <c r="I1006" t="n">
        <v>0</v>
      </c>
      <c r="J1006" t="n">
        <v>0</v>
      </c>
      <c r="K1006" t="n">
        <v>0</v>
      </c>
      <c r="L1006" t="n">
        <v>0</v>
      </c>
      <c r="M1006" t="n">
        <v>0</v>
      </c>
      <c r="N1006" t="n">
        <v>0</v>
      </c>
      <c r="O1006" t="n">
        <v>0</v>
      </c>
      <c r="P1006" t="n">
        <v>0</v>
      </c>
      <c r="Q1006" t="n">
        <v>1</v>
      </c>
      <c r="R1006" s="2" t="inlineStr">
        <is>
          <t>Nattviol</t>
        </is>
      </c>
      <c r="S1006">
        <f>HYPERLINK("https://klasma.github.io/Logging_0880/artfynd/A 10924-2023 artfynd.xlsx", "A 10924-2023")</f>
        <v/>
      </c>
      <c r="T1006">
        <f>HYPERLINK("https://klasma.github.io/Logging_0880/kartor/A 10924-2023 karta.png", "A 10924-2023")</f>
        <v/>
      </c>
      <c r="V1006">
        <f>HYPERLINK("https://klasma.github.io/Logging_0880/klagomål/A 10924-2023 FSC-klagomål.docx", "A 10924-2023")</f>
        <v/>
      </c>
      <c r="W1006">
        <f>HYPERLINK("https://klasma.github.io/Logging_0880/klagomålsmail/A 10924-2023 FSC-klagomål mail.docx", "A 10924-2023")</f>
        <v/>
      </c>
      <c r="X1006">
        <f>HYPERLINK("https://klasma.github.io/Logging_0880/tillsyn/A 10924-2023 tillsynsbegäran.docx", "A 10924-2023")</f>
        <v/>
      </c>
      <c r="Y1006">
        <f>HYPERLINK("https://klasma.github.io/Logging_0880/tillsynsmail/A 10924-2023 tillsynsbegäran mail.docx", "A 10924-2023")</f>
        <v/>
      </c>
    </row>
    <row r="1007" ht="15" customHeight="1">
      <c r="A1007" t="inlineStr">
        <is>
          <t>A 11589-2023</t>
        </is>
      </c>
      <c r="B1007" s="1" t="n">
        <v>44994</v>
      </c>
      <c r="C1007" s="1" t="n">
        <v>45832</v>
      </c>
      <c r="D1007" t="inlineStr">
        <is>
          <t>KALMAR LÄN</t>
        </is>
      </c>
      <c r="E1007" t="inlineStr">
        <is>
          <t>VÄSTERVIK</t>
        </is>
      </c>
      <c r="G1007" t="n">
        <v>7.7</v>
      </c>
      <c r="H1007" t="n">
        <v>1</v>
      </c>
      <c r="I1007" t="n">
        <v>0</v>
      </c>
      <c r="J1007" t="n">
        <v>0</v>
      </c>
      <c r="K1007" t="n">
        <v>0</v>
      </c>
      <c r="L1007" t="n">
        <v>0</v>
      </c>
      <c r="M1007" t="n">
        <v>0</v>
      </c>
      <c r="N1007" t="n">
        <v>0</v>
      </c>
      <c r="O1007" t="n">
        <v>0</v>
      </c>
      <c r="P1007" t="n">
        <v>0</v>
      </c>
      <c r="Q1007" t="n">
        <v>1</v>
      </c>
      <c r="R1007" s="2" t="inlineStr">
        <is>
          <t>Revlummer</t>
        </is>
      </c>
      <c r="S1007">
        <f>HYPERLINK("https://klasma.github.io/Logging_0883/artfynd/A 11589-2023 artfynd.xlsx", "A 11589-2023")</f>
        <v/>
      </c>
      <c r="T1007">
        <f>HYPERLINK("https://klasma.github.io/Logging_0883/kartor/A 11589-2023 karta.png", "A 11589-2023")</f>
        <v/>
      </c>
      <c r="V1007">
        <f>HYPERLINK("https://klasma.github.io/Logging_0883/klagomål/A 11589-2023 FSC-klagomål.docx", "A 11589-2023")</f>
        <v/>
      </c>
      <c r="W1007">
        <f>HYPERLINK("https://klasma.github.io/Logging_0883/klagomålsmail/A 11589-2023 FSC-klagomål mail.docx", "A 11589-2023")</f>
        <v/>
      </c>
      <c r="X1007">
        <f>HYPERLINK("https://klasma.github.io/Logging_0883/tillsyn/A 11589-2023 tillsynsbegäran.docx", "A 11589-2023")</f>
        <v/>
      </c>
      <c r="Y1007">
        <f>HYPERLINK("https://klasma.github.io/Logging_0883/tillsynsmail/A 11589-2023 tillsynsbegäran mail.docx", "A 11589-2023")</f>
        <v/>
      </c>
    </row>
    <row r="1008" ht="15" customHeight="1">
      <c r="A1008" t="inlineStr">
        <is>
          <t>A 11729-2023</t>
        </is>
      </c>
      <c r="B1008" s="1" t="n">
        <v>44994</v>
      </c>
      <c r="C1008" s="1" t="n">
        <v>45832</v>
      </c>
      <c r="D1008" t="inlineStr">
        <is>
          <t>KALMAR LÄN</t>
        </is>
      </c>
      <c r="E1008" t="inlineStr">
        <is>
          <t>VÄSTERVIK</t>
        </is>
      </c>
      <c r="F1008" t="inlineStr">
        <is>
          <t>Sveaskog</t>
        </is>
      </c>
      <c r="G1008" t="n">
        <v>4.1</v>
      </c>
      <c r="H1008" t="n">
        <v>0</v>
      </c>
      <c r="I1008" t="n">
        <v>0</v>
      </c>
      <c r="J1008" t="n">
        <v>1</v>
      </c>
      <c r="K1008" t="n">
        <v>0</v>
      </c>
      <c r="L1008" t="n">
        <v>0</v>
      </c>
      <c r="M1008" t="n">
        <v>0</v>
      </c>
      <c r="N1008" t="n">
        <v>0</v>
      </c>
      <c r="O1008" t="n">
        <v>1</v>
      </c>
      <c r="P1008" t="n">
        <v>0</v>
      </c>
      <c r="Q1008" t="n">
        <v>1</v>
      </c>
      <c r="R1008" s="2" t="inlineStr">
        <is>
          <t>Bredbrämad bastardsvärmare</t>
        </is>
      </c>
      <c r="S1008">
        <f>HYPERLINK("https://klasma.github.io/Logging_0883/artfynd/A 11729-2023 artfynd.xlsx", "A 11729-2023")</f>
        <v/>
      </c>
      <c r="T1008">
        <f>HYPERLINK("https://klasma.github.io/Logging_0883/kartor/A 11729-2023 karta.png", "A 11729-2023")</f>
        <v/>
      </c>
      <c r="V1008">
        <f>HYPERLINK("https://klasma.github.io/Logging_0883/klagomål/A 11729-2023 FSC-klagomål.docx", "A 11729-2023")</f>
        <v/>
      </c>
      <c r="W1008">
        <f>HYPERLINK("https://klasma.github.io/Logging_0883/klagomålsmail/A 11729-2023 FSC-klagomål mail.docx", "A 11729-2023")</f>
        <v/>
      </c>
      <c r="X1008">
        <f>HYPERLINK("https://klasma.github.io/Logging_0883/tillsyn/A 11729-2023 tillsynsbegäran.docx", "A 11729-2023")</f>
        <v/>
      </c>
      <c r="Y1008">
        <f>HYPERLINK("https://klasma.github.io/Logging_0883/tillsynsmail/A 11729-2023 tillsynsbegäran mail.docx", "A 11729-2023")</f>
        <v/>
      </c>
    </row>
    <row r="1009" ht="15" customHeight="1">
      <c r="A1009" t="inlineStr">
        <is>
          <t>A 13725-2023</t>
        </is>
      </c>
      <c r="B1009" s="1" t="n">
        <v>45007</v>
      </c>
      <c r="C1009" s="1" t="n">
        <v>45832</v>
      </c>
      <c r="D1009" t="inlineStr">
        <is>
          <t>KALMAR LÄN</t>
        </is>
      </c>
      <c r="E1009" t="inlineStr">
        <is>
          <t>KALMAR</t>
        </is>
      </c>
      <c r="G1009" t="n">
        <v>2.2</v>
      </c>
      <c r="H1009" t="n">
        <v>1</v>
      </c>
      <c r="I1009" t="n">
        <v>0</v>
      </c>
      <c r="J1009" t="n">
        <v>1</v>
      </c>
      <c r="K1009" t="n">
        <v>0</v>
      </c>
      <c r="L1009" t="n">
        <v>0</v>
      </c>
      <c r="M1009" t="n">
        <v>0</v>
      </c>
      <c r="N1009" t="n">
        <v>0</v>
      </c>
      <c r="O1009" t="n">
        <v>1</v>
      </c>
      <c r="P1009" t="n">
        <v>0</v>
      </c>
      <c r="Q1009" t="n">
        <v>1</v>
      </c>
      <c r="R1009" s="2" t="inlineStr">
        <is>
          <t>Gulsparv</t>
        </is>
      </c>
      <c r="S1009">
        <f>HYPERLINK("https://klasma.github.io/Logging_0880/artfynd/A 13725-2023 artfynd.xlsx", "A 13725-2023")</f>
        <v/>
      </c>
      <c r="T1009">
        <f>HYPERLINK("https://klasma.github.io/Logging_0880/kartor/A 13725-2023 karta.png", "A 13725-2023")</f>
        <v/>
      </c>
      <c r="V1009">
        <f>HYPERLINK("https://klasma.github.io/Logging_0880/klagomål/A 13725-2023 FSC-klagomål.docx", "A 13725-2023")</f>
        <v/>
      </c>
      <c r="W1009">
        <f>HYPERLINK("https://klasma.github.io/Logging_0880/klagomålsmail/A 13725-2023 FSC-klagomål mail.docx", "A 13725-2023")</f>
        <v/>
      </c>
      <c r="X1009">
        <f>HYPERLINK("https://klasma.github.io/Logging_0880/tillsyn/A 13725-2023 tillsynsbegäran.docx", "A 13725-2023")</f>
        <v/>
      </c>
      <c r="Y1009">
        <f>HYPERLINK("https://klasma.github.io/Logging_0880/tillsynsmail/A 13725-2023 tillsynsbegäran mail.docx", "A 13725-2023")</f>
        <v/>
      </c>
      <c r="Z1009">
        <f>HYPERLINK("https://klasma.github.io/Logging_0880/fåglar/A 13725-2023 prioriterade fågelarter.docx", "A 13725-2023")</f>
        <v/>
      </c>
    </row>
    <row r="1010" ht="15" customHeight="1">
      <c r="A1010" t="inlineStr">
        <is>
          <t>A 13721-2023</t>
        </is>
      </c>
      <c r="B1010" s="1" t="n">
        <v>45007</v>
      </c>
      <c r="C1010" s="1" t="n">
        <v>45832</v>
      </c>
      <c r="D1010" t="inlineStr">
        <is>
          <t>KALMAR LÄN</t>
        </is>
      </c>
      <c r="E1010" t="inlineStr">
        <is>
          <t>KALMAR</t>
        </is>
      </c>
      <c r="G1010" t="n">
        <v>5.2</v>
      </c>
      <c r="H1010" t="n">
        <v>0</v>
      </c>
      <c r="I1010" t="n">
        <v>1</v>
      </c>
      <c r="J1010" t="n">
        <v>0</v>
      </c>
      <c r="K1010" t="n">
        <v>0</v>
      </c>
      <c r="L1010" t="n">
        <v>0</v>
      </c>
      <c r="M1010" t="n">
        <v>0</v>
      </c>
      <c r="N1010" t="n">
        <v>0</v>
      </c>
      <c r="O1010" t="n">
        <v>0</v>
      </c>
      <c r="P1010" t="n">
        <v>0</v>
      </c>
      <c r="Q1010" t="n">
        <v>1</v>
      </c>
      <c r="R1010" s="2" t="inlineStr">
        <is>
          <t>Ögonpyrola</t>
        </is>
      </c>
      <c r="S1010">
        <f>HYPERLINK("https://klasma.github.io/Logging_0880/artfynd/A 13721-2023 artfynd.xlsx", "A 13721-2023")</f>
        <v/>
      </c>
      <c r="T1010">
        <f>HYPERLINK("https://klasma.github.io/Logging_0880/kartor/A 13721-2023 karta.png", "A 13721-2023")</f>
        <v/>
      </c>
      <c r="V1010">
        <f>HYPERLINK("https://klasma.github.io/Logging_0880/klagomål/A 13721-2023 FSC-klagomål.docx", "A 13721-2023")</f>
        <v/>
      </c>
      <c r="W1010">
        <f>HYPERLINK("https://klasma.github.io/Logging_0880/klagomålsmail/A 13721-2023 FSC-klagomål mail.docx", "A 13721-2023")</f>
        <v/>
      </c>
      <c r="X1010">
        <f>HYPERLINK("https://klasma.github.io/Logging_0880/tillsyn/A 13721-2023 tillsynsbegäran.docx", "A 13721-2023")</f>
        <v/>
      </c>
      <c r="Y1010">
        <f>HYPERLINK("https://klasma.github.io/Logging_0880/tillsynsmail/A 13721-2023 tillsynsbegäran mail.docx", "A 13721-2023")</f>
        <v/>
      </c>
    </row>
    <row r="1011" ht="15" customHeight="1">
      <c r="A1011" t="inlineStr">
        <is>
          <t>A 14095-2023</t>
        </is>
      </c>
      <c r="B1011" s="1" t="n">
        <v>45009</v>
      </c>
      <c r="C1011" s="1" t="n">
        <v>45832</v>
      </c>
      <c r="D1011" t="inlineStr">
        <is>
          <t>KALMAR LÄN</t>
        </is>
      </c>
      <c r="E1011" t="inlineStr">
        <is>
          <t>HULTSFRED</t>
        </is>
      </c>
      <c r="G1011" t="n">
        <v>5.7</v>
      </c>
      <c r="H1011" t="n">
        <v>0</v>
      </c>
      <c r="I1011" t="n">
        <v>1</v>
      </c>
      <c r="J1011" t="n">
        <v>0</v>
      </c>
      <c r="K1011" t="n">
        <v>0</v>
      </c>
      <c r="L1011" t="n">
        <v>0</v>
      </c>
      <c r="M1011" t="n">
        <v>0</v>
      </c>
      <c r="N1011" t="n">
        <v>0</v>
      </c>
      <c r="O1011" t="n">
        <v>0</v>
      </c>
      <c r="P1011" t="n">
        <v>0</v>
      </c>
      <c r="Q1011" t="n">
        <v>1</v>
      </c>
      <c r="R1011" s="2" t="inlineStr">
        <is>
          <t>Dvärgkällmossa</t>
        </is>
      </c>
      <c r="S1011">
        <f>HYPERLINK("https://klasma.github.io/Logging_0860/artfynd/A 14095-2023 artfynd.xlsx", "A 14095-2023")</f>
        <v/>
      </c>
      <c r="T1011">
        <f>HYPERLINK("https://klasma.github.io/Logging_0860/kartor/A 14095-2023 karta.png", "A 14095-2023")</f>
        <v/>
      </c>
      <c r="V1011">
        <f>HYPERLINK("https://klasma.github.io/Logging_0860/klagomål/A 14095-2023 FSC-klagomål.docx", "A 14095-2023")</f>
        <v/>
      </c>
      <c r="W1011">
        <f>HYPERLINK("https://klasma.github.io/Logging_0860/klagomålsmail/A 14095-2023 FSC-klagomål mail.docx", "A 14095-2023")</f>
        <v/>
      </c>
      <c r="X1011">
        <f>HYPERLINK("https://klasma.github.io/Logging_0860/tillsyn/A 14095-2023 tillsynsbegäran.docx", "A 14095-2023")</f>
        <v/>
      </c>
      <c r="Y1011">
        <f>HYPERLINK("https://klasma.github.io/Logging_0860/tillsynsmail/A 14095-2023 tillsynsbegäran mail.docx", "A 14095-2023")</f>
        <v/>
      </c>
    </row>
    <row r="1012" ht="15" customHeight="1">
      <c r="A1012" t="inlineStr">
        <is>
          <t>A 14720-2023</t>
        </is>
      </c>
      <c r="B1012" s="1" t="n">
        <v>45014</v>
      </c>
      <c r="C1012" s="1" t="n">
        <v>45832</v>
      </c>
      <c r="D1012" t="inlineStr">
        <is>
          <t>KALMAR LÄN</t>
        </is>
      </c>
      <c r="E1012" t="inlineStr">
        <is>
          <t>VÄSTERVIK</t>
        </is>
      </c>
      <c r="G1012" t="n">
        <v>3.5</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14720-2023 artfynd.xlsx", "A 14720-2023")</f>
        <v/>
      </c>
      <c r="T1012">
        <f>HYPERLINK("https://klasma.github.io/Logging_0883/kartor/A 14720-2023 karta.png", "A 14720-2023")</f>
        <v/>
      </c>
      <c r="U1012">
        <f>HYPERLINK("https://klasma.github.io/Logging_0883/knärot/A 14720-2023 karta knärot.png", "A 14720-2023")</f>
        <v/>
      </c>
      <c r="V1012">
        <f>HYPERLINK("https://klasma.github.io/Logging_0883/klagomål/A 14720-2023 FSC-klagomål.docx", "A 14720-2023")</f>
        <v/>
      </c>
      <c r="W1012">
        <f>HYPERLINK("https://klasma.github.io/Logging_0883/klagomålsmail/A 14720-2023 FSC-klagomål mail.docx", "A 14720-2023")</f>
        <v/>
      </c>
      <c r="X1012">
        <f>HYPERLINK("https://klasma.github.io/Logging_0883/tillsyn/A 14720-2023 tillsynsbegäran.docx", "A 14720-2023")</f>
        <v/>
      </c>
      <c r="Y1012">
        <f>HYPERLINK("https://klasma.github.io/Logging_0883/tillsynsmail/A 14720-2023 tillsynsbegäran mail.docx", "A 14720-2023")</f>
        <v/>
      </c>
    </row>
    <row r="1013" ht="15" customHeight="1">
      <c r="A1013" t="inlineStr">
        <is>
          <t>A 15440-2023</t>
        </is>
      </c>
      <c r="B1013" s="1" t="n">
        <v>45016</v>
      </c>
      <c r="C1013" s="1" t="n">
        <v>45832</v>
      </c>
      <c r="D1013" t="inlineStr">
        <is>
          <t>KALMAR LÄN</t>
        </is>
      </c>
      <c r="E1013" t="inlineStr">
        <is>
          <t>HULTSFRED</t>
        </is>
      </c>
      <c r="G1013" t="n">
        <v>3.1</v>
      </c>
      <c r="H1013" t="n">
        <v>1</v>
      </c>
      <c r="I1013" t="n">
        <v>0</v>
      </c>
      <c r="J1013" t="n">
        <v>1</v>
      </c>
      <c r="K1013" t="n">
        <v>0</v>
      </c>
      <c r="L1013" t="n">
        <v>0</v>
      </c>
      <c r="M1013" t="n">
        <v>0</v>
      </c>
      <c r="N1013" t="n">
        <v>0</v>
      </c>
      <c r="O1013" t="n">
        <v>1</v>
      </c>
      <c r="P1013" t="n">
        <v>0</v>
      </c>
      <c r="Q1013" t="n">
        <v>1</v>
      </c>
      <c r="R1013" s="2" t="inlineStr">
        <is>
          <t>Spillkråka</t>
        </is>
      </c>
      <c r="S1013">
        <f>HYPERLINK("https://klasma.github.io/Logging_0860/artfynd/A 15440-2023 artfynd.xlsx", "A 15440-2023")</f>
        <v/>
      </c>
      <c r="T1013">
        <f>HYPERLINK("https://klasma.github.io/Logging_0860/kartor/A 15440-2023 karta.png", "A 15440-2023")</f>
        <v/>
      </c>
      <c r="V1013">
        <f>HYPERLINK("https://klasma.github.io/Logging_0860/klagomål/A 15440-2023 FSC-klagomål.docx", "A 15440-2023")</f>
        <v/>
      </c>
      <c r="W1013">
        <f>HYPERLINK("https://klasma.github.io/Logging_0860/klagomålsmail/A 15440-2023 FSC-klagomål mail.docx", "A 15440-2023")</f>
        <v/>
      </c>
      <c r="X1013">
        <f>HYPERLINK("https://klasma.github.io/Logging_0860/tillsyn/A 15440-2023 tillsynsbegäran.docx", "A 15440-2023")</f>
        <v/>
      </c>
      <c r="Y1013">
        <f>HYPERLINK("https://klasma.github.io/Logging_0860/tillsynsmail/A 15440-2023 tillsynsbegäran mail.docx", "A 15440-2023")</f>
        <v/>
      </c>
      <c r="Z1013">
        <f>HYPERLINK("https://klasma.github.io/Logging_0860/fåglar/A 15440-2023 prioriterade fågelarter.docx", "A 15440-2023")</f>
        <v/>
      </c>
    </row>
    <row r="1014" ht="15" customHeight="1">
      <c r="A1014" t="inlineStr">
        <is>
          <t>A 15279-2023</t>
        </is>
      </c>
      <c r="B1014" s="1" t="n">
        <v>45019</v>
      </c>
      <c r="C1014" s="1" t="n">
        <v>45832</v>
      </c>
      <c r="D1014" t="inlineStr">
        <is>
          <t>KALMAR LÄN</t>
        </is>
      </c>
      <c r="E1014" t="inlineStr">
        <is>
          <t>NYBRO</t>
        </is>
      </c>
      <c r="G1014" t="n">
        <v>4.1</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15279-2023 artfynd.xlsx", "A 15279-2023")</f>
        <v/>
      </c>
      <c r="T1014">
        <f>HYPERLINK("https://klasma.github.io/Logging_0881/kartor/A 15279-2023 karta.png", "A 15279-2023")</f>
        <v/>
      </c>
      <c r="V1014">
        <f>HYPERLINK("https://klasma.github.io/Logging_0881/klagomål/A 15279-2023 FSC-klagomål.docx", "A 15279-2023")</f>
        <v/>
      </c>
      <c r="W1014">
        <f>HYPERLINK("https://klasma.github.io/Logging_0881/klagomålsmail/A 15279-2023 FSC-klagomål mail.docx", "A 15279-2023")</f>
        <v/>
      </c>
      <c r="X1014">
        <f>HYPERLINK("https://klasma.github.io/Logging_0881/tillsyn/A 15279-2023 tillsynsbegäran.docx", "A 15279-2023")</f>
        <v/>
      </c>
      <c r="Y1014">
        <f>HYPERLINK("https://klasma.github.io/Logging_0881/tillsynsmail/A 15279-2023 tillsynsbegäran mail.docx", "A 15279-2023")</f>
        <v/>
      </c>
      <c r="Z1014">
        <f>HYPERLINK("https://klasma.github.io/Logging_0881/fåglar/A 15279-2023 prioriterade fågelarter.docx", "A 15279-2023")</f>
        <v/>
      </c>
    </row>
    <row r="1015" ht="15" customHeight="1">
      <c r="A1015" t="inlineStr">
        <is>
          <t>A 15277-2023</t>
        </is>
      </c>
      <c r="B1015" s="1" t="n">
        <v>45019</v>
      </c>
      <c r="C1015" s="1" t="n">
        <v>45832</v>
      </c>
      <c r="D1015" t="inlineStr">
        <is>
          <t>KALMAR LÄN</t>
        </is>
      </c>
      <c r="E1015" t="inlineStr">
        <is>
          <t>NYBRO</t>
        </is>
      </c>
      <c r="G1015" t="n">
        <v>4</v>
      </c>
      <c r="H1015" t="n">
        <v>1</v>
      </c>
      <c r="I1015" t="n">
        <v>0</v>
      </c>
      <c r="J1015" t="n">
        <v>0</v>
      </c>
      <c r="K1015" t="n">
        <v>0</v>
      </c>
      <c r="L1015" t="n">
        <v>0</v>
      </c>
      <c r="M1015" t="n">
        <v>0</v>
      </c>
      <c r="N1015" t="n">
        <v>0</v>
      </c>
      <c r="O1015" t="n">
        <v>0</v>
      </c>
      <c r="P1015" t="n">
        <v>0</v>
      </c>
      <c r="Q1015" t="n">
        <v>1</v>
      </c>
      <c r="R1015" s="2" t="inlineStr">
        <is>
          <t>Kungsfågel</t>
        </is>
      </c>
      <c r="S1015">
        <f>HYPERLINK("https://klasma.github.io/Logging_0881/artfynd/A 15277-2023 artfynd.xlsx", "A 15277-2023")</f>
        <v/>
      </c>
      <c r="T1015">
        <f>HYPERLINK("https://klasma.github.io/Logging_0881/kartor/A 15277-2023 karta.png", "A 15277-2023")</f>
        <v/>
      </c>
      <c r="V1015">
        <f>HYPERLINK("https://klasma.github.io/Logging_0881/klagomål/A 15277-2023 FSC-klagomål.docx", "A 15277-2023")</f>
        <v/>
      </c>
      <c r="W1015">
        <f>HYPERLINK("https://klasma.github.io/Logging_0881/klagomålsmail/A 15277-2023 FSC-klagomål mail.docx", "A 15277-2023")</f>
        <v/>
      </c>
      <c r="X1015">
        <f>HYPERLINK("https://klasma.github.io/Logging_0881/tillsyn/A 15277-2023 tillsynsbegäran.docx", "A 15277-2023")</f>
        <v/>
      </c>
      <c r="Y1015">
        <f>HYPERLINK("https://klasma.github.io/Logging_0881/tillsynsmail/A 15277-2023 tillsynsbegäran mail.docx", "A 15277-2023")</f>
        <v/>
      </c>
      <c r="Z1015">
        <f>HYPERLINK("https://klasma.github.io/Logging_0881/fåglar/A 15277-2023 prioriterade fågelarter.docx", "A 15277-2023")</f>
        <v/>
      </c>
    </row>
    <row r="1016" ht="15" customHeight="1">
      <c r="A1016" t="inlineStr">
        <is>
          <t>A 15349-2023</t>
        </is>
      </c>
      <c r="B1016" s="1" t="n">
        <v>45019</v>
      </c>
      <c r="C1016" s="1" t="n">
        <v>45832</v>
      </c>
      <c r="D1016" t="inlineStr">
        <is>
          <t>KALMAR LÄN</t>
        </is>
      </c>
      <c r="E1016" t="inlineStr">
        <is>
          <t>NYBRO</t>
        </is>
      </c>
      <c r="F1016" t="inlineStr">
        <is>
          <t>Sveaskog</t>
        </is>
      </c>
      <c r="G1016" t="n">
        <v>5</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15349-2023 artfynd.xlsx", "A 15349-2023")</f>
        <v/>
      </c>
      <c r="T1016">
        <f>HYPERLINK("https://klasma.github.io/Logging_0881/kartor/A 15349-2023 karta.png", "A 15349-2023")</f>
        <v/>
      </c>
      <c r="V1016">
        <f>HYPERLINK("https://klasma.github.io/Logging_0881/klagomål/A 15349-2023 FSC-klagomål.docx", "A 15349-2023")</f>
        <v/>
      </c>
      <c r="W1016">
        <f>HYPERLINK("https://klasma.github.io/Logging_0881/klagomålsmail/A 15349-2023 FSC-klagomål mail.docx", "A 15349-2023")</f>
        <v/>
      </c>
      <c r="X1016">
        <f>HYPERLINK("https://klasma.github.io/Logging_0881/tillsyn/A 15349-2023 tillsynsbegäran.docx", "A 15349-2023")</f>
        <v/>
      </c>
      <c r="Y1016">
        <f>HYPERLINK("https://klasma.github.io/Logging_0881/tillsynsmail/A 15349-2023 tillsynsbegäran mail.docx", "A 15349-2023")</f>
        <v/>
      </c>
      <c r="Z1016">
        <f>HYPERLINK("https://klasma.github.io/Logging_0881/fåglar/A 15349-2023 prioriterade fågelarter.docx", "A 15349-2023")</f>
        <v/>
      </c>
    </row>
    <row r="1017" ht="15" customHeight="1">
      <c r="A1017" t="inlineStr">
        <is>
          <t>A 15353-2023</t>
        </is>
      </c>
      <c r="B1017" s="1" t="n">
        <v>45019</v>
      </c>
      <c r="C1017" s="1" t="n">
        <v>45832</v>
      </c>
      <c r="D1017" t="inlineStr">
        <is>
          <t>KALMAR LÄN</t>
        </is>
      </c>
      <c r="E1017" t="inlineStr">
        <is>
          <t>NYBRO</t>
        </is>
      </c>
      <c r="F1017" t="inlineStr">
        <is>
          <t>Sveaskog</t>
        </is>
      </c>
      <c r="G1017" t="n">
        <v>1.4</v>
      </c>
      <c r="H1017" t="n">
        <v>1</v>
      </c>
      <c r="I1017" t="n">
        <v>0</v>
      </c>
      <c r="J1017" t="n">
        <v>0</v>
      </c>
      <c r="K1017" t="n">
        <v>0</v>
      </c>
      <c r="L1017" t="n">
        <v>0</v>
      </c>
      <c r="M1017" t="n">
        <v>0</v>
      </c>
      <c r="N1017" t="n">
        <v>0</v>
      </c>
      <c r="O1017" t="n">
        <v>0</v>
      </c>
      <c r="P1017" t="n">
        <v>0</v>
      </c>
      <c r="Q1017" t="n">
        <v>1</v>
      </c>
      <c r="R1017" s="2" t="inlineStr">
        <is>
          <t>Tjäder</t>
        </is>
      </c>
      <c r="S1017">
        <f>HYPERLINK("https://klasma.github.io/Logging_0881/artfynd/A 15353-2023 artfynd.xlsx", "A 15353-2023")</f>
        <v/>
      </c>
      <c r="T1017">
        <f>HYPERLINK("https://klasma.github.io/Logging_0881/kartor/A 15353-2023 karta.png", "A 15353-2023")</f>
        <v/>
      </c>
      <c r="V1017">
        <f>HYPERLINK("https://klasma.github.io/Logging_0881/klagomål/A 15353-2023 FSC-klagomål.docx", "A 15353-2023")</f>
        <v/>
      </c>
      <c r="W1017">
        <f>HYPERLINK("https://klasma.github.io/Logging_0881/klagomålsmail/A 15353-2023 FSC-klagomål mail.docx", "A 15353-2023")</f>
        <v/>
      </c>
      <c r="X1017">
        <f>HYPERLINK("https://klasma.github.io/Logging_0881/tillsyn/A 15353-2023 tillsynsbegäran.docx", "A 15353-2023")</f>
        <v/>
      </c>
      <c r="Y1017">
        <f>HYPERLINK("https://klasma.github.io/Logging_0881/tillsynsmail/A 15353-2023 tillsynsbegäran mail.docx", "A 15353-2023")</f>
        <v/>
      </c>
      <c r="Z1017">
        <f>HYPERLINK("https://klasma.github.io/Logging_0881/fåglar/A 15353-2023 prioriterade fågelarter.docx", "A 15353-2023")</f>
        <v/>
      </c>
    </row>
    <row r="1018" ht="15" customHeight="1">
      <c r="A1018" t="inlineStr">
        <is>
          <t>A 15376-2023</t>
        </is>
      </c>
      <c r="B1018" s="1" t="n">
        <v>45019</v>
      </c>
      <c r="C1018" s="1" t="n">
        <v>45832</v>
      </c>
      <c r="D1018" t="inlineStr">
        <is>
          <t>KALMAR LÄN</t>
        </is>
      </c>
      <c r="E1018" t="inlineStr">
        <is>
          <t>TORSÅS</t>
        </is>
      </c>
      <c r="G1018" t="n">
        <v>1.8</v>
      </c>
      <c r="H1018" t="n">
        <v>1</v>
      </c>
      <c r="I1018" t="n">
        <v>0</v>
      </c>
      <c r="J1018" t="n">
        <v>1</v>
      </c>
      <c r="K1018" t="n">
        <v>0</v>
      </c>
      <c r="L1018" t="n">
        <v>0</v>
      </c>
      <c r="M1018" t="n">
        <v>0</v>
      </c>
      <c r="N1018" t="n">
        <v>0</v>
      </c>
      <c r="O1018" t="n">
        <v>1</v>
      </c>
      <c r="P1018" t="n">
        <v>0</v>
      </c>
      <c r="Q1018" t="n">
        <v>1</v>
      </c>
      <c r="R1018" s="2" t="inlineStr">
        <is>
          <t>Långbensgroda</t>
        </is>
      </c>
      <c r="S1018">
        <f>HYPERLINK("https://klasma.github.io/Logging_0834/artfynd/A 15376-2023 artfynd.xlsx", "A 15376-2023")</f>
        <v/>
      </c>
      <c r="T1018">
        <f>HYPERLINK("https://klasma.github.io/Logging_0834/kartor/A 15376-2023 karta.png", "A 15376-2023")</f>
        <v/>
      </c>
      <c r="V1018">
        <f>HYPERLINK("https://klasma.github.io/Logging_0834/klagomål/A 15376-2023 FSC-klagomål.docx", "A 15376-2023")</f>
        <v/>
      </c>
      <c r="W1018">
        <f>HYPERLINK("https://klasma.github.io/Logging_0834/klagomålsmail/A 15376-2023 FSC-klagomål mail.docx", "A 15376-2023")</f>
        <v/>
      </c>
      <c r="X1018">
        <f>HYPERLINK("https://klasma.github.io/Logging_0834/tillsyn/A 15376-2023 tillsynsbegäran.docx", "A 15376-2023")</f>
        <v/>
      </c>
      <c r="Y1018">
        <f>HYPERLINK("https://klasma.github.io/Logging_0834/tillsynsmail/A 15376-2023 tillsynsbegäran mail.docx", "A 15376-2023")</f>
        <v/>
      </c>
    </row>
    <row r="1019" ht="15" customHeight="1">
      <c r="A1019" t="inlineStr">
        <is>
          <t>A 16173-2023</t>
        </is>
      </c>
      <c r="B1019" s="1" t="n">
        <v>45027</v>
      </c>
      <c r="C1019" s="1" t="n">
        <v>45832</v>
      </c>
      <c r="D1019" t="inlineStr">
        <is>
          <t>KALMAR LÄN</t>
        </is>
      </c>
      <c r="E1019" t="inlineStr">
        <is>
          <t>BORGHOLM</t>
        </is>
      </c>
      <c r="G1019" t="n">
        <v>1.9</v>
      </c>
      <c r="H1019" t="n">
        <v>0</v>
      </c>
      <c r="I1019" t="n">
        <v>0</v>
      </c>
      <c r="J1019" t="n">
        <v>0</v>
      </c>
      <c r="K1019" t="n">
        <v>0</v>
      </c>
      <c r="L1019" t="n">
        <v>1</v>
      </c>
      <c r="M1019" t="n">
        <v>0</v>
      </c>
      <c r="N1019" t="n">
        <v>0</v>
      </c>
      <c r="O1019" t="n">
        <v>1</v>
      </c>
      <c r="P1019" t="n">
        <v>1</v>
      </c>
      <c r="Q1019" t="n">
        <v>1</v>
      </c>
      <c r="R1019" s="2" t="inlineStr">
        <is>
          <t>Ädellav</t>
        </is>
      </c>
      <c r="S1019">
        <f>HYPERLINK("https://klasma.github.io/Logging_0885/artfynd/A 16173-2023 artfynd.xlsx", "A 16173-2023")</f>
        <v/>
      </c>
      <c r="T1019">
        <f>HYPERLINK("https://klasma.github.io/Logging_0885/kartor/A 16173-2023 karta.png", "A 16173-2023")</f>
        <v/>
      </c>
      <c r="V1019">
        <f>HYPERLINK("https://klasma.github.io/Logging_0885/klagomål/A 16173-2023 FSC-klagomål.docx", "A 16173-2023")</f>
        <v/>
      </c>
      <c r="W1019">
        <f>HYPERLINK("https://klasma.github.io/Logging_0885/klagomålsmail/A 16173-2023 FSC-klagomål mail.docx", "A 16173-2023")</f>
        <v/>
      </c>
      <c r="X1019">
        <f>HYPERLINK("https://klasma.github.io/Logging_0885/tillsyn/A 16173-2023 tillsynsbegäran.docx", "A 16173-2023")</f>
        <v/>
      </c>
      <c r="Y1019">
        <f>HYPERLINK("https://klasma.github.io/Logging_0885/tillsynsmail/A 16173-2023 tillsynsbegäran mail.docx", "A 16173-2023")</f>
        <v/>
      </c>
    </row>
    <row r="1020" ht="15" customHeight="1">
      <c r="A1020" t="inlineStr">
        <is>
          <t>A 18475-2023</t>
        </is>
      </c>
      <c r="B1020" s="1" t="n">
        <v>45042</v>
      </c>
      <c r="C1020" s="1" t="n">
        <v>45832</v>
      </c>
      <c r="D1020" t="inlineStr">
        <is>
          <t>KALMAR LÄN</t>
        </is>
      </c>
      <c r="E1020" t="inlineStr">
        <is>
          <t>KALMAR</t>
        </is>
      </c>
      <c r="G1020" t="n">
        <v>7.8</v>
      </c>
      <c r="H1020" t="n">
        <v>0</v>
      </c>
      <c r="I1020" t="n">
        <v>1</v>
      </c>
      <c r="J1020" t="n">
        <v>0</v>
      </c>
      <c r="K1020" t="n">
        <v>0</v>
      </c>
      <c r="L1020" t="n">
        <v>0</v>
      </c>
      <c r="M1020" t="n">
        <v>0</v>
      </c>
      <c r="N1020" t="n">
        <v>0</v>
      </c>
      <c r="O1020" t="n">
        <v>0</v>
      </c>
      <c r="P1020" t="n">
        <v>0</v>
      </c>
      <c r="Q1020" t="n">
        <v>1</v>
      </c>
      <c r="R1020" s="2" t="inlineStr">
        <is>
          <t>Grönpyrola</t>
        </is>
      </c>
      <c r="S1020">
        <f>HYPERLINK("https://klasma.github.io/Logging_0880/artfynd/A 18475-2023 artfynd.xlsx", "A 18475-2023")</f>
        <v/>
      </c>
      <c r="T1020">
        <f>HYPERLINK("https://klasma.github.io/Logging_0880/kartor/A 18475-2023 karta.png", "A 18475-2023")</f>
        <v/>
      </c>
      <c r="V1020">
        <f>HYPERLINK("https://klasma.github.io/Logging_0880/klagomål/A 18475-2023 FSC-klagomål.docx", "A 18475-2023")</f>
        <v/>
      </c>
      <c r="W1020">
        <f>HYPERLINK("https://klasma.github.io/Logging_0880/klagomålsmail/A 18475-2023 FSC-klagomål mail.docx", "A 18475-2023")</f>
        <v/>
      </c>
      <c r="X1020">
        <f>HYPERLINK("https://klasma.github.io/Logging_0880/tillsyn/A 18475-2023 tillsynsbegäran.docx", "A 18475-2023")</f>
        <v/>
      </c>
      <c r="Y1020">
        <f>HYPERLINK("https://klasma.github.io/Logging_0880/tillsynsmail/A 18475-2023 tillsynsbegäran mail.docx", "A 18475-2023")</f>
        <v/>
      </c>
    </row>
    <row r="1021" ht="15" customHeight="1">
      <c r="A1021" t="inlineStr">
        <is>
          <t>A 18404-2023</t>
        </is>
      </c>
      <c r="B1021" s="1" t="n">
        <v>45042</v>
      </c>
      <c r="C1021" s="1" t="n">
        <v>45832</v>
      </c>
      <c r="D1021" t="inlineStr">
        <is>
          <t>KALMAR LÄN</t>
        </is>
      </c>
      <c r="E1021" t="inlineStr">
        <is>
          <t>NYBRO</t>
        </is>
      </c>
      <c r="G1021" t="n">
        <v>5.3</v>
      </c>
      <c r="H1021" t="n">
        <v>1</v>
      </c>
      <c r="I1021" t="n">
        <v>0</v>
      </c>
      <c r="J1021" t="n">
        <v>1</v>
      </c>
      <c r="K1021" t="n">
        <v>0</v>
      </c>
      <c r="L1021" t="n">
        <v>0</v>
      </c>
      <c r="M1021" t="n">
        <v>0</v>
      </c>
      <c r="N1021" t="n">
        <v>0</v>
      </c>
      <c r="O1021" t="n">
        <v>1</v>
      </c>
      <c r="P1021" t="n">
        <v>0</v>
      </c>
      <c r="Q1021" t="n">
        <v>1</v>
      </c>
      <c r="R1021" s="2" t="inlineStr">
        <is>
          <t>Havsörn</t>
        </is>
      </c>
      <c r="S1021">
        <f>HYPERLINK("https://klasma.github.io/Logging_0881/artfynd/A 18404-2023 artfynd.xlsx", "A 18404-2023")</f>
        <v/>
      </c>
      <c r="T1021">
        <f>HYPERLINK("https://klasma.github.io/Logging_0881/kartor/A 18404-2023 karta.png", "A 18404-2023")</f>
        <v/>
      </c>
      <c r="V1021">
        <f>HYPERLINK("https://klasma.github.io/Logging_0881/klagomål/A 18404-2023 FSC-klagomål.docx", "A 18404-2023")</f>
        <v/>
      </c>
      <c r="W1021">
        <f>HYPERLINK("https://klasma.github.io/Logging_0881/klagomålsmail/A 18404-2023 FSC-klagomål mail.docx", "A 18404-2023")</f>
        <v/>
      </c>
      <c r="X1021">
        <f>HYPERLINK("https://klasma.github.io/Logging_0881/tillsyn/A 18404-2023 tillsynsbegäran.docx", "A 18404-2023")</f>
        <v/>
      </c>
      <c r="Y1021">
        <f>HYPERLINK("https://klasma.github.io/Logging_0881/tillsynsmail/A 18404-2023 tillsynsbegäran mail.docx", "A 18404-2023")</f>
        <v/>
      </c>
      <c r="Z1021">
        <f>HYPERLINK("https://klasma.github.io/Logging_0881/fåglar/A 18404-2023 prioriterade fågelarter.docx", "A 18404-2023")</f>
        <v/>
      </c>
    </row>
    <row r="1022" ht="15" customHeight="1">
      <c r="A1022" t="inlineStr">
        <is>
          <t>A 19459-2023</t>
        </is>
      </c>
      <c r="B1022" s="1" t="n">
        <v>45049</v>
      </c>
      <c r="C1022" s="1" t="n">
        <v>45832</v>
      </c>
      <c r="D1022" t="inlineStr">
        <is>
          <t>KALMAR LÄN</t>
        </is>
      </c>
      <c r="E1022" t="inlineStr">
        <is>
          <t>MÖRBYLÅNGA</t>
        </is>
      </c>
      <c r="G1022" t="n">
        <v>1.6</v>
      </c>
      <c r="H1022" t="n">
        <v>0</v>
      </c>
      <c r="I1022" t="n">
        <v>0</v>
      </c>
      <c r="J1022" t="n">
        <v>0</v>
      </c>
      <c r="K1022" t="n">
        <v>1</v>
      </c>
      <c r="L1022" t="n">
        <v>0</v>
      </c>
      <c r="M1022" t="n">
        <v>0</v>
      </c>
      <c r="N1022" t="n">
        <v>0</v>
      </c>
      <c r="O1022" t="n">
        <v>1</v>
      </c>
      <c r="P1022" t="n">
        <v>1</v>
      </c>
      <c r="Q1022" t="n">
        <v>1</v>
      </c>
      <c r="R1022" s="2" t="inlineStr">
        <is>
          <t>Luddvicker</t>
        </is>
      </c>
      <c r="S1022">
        <f>HYPERLINK("https://klasma.github.io/Logging_0840/artfynd/A 19459-2023 artfynd.xlsx", "A 19459-2023")</f>
        <v/>
      </c>
      <c r="T1022">
        <f>HYPERLINK("https://klasma.github.io/Logging_0840/kartor/A 19459-2023 karta.png", "A 19459-2023")</f>
        <v/>
      </c>
      <c r="V1022">
        <f>HYPERLINK("https://klasma.github.io/Logging_0840/klagomål/A 19459-2023 FSC-klagomål.docx", "A 19459-2023")</f>
        <v/>
      </c>
      <c r="W1022">
        <f>HYPERLINK("https://klasma.github.io/Logging_0840/klagomålsmail/A 19459-2023 FSC-klagomål mail.docx", "A 19459-2023")</f>
        <v/>
      </c>
      <c r="X1022">
        <f>HYPERLINK("https://klasma.github.io/Logging_0840/tillsyn/A 19459-2023 tillsynsbegäran.docx", "A 19459-2023")</f>
        <v/>
      </c>
      <c r="Y1022">
        <f>HYPERLINK("https://klasma.github.io/Logging_0840/tillsynsmail/A 19459-2023 tillsynsbegäran mail.docx", "A 19459-2023")</f>
        <v/>
      </c>
    </row>
    <row r="1023" ht="15" customHeight="1">
      <c r="A1023" t="inlineStr">
        <is>
          <t>A 21518-2023</t>
        </is>
      </c>
      <c r="B1023" s="1" t="n">
        <v>45063</v>
      </c>
      <c r="C1023" s="1" t="n">
        <v>45832</v>
      </c>
      <c r="D1023" t="inlineStr">
        <is>
          <t>KALMAR LÄN</t>
        </is>
      </c>
      <c r="E1023" t="inlineStr">
        <is>
          <t>KALMAR</t>
        </is>
      </c>
      <c r="F1023" t="inlineStr">
        <is>
          <t>Sveaskog</t>
        </is>
      </c>
      <c r="G1023" t="n">
        <v>16.5</v>
      </c>
      <c r="H1023" t="n">
        <v>1</v>
      </c>
      <c r="I1023" t="n">
        <v>0</v>
      </c>
      <c r="J1023" t="n">
        <v>1</v>
      </c>
      <c r="K1023" t="n">
        <v>0</v>
      </c>
      <c r="L1023" t="n">
        <v>0</v>
      </c>
      <c r="M1023" t="n">
        <v>0</v>
      </c>
      <c r="N1023" t="n">
        <v>0</v>
      </c>
      <c r="O1023" t="n">
        <v>1</v>
      </c>
      <c r="P1023" t="n">
        <v>0</v>
      </c>
      <c r="Q1023" t="n">
        <v>1</v>
      </c>
      <c r="R1023" s="2" t="inlineStr">
        <is>
          <t>Spillkråka</t>
        </is>
      </c>
      <c r="S1023">
        <f>HYPERLINK("https://klasma.github.io/Logging_0880/artfynd/A 21518-2023 artfynd.xlsx", "A 21518-2023")</f>
        <v/>
      </c>
      <c r="T1023">
        <f>HYPERLINK("https://klasma.github.io/Logging_0880/kartor/A 21518-2023 karta.png", "A 21518-2023")</f>
        <v/>
      </c>
      <c r="V1023">
        <f>HYPERLINK("https://klasma.github.io/Logging_0880/klagomål/A 21518-2023 FSC-klagomål.docx", "A 21518-2023")</f>
        <v/>
      </c>
      <c r="W1023">
        <f>HYPERLINK("https://klasma.github.io/Logging_0880/klagomålsmail/A 21518-2023 FSC-klagomål mail.docx", "A 21518-2023")</f>
        <v/>
      </c>
      <c r="X1023">
        <f>HYPERLINK("https://klasma.github.io/Logging_0880/tillsyn/A 21518-2023 tillsynsbegäran.docx", "A 21518-2023")</f>
        <v/>
      </c>
      <c r="Y1023">
        <f>HYPERLINK("https://klasma.github.io/Logging_0880/tillsynsmail/A 21518-2023 tillsynsbegäran mail.docx", "A 21518-2023")</f>
        <v/>
      </c>
      <c r="Z1023">
        <f>HYPERLINK("https://klasma.github.io/Logging_0880/fåglar/A 21518-2023 prioriterade fågelarter.docx", "A 21518-2023")</f>
        <v/>
      </c>
    </row>
    <row r="1024" ht="15" customHeight="1">
      <c r="A1024" t="inlineStr">
        <is>
          <t>A 21828-2023</t>
        </is>
      </c>
      <c r="B1024" s="1" t="n">
        <v>45068</v>
      </c>
      <c r="C1024" s="1" t="n">
        <v>45832</v>
      </c>
      <c r="D1024" t="inlineStr">
        <is>
          <t>KALMAR LÄN</t>
        </is>
      </c>
      <c r="E1024" t="inlineStr">
        <is>
          <t>VÄSTERVIK</t>
        </is>
      </c>
      <c r="G1024" t="n">
        <v>0.7</v>
      </c>
      <c r="H1024" t="n">
        <v>0</v>
      </c>
      <c r="I1024" t="n">
        <v>1</v>
      </c>
      <c r="J1024" t="n">
        <v>0</v>
      </c>
      <c r="K1024" t="n">
        <v>0</v>
      </c>
      <c r="L1024" t="n">
        <v>0</v>
      </c>
      <c r="M1024" t="n">
        <v>0</v>
      </c>
      <c r="N1024" t="n">
        <v>0</v>
      </c>
      <c r="O1024" t="n">
        <v>0</v>
      </c>
      <c r="P1024" t="n">
        <v>0</v>
      </c>
      <c r="Q1024" t="n">
        <v>1</v>
      </c>
      <c r="R1024" s="2" t="inlineStr">
        <is>
          <t>Grönpyrola</t>
        </is>
      </c>
      <c r="S1024">
        <f>HYPERLINK("https://klasma.github.io/Logging_0883/artfynd/A 21828-2023 artfynd.xlsx", "A 21828-2023")</f>
        <v/>
      </c>
      <c r="T1024">
        <f>HYPERLINK("https://klasma.github.io/Logging_0883/kartor/A 21828-2023 karta.png", "A 21828-2023")</f>
        <v/>
      </c>
      <c r="V1024">
        <f>HYPERLINK("https://klasma.github.io/Logging_0883/klagomål/A 21828-2023 FSC-klagomål.docx", "A 21828-2023")</f>
        <v/>
      </c>
      <c r="W1024">
        <f>HYPERLINK("https://klasma.github.io/Logging_0883/klagomålsmail/A 21828-2023 FSC-klagomål mail.docx", "A 21828-2023")</f>
        <v/>
      </c>
      <c r="X1024">
        <f>HYPERLINK("https://klasma.github.io/Logging_0883/tillsyn/A 21828-2023 tillsynsbegäran.docx", "A 21828-2023")</f>
        <v/>
      </c>
      <c r="Y1024">
        <f>HYPERLINK("https://klasma.github.io/Logging_0883/tillsynsmail/A 21828-2023 tillsynsbegäran mail.docx", "A 21828-2023")</f>
        <v/>
      </c>
    </row>
    <row r="1025" ht="15" customHeight="1">
      <c r="A1025" t="inlineStr">
        <is>
          <t>A 21846-2023</t>
        </is>
      </c>
      <c r="B1025" s="1" t="n">
        <v>45068</v>
      </c>
      <c r="C1025" s="1" t="n">
        <v>45832</v>
      </c>
      <c r="D1025" t="inlineStr">
        <is>
          <t>KALMAR LÄN</t>
        </is>
      </c>
      <c r="E1025" t="inlineStr">
        <is>
          <t>EMMABODA</t>
        </is>
      </c>
      <c r="F1025" t="inlineStr">
        <is>
          <t>Kommuner</t>
        </is>
      </c>
      <c r="G1025" t="n">
        <v>1.4</v>
      </c>
      <c r="H1025" t="n">
        <v>0</v>
      </c>
      <c r="I1025" t="n">
        <v>0</v>
      </c>
      <c r="J1025" t="n">
        <v>1</v>
      </c>
      <c r="K1025" t="n">
        <v>0</v>
      </c>
      <c r="L1025" t="n">
        <v>0</v>
      </c>
      <c r="M1025" t="n">
        <v>0</v>
      </c>
      <c r="N1025" t="n">
        <v>0</v>
      </c>
      <c r="O1025" t="n">
        <v>1</v>
      </c>
      <c r="P1025" t="n">
        <v>0</v>
      </c>
      <c r="Q1025" t="n">
        <v>1</v>
      </c>
      <c r="R1025" s="2" t="inlineStr">
        <is>
          <t>Åkerkål</t>
        </is>
      </c>
      <c r="S1025">
        <f>HYPERLINK("https://klasma.github.io/Logging_0862/artfynd/A 21846-2023 artfynd.xlsx", "A 21846-2023")</f>
        <v/>
      </c>
      <c r="T1025">
        <f>HYPERLINK("https://klasma.github.io/Logging_0862/kartor/A 21846-2023 karta.png", "A 21846-2023")</f>
        <v/>
      </c>
      <c r="V1025">
        <f>HYPERLINK("https://klasma.github.io/Logging_0862/klagomål/A 21846-2023 FSC-klagomål.docx", "A 21846-2023")</f>
        <v/>
      </c>
      <c r="W1025">
        <f>HYPERLINK("https://klasma.github.io/Logging_0862/klagomålsmail/A 21846-2023 FSC-klagomål mail.docx", "A 21846-2023")</f>
        <v/>
      </c>
      <c r="X1025">
        <f>HYPERLINK("https://klasma.github.io/Logging_0862/tillsyn/A 21846-2023 tillsynsbegäran.docx", "A 21846-2023")</f>
        <v/>
      </c>
      <c r="Y1025">
        <f>HYPERLINK("https://klasma.github.io/Logging_0862/tillsynsmail/A 21846-2023 tillsynsbegäran mail.docx", "A 21846-2023")</f>
        <v/>
      </c>
    </row>
    <row r="1026" ht="15" customHeight="1">
      <c r="A1026" t="inlineStr">
        <is>
          <t>A 23602-2023</t>
        </is>
      </c>
      <c r="B1026" s="1" t="n">
        <v>45077</v>
      </c>
      <c r="C1026" s="1" t="n">
        <v>45832</v>
      </c>
      <c r="D1026" t="inlineStr">
        <is>
          <t>KALMAR LÄN</t>
        </is>
      </c>
      <c r="E1026" t="inlineStr">
        <is>
          <t>VIMMERBY</t>
        </is>
      </c>
      <c r="G1026" t="n">
        <v>1.6</v>
      </c>
      <c r="H1026" t="n">
        <v>0</v>
      </c>
      <c r="I1026" t="n">
        <v>0</v>
      </c>
      <c r="J1026" t="n">
        <v>1</v>
      </c>
      <c r="K1026" t="n">
        <v>0</v>
      </c>
      <c r="L1026" t="n">
        <v>0</v>
      </c>
      <c r="M1026" t="n">
        <v>0</v>
      </c>
      <c r="N1026" t="n">
        <v>0</v>
      </c>
      <c r="O1026" t="n">
        <v>1</v>
      </c>
      <c r="P1026" t="n">
        <v>0</v>
      </c>
      <c r="Q1026" t="n">
        <v>1</v>
      </c>
      <c r="R1026" s="2" t="inlineStr">
        <is>
          <t>Vedtrappmossa</t>
        </is>
      </c>
      <c r="S1026">
        <f>HYPERLINK("https://klasma.github.io/Logging_0884/artfynd/A 23602-2023 artfynd.xlsx", "A 23602-2023")</f>
        <v/>
      </c>
      <c r="T1026">
        <f>HYPERLINK("https://klasma.github.io/Logging_0884/kartor/A 23602-2023 karta.png", "A 23602-2023")</f>
        <v/>
      </c>
      <c r="V1026">
        <f>HYPERLINK("https://klasma.github.io/Logging_0884/klagomål/A 23602-2023 FSC-klagomål.docx", "A 23602-2023")</f>
        <v/>
      </c>
      <c r="W1026">
        <f>HYPERLINK("https://klasma.github.io/Logging_0884/klagomålsmail/A 23602-2023 FSC-klagomål mail.docx", "A 23602-2023")</f>
        <v/>
      </c>
      <c r="X1026">
        <f>HYPERLINK("https://klasma.github.io/Logging_0884/tillsyn/A 23602-2023 tillsynsbegäran.docx", "A 23602-2023")</f>
        <v/>
      </c>
      <c r="Y1026">
        <f>HYPERLINK("https://klasma.github.io/Logging_0884/tillsynsmail/A 23602-2023 tillsynsbegäran mail.docx", "A 23602-2023")</f>
        <v/>
      </c>
    </row>
    <row r="1027" ht="15" customHeight="1">
      <c r="A1027" t="inlineStr">
        <is>
          <t>A 23849-2023</t>
        </is>
      </c>
      <c r="B1027" s="1" t="n">
        <v>45078</v>
      </c>
      <c r="C1027" s="1" t="n">
        <v>45832</v>
      </c>
      <c r="D1027" t="inlineStr">
        <is>
          <t>KALMAR LÄN</t>
        </is>
      </c>
      <c r="E1027" t="inlineStr">
        <is>
          <t>HÖGSBY</t>
        </is>
      </c>
      <c r="G1027" t="n">
        <v>1.5</v>
      </c>
      <c r="H1027" t="n">
        <v>0</v>
      </c>
      <c r="I1027" t="n">
        <v>0</v>
      </c>
      <c r="J1027" t="n">
        <v>1</v>
      </c>
      <c r="K1027" t="n">
        <v>0</v>
      </c>
      <c r="L1027" t="n">
        <v>0</v>
      </c>
      <c r="M1027" t="n">
        <v>0</v>
      </c>
      <c r="N1027" t="n">
        <v>0</v>
      </c>
      <c r="O1027" t="n">
        <v>1</v>
      </c>
      <c r="P1027" t="n">
        <v>0</v>
      </c>
      <c r="Q1027" t="n">
        <v>1</v>
      </c>
      <c r="R1027" s="2" t="inlineStr">
        <is>
          <t>Vippärt</t>
        </is>
      </c>
      <c r="S1027">
        <f>HYPERLINK("https://klasma.github.io/Logging_0821/artfynd/A 23849-2023 artfynd.xlsx", "A 23849-2023")</f>
        <v/>
      </c>
      <c r="T1027">
        <f>HYPERLINK("https://klasma.github.io/Logging_0821/kartor/A 23849-2023 karta.png", "A 23849-2023")</f>
        <v/>
      </c>
      <c r="V1027">
        <f>HYPERLINK("https://klasma.github.io/Logging_0821/klagomål/A 23849-2023 FSC-klagomål.docx", "A 23849-2023")</f>
        <v/>
      </c>
      <c r="W1027">
        <f>HYPERLINK("https://klasma.github.io/Logging_0821/klagomålsmail/A 23849-2023 FSC-klagomål mail.docx", "A 23849-2023")</f>
        <v/>
      </c>
      <c r="X1027">
        <f>HYPERLINK("https://klasma.github.io/Logging_0821/tillsyn/A 23849-2023 tillsynsbegäran.docx", "A 23849-2023")</f>
        <v/>
      </c>
      <c r="Y1027">
        <f>HYPERLINK("https://klasma.github.io/Logging_0821/tillsynsmail/A 23849-2023 tillsynsbegäran mail.docx", "A 23849-2023")</f>
        <v/>
      </c>
    </row>
    <row r="1028" ht="15" customHeight="1">
      <c r="A1028" t="inlineStr">
        <is>
          <t>A 24157-2023</t>
        </is>
      </c>
      <c r="B1028" s="1" t="n">
        <v>45079</v>
      </c>
      <c r="C1028" s="1" t="n">
        <v>45832</v>
      </c>
      <c r="D1028" t="inlineStr">
        <is>
          <t>KALMAR LÄN</t>
        </is>
      </c>
      <c r="E1028" t="inlineStr">
        <is>
          <t>TORSÅS</t>
        </is>
      </c>
      <c r="G1028" t="n">
        <v>7</v>
      </c>
      <c r="H1028" t="n">
        <v>0</v>
      </c>
      <c r="I1028" t="n">
        <v>1</v>
      </c>
      <c r="J1028" t="n">
        <v>0</v>
      </c>
      <c r="K1028" t="n">
        <v>0</v>
      </c>
      <c r="L1028" t="n">
        <v>0</v>
      </c>
      <c r="M1028" t="n">
        <v>0</v>
      </c>
      <c r="N1028" t="n">
        <v>0</v>
      </c>
      <c r="O1028" t="n">
        <v>0</v>
      </c>
      <c r="P1028" t="n">
        <v>0</v>
      </c>
      <c r="Q1028" t="n">
        <v>1</v>
      </c>
      <c r="R1028" s="2" t="inlineStr">
        <is>
          <t>Grovticka</t>
        </is>
      </c>
      <c r="S1028">
        <f>HYPERLINK("https://klasma.github.io/Logging_0834/artfynd/A 24157-2023 artfynd.xlsx", "A 24157-2023")</f>
        <v/>
      </c>
      <c r="T1028">
        <f>HYPERLINK("https://klasma.github.io/Logging_0834/kartor/A 24157-2023 karta.png", "A 24157-2023")</f>
        <v/>
      </c>
      <c r="V1028">
        <f>HYPERLINK("https://klasma.github.io/Logging_0834/klagomål/A 24157-2023 FSC-klagomål.docx", "A 24157-2023")</f>
        <v/>
      </c>
      <c r="W1028">
        <f>HYPERLINK("https://klasma.github.io/Logging_0834/klagomålsmail/A 24157-2023 FSC-klagomål mail.docx", "A 24157-2023")</f>
        <v/>
      </c>
      <c r="X1028">
        <f>HYPERLINK("https://klasma.github.io/Logging_0834/tillsyn/A 24157-2023 tillsynsbegäran.docx", "A 24157-2023")</f>
        <v/>
      </c>
      <c r="Y1028">
        <f>HYPERLINK("https://klasma.github.io/Logging_0834/tillsynsmail/A 24157-2023 tillsynsbegäran mail.docx", "A 24157-2023")</f>
        <v/>
      </c>
    </row>
    <row r="1029" ht="15" customHeight="1">
      <c r="A1029" t="inlineStr">
        <is>
          <t>A 24700-2023</t>
        </is>
      </c>
      <c r="B1029" s="1" t="n">
        <v>45084</v>
      </c>
      <c r="C1029" s="1" t="n">
        <v>45832</v>
      </c>
      <c r="D1029" t="inlineStr">
        <is>
          <t>KALMAR LÄN</t>
        </is>
      </c>
      <c r="E1029" t="inlineStr">
        <is>
          <t>MÖRBYLÅNGA</t>
        </is>
      </c>
      <c r="G1029" t="n">
        <v>3</v>
      </c>
      <c r="H1029" t="n">
        <v>0</v>
      </c>
      <c r="I1029" t="n">
        <v>1</v>
      </c>
      <c r="J1029" t="n">
        <v>0</v>
      </c>
      <c r="K1029" t="n">
        <v>0</v>
      </c>
      <c r="L1029" t="n">
        <v>0</v>
      </c>
      <c r="M1029" t="n">
        <v>0</v>
      </c>
      <c r="N1029" t="n">
        <v>0</v>
      </c>
      <c r="O1029" t="n">
        <v>0</v>
      </c>
      <c r="P1029" t="n">
        <v>0</v>
      </c>
      <c r="Q1029" t="n">
        <v>1</v>
      </c>
      <c r="R1029" s="2" t="inlineStr">
        <is>
          <t>Sårläka</t>
        </is>
      </c>
      <c r="S1029">
        <f>HYPERLINK("https://klasma.github.io/Logging_0840/artfynd/A 24700-2023 artfynd.xlsx", "A 24700-2023")</f>
        <v/>
      </c>
      <c r="T1029">
        <f>HYPERLINK("https://klasma.github.io/Logging_0840/kartor/A 24700-2023 karta.png", "A 24700-2023")</f>
        <v/>
      </c>
      <c r="V1029">
        <f>HYPERLINK("https://klasma.github.io/Logging_0840/klagomål/A 24700-2023 FSC-klagomål.docx", "A 24700-2023")</f>
        <v/>
      </c>
      <c r="W1029">
        <f>HYPERLINK("https://klasma.github.io/Logging_0840/klagomålsmail/A 24700-2023 FSC-klagomål mail.docx", "A 24700-2023")</f>
        <v/>
      </c>
      <c r="X1029">
        <f>HYPERLINK("https://klasma.github.io/Logging_0840/tillsyn/A 24700-2023 tillsynsbegäran.docx", "A 24700-2023")</f>
        <v/>
      </c>
      <c r="Y1029">
        <f>HYPERLINK("https://klasma.github.io/Logging_0840/tillsynsmail/A 24700-2023 tillsynsbegäran mail.docx", "A 24700-2023")</f>
        <v/>
      </c>
    </row>
    <row r="1030" ht="15" customHeight="1">
      <c r="A1030" t="inlineStr">
        <is>
          <t>A 24704-2023</t>
        </is>
      </c>
      <c r="B1030" s="1" t="n">
        <v>45084</v>
      </c>
      <c r="C1030" s="1" t="n">
        <v>45832</v>
      </c>
      <c r="D1030" t="inlineStr">
        <is>
          <t>KALMAR LÄN</t>
        </is>
      </c>
      <c r="E1030" t="inlineStr">
        <is>
          <t>BORGHOLM</t>
        </is>
      </c>
      <c r="G1030" t="n">
        <v>3.5</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24704-2023 artfynd.xlsx", "A 24704-2023")</f>
        <v/>
      </c>
      <c r="T1030">
        <f>HYPERLINK("https://klasma.github.io/Logging_0885/kartor/A 24704-2023 karta.png", "A 24704-2023")</f>
        <v/>
      </c>
      <c r="V1030">
        <f>HYPERLINK("https://klasma.github.io/Logging_0885/klagomål/A 24704-2023 FSC-klagomål.docx", "A 24704-2023")</f>
        <v/>
      </c>
      <c r="W1030">
        <f>HYPERLINK("https://klasma.github.io/Logging_0885/klagomålsmail/A 24704-2023 FSC-klagomål mail.docx", "A 24704-2023")</f>
        <v/>
      </c>
      <c r="X1030">
        <f>HYPERLINK("https://klasma.github.io/Logging_0885/tillsyn/A 24704-2023 tillsynsbegäran.docx", "A 24704-2023")</f>
        <v/>
      </c>
      <c r="Y1030">
        <f>HYPERLINK("https://klasma.github.io/Logging_0885/tillsynsmail/A 24704-2023 tillsynsbegäran mail.docx", "A 24704-2023")</f>
        <v/>
      </c>
    </row>
    <row r="1031" ht="15" customHeight="1">
      <c r="A1031" t="inlineStr">
        <is>
          <t>A 24701-2023</t>
        </is>
      </c>
      <c r="B1031" s="1" t="n">
        <v>45084</v>
      </c>
      <c r="C1031" s="1" t="n">
        <v>45832</v>
      </c>
      <c r="D1031" t="inlineStr">
        <is>
          <t>KALMAR LÄN</t>
        </is>
      </c>
      <c r="E1031" t="inlineStr">
        <is>
          <t>BORGHOLM</t>
        </is>
      </c>
      <c r="G1031" t="n">
        <v>3</v>
      </c>
      <c r="H1031" t="n">
        <v>0</v>
      </c>
      <c r="I1031" t="n">
        <v>0</v>
      </c>
      <c r="J1031" t="n">
        <v>0</v>
      </c>
      <c r="K1031" t="n">
        <v>0</v>
      </c>
      <c r="L1031" t="n">
        <v>1</v>
      </c>
      <c r="M1031" t="n">
        <v>0</v>
      </c>
      <c r="N1031" t="n">
        <v>0</v>
      </c>
      <c r="O1031" t="n">
        <v>1</v>
      </c>
      <c r="P1031" t="n">
        <v>1</v>
      </c>
      <c r="Q1031" t="n">
        <v>1</v>
      </c>
      <c r="R1031" s="2" t="inlineStr">
        <is>
          <t>Ask</t>
        </is>
      </c>
      <c r="S1031">
        <f>HYPERLINK("https://klasma.github.io/Logging_0885/artfynd/A 24701-2023 artfynd.xlsx", "A 24701-2023")</f>
        <v/>
      </c>
      <c r="T1031">
        <f>HYPERLINK("https://klasma.github.io/Logging_0885/kartor/A 24701-2023 karta.png", "A 24701-2023")</f>
        <v/>
      </c>
      <c r="V1031">
        <f>HYPERLINK("https://klasma.github.io/Logging_0885/klagomål/A 24701-2023 FSC-klagomål.docx", "A 24701-2023")</f>
        <v/>
      </c>
      <c r="W1031">
        <f>HYPERLINK("https://klasma.github.io/Logging_0885/klagomålsmail/A 24701-2023 FSC-klagomål mail.docx", "A 24701-2023")</f>
        <v/>
      </c>
      <c r="X1031">
        <f>HYPERLINK("https://klasma.github.io/Logging_0885/tillsyn/A 24701-2023 tillsynsbegäran.docx", "A 24701-2023")</f>
        <v/>
      </c>
      <c r="Y1031">
        <f>HYPERLINK("https://klasma.github.io/Logging_0885/tillsynsmail/A 24701-2023 tillsynsbegäran mail.docx", "A 24701-2023")</f>
        <v/>
      </c>
    </row>
    <row r="1032" ht="15" customHeight="1">
      <c r="A1032" t="inlineStr">
        <is>
          <t>A 24695-2023</t>
        </is>
      </c>
      <c r="B1032" s="1" t="n">
        <v>45084</v>
      </c>
      <c r="C1032" s="1" t="n">
        <v>45832</v>
      </c>
      <c r="D1032" t="inlineStr">
        <is>
          <t>KALMAR LÄN</t>
        </is>
      </c>
      <c r="E1032" t="inlineStr">
        <is>
          <t>MÖRBYLÅNGA</t>
        </is>
      </c>
      <c r="G1032" t="n">
        <v>8.5</v>
      </c>
      <c r="H1032" t="n">
        <v>0</v>
      </c>
      <c r="I1032" t="n">
        <v>0</v>
      </c>
      <c r="J1032" t="n">
        <v>0</v>
      </c>
      <c r="K1032" t="n">
        <v>0</v>
      </c>
      <c r="L1032" t="n">
        <v>1</v>
      </c>
      <c r="M1032" t="n">
        <v>0</v>
      </c>
      <c r="N1032" t="n">
        <v>0</v>
      </c>
      <c r="O1032" t="n">
        <v>1</v>
      </c>
      <c r="P1032" t="n">
        <v>1</v>
      </c>
      <c r="Q1032" t="n">
        <v>1</v>
      </c>
      <c r="R1032" s="2" t="inlineStr">
        <is>
          <t>Ask</t>
        </is>
      </c>
      <c r="S1032">
        <f>HYPERLINK("https://klasma.github.io/Logging_0840/artfynd/A 24695-2023 artfynd.xlsx", "A 24695-2023")</f>
        <v/>
      </c>
      <c r="T1032">
        <f>HYPERLINK("https://klasma.github.io/Logging_0840/kartor/A 24695-2023 karta.png", "A 24695-2023")</f>
        <v/>
      </c>
      <c r="V1032">
        <f>HYPERLINK("https://klasma.github.io/Logging_0840/klagomål/A 24695-2023 FSC-klagomål.docx", "A 24695-2023")</f>
        <v/>
      </c>
      <c r="W1032">
        <f>HYPERLINK("https://klasma.github.io/Logging_0840/klagomålsmail/A 24695-2023 FSC-klagomål mail.docx", "A 24695-2023")</f>
        <v/>
      </c>
      <c r="X1032">
        <f>HYPERLINK("https://klasma.github.io/Logging_0840/tillsyn/A 24695-2023 tillsynsbegäran.docx", "A 24695-2023")</f>
        <v/>
      </c>
      <c r="Y1032">
        <f>HYPERLINK("https://klasma.github.io/Logging_0840/tillsynsmail/A 24695-2023 tillsynsbegäran mail.docx", "A 24695-2023")</f>
        <v/>
      </c>
    </row>
    <row r="1033" ht="15" customHeight="1">
      <c r="A1033" t="inlineStr">
        <is>
          <t>A 24698-2023</t>
        </is>
      </c>
      <c r="B1033" s="1" t="n">
        <v>45084</v>
      </c>
      <c r="C1033" s="1" t="n">
        <v>45832</v>
      </c>
      <c r="D1033" t="inlineStr">
        <is>
          <t>KALMAR LÄN</t>
        </is>
      </c>
      <c r="E1033" t="inlineStr">
        <is>
          <t>MÖRBYLÅNGA</t>
        </is>
      </c>
      <c r="G1033" t="n">
        <v>5.5</v>
      </c>
      <c r="H1033" t="n">
        <v>0</v>
      </c>
      <c r="I1033" t="n">
        <v>1</v>
      </c>
      <c r="J1033" t="n">
        <v>0</v>
      </c>
      <c r="K1033" t="n">
        <v>0</v>
      </c>
      <c r="L1033" t="n">
        <v>0</v>
      </c>
      <c r="M1033" t="n">
        <v>0</v>
      </c>
      <c r="N1033" t="n">
        <v>0</v>
      </c>
      <c r="O1033" t="n">
        <v>0</v>
      </c>
      <c r="P1033" t="n">
        <v>0</v>
      </c>
      <c r="Q1033" t="n">
        <v>1</v>
      </c>
      <c r="R1033" s="2" t="inlineStr">
        <is>
          <t>Sårläka</t>
        </is>
      </c>
      <c r="S1033">
        <f>HYPERLINK("https://klasma.github.io/Logging_0840/artfynd/A 24698-2023 artfynd.xlsx", "A 24698-2023")</f>
        <v/>
      </c>
      <c r="T1033">
        <f>HYPERLINK("https://klasma.github.io/Logging_0840/kartor/A 24698-2023 karta.png", "A 24698-2023")</f>
        <v/>
      </c>
      <c r="V1033">
        <f>HYPERLINK("https://klasma.github.io/Logging_0840/klagomål/A 24698-2023 FSC-klagomål.docx", "A 24698-2023")</f>
        <v/>
      </c>
      <c r="W1033">
        <f>HYPERLINK("https://klasma.github.io/Logging_0840/klagomålsmail/A 24698-2023 FSC-klagomål mail.docx", "A 24698-2023")</f>
        <v/>
      </c>
      <c r="X1033">
        <f>HYPERLINK("https://klasma.github.io/Logging_0840/tillsyn/A 24698-2023 tillsynsbegäran.docx", "A 24698-2023")</f>
        <v/>
      </c>
      <c r="Y1033">
        <f>HYPERLINK("https://klasma.github.io/Logging_0840/tillsynsmail/A 24698-2023 tillsynsbegäran mail.docx", "A 24698-2023")</f>
        <v/>
      </c>
    </row>
    <row r="1034" ht="15" customHeight="1">
      <c r="A1034" t="inlineStr">
        <is>
          <t>A 25231-2023</t>
        </is>
      </c>
      <c r="B1034" s="1" t="n">
        <v>45086</v>
      </c>
      <c r="C1034" s="1" t="n">
        <v>45832</v>
      </c>
      <c r="D1034" t="inlineStr">
        <is>
          <t>KALMAR LÄN</t>
        </is>
      </c>
      <c r="E1034" t="inlineStr">
        <is>
          <t>MÖNSTERÅS</t>
        </is>
      </c>
      <c r="G1034" t="n">
        <v>6.4</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25231-2023 artfynd.xlsx", "A 25231-2023")</f>
        <v/>
      </c>
      <c r="T1034">
        <f>HYPERLINK("https://klasma.github.io/Logging_0861/kartor/A 25231-2023 karta.png", "A 25231-2023")</f>
        <v/>
      </c>
      <c r="V1034">
        <f>HYPERLINK("https://klasma.github.io/Logging_0861/klagomål/A 25231-2023 FSC-klagomål.docx", "A 25231-2023")</f>
        <v/>
      </c>
      <c r="W1034">
        <f>HYPERLINK("https://klasma.github.io/Logging_0861/klagomålsmail/A 25231-2023 FSC-klagomål mail.docx", "A 25231-2023")</f>
        <v/>
      </c>
      <c r="X1034">
        <f>HYPERLINK("https://klasma.github.io/Logging_0861/tillsyn/A 25231-2023 tillsynsbegäran.docx", "A 25231-2023")</f>
        <v/>
      </c>
      <c r="Y1034">
        <f>HYPERLINK("https://klasma.github.io/Logging_0861/tillsynsmail/A 25231-2023 tillsynsbegäran mail.docx", "A 25231-2023")</f>
        <v/>
      </c>
    </row>
    <row r="1035" ht="15" customHeight="1">
      <c r="A1035" t="inlineStr">
        <is>
          <t>A 25218-2023</t>
        </is>
      </c>
      <c r="B1035" s="1" t="n">
        <v>45086</v>
      </c>
      <c r="C1035" s="1" t="n">
        <v>45832</v>
      </c>
      <c r="D1035" t="inlineStr">
        <is>
          <t>KALMAR LÄN</t>
        </is>
      </c>
      <c r="E1035" t="inlineStr">
        <is>
          <t>MÖNSTERÅS</t>
        </is>
      </c>
      <c r="G1035" t="n">
        <v>1.5</v>
      </c>
      <c r="H1035" t="n">
        <v>1</v>
      </c>
      <c r="I1035" t="n">
        <v>0</v>
      </c>
      <c r="J1035" t="n">
        <v>0</v>
      </c>
      <c r="K1035" t="n">
        <v>0</v>
      </c>
      <c r="L1035" t="n">
        <v>0</v>
      </c>
      <c r="M1035" t="n">
        <v>0</v>
      </c>
      <c r="N1035" t="n">
        <v>0</v>
      </c>
      <c r="O1035" t="n">
        <v>0</v>
      </c>
      <c r="P1035" t="n">
        <v>0</v>
      </c>
      <c r="Q1035" t="n">
        <v>1</v>
      </c>
      <c r="R1035" s="2" t="inlineStr">
        <is>
          <t>Hasselmus</t>
        </is>
      </c>
      <c r="S1035">
        <f>HYPERLINK("https://klasma.github.io/Logging_0861/artfynd/A 25218-2023 artfynd.xlsx", "A 25218-2023")</f>
        <v/>
      </c>
      <c r="T1035">
        <f>HYPERLINK("https://klasma.github.io/Logging_0861/kartor/A 25218-2023 karta.png", "A 25218-2023")</f>
        <v/>
      </c>
      <c r="V1035">
        <f>HYPERLINK("https://klasma.github.io/Logging_0861/klagomål/A 25218-2023 FSC-klagomål.docx", "A 25218-2023")</f>
        <v/>
      </c>
      <c r="W1035">
        <f>HYPERLINK("https://klasma.github.io/Logging_0861/klagomålsmail/A 25218-2023 FSC-klagomål mail.docx", "A 25218-2023")</f>
        <v/>
      </c>
      <c r="X1035">
        <f>HYPERLINK("https://klasma.github.io/Logging_0861/tillsyn/A 25218-2023 tillsynsbegäran.docx", "A 25218-2023")</f>
        <v/>
      </c>
      <c r="Y1035">
        <f>HYPERLINK("https://klasma.github.io/Logging_0861/tillsynsmail/A 25218-2023 tillsynsbegäran mail.docx", "A 25218-2023")</f>
        <v/>
      </c>
    </row>
    <row r="1036" ht="15" customHeight="1">
      <c r="A1036" t="inlineStr">
        <is>
          <t>A 25436-2023</t>
        </is>
      </c>
      <c r="B1036" s="1" t="n">
        <v>45089</v>
      </c>
      <c r="C1036" s="1" t="n">
        <v>45832</v>
      </c>
      <c r="D1036" t="inlineStr">
        <is>
          <t>KALMAR LÄN</t>
        </is>
      </c>
      <c r="E1036" t="inlineStr">
        <is>
          <t>VÄSTERVIK</t>
        </is>
      </c>
      <c r="G1036" t="n">
        <v>1.6</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25436-2023 artfynd.xlsx", "A 25436-2023")</f>
        <v/>
      </c>
      <c r="T1036">
        <f>HYPERLINK("https://klasma.github.io/Logging_0883/kartor/A 25436-2023 karta.png", "A 25436-2023")</f>
        <v/>
      </c>
      <c r="U1036">
        <f>HYPERLINK("https://klasma.github.io/Logging_0883/knärot/A 25436-2023 karta knärot.png", "A 25436-2023")</f>
        <v/>
      </c>
      <c r="V1036">
        <f>HYPERLINK("https://klasma.github.io/Logging_0883/klagomål/A 25436-2023 FSC-klagomål.docx", "A 25436-2023")</f>
        <v/>
      </c>
      <c r="W1036">
        <f>HYPERLINK("https://klasma.github.io/Logging_0883/klagomålsmail/A 25436-2023 FSC-klagomål mail.docx", "A 25436-2023")</f>
        <v/>
      </c>
      <c r="X1036">
        <f>HYPERLINK("https://klasma.github.io/Logging_0883/tillsyn/A 25436-2023 tillsynsbegäran.docx", "A 25436-2023")</f>
        <v/>
      </c>
      <c r="Y1036">
        <f>HYPERLINK("https://klasma.github.io/Logging_0883/tillsynsmail/A 25436-2023 tillsynsbegäran mail.docx", "A 25436-2023")</f>
        <v/>
      </c>
    </row>
    <row r="1037" ht="15" customHeight="1">
      <c r="A1037" t="inlineStr">
        <is>
          <t>A 25433-2023</t>
        </is>
      </c>
      <c r="B1037" s="1" t="n">
        <v>45089</v>
      </c>
      <c r="C1037" s="1" t="n">
        <v>45832</v>
      </c>
      <c r="D1037" t="inlineStr">
        <is>
          <t>KALMAR LÄN</t>
        </is>
      </c>
      <c r="E1037" t="inlineStr">
        <is>
          <t>VÄSTERVIK</t>
        </is>
      </c>
      <c r="G1037" t="n">
        <v>2.3</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25433-2023 artfynd.xlsx", "A 25433-2023")</f>
        <v/>
      </c>
      <c r="T1037">
        <f>HYPERLINK("https://klasma.github.io/Logging_0883/kartor/A 25433-2023 karta.png", "A 25433-2023")</f>
        <v/>
      </c>
      <c r="U1037">
        <f>HYPERLINK("https://klasma.github.io/Logging_0883/knärot/A 25433-2023 karta knärot.png", "A 25433-2023")</f>
        <v/>
      </c>
      <c r="V1037">
        <f>HYPERLINK("https://klasma.github.io/Logging_0883/klagomål/A 25433-2023 FSC-klagomål.docx", "A 25433-2023")</f>
        <v/>
      </c>
      <c r="W1037">
        <f>HYPERLINK("https://klasma.github.io/Logging_0883/klagomålsmail/A 25433-2023 FSC-klagomål mail.docx", "A 25433-2023")</f>
        <v/>
      </c>
      <c r="X1037">
        <f>HYPERLINK("https://klasma.github.io/Logging_0883/tillsyn/A 25433-2023 tillsynsbegäran.docx", "A 25433-2023")</f>
        <v/>
      </c>
      <c r="Y1037">
        <f>HYPERLINK("https://klasma.github.io/Logging_0883/tillsynsmail/A 25433-2023 tillsynsbegäran mail.docx", "A 25433-2023")</f>
        <v/>
      </c>
    </row>
    <row r="1038" ht="15" customHeight="1">
      <c r="A1038" t="inlineStr">
        <is>
          <t>A 25563-2023</t>
        </is>
      </c>
      <c r="B1038" s="1" t="n">
        <v>45089</v>
      </c>
      <c r="C1038" s="1" t="n">
        <v>45832</v>
      </c>
      <c r="D1038" t="inlineStr">
        <is>
          <t>KALMAR LÄN</t>
        </is>
      </c>
      <c r="E1038" t="inlineStr">
        <is>
          <t>VÄSTERVIK</t>
        </is>
      </c>
      <c r="G1038" t="n">
        <v>1.6</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25563-2023 artfynd.xlsx", "A 25563-2023")</f>
        <v/>
      </c>
      <c r="T1038">
        <f>HYPERLINK("https://klasma.github.io/Logging_0883/kartor/A 25563-2023 karta.png", "A 25563-2023")</f>
        <v/>
      </c>
      <c r="V1038">
        <f>HYPERLINK("https://klasma.github.io/Logging_0883/klagomål/A 25563-2023 FSC-klagomål.docx", "A 25563-2023")</f>
        <v/>
      </c>
      <c r="W1038">
        <f>HYPERLINK("https://klasma.github.io/Logging_0883/klagomålsmail/A 25563-2023 FSC-klagomål mail.docx", "A 25563-2023")</f>
        <v/>
      </c>
      <c r="X1038">
        <f>HYPERLINK("https://klasma.github.io/Logging_0883/tillsyn/A 25563-2023 tillsynsbegäran.docx", "A 25563-2023")</f>
        <v/>
      </c>
      <c r="Y1038">
        <f>HYPERLINK("https://klasma.github.io/Logging_0883/tillsynsmail/A 25563-2023 tillsynsbegäran mail.docx", "A 25563-2023")</f>
        <v/>
      </c>
      <c r="Z1038">
        <f>HYPERLINK("https://klasma.github.io/Logging_0883/fåglar/A 25563-2023 prioriterade fågelarter.docx", "A 25563-2023")</f>
        <v/>
      </c>
    </row>
    <row r="1039" ht="15" customHeight="1">
      <c r="A1039" t="inlineStr">
        <is>
          <t>A 26274-2023</t>
        </is>
      </c>
      <c r="B1039" s="1" t="n">
        <v>45091</v>
      </c>
      <c r="C1039" s="1" t="n">
        <v>45832</v>
      </c>
      <c r="D1039" t="inlineStr">
        <is>
          <t>KALMAR LÄN</t>
        </is>
      </c>
      <c r="E1039" t="inlineStr">
        <is>
          <t>MÖNSTERÅS</t>
        </is>
      </c>
      <c r="G1039" t="n">
        <v>2.1</v>
      </c>
      <c r="H1039" t="n">
        <v>1</v>
      </c>
      <c r="I1039" t="n">
        <v>0</v>
      </c>
      <c r="J1039" t="n">
        <v>1</v>
      </c>
      <c r="K1039" t="n">
        <v>0</v>
      </c>
      <c r="L1039" t="n">
        <v>0</v>
      </c>
      <c r="M1039" t="n">
        <v>0</v>
      </c>
      <c r="N1039" t="n">
        <v>0</v>
      </c>
      <c r="O1039" t="n">
        <v>1</v>
      </c>
      <c r="P1039" t="n">
        <v>0</v>
      </c>
      <c r="Q1039" t="n">
        <v>1</v>
      </c>
      <c r="R1039" s="2" t="inlineStr">
        <is>
          <t>Havsörn</t>
        </is>
      </c>
      <c r="S1039">
        <f>HYPERLINK("https://klasma.github.io/Logging_0861/artfynd/A 26274-2023 artfynd.xlsx", "A 26274-2023")</f>
        <v/>
      </c>
      <c r="T1039">
        <f>HYPERLINK("https://klasma.github.io/Logging_0861/kartor/A 26274-2023 karta.png", "A 26274-2023")</f>
        <v/>
      </c>
      <c r="V1039">
        <f>HYPERLINK("https://klasma.github.io/Logging_0861/klagomål/A 26274-2023 FSC-klagomål.docx", "A 26274-2023")</f>
        <v/>
      </c>
      <c r="W1039">
        <f>HYPERLINK("https://klasma.github.io/Logging_0861/klagomålsmail/A 26274-2023 FSC-klagomål mail.docx", "A 26274-2023")</f>
        <v/>
      </c>
      <c r="X1039">
        <f>HYPERLINK("https://klasma.github.io/Logging_0861/tillsyn/A 26274-2023 tillsynsbegäran.docx", "A 26274-2023")</f>
        <v/>
      </c>
      <c r="Y1039">
        <f>HYPERLINK("https://klasma.github.io/Logging_0861/tillsynsmail/A 26274-2023 tillsynsbegäran mail.docx", "A 26274-2023")</f>
        <v/>
      </c>
      <c r="Z1039">
        <f>HYPERLINK("https://klasma.github.io/Logging_0861/fåglar/A 26274-2023 prioriterade fågelarter.docx", "A 26274-2023")</f>
        <v/>
      </c>
    </row>
    <row r="1040" ht="15" customHeight="1">
      <c r="A1040" t="inlineStr">
        <is>
          <t>A 26278-2023</t>
        </is>
      </c>
      <c r="B1040" s="1" t="n">
        <v>45091</v>
      </c>
      <c r="C1040" s="1" t="n">
        <v>45832</v>
      </c>
      <c r="D1040" t="inlineStr">
        <is>
          <t>KALMAR LÄN</t>
        </is>
      </c>
      <c r="E1040" t="inlineStr">
        <is>
          <t>VÄSTERVIK</t>
        </is>
      </c>
      <c r="G1040" t="n">
        <v>3.1</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26278-2023 artfynd.xlsx", "A 26278-2023")</f>
        <v/>
      </c>
      <c r="T1040">
        <f>HYPERLINK("https://klasma.github.io/Logging_0883/kartor/A 26278-2023 karta.png", "A 26278-2023")</f>
        <v/>
      </c>
      <c r="U1040">
        <f>HYPERLINK("https://klasma.github.io/Logging_0883/knärot/A 26278-2023 karta knärot.png", "A 26278-2023")</f>
        <v/>
      </c>
      <c r="V1040">
        <f>HYPERLINK("https://klasma.github.io/Logging_0883/klagomål/A 26278-2023 FSC-klagomål.docx", "A 26278-2023")</f>
        <v/>
      </c>
      <c r="W1040">
        <f>HYPERLINK("https://klasma.github.io/Logging_0883/klagomålsmail/A 26278-2023 FSC-klagomål mail.docx", "A 26278-2023")</f>
        <v/>
      </c>
      <c r="X1040">
        <f>HYPERLINK("https://klasma.github.io/Logging_0883/tillsyn/A 26278-2023 tillsynsbegäran.docx", "A 26278-2023")</f>
        <v/>
      </c>
      <c r="Y1040">
        <f>HYPERLINK("https://klasma.github.io/Logging_0883/tillsynsmail/A 26278-2023 tillsynsbegäran mail.docx", "A 26278-2023")</f>
        <v/>
      </c>
    </row>
    <row r="1041" ht="15" customHeight="1">
      <c r="A1041" t="inlineStr">
        <is>
          <t>A 26685-2023</t>
        </is>
      </c>
      <c r="B1041" s="1" t="n">
        <v>45093</v>
      </c>
      <c r="C1041" s="1" t="n">
        <v>45832</v>
      </c>
      <c r="D1041" t="inlineStr">
        <is>
          <t>KALMAR LÄN</t>
        </is>
      </c>
      <c r="E1041" t="inlineStr">
        <is>
          <t>HULTSFRED</t>
        </is>
      </c>
      <c r="G1041" t="n">
        <v>2.3</v>
      </c>
      <c r="H1041" t="n">
        <v>1</v>
      </c>
      <c r="I1041" t="n">
        <v>0</v>
      </c>
      <c r="J1041" t="n">
        <v>0</v>
      </c>
      <c r="K1041" t="n">
        <v>0</v>
      </c>
      <c r="L1041" t="n">
        <v>0</v>
      </c>
      <c r="M1041" t="n">
        <v>0</v>
      </c>
      <c r="N1041" t="n">
        <v>0</v>
      </c>
      <c r="O1041" t="n">
        <v>0</v>
      </c>
      <c r="P1041" t="n">
        <v>0</v>
      </c>
      <c r="Q1041" t="n">
        <v>1</v>
      </c>
      <c r="R1041" s="2" t="inlineStr">
        <is>
          <t>Blåsippa</t>
        </is>
      </c>
      <c r="S1041">
        <f>HYPERLINK("https://klasma.github.io/Logging_0860/artfynd/A 26685-2023 artfynd.xlsx", "A 26685-2023")</f>
        <v/>
      </c>
      <c r="T1041">
        <f>HYPERLINK("https://klasma.github.io/Logging_0860/kartor/A 26685-2023 karta.png", "A 26685-2023")</f>
        <v/>
      </c>
      <c r="V1041">
        <f>HYPERLINK("https://klasma.github.io/Logging_0860/klagomål/A 26685-2023 FSC-klagomål.docx", "A 26685-2023")</f>
        <v/>
      </c>
      <c r="W1041">
        <f>HYPERLINK("https://klasma.github.io/Logging_0860/klagomålsmail/A 26685-2023 FSC-klagomål mail.docx", "A 26685-2023")</f>
        <v/>
      </c>
      <c r="X1041">
        <f>HYPERLINK("https://klasma.github.io/Logging_0860/tillsyn/A 26685-2023 tillsynsbegäran.docx", "A 26685-2023")</f>
        <v/>
      </c>
      <c r="Y1041">
        <f>HYPERLINK("https://klasma.github.io/Logging_0860/tillsynsmail/A 26685-2023 tillsynsbegäran mail.docx", "A 26685-2023")</f>
        <v/>
      </c>
    </row>
    <row r="1042" ht="15" customHeight="1">
      <c r="A1042" t="inlineStr">
        <is>
          <t>A 27346-2023</t>
        </is>
      </c>
      <c r="B1042" s="1" t="n">
        <v>45096</v>
      </c>
      <c r="C1042" s="1" t="n">
        <v>45832</v>
      </c>
      <c r="D1042" t="inlineStr">
        <is>
          <t>KALMAR LÄN</t>
        </is>
      </c>
      <c r="E1042" t="inlineStr">
        <is>
          <t>NYBRO</t>
        </is>
      </c>
      <c r="G1042" t="n">
        <v>1.2</v>
      </c>
      <c r="H1042" t="n">
        <v>0</v>
      </c>
      <c r="I1042" t="n">
        <v>1</v>
      </c>
      <c r="J1042" t="n">
        <v>0</v>
      </c>
      <c r="K1042" t="n">
        <v>0</v>
      </c>
      <c r="L1042" t="n">
        <v>0</v>
      </c>
      <c r="M1042" t="n">
        <v>0</v>
      </c>
      <c r="N1042" t="n">
        <v>0</v>
      </c>
      <c r="O1042" t="n">
        <v>0</v>
      </c>
      <c r="P1042" t="n">
        <v>0</v>
      </c>
      <c r="Q1042" t="n">
        <v>1</v>
      </c>
      <c r="R1042" s="2" t="inlineStr">
        <is>
          <t>Blanksvart trämyra</t>
        </is>
      </c>
      <c r="S1042">
        <f>HYPERLINK("https://klasma.github.io/Logging_0881/artfynd/A 27346-2023 artfynd.xlsx", "A 27346-2023")</f>
        <v/>
      </c>
      <c r="T1042">
        <f>HYPERLINK("https://klasma.github.io/Logging_0881/kartor/A 27346-2023 karta.png", "A 27346-2023")</f>
        <v/>
      </c>
      <c r="V1042">
        <f>HYPERLINK("https://klasma.github.io/Logging_0881/klagomål/A 27346-2023 FSC-klagomål.docx", "A 27346-2023")</f>
        <v/>
      </c>
      <c r="W1042">
        <f>HYPERLINK("https://klasma.github.io/Logging_0881/klagomålsmail/A 27346-2023 FSC-klagomål mail.docx", "A 27346-2023")</f>
        <v/>
      </c>
      <c r="X1042">
        <f>HYPERLINK("https://klasma.github.io/Logging_0881/tillsyn/A 27346-2023 tillsynsbegäran.docx", "A 27346-2023")</f>
        <v/>
      </c>
      <c r="Y1042">
        <f>HYPERLINK("https://klasma.github.io/Logging_0881/tillsynsmail/A 27346-2023 tillsynsbegäran mail.docx", "A 27346-2023")</f>
        <v/>
      </c>
    </row>
    <row r="1043" ht="15" customHeight="1">
      <c r="A1043" t="inlineStr">
        <is>
          <t>A 27546-2023</t>
        </is>
      </c>
      <c r="B1043" s="1" t="n">
        <v>45097</v>
      </c>
      <c r="C1043" s="1" t="n">
        <v>45832</v>
      </c>
      <c r="D1043" t="inlineStr">
        <is>
          <t>KALMAR LÄN</t>
        </is>
      </c>
      <c r="E1043" t="inlineStr">
        <is>
          <t>MÖNSTERÅS</t>
        </is>
      </c>
      <c r="G1043" t="n">
        <v>1.1</v>
      </c>
      <c r="H1043" t="n">
        <v>0</v>
      </c>
      <c r="I1043" t="n">
        <v>1</v>
      </c>
      <c r="J1043" t="n">
        <v>0</v>
      </c>
      <c r="K1043" t="n">
        <v>0</v>
      </c>
      <c r="L1043" t="n">
        <v>0</v>
      </c>
      <c r="M1043" t="n">
        <v>0</v>
      </c>
      <c r="N1043" t="n">
        <v>0</v>
      </c>
      <c r="O1043" t="n">
        <v>0</v>
      </c>
      <c r="P1043" t="n">
        <v>0</v>
      </c>
      <c r="Q1043" t="n">
        <v>1</v>
      </c>
      <c r="R1043" s="2" t="inlineStr">
        <is>
          <t>Grovticka</t>
        </is>
      </c>
      <c r="S1043">
        <f>HYPERLINK("https://klasma.github.io/Logging_0861/artfynd/A 27546-2023 artfynd.xlsx", "A 27546-2023")</f>
        <v/>
      </c>
      <c r="T1043">
        <f>HYPERLINK("https://klasma.github.io/Logging_0861/kartor/A 27546-2023 karta.png", "A 27546-2023")</f>
        <v/>
      </c>
      <c r="V1043">
        <f>HYPERLINK("https://klasma.github.io/Logging_0861/klagomål/A 27546-2023 FSC-klagomål.docx", "A 27546-2023")</f>
        <v/>
      </c>
      <c r="W1043">
        <f>HYPERLINK("https://klasma.github.io/Logging_0861/klagomålsmail/A 27546-2023 FSC-klagomål mail.docx", "A 27546-2023")</f>
        <v/>
      </c>
      <c r="X1043">
        <f>HYPERLINK("https://klasma.github.io/Logging_0861/tillsyn/A 27546-2023 tillsynsbegäran.docx", "A 27546-2023")</f>
        <v/>
      </c>
      <c r="Y1043">
        <f>HYPERLINK("https://klasma.github.io/Logging_0861/tillsynsmail/A 27546-2023 tillsynsbegäran mail.docx", "A 27546-2023")</f>
        <v/>
      </c>
    </row>
    <row r="1044" ht="15" customHeight="1">
      <c r="A1044" t="inlineStr">
        <is>
          <t>A 27854-2023</t>
        </is>
      </c>
      <c r="B1044" s="1" t="n">
        <v>45098</v>
      </c>
      <c r="C1044" s="1" t="n">
        <v>45832</v>
      </c>
      <c r="D1044" t="inlineStr">
        <is>
          <t>KALMAR LÄN</t>
        </is>
      </c>
      <c r="E1044" t="inlineStr">
        <is>
          <t>OSKARSHAMN</t>
        </is>
      </c>
      <c r="G1044" t="n">
        <v>3.3</v>
      </c>
      <c r="H1044" t="n">
        <v>0</v>
      </c>
      <c r="I1044" t="n">
        <v>0</v>
      </c>
      <c r="J1044" t="n">
        <v>1</v>
      </c>
      <c r="K1044" t="n">
        <v>0</v>
      </c>
      <c r="L1044" t="n">
        <v>0</v>
      </c>
      <c r="M1044" t="n">
        <v>0</v>
      </c>
      <c r="N1044" t="n">
        <v>0</v>
      </c>
      <c r="O1044" t="n">
        <v>1</v>
      </c>
      <c r="P1044" t="n">
        <v>0</v>
      </c>
      <c r="Q1044" t="n">
        <v>1</v>
      </c>
      <c r="R1044" s="2" t="inlineStr">
        <is>
          <t>Åkerkål</t>
        </is>
      </c>
      <c r="S1044">
        <f>HYPERLINK("https://klasma.github.io/Logging_0882/artfynd/A 27854-2023 artfynd.xlsx", "A 27854-2023")</f>
        <v/>
      </c>
      <c r="T1044">
        <f>HYPERLINK("https://klasma.github.io/Logging_0882/kartor/A 27854-2023 karta.png", "A 27854-2023")</f>
        <v/>
      </c>
      <c r="V1044">
        <f>HYPERLINK("https://klasma.github.io/Logging_0882/klagomål/A 27854-2023 FSC-klagomål.docx", "A 27854-2023")</f>
        <v/>
      </c>
      <c r="W1044">
        <f>HYPERLINK("https://klasma.github.io/Logging_0882/klagomålsmail/A 27854-2023 FSC-klagomål mail.docx", "A 27854-2023")</f>
        <v/>
      </c>
      <c r="X1044">
        <f>HYPERLINK("https://klasma.github.io/Logging_0882/tillsyn/A 27854-2023 tillsynsbegäran.docx", "A 27854-2023")</f>
        <v/>
      </c>
      <c r="Y1044">
        <f>HYPERLINK("https://klasma.github.io/Logging_0882/tillsynsmail/A 27854-2023 tillsynsbegäran mail.docx", "A 27854-2023")</f>
        <v/>
      </c>
    </row>
    <row r="1045" ht="15" customHeight="1">
      <c r="A1045" t="inlineStr">
        <is>
          <t>A 28495-2023</t>
        </is>
      </c>
      <c r="B1045" s="1" t="n">
        <v>45103</v>
      </c>
      <c r="C1045" s="1" t="n">
        <v>45832</v>
      </c>
      <c r="D1045" t="inlineStr">
        <is>
          <t>KALMAR LÄN</t>
        </is>
      </c>
      <c r="E1045" t="inlineStr">
        <is>
          <t>VÄSTERVIK</t>
        </is>
      </c>
      <c r="G1045" t="n">
        <v>3.1</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28495-2023 artfynd.xlsx", "A 28495-2023")</f>
        <v/>
      </c>
      <c r="T1045">
        <f>HYPERLINK("https://klasma.github.io/Logging_0883/kartor/A 28495-2023 karta.png", "A 28495-2023")</f>
        <v/>
      </c>
      <c r="U1045">
        <f>HYPERLINK("https://klasma.github.io/Logging_0883/knärot/A 28495-2023 karta knärot.png", "A 28495-2023")</f>
        <v/>
      </c>
      <c r="V1045">
        <f>HYPERLINK("https://klasma.github.io/Logging_0883/klagomål/A 28495-2023 FSC-klagomål.docx", "A 28495-2023")</f>
        <v/>
      </c>
      <c r="W1045">
        <f>HYPERLINK("https://klasma.github.io/Logging_0883/klagomålsmail/A 28495-2023 FSC-klagomål mail.docx", "A 28495-2023")</f>
        <v/>
      </c>
      <c r="X1045">
        <f>HYPERLINK("https://klasma.github.io/Logging_0883/tillsyn/A 28495-2023 tillsynsbegäran.docx", "A 28495-2023")</f>
        <v/>
      </c>
      <c r="Y1045">
        <f>HYPERLINK("https://klasma.github.io/Logging_0883/tillsynsmail/A 28495-2023 tillsynsbegäran mail.docx", "A 28495-2023")</f>
        <v/>
      </c>
    </row>
    <row r="1046" ht="15" customHeight="1">
      <c r="A1046" t="inlineStr">
        <is>
          <t>A 28456-2023</t>
        </is>
      </c>
      <c r="B1046" s="1" t="n">
        <v>45103</v>
      </c>
      <c r="C1046" s="1" t="n">
        <v>45832</v>
      </c>
      <c r="D1046" t="inlineStr">
        <is>
          <t>KALMAR LÄN</t>
        </is>
      </c>
      <c r="E1046" t="inlineStr">
        <is>
          <t>TORSÅS</t>
        </is>
      </c>
      <c r="G1046" t="n">
        <v>1.3</v>
      </c>
      <c r="H1046" t="n">
        <v>0</v>
      </c>
      <c r="I1046" t="n">
        <v>0</v>
      </c>
      <c r="J1046" t="n">
        <v>1</v>
      </c>
      <c r="K1046" t="n">
        <v>0</v>
      </c>
      <c r="L1046" t="n">
        <v>0</v>
      </c>
      <c r="M1046" t="n">
        <v>0</v>
      </c>
      <c r="N1046" t="n">
        <v>0</v>
      </c>
      <c r="O1046" t="n">
        <v>1</v>
      </c>
      <c r="P1046" t="n">
        <v>0</v>
      </c>
      <c r="Q1046" t="n">
        <v>1</v>
      </c>
      <c r="R1046" s="2" t="inlineStr">
        <is>
          <t>Mörk dunört</t>
        </is>
      </c>
      <c r="S1046">
        <f>HYPERLINK("https://klasma.github.io/Logging_0834/artfynd/A 28456-2023 artfynd.xlsx", "A 28456-2023")</f>
        <v/>
      </c>
      <c r="T1046">
        <f>HYPERLINK("https://klasma.github.io/Logging_0834/kartor/A 28456-2023 karta.png", "A 28456-2023")</f>
        <v/>
      </c>
      <c r="V1046">
        <f>HYPERLINK("https://klasma.github.io/Logging_0834/klagomål/A 28456-2023 FSC-klagomål.docx", "A 28456-2023")</f>
        <v/>
      </c>
      <c r="W1046">
        <f>HYPERLINK("https://klasma.github.io/Logging_0834/klagomålsmail/A 28456-2023 FSC-klagomål mail.docx", "A 28456-2023")</f>
        <v/>
      </c>
      <c r="X1046">
        <f>HYPERLINK("https://klasma.github.io/Logging_0834/tillsyn/A 28456-2023 tillsynsbegäran.docx", "A 28456-2023")</f>
        <v/>
      </c>
      <c r="Y1046">
        <f>HYPERLINK("https://klasma.github.io/Logging_0834/tillsynsmail/A 28456-2023 tillsynsbegäran mail.docx", "A 28456-2023")</f>
        <v/>
      </c>
    </row>
    <row r="1047" ht="15" customHeight="1">
      <c r="A1047" t="inlineStr">
        <is>
          <t>A 28678-2023</t>
        </is>
      </c>
      <c r="B1047" s="1" t="n">
        <v>45103</v>
      </c>
      <c r="C1047" s="1" t="n">
        <v>45832</v>
      </c>
      <c r="D1047" t="inlineStr">
        <is>
          <t>KALMAR LÄN</t>
        </is>
      </c>
      <c r="E1047" t="inlineStr">
        <is>
          <t>NYBRO</t>
        </is>
      </c>
      <c r="G1047" t="n">
        <v>10.3</v>
      </c>
      <c r="H1047" t="n">
        <v>0</v>
      </c>
      <c r="I1047" t="n">
        <v>1</v>
      </c>
      <c r="J1047" t="n">
        <v>0</v>
      </c>
      <c r="K1047" t="n">
        <v>0</v>
      </c>
      <c r="L1047" t="n">
        <v>0</v>
      </c>
      <c r="M1047" t="n">
        <v>0</v>
      </c>
      <c r="N1047" t="n">
        <v>0</v>
      </c>
      <c r="O1047" t="n">
        <v>0</v>
      </c>
      <c r="P1047" t="n">
        <v>0</v>
      </c>
      <c r="Q1047" t="n">
        <v>1</v>
      </c>
      <c r="R1047" s="2" t="inlineStr">
        <is>
          <t>Åttafläckig praktbagge</t>
        </is>
      </c>
      <c r="S1047">
        <f>HYPERLINK("https://klasma.github.io/Logging_0881/artfynd/A 28678-2023 artfynd.xlsx", "A 28678-2023")</f>
        <v/>
      </c>
      <c r="T1047">
        <f>HYPERLINK("https://klasma.github.io/Logging_0881/kartor/A 28678-2023 karta.png", "A 28678-2023")</f>
        <v/>
      </c>
      <c r="V1047">
        <f>HYPERLINK("https://klasma.github.io/Logging_0881/klagomål/A 28678-2023 FSC-klagomål.docx", "A 28678-2023")</f>
        <v/>
      </c>
      <c r="W1047">
        <f>HYPERLINK("https://klasma.github.io/Logging_0881/klagomålsmail/A 28678-2023 FSC-klagomål mail.docx", "A 28678-2023")</f>
        <v/>
      </c>
      <c r="X1047">
        <f>HYPERLINK("https://klasma.github.io/Logging_0881/tillsyn/A 28678-2023 tillsynsbegäran.docx", "A 28678-2023")</f>
        <v/>
      </c>
      <c r="Y1047">
        <f>HYPERLINK("https://klasma.github.io/Logging_0881/tillsynsmail/A 28678-2023 tillsynsbegäran mail.docx", "A 28678-2023")</f>
        <v/>
      </c>
    </row>
    <row r="1048" ht="15" customHeight="1">
      <c r="A1048" t="inlineStr">
        <is>
          <t>A 28647-2023</t>
        </is>
      </c>
      <c r="B1048" s="1" t="n">
        <v>45103</v>
      </c>
      <c r="C1048" s="1" t="n">
        <v>45832</v>
      </c>
      <c r="D1048" t="inlineStr">
        <is>
          <t>KALMAR LÄN</t>
        </is>
      </c>
      <c r="E1048" t="inlineStr">
        <is>
          <t>NYBRO</t>
        </is>
      </c>
      <c r="G1048" t="n">
        <v>5.6</v>
      </c>
      <c r="H1048" t="n">
        <v>0</v>
      </c>
      <c r="I1048" t="n">
        <v>0</v>
      </c>
      <c r="J1048" t="n">
        <v>0</v>
      </c>
      <c r="K1048" t="n">
        <v>1</v>
      </c>
      <c r="L1048" t="n">
        <v>0</v>
      </c>
      <c r="M1048" t="n">
        <v>0</v>
      </c>
      <c r="N1048" t="n">
        <v>0</v>
      </c>
      <c r="O1048" t="n">
        <v>1</v>
      </c>
      <c r="P1048" t="n">
        <v>1</v>
      </c>
      <c r="Q1048" t="n">
        <v>1</v>
      </c>
      <c r="R1048" s="2" t="inlineStr">
        <is>
          <t>Gulfläckig praktbagge</t>
        </is>
      </c>
      <c r="S1048">
        <f>HYPERLINK("https://klasma.github.io/Logging_0881/artfynd/A 28647-2023 artfynd.xlsx", "A 28647-2023")</f>
        <v/>
      </c>
      <c r="T1048">
        <f>HYPERLINK("https://klasma.github.io/Logging_0881/kartor/A 28647-2023 karta.png", "A 28647-2023")</f>
        <v/>
      </c>
      <c r="V1048">
        <f>HYPERLINK("https://klasma.github.io/Logging_0881/klagomål/A 28647-2023 FSC-klagomål.docx", "A 28647-2023")</f>
        <v/>
      </c>
      <c r="W1048">
        <f>HYPERLINK("https://klasma.github.io/Logging_0881/klagomålsmail/A 28647-2023 FSC-klagomål mail.docx", "A 28647-2023")</f>
        <v/>
      </c>
      <c r="X1048">
        <f>HYPERLINK("https://klasma.github.io/Logging_0881/tillsyn/A 28647-2023 tillsynsbegäran.docx", "A 28647-2023")</f>
        <v/>
      </c>
      <c r="Y1048">
        <f>HYPERLINK("https://klasma.github.io/Logging_0881/tillsynsmail/A 28647-2023 tillsynsbegäran mail.docx", "A 28647-2023")</f>
        <v/>
      </c>
    </row>
    <row r="1049" ht="15" customHeight="1">
      <c r="A1049" t="inlineStr">
        <is>
          <t>A 28852-2023</t>
        </is>
      </c>
      <c r="B1049" s="1" t="n">
        <v>45104</v>
      </c>
      <c r="C1049" s="1" t="n">
        <v>45832</v>
      </c>
      <c r="D1049" t="inlineStr">
        <is>
          <t>KALMAR LÄN</t>
        </is>
      </c>
      <c r="E1049" t="inlineStr">
        <is>
          <t>VIMMERBY</t>
        </is>
      </c>
      <c r="G1049" t="n">
        <v>0.7</v>
      </c>
      <c r="H1049" t="n">
        <v>0</v>
      </c>
      <c r="I1049" t="n">
        <v>1</v>
      </c>
      <c r="J1049" t="n">
        <v>0</v>
      </c>
      <c r="K1049" t="n">
        <v>0</v>
      </c>
      <c r="L1049" t="n">
        <v>0</v>
      </c>
      <c r="M1049" t="n">
        <v>0</v>
      </c>
      <c r="N1049" t="n">
        <v>0</v>
      </c>
      <c r="O1049" t="n">
        <v>0</v>
      </c>
      <c r="P1049" t="n">
        <v>0</v>
      </c>
      <c r="Q1049" t="n">
        <v>1</v>
      </c>
      <c r="R1049" s="2" t="inlineStr">
        <is>
          <t>Tibast</t>
        </is>
      </c>
      <c r="S1049">
        <f>HYPERLINK("https://klasma.github.io/Logging_0884/artfynd/A 28852-2023 artfynd.xlsx", "A 28852-2023")</f>
        <v/>
      </c>
      <c r="T1049">
        <f>HYPERLINK("https://klasma.github.io/Logging_0884/kartor/A 28852-2023 karta.png", "A 28852-2023")</f>
        <v/>
      </c>
      <c r="V1049">
        <f>HYPERLINK("https://klasma.github.io/Logging_0884/klagomål/A 28852-2023 FSC-klagomål.docx", "A 28852-2023")</f>
        <v/>
      </c>
      <c r="W1049">
        <f>HYPERLINK("https://klasma.github.io/Logging_0884/klagomålsmail/A 28852-2023 FSC-klagomål mail.docx", "A 28852-2023")</f>
        <v/>
      </c>
      <c r="X1049">
        <f>HYPERLINK("https://klasma.github.io/Logging_0884/tillsyn/A 28852-2023 tillsynsbegäran.docx", "A 28852-2023")</f>
        <v/>
      </c>
      <c r="Y1049">
        <f>HYPERLINK("https://klasma.github.io/Logging_0884/tillsynsmail/A 28852-2023 tillsynsbegäran mail.docx", "A 28852-2023")</f>
        <v/>
      </c>
    </row>
    <row r="1050" ht="15" customHeight="1">
      <c r="A1050" t="inlineStr">
        <is>
          <t>A 30121-2023</t>
        </is>
      </c>
      <c r="B1050" s="1" t="n">
        <v>45110</v>
      </c>
      <c r="C1050" s="1" t="n">
        <v>45832</v>
      </c>
      <c r="D1050" t="inlineStr">
        <is>
          <t>KALMAR LÄN</t>
        </is>
      </c>
      <c r="E1050" t="inlineStr">
        <is>
          <t>NYBRO</t>
        </is>
      </c>
      <c r="F1050" t="inlineStr">
        <is>
          <t>Kommuner</t>
        </is>
      </c>
      <c r="G1050" t="n">
        <v>4.9</v>
      </c>
      <c r="H1050" t="n">
        <v>0</v>
      </c>
      <c r="I1050" t="n">
        <v>1</v>
      </c>
      <c r="J1050" t="n">
        <v>0</v>
      </c>
      <c r="K1050" t="n">
        <v>0</v>
      </c>
      <c r="L1050" t="n">
        <v>0</v>
      </c>
      <c r="M1050" t="n">
        <v>0</v>
      </c>
      <c r="N1050" t="n">
        <v>0</v>
      </c>
      <c r="O1050" t="n">
        <v>0</v>
      </c>
      <c r="P1050" t="n">
        <v>0</v>
      </c>
      <c r="Q1050" t="n">
        <v>1</v>
      </c>
      <c r="R1050" s="2" t="inlineStr">
        <is>
          <t>Vanlig flatbagge</t>
        </is>
      </c>
      <c r="S1050">
        <f>HYPERLINK("https://klasma.github.io/Logging_0881/artfynd/A 30121-2023 artfynd.xlsx", "A 30121-2023")</f>
        <v/>
      </c>
      <c r="T1050">
        <f>HYPERLINK("https://klasma.github.io/Logging_0881/kartor/A 30121-2023 karta.png", "A 30121-2023")</f>
        <v/>
      </c>
      <c r="V1050">
        <f>HYPERLINK("https://klasma.github.io/Logging_0881/klagomål/A 30121-2023 FSC-klagomål.docx", "A 30121-2023")</f>
        <v/>
      </c>
      <c r="W1050">
        <f>HYPERLINK("https://klasma.github.io/Logging_0881/klagomålsmail/A 30121-2023 FSC-klagomål mail.docx", "A 30121-2023")</f>
        <v/>
      </c>
      <c r="X1050">
        <f>HYPERLINK("https://klasma.github.io/Logging_0881/tillsyn/A 30121-2023 tillsynsbegäran.docx", "A 30121-2023")</f>
        <v/>
      </c>
      <c r="Y1050">
        <f>HYPERLINK("https://klasma.github.io/Logging_0881/tillsynsmail/A 30121-2023 tillsynsbegäran mail.docx", "A 30121-2023")</f>
        <v/>
      </c>
    </row>
    <row r="1051" ht="15" customHeight="1">
      <c r="A1051" t="inlineStr">
        <is>
          <t>A 30532-2023</t>
        </is>
      </c>
      <c r="B1051" s="1" t="n">
        <v>45111</v>
      </c>
      <c r="C1051" s="1" t="n">
        <v>45832</v>
      </c>
      <c r="D1051" t="inlineStr">
        <is>
          <t>KALMAR LÄN</t>
        </is>
      </c>
      <c r="E1051" t="inlineStr">
        <is>
          <t>NYBRO</t>
        </is>
      </c>
      <c r="G1051" t="n">
        <v>13.1</v>
      </c>
      <c r="H1051" t="n">
        <v>0</v>
      </c>
      <c r="I1051" t="n">
        <v>0</v>
      </c>
      <c r="J1051" t="n">
        <v>0</v>
      </c>
      <c r="K1051" t="n">
        <v>1</v>
      </c>
      <c r="L1051" t="n">
        <v>0</v>
      </c>
      <c r="M1051" t="n">
        <v>0</v>
      </c>
      <c r="N1051" t="n">
        <v>0</v>
      </c>
      <c r="O1051" t="n">
        <v>1</v>
      </c>
      <c r="P1051" t="n">
        <v>1</v>
      </c>
      <c r="Q1051" t="n">
        <v>1</v>
      </c>
      <c r="R1051" s="2" t="inlineStr">
        <is>
          <t>Raggbock</t>
        </is>
      </c>
      <c r="S1051">
        <f>HYPERLINK("https://klasma.github.io/Logging_0881/artfynd/A 30532-2023 artfynd.xlsx", "A 30532-2023")</f>
        <v/>
      </c>
      <c r="T1051">
        <f>HYPERLINK("https://klasma.github.io/Logging_0881/kartor/A 30532-2023 karta.png", "A 30532-2023")</f>
        <v/>
      </c>
      <c r="V1051">
        <f>HYPERLINK("https://klasma.github.io/Logging_0881/klagomål/A 30532-2023 FSC-klagomål.docx", "A 30532-2023")</f>
        <v/>
      </c>
      <c r="W1051">
        <f>HYPERLINK("https://klasma.github.io/Logging_0881/klagomålsmail/A 30532-2023 FSC-klagomål mail.docx", "A 30532-2023")</f>
        <v/>
      </c>
      <c r="X1051">
        <f>HYPERLINK("https://klasma.github.io/Logging_0881/tillsyn/A 30532-2023 tillsynsbegäran.docx", "A 30532-2023")</f>
        <v/>
      </c>
      <c r="Y1051">
        <f>HYPERLINK("https://klasma.github.io/Logging_0881/tillsynsmail/A 30532-2023 tillsynsbegäran mail.docx", "A 30532-2023")</f>
        <v/>
      </c>
    </row>
    <row r="1052" ht="15" customHeight="1">
      <c r="A1052" t="inlineStr">
        <is>
          <t>A 31556-2023</t>
        </is>
      </c>
      <c r="B1052" s="1" t="n">
        <v>45117</v>
      </c>
      <c r="C1052" s="1" t="n">
        <v>45832</v>
      </c>
      <c r="D1052" t="inlineStr">
        <is>
          <t>KALMAR LÄN</t>
        </is>
      </c>
      <c r="E1052" t="inlineStr">
        <is>
          <t>KALMAR</t>
        </is>
      </c>
      <c r="G1052" t="n">
        <v>11</v>
      </c>
      <c r="H1052" t="n">
        <v>0</v>
      </c>
      <c r="I1052" t="n">
        <v>1</v>
      </c>
      <c r="J1052" t="n">
        <v>0</v>
      </c>
      <c r="K1052" t="n">
        <v>0</v>
      </c>
      <c r="L1052" t="n">
        <v>0</v>
      </c>
      <c r="M1052" t="n">
        <v>0</v>
      </c>
      <c r="N1052" t="n">
        <v>0</v>
      </c>
      <c r="O1052" t="n">
        <v>0</v>
      </c>
      <c r="P1052" t="n">
        <v>0</v>
      </c>
      <c r="Q1052" t="n">
        <v>1</v>
      </c>
      <c r="R1052" s="2" t="inlineStr">
        <is>
          <t>Murgröna</t>
        </is>
      </c>
      <c r="S1052">
        <f>HYPERLINK("https://klasma.github.io/Logging_0880/artfynd/A 31556-2023 artfynd.xlsx", "A 31556-2023")</f>
        <v/>
      </c>
      <c r="T1052">
        <f>HYPERLINK("https://klasma.github.io/Logging_0880/kartor/A 31556-2023 karta.png", "A 31556-2023")</f>
        <v/>
      </c>
      <c r="V1052">
        <f>HYPERLINK("https://klasma.github.io/Logging_0880/klagomål/A 31556-2023 FSC-klagomål.docx", "A 31556-2023")</f>
        <v/>
      </c>
      <c r="W1052">
        <f>HYPERLINK("https://klasma.github.io/Logging_0880/klagomålsmail/A 31556-2023 FSC-klagomål mail.docx", "A 31556-2023")</f>
        <v/>
      </c>
      <c r="X1052">
        <f>HYPERLINK("https://klasma.github.io/Logging_0880/tillsyn/A 31556-2023 tillsynsbegäran.docx", "A 31556-2023")</f>
        <v/>
      </c>
      <c r="Y1052">
        <f>HYPERLINK("https://klasma.github.io/Logging_0880/tillsynsmail/A 31556-2023 tillsynsbegäran mail.docx", "A 31556-2023")</f>
        <v/>
      </c>
    </row>
    <row r="1053" ht="15" customHeight="1">
      <c r="A1053" t="inlineStr">
        <is>
          <t>A 32141-2023</t>
        </is>
      </c>
      <c r="B1053" s="1" t="n">
        <v>45119</v>
      </c>
      <c r="C1053" s="1" t="n">
        <v>45832</v>
      </c>
      <c r="D1053" t="inlineStr">
        <is>
          <t>KALMAR LÄN</t>
        </is>
      </c>
      <c r="E1053" t="inlineStr">
        <is>
          <t>KALMAR</t>
        </is>
      </c>
      <c r="G1053" t="n">
        <v>2.4</v>
      </c>
      <c r="H1053" t="n">
        <v>0</v>
      </c>
      <c r="I1053" t="n">
        <v>0</v>
      </c>
      <c r="J1053" t="n">
        <v>0</v>
      </c>
      <c r="K1053" t="n">
        <v>1</v>
      </c>
      <c r="L1053" t="n">
        <v>0</v>
      </c>
      <c r="M1053" t="n">
        <v>0</v>
      </c>
      <c r="N1053" t="n">
        <v>0</v>
      </c>
      <c r="O1053" t="n">
        <v>1</v>
      </c>
      <c r="P1053" t="n">
        <v>1</v>
      </c>
      <c r="Q1053" t="n">
        <v>1</v>
      </c>
      <c r="R1053" s="2" t="inlineStr">
        <is>
          <t>Luddvicker</t>
        </is>
      </c>
      <c r="S1053">
        <f>HYPERLINK("https://klasma.github.io/Logging_0880/artfynd/A 32141-2023 artfynd.xlsx", "A 32141-2023")</f>
        <v/>
      </c>
      <c r="T1053">
        <f>HYPERLINK("https://klasma.github.io/Logging_0880/kartor/A 32141-2023 karta.png", "A 32141-2023")</f>
        <v/>
      </c>
      <c r="V1053">
        <f>HYPERLINK("https://klasma.github.io/Logging_0880/klagomål/A 32141-2023 FSC-klagomål.docx", "A 32141-2023")</f>
        <v/>
      </c>
      <c r="W1053">
        <f>HYPERLINK("https://klasma.github.io/Logging_0880/klagomålsmail/A 32141-2023 FSC-klagomål mail.docx", "A 32141-2023")</f>
        <v/>
      </c>
      <c r="X1053">
        <f>HYPERLINK("https://klasma.github.io/Logging_0880/tillsyn/A 32141-2023 tillsynsbegäran.docx", "A 32141-2023")</f>
        <v/>
      </c>
      <c r="Y1053">
        <f>HYPERLINK("https://klasma.github.io/Logging_0880/tillsynsmail/A 32141-2023 tillsynsbegäran mail.docx", "A 32141-2023")</f>
        <v/>
      </c>
    </row>
    <row r="1054" ht="15" customHeight="1">
      <c r="A1054" t="inlineStr">
        <is>
          <t>A 32653-2023</t>
        </is>
      </c>
      <c r="B1054" s="1" t="n">
        <v>45121</v>
      </c>
      <c r="C1054" s="1" t="n">
        <v>45832</v>
      </c>
      <c r="D1054" t="inlineStr">
        <is>
          <t>KALMAR LÄN</t>
        </is>
      </c>
      <c r="E1054" t="inlineStr">
        <is>
          <t>VÄSTERVIK</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32653-2023 artfynd.xlsx", "A 32653-2023")</f>
        <v/>
      </c>
      <c r="T1054">
        <f>HYPERLINK("https://klasma.github.io/Logging_0883/kartor/A 32653-2023 karta.png", "A 32653-2023")</f>
        <v/>
      </c>
      <c r="U1054">
        <f>HYPERLINK("https://klasma.github.io/Logging_0883/knärot/A 32653-2023 karta knärot.png", "A 32653-2023")</f>
        <v/>
      </c>
      <c r="V1054">
        <f>HYPERLINK("https://klasma.github.io/Logging_0883/klagomål/A 32653-2023 FSC-klagomål.docx", "A 32653-2023")</f>
        <v/>
      </c>
      <c r="W1054">
        <f>HYPERLINK("https://klasma.github.io/Logging_0883/klagomålsmail/A 32653-2023 FSC-klagomål mail.docx", "A 32653-2023")</f>
        <v/>
      </c>
      <c r="X1054">
        <f>HYPERLINK("https://klasma.github.io/Logging_0883/tillsyn/A 32653-2023 tillsynsbegäran.docx", "A 32653-2023")</f>
        <v/>
      </c>
      <c r="Y1054">
        <f>HYPERLINK("https://klasma.github.io/Logging_0883/tillsynsmail/A 32653-2023 tillsynsbegäran mail.docx", "A 32653-2023")</f>
        <v/>
      </c>
    </row>
    <row r="1055" ht="15" customHeight="1">
      <c r="A1055" t="inlineStr">
        <is>
          <t>A 32985-2023</t>
        </is>
      </c>
      <c r="B1055" s="1" t="n">
        <v>45125</v>
      </c>
      <c r="C1055" s="1" t="n">
        <v>45832</v>
      </c>
      <c r="D1055" t="inlineStr">
        <is>
          <t>KALMAR LÄN</t>
        </is>
      </c>
      <c r="E1055" t="inlineStr">
        <is>
          <t>VIMMERBY</t>
        </is>
      </c>
      <c r="G1055" t="n">
        <v>1.9</v>
      </c>
      <c r="H1055" t="n">
        <v>0</v>
      </c>
      <c r="I1055" t="n">
        <v>0</v>
      </c>
      <c r="J1055" t="n">
        <v>0</v>
      </c>
      <c r="K1055" t="n">
        <v>0</v>
      </c>
      <c r="L1055" t="n">
        <v>1</v>
      </c>
      <c r="M1055" t="n">
        <v>0</v>
      </c>
      <c r="N1055" t="n">
        <v>0</v>
      </c>
      <c r="O1055" t="n">
        <v>1</v>
      </c>
      <c r="P1055" t="n">
        <v>1</v>
      </c>
      <c r="Q1055" t="n">
        <v>1</v>
      </c>
      <c r="R1055" s="2" t="inlineStr">
        <is>
          <t>Ryl</t>
        </is>
      </c>
      <c r="S1055">
        <f>HYPERLINK("https://klasma.github.io/Logging_0884/artfynd/A 32985-2023 artfynd.xlsx", "A 32985-2023")</f>
        <v/>
      </c>
      <c r="T1055">
        <f>HYPERLINK("https://klasma.github.io/Logging_0884/kartor/A 32985-2023 karta.png", "A 32985-2023")</f>
        <v/>
      </c>
      <c r="V1055">
        <f>HYPERLINK("https://klasma.github.io/Logging_0884/klagomål/A 32985-2023 FSC-klagomål.docx", "A 32985-2023")</f>
        <v/>
      </c>
      <c r="W1055">
        <f>HYPERLINK("https://klasma.github.io/Logging_0884/klagomålsmail/A 32985-2023 FSC-klagomål mail.docx", "A 32985-2023")</f>
        <v/>
      </c>
      <c r="X1055">
        <f>HYPERLINK("https://klasma.github.io/Logging_0884/tillsyn/A 32985-2023 tillsynsbegäran.docx", "A 32985-2023")</f>
        <v/>
      </c>
      <c r="Y1055">
        <f>HYPERLINK("https://klasma.github.io/Logging_0884/tillsynsmail/A 32985-2023 tillsynsbegäran mail.docx", "A 32985-2023")</f>
        <v/>
      </c>
    </row>
    <row r="1056" ht="15" customHeight="1">
      <c r="A1056" t="inlineStr">
        <is>
          <t>A 33422-2023</t>
        </is>
      </c>
      <c r="B1056" s="1" t="n">
        <v>45128</v>
      </c>
      <c r="C1056" s="1" t="n">
        <v>45832</v>
      </c>
      <c r="D1056" t="inlineStr">
        <is>
          <t>KALMAR LÄN</t>
        </is>
      </c>
      <c r="E1056" t="inlineStr">
        <is>
          <t>NYBRO</t>
        </is>
      </c>
      <c r="G1056" t="n">
        <v>7.2</v>
      </c>
      <c r="H1056" t="n">
        <v>0</v>
      </c>
      <c r="I1056" t="n">
        <v>1</v>
      </c>
      <c r="J1056" t="n">
        <v>0</v>
      </c>
      <c r="K1056" t="n">
        <v>0</v>
      </c>
      <c r="L1056" t="n">
        <v>0</v>
      </c>
      <c r="M1056" t="n">
        <v>0</v>
      </c>
      <c r="N1056" t="n">
        <v>0</v>
      </c>
      <c r="O1056" t="n">
        <v>0</v>
      </c>
      <c r="P1056" t="n">
        <v>0</v>
      </c>
      <c r="Q1056" t="n">
        <v>1</v>
      </c>
      <c r="R1056" s="2" t="inlineStr">
        <is>
          <t>Murgröna</t>
        </is>
      </c>
      <c r="S1056">
        <f>HYPERLINK("https://klasma.github.io/Logging_0881/artfynd/A 33422-2023 artfynd.xlsx", "A 33422-2023")</f>
        <v/>
      </c>
      <c r="T1056">
        <f>HYPERLINK("https://klasma.github.io/Logging_0881/kartor/A 33422-2023 karta.png", "A 33422-2023")</f>
        <v/>
      </c>
      <c r="V1056">
        <f>HYPERLINK("https://klasma.github.io/Logging_0881/klagomål/A 33422-2023 FSC-klagomål.docx", "A 33422-2023")</f>
        <v/>
      </c>
      <c r="W1056">
        <f>HYPERLINK("https://klasma.github.io/Logging_0881/klagomålsmail/A 33422-2023 FSC-klagomål mail.docx", "A 33422-2023")</f>
        <v/>
      </c>
      <c r="X1056">
        <f>HYPERLINK("https://klasma.github.io/Logging_0881/tillsyn/A 33422-2023 tillsynsbegäran.docx", "A 33422-2023")</f>
        <v/>
      </c>
      <c r="Y1056">
        <f>HYPERLINK("https://klasma.github.io/Logging_0881/tillsynsmail/A 33422-2023 tillsynsbegäran mail.docx", "A 33422-2023")</f>
        <v/>
      </c>
    </row>
    <row r="1057" ht="15" customHeight="1">
      <c r="A1057" t="inlineStr">
        <is>
          <t>A 33816-2023</t>
        </is>
      </c>
      <c r="B1057" s="1" t="n">
        <v>45133</v>
      </c>
      <c r="C1057" s="1" t="n">
        <v>45832</v>
      </c>
      <c r="D1057" t="inlineStr">
        <is>
          <t>KALMAR LÄN</t>
        </is>
      </c>
      <c r="E1057" t="inlineStr">
        <is>
          <t>VÄSTERVIK</t>
        </is>
      </c>
      <c r="G1057" t="n">
        <v>4.9</v>
      </c>
      <c r="H1057" t="n">
        <v>0</v>
      </c>
      <c r="I1057" t="n">
        <v>0</v>
      </c>
      <c r="J1057" t="n">
        <v>1</v>
      </c>
      <c r="K1057" t="n">
        <v>0</v>
      </c>
      <c r="L1057" t="n">
        <v>0</v>
      </c>
      <c r="M1057" t="n">
        <v>0</v>
      </c>
      <c r="N1057" t="n">
        <v>0</v>
      </c>
      <c r="O1057" t="n">
        <v>1</v>
      </c>
      <c r="P1057" t="n">
        <v>0</v>
      </c>
      <c r="Q1057" t="n">
        <v>1</v>
      </c>
      <c r="R1057" s="2" t="inlineStr">
        <is>
          <t>Tallticka</t>
        </is>
      </c>
      <c r="S1057">
        <f>HYPERLINK("https://klasma.github.io/Logging_0883/artfynd/A 33816-2023 artfynd.xlsx", "A 33816-2023")</f>
        <v/>
      </c>
      <c r="T1057">
        <f>HYPERLINK("https://klasma.github.io/Logging_0883/kartor/A 33816-2023 karta.png", "A 33816-2023")</f>
        <v/>
      </c>
      <c r="V1057">
        <f>HYPERLINK("https://klasma.github.io/Logging_0883/klagomål/A 33816-2023 FSC-klagomål.docx", "A 33816-2023")</f>
        <v/>
      </c>
      <c r="W1057">
        <f>HYPERLINK("https://klasma.github.io/Logging_0883/klagomålsmail/A 33816-2023 FSC-klagomål mail.docx", "A 33816-2023")</f>
        <v/>
      </c>
      <c r="X1057">
        <f>HYPERLINK("https://klasma.github.io/Logging_0883/tillsyn/A 33816-2023 tillsynsbegäran.docx", "A 33816-2023")</f>
        <v/>
      </c>
      <c r="Y1057">
        <f>HYPERLINK("https://klasma.github.io/Logging_0883/tillsynsmail/A 33816-2023 tillsynsbegäran mail.docx", "A 33816-2023")</f>
        <v/>
      </c>
    </row>
    <row r="1058" ht="15" customHeight="1">
      <c r="A1058" t="inlineStr">
        <is>
          <t>A 33815-2023</t>
        </is>
      </c>
      <c r="B1058" s="1" t="n">
        <v>45133</v>
      </c>
      <c r="C1058" s="1" t="n">
        <v>45832</v>
      </c>
      <c r="D1058" t="inlineStr">
        <is>
          <t>KALMAR LÄN</t>
        </is>
      </c>
      <c r="E1058" t="inlineStr">
        <is>
          <t>VÄSTERVIK</t>
        </is>
      </c>
      <c r="G1058" t="n">
        <v>3.4</v>
      </c>
      <c r="H1058" t="n">
        <v>0</v>
      </c>
      <c r="I1058" t="n">
        <v>1</v>
      </c>
      <c r="J1058" t="n">
        <v>0</v>
      </c>
      <c r="K1058" t="n">
        <v>0</v>
      </c>
      <c r="L1058" t="n">
        <v>0</v>
      </c>
      <c r="M1058" t="n">
        <v>0</v>
      </c>
      <c r="N1058" t="n">
        <v>0</v>
      </c>
      <c r="O1058" t="n">
        <v>0</v>
      </c>
      <c r="P1058" t="n">
        <v>0</v>
      </c>
      <c r="Q1058" t="n">
        <v>1</v>
      </c>
      <c r="R1058" s="2" t="inlineStr">
        <is>
          <t>Grönpyrola</t>
        </is>
      </c>
      <c r="S1058">
        <f>HYPERLINK("https://klasma.github.io/Logging_0883/artfynd/A 33815-2023 artfynd.xlsx", "A 33815-2023")</f>
        <v/>
      </c>
      <c r="T1058">
        <f>HYPERLINK("https://klasma.github.io/Logging_0883/kartor/A 33815-2023 karta.png", "A 33815-2023")</f>
        <v/>
      </c>
      <c r="V1058">
        <f>HYPERLINK("https://klasma.github.io/Logging_0883/klagomål/A 33815-2023 FSC-klagomål.docx", "A 33815-2023")</f>
        <v/>
      </c>
      <c r="W1058">
        <f>HYPERLINK("https://klasma.github.io/Logging_0883/klagomålsmail/A 33815-2023 FSC-klagomål mail.docx", "A 33815-2023")</f>
        <v/>
      </c>
      <c r="X1058">
        <f>HYPERLINK("https://klasma.github.io/Logging_0883/tillsyn/A 33815-2023 tillsynsbegäran.docx", "A 33815-2023")</f>
        <v/>
      </c>
      <c r="Y1058">
        <f>HYPERLINK("https://klasma.github.io/Logging_0883/tillsynsmail/A 33815-2023 tillsynsbegäran mail.docx", "A 33815-2023")</f>
        <v/>
      </c>
    </row>
    <row r="1059" ht="15" customHeight="1">
      <c r="A1059" t="inlineStr">
        <is>
          <t>A 34563-2023</t>
        </is>
      </c>
      <c r="B1059" s="1" t="n">
        <v>45140</v>
      </c>
      <c r="C1059" s="1" t="n">
        <v>45832</v>
      </c>
      <c r="D1059" t="inlineStr">
        <is>
          <t>KALMAR LÄN</t>
        </is>
      </c>
      <c r="E1059" t="inlineStr">
        <is>
          <t>VÄSTERVIK</t>
        </is>
      </c>
      <c r="G1059" t="n">
        <v>1.4</v>
      </c>
      <c r="H1059" t="n">
        <v>0</v>
      </c>
      <c r="I1059" t="n">
        <v>1</v>
      </c>
      <c r="J1059" t="n">
        <v>0</v>
      </c>
      <c r="K1059" t="n">
        <v>0</v>
      </c>
      <c r="L1059" t="n">
        <v>0</v>
      </c>
      <c r="M1059" t="n">
        <v>0</v>
      </c>
      <c r="N1059" t="n">
        <v>0</v>
      </c>
      <c r="O1059" t="n">
        <v>0</v>
      </c>
      <c r="P1059" t="n">
        <v>0</v>
      </c>
      <c r="Q1059" t="n">
        <v>1</v>
      </c>
      <c r="R1059" s="2" t="inlineStr">
        <is>
          <t>Fjällig taggsvamp s.str.</t>
        </is>
      </c>
      <c r="S1059">
        <f>HYPERLINK("https://klasma.github.io/Logging_0883/artfynd/A 34563-2023 artfynd.xlsx", "A 34563-2023")</f>
        <v/>
      </c>
      <c r="T1059">
        <f>HYPERLINK("https://klasma.github.io/Logging_0883/kartor/A 34563-2023 karta.png", "A 34563-2023")</f>
        <v/>
      </c>
      <c r="U1059">
        <f>HYPERLINK("https://klasma.github.io/Logging_0883/knärot/A 34563-2023 karta knärot.png", "A 34563-2023")</f>
        <v/>
      </c>
      <c r="V1059">
        <f>HYPERLINK("https://klasma.github.io/Logging_0883/klagomål/A 34563-2023 FSC-klagomål.docx", "A 34563-2023")</f>
        <v/>
      </c>
      <c r="W1059">
        <f>HYPERLINK("https://klasma.github.io/Logging_0883/klagomålsmail/A 34563-2023 FSC-klagomål mail.docx", "A 34563-2023")</f>
        <v/>
      </c>
      <c r="X1059">
        <f>HYPERLINK("https://klasma.github.io/Logging_0883/tillsyn/A 34563-2023 tillsynsbegäran.docx", "A 34563-2023")</f>
        <v/>
      </c>
      <c r="Y1059">
        <f>HYPERLINK("https://klasma.github.io/Logging_0883/tillsynsmail/A 34563-2023 tillsynsbegäran mail.docx", "A 34563-2023")</f>
        <v/>
      </c>
    </row>
    <row r="1060" ht="15" customHeight="1">
      <c r="A1060" t="inlineStr">
        <is>
          <t>A 35072-2023</t>
        </is>
      </c>
      <c r="B1060" s="1" t="n">
        <v>45145</v>
      </c>
      <c r="C1060" s="1" t="n">
        <v>45832</v>
      </c>
      <c r="D1060" t="inlineStr">
        <is>
          <t>KALMAR LÄN</t>
        </is>
      </c>
      <c r="E1060" t="inlineStr">
        <is>
          <t>HÖGSBY</t>
        </is>
      </c>
      <c r="G1060" t="n">
        <v>1.3</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35072-2023 artfynd.xlsx", "A 35072-2023")</f>
        <v/>
      </c>
      <c r="T1060">
        <f>HYPERLINK("https://klasma.github.io/Logging_0821/kartor/A 35072-2023 karta.png", "A 35072-2023")</f>
        <v/>
      </c>
      <c r="V1060">
        <f>HYPERLINK("https://klasma.github.io/Logging_0821/klagomål/A 35072-2023 FSC-klagomål.docx", "A 35072-2023")</f>
        <v/>
      </c>
      <c r="W1060">
        <f>HYPERLINK("https://klasma.github.io/Logging_0821/klagomålsmail/A 35072-2023 FSC-klagomål mail.docx", "A 35072-2023")</f>
        <v/>
      </c>
      <c r="X1060">
        <f>HYPERLINK("https://klasma.github.io/Logging_0821/tillsyn/A 35072-2023 tillsynsbegäran.docx", "A 35072-2023")</f>
        <v/>
      </c>
      <c r="Y1060">
        <f>HYPERLINK("https://klasma.github.io/Logging_0821/tillsynsmail/A 35072-2023 tillsynsbegäran mail.docx", "A 35072-2023")</f>
        <v/>
      </c>
    </row>
    <row r="1061" ht="15" customHeight="1">
      <c r="A1061" t="inlineStr">
        <is>
          <t>A 35075-2023</t>
        </is>
      </c>
      <c r="B1061" s="1" t="n">
        <v>45145</v>
      </c>
      <c r="C1061" s="1" t="n">
        <v>45832</v>
      </c>
      <c r="D1061" t="inlineStr">
        <is>
          <t>KALMAR LÄN</t>
        </is>
      </c>
      <c r="E1061" t="inlineStr">
        <is>
          <t>HÖGSBY</t>
        </is>
      </c>
      <c r="G1061" t="n">
        <v>0.7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35075-2023 artfynd.xlsx", "A 35075-2023")</f>
        <v/>
      </c>
      <c r="T1061">
        <f>HYPERLINK("https://klasma.github.io/Logging_0821/kartor/A 35075-2023 karta.png", "A 35075-2023")</f>
        <v/>
      </c>
      <c r="V1061">
        <f>HYPERLINK("https://klasma.github.io/Logging_0821/klagomål/A 35075-2023 FSC-klagomål.docx", "A 35075-2023")</f>
        <v/>
      </c>
      <c r="W1061">
        <f>HYPERLINK("https://klasma.github.io/Logging_0821/klagomålsmail/A 35075-2023 FSC-klagomål mail.docx", "A 35075-2023")</f>
        <v/>
      </c>
      <c r="X1061">
        <f>HYPERLINK("https://klasma.github.io/Logging_0821/tillsyn/A 35075-2023 tillsynsbegäran.docx", "A 35075-2023")</f>
        <v/>
      </c>
      <c r="Y1061">
        <f>HYPERLINK("https://klasma.github.io/Logging_0821/tillsynsmail/A 35075-2023 tillsynsbegäran mail.docx", "A 35075-2023")</f>
        <v/>
      </c>
    </row>
    <row r="1062" ht="15" customHeight="1">
      <c r="A1062" t="inlineStr">
        <is>
          <t>A 35517-2023</t>
        </is>
      </c>
      <c r="B1062" s="1" t="n">
        <v>45147</v>
      </c>
      <c r="C1062" s="1" t="n">
        <v>45832</v>
      </c>
      <c r="D1062" t="inlineStr">
        <is>
          <t>KALMAR LÄN</t>
        </is>
      </c>
      <c r="E1062" t="inlineStr">
        <is>
          <t>HULTSFRED</t>
        </is>
      </c>
      <c r="G1062" t="n">
        <v>3.5</v>
      </c>
      <c r="H1062" t="n">
        <v>1</v>
      </c>
      <c r="I1062" t="n">
        <v>0</v>
      </c>
      <c r="J1062" t="n">
        <v>0</v>
      </c>
      <c r="K1062" t="n">
        <v>0</v>
      </c>
      <c r="L1062" t="n">
        <v>0</v>
      </c>
      <c r="M1062" t="n">
        <v>0</v>
      </c>
      <c r="N1062" t="n">
        <v>0</v>
      </c>
      <c r="O1062" t="n">
        <v>0</v>
      </c>
      <c r="P1062" t="n">
        <v>0</v>
      </c>
      <c r="Q1062" t="n">
        <v>1</v>
      </c>
      <c r="R1062" s="2" t="inlineStr">
        <is>
          <t>Revlummer</t>
        </is>
      </c>
      <c r="S1062">
        <f>HYPERLINK("https://klasma.github.io/Logging_0860/artfynd/A 35517-2023 artfynd.xlsx", "A 35517-2023")</f>
        <v/>
      </c>
      <c r="T1062">
        <f>HYPERLINK("https://klasma.github.io/Logging_0860/kartor/A 35517-2023 karta.png", "A 35517-2023")</f>
        <v/>
      </c>
      <c r="V1062">
        <f>HYPERLINK("https://klasma.github.io/Logging_0860/klagomål/A 35517-2023 FSC-klagomål.docx", "A 35517-2023")</f>
        <v/>
      </c>
      <c r="W1062">
        <f>HYPERLINK("https://klasma.github.io/Logging_0860/klagomålsmail/A 35517-2023 FSC-klagomål mail.docx", "A 35517-2023")</f>
        <v/>
      </c>
      <c r="X1062">
        <f>HYPERLINK("https://klasma.github.io/Logging_0860/tillsyn/A 35517-2023 tillsynsbegäran.docx", "A 35517-2023")</f>
        <v/>
      </c>
      <c r="Y1062">
        <f>HYPERLINK("https://klasma.github.io/Logging_0860/tillsynsmail/A 35517-2023 tillsynsbegäran mail.docx", "A 35517-2023")</f>
        <v/>
      </c>
    </row>
    <row r="1063" ht="15" customHeight="1">
      <c r="A1063" t="inlineStr">
        <is>
          <t>A 36400-2023</t>
        </is>
      </c>
      <c r="B1063" s="1" t="n">
        <v>45152</v>
      </c>
      <c r="C1063" s="1" t="n">
        <v>45832</v>
      </c>
      <c r="D1063" t="inlineStr">
        <is>
          <t>KALMAR LÄN</t>
        </is>
      </c>
      <c r="E1063" t="inlineStr">
        <is>
          <t>VÄSTERVIK</t>
        </is>
      </c>
      <c r="G1063" t="n">
        <v>1.4</v>
      </c>
      <c r="H1063" t="n">
        <v>0</v>
      </c>
      <c r="I1063" t="n">
        <v>1</v>
      </c>
      <c r="J1063" t="n">
        <v>0</v>
      </c>
      <c r="K1063" t="n">
        <v>0</v>
      </c>
      <c r="L1063" t="n">
        <v>0</v>
      </c>
      <c r="M1063" t="n">
        <v>0</v>
      </c>
      <c r="N1063" t="n">
        <v>0</v>
      </c>
      <c r="O1063" t="n">
        <v>0</v>
      </c>
      <c r="P1063" t="n">
        <v>0</v>
      </c>
      <c r="Q1063" t="n">
        <v>1</v>
      </c>
      <c r="R1063" s="2" t="inlineStr">
        <is>
          <t>Fjällig taggsvamp s.str.</t>
        </is>
      </c>
      <c r="S1063">
        <f>HYPERLINK("https://klasma.github.io/Logging_0883/artfynd/A 36400-2023 artfynd.xlsx", "A 36400-2023")</f>
        <v/>
      </c>
      <c r="T1063">
        <f>HYPERLINK("https://klasma.github.io/Logging_0883/kartor/A 36400-2023 karta.png", "A 36400-2023")</f>
        <v/>
      </c>
      <c r="U1063">
        <f>HYPERLINK("https://klasma.github.io/Logging_0883/knärot/A 36400-2023 karta knärot.png", "A 36400-2023")</f>
        <v/>
      </c>
      <c r="V1063">
        <f>HYPERLINK("https://klasma.github.io/Logging_0883/klagomål/A 36400-2023 FSC-klagomål.docx", "A 36400-2023")</f>
        <v/>
      </c>
      <c r="W1063">
        <f>HYPERLINK("https://klasma.github.io/Logging_0883/klagomålsmail/A 36400-2023 FSC-klagomål mail.docx", "A 36400-2023")</f>
        <v/>
      </c>
      <c r="X1063">
        <f>HYPERLINK("https://klasma.github.io/Logging_0883/tillsyn/A 36400-2023 tillsynsbegäran.docx", "A 36400-2023")</f>
        <v/>
      </c>
      <c r="Y1063">
        <f>HYPERLINK("https://klasma.github.io/Logging_0883/tillsynsmail/A 36400-2023 tillsynsbegäran mail.docx", "A 36400-2023")</f>
        <v/>
      </c>
    </row>
    <row r="1064" ht="15" customHeight="1">
      <c r="A1064" t="inlineStr">
        <is>
          <t>A 37161-2023</t>
        </is>
      </c>
      <c r="B1064" s="1" t="n">
        <v>45155</v>
      </c>
      <c r="C1064" s="1" t="n">
        <v>45832</v>
      </c>
      <c r="D1064" t="inlineStr">
        <is>
          <t>KALMAR LÄN</t>
        </is>
      </c>
      <c r="E1064" t="inlineStr">
        <is>
          <t>TORSÅS</t>
        </is>
      </c>
      <c r="G1064" t="n">
        <v>8.699999999999999</v>
      </c>
      <c r="H1064" t="n">
        <v>0</v>
      </c>
      <c r="I1064" t="n">
        <v>1</v>
      </c>
      <c r="J1064" t="n">
        <v>0</v>
      </c>
      <c r="K1064" t="n">
        <v>0</v>
      </c>
      <c r="L1064" t="n">
        <v>0</v>
      </c>
      <c r="M1064" t="n">
        <v>0</v>
      </c>
      <c r="N1064" t="n">
        <v>0</v>
      </c>
      <c r="O1064" t="n">
        <v>0</v>
      </c>
      <c r="P1064" t="n">
        <v>0</v>
      </c>
      <c r="Q1064" t="n">
        <v>1</v>
      </c>
      <c r="R1064" s="2" t="inlineStr">
        <is>
          <t>Gulnål</t>
        </is>
      </c>
      <c r="S1064">
        <f>HYPERLINK("https://klasma.github.io/Logging_0834/artfynd/A 37161-2023 artfynd.xlsx", "A 37161-2023")</f>
        <v/>
      </c>
      <c r="T1064">
        <f>HYPERLINK("https://klasma.github.io/Logging_0834/kartor/A 37161-2023 karta.png", "A 37161-2023")</f>
        <v/>
      </c>
      <c r="V1064">
        <f>HYPERLINK("https://klasma.github.io/Logging_0834/klagomål/A 37161-2023 FSC-klagomål.docx", "A 37161-2023")</f>
        <v/>
      </c>
      <c r="W1064">
        <f>HYPERLINK("https://klasma.github.io/Logging_0834/klagomålsmail/A 37161-2023 FSC-klagomål mail.docx", "A 37161-2023")</f>
        <v/>
      </c>
      <c r="X1064">
        <f>HYPERLINK("https://klasma.github.io/Logging_0834/tillsyn/A 37161-2023 tillsynsbegäran.docx", "A 37161-2023")</f>
        <v/>
      </c>
      <c r="Y1064">
        <f>HYPERLINK("https://klasma.github.io/Logging_0834/tillsynsmail/A 37161-2023 tillsynsbegäran mail.docx", "A 37161-2023")</f>
        <v/>
      </c>
    </row>
    <row r="1065" ht="15" customHeight="1">
      <c r="A1065" t="inlineStr">
        <is>
          <t>A 37330-2023</t>
        </is>
      </c>
      <c r="B1065" s="1" t="n">
        <v>45156</v>
      </c>
      <c r="C1065" s="1" t="n">
        <v>45832</v>
      </c>
      <c r="D1065" t="inlineStr">
        <is>
          <t>KALMAR LÄN</t>
        </is>
      </c>
      <c r="E1065" t="inlineStr">
        <is>
          <t>HULTSFRED</t>
        </is>
      </c>
      <c r="G1065" t="n">
        <v>2.6</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37330-2023 artfynd.xlsx", "A 37330-2023")</f>
        <v/>
      </c>
      <c r="T1065">
        <f>HYPERLINK("https://klasma.github.io/Logging_0860/kartor/A 37330-2023 karta.png", "A 37330-2023")</f>
        <v/>
      </c>
      <c r="U1065">
        <f>HYPERLINK("https://klasma.github.io/Logging_0860/knärot/A 37330-2023 karta knärot.png", "A 37330-2023")</f>
        <v/>
      </c>
      <c r="V1065">
        <f>HYPERLINK("https://klasma.github.io/Logging_0860/klagomål/A 37330-2023 FSC-klagomål.docx", "A 37330-2023")</f>
        <v/>
      </c>
      <c r="W1065">
        <f>HYPERLINK("https://klasma.github.io/Logging_0860/klagomålsmail/A 37330-2023 FSC-klagomål mail.docx", "A 37330-2023")</f>
        <v/>
      </c>
      <c r="X1065">
        <f>HYPERLINK("https://klasma.github.io/Logging_0860/tillsyn/A 37330-2023 tillsynsbegäran.docx", "A 37330-2023")</f>
        <v/>
      </c>
      <c r="Y1065">
        <f>HYPERLINK("https://klasma.github.io/Logging_0860/tillsynsmail/A 37330-2023 tillsynsbegäran mail.docx", "A 37330-2023")</f>
        <v/>
      </c>
    </row>
    <row r="1066" ht="15" customHeight="1">
      <c r="A1066" t="inlineStr">
        <is>
          <t>A 38119-2023</t>
        </is>
      </c>
      <c r="B1066" s="1" t="n">
        <v>45161</v>
      </c>
      <c r="C1066" s="1" t="n">
        <v>45832</v>
      </c>
      <c r="D1066" t="inlineStr">
        <is>
          <t>KALMAR LÄN</t>
        </is>
      </c>
      <c r="E1066" t="inlineStr">
        <is>
          <t>EMMABODA</t>
        </is>
      </c>
      <c r="F1066" t="inlineStr">
        <is>
          <t>Kommuner</t>
        </is>
      </c>
      <c r="G1066" t="n">
        <v>1.5</v>
      </c>
      <c r="H1066" t="n">
        <v>0</v>
      </c>
      <c r="I1066" t="n">
        <v>0</v>
      </c>
      <c r="J1066" t="n">
        <v>1</v>
      </c>
      <c r="K1066" t="n">
        <v>0</v>
      </c>
      <c r="L1066" t="n">
        <v>0</v>
      </c>
      <c r="M1066" t="n">
        <v>0</v>
      </c>
      <c r="N1066" t="n">
        <v>0</v>
      </c>
      <c r="O1066" t="n">
        <v>1</v>
      </c>
      <c r="P1066" t="n">
        <v>0</v>
      </c>
      <c r="Q1066" t="n">
        <v>1</v>
      </c>
      <c r="R1066" s="2" t="inlineStr">
        <is>
          <t>Åkerkål</t>
        </is>
      </c>
      <c r="S1066">
        <f>HYPERLINK("https://klasma.github.io/Logging_0862/artfynd/A 38119-2023 artfynd.xlsx", "A 38119-2023")</f>
        <v/>
      </c>
      <c r="T1066">
        <f>HYPERLINK("https://klasma.github.io/Logging_0862/kartor/A 38119-2023 karta.png", "A 38119-2023")</f>
        <v/>
      </c>
      <c r="V1066">
        <f>HYPERLINK("https://klasma.github.io/Logging_0862/klagomål/A 38119-2023 FSC-klagomål.docx", "A 38119-2023")</f>
        <v/>
      </c>
      <c r="W1066">
        <f>HYPERLINK("https://klasma.github.io/Logging_0862/klagomålsmail/A 38119-2023 FSC-klagomål mail.docx", "A 38119-2023")</f>
        <v/>
      </c>
      <c r="X1066">
        <f>HYPERLINK("https://klasma.github.io/Logging_0862/tillsyn/A 38119-2023 tillsynsbegäran.docx", "A 38119-2023")</f>
        <v/>
      </c>
      <c r="Y1066">
        <f>HYPERLINK("https://klasma.github.io/Logging_0862/tillsynsmail/A 38119-2023 tillsynsbegäran mail.docx", "A 38119-2023")</f>
        <v/>
      </c>
    </row>
    <row r="1067" ht="15" customHeight="1">
      <c r="A1067" t="inlineStr">
        <is>
          <t>A 38513-2023</t>
        </is>
      </c>
      <c r="B1067" s="1" t="n">
        <v>45162</v>
      </c>
      <c r="C1067" s="1" t="n">
        <v>45832</v>
      </c>
      <c r="D1067" t="inlineStr">
        <is>
          <t>KALMAR LÄN</t>
        </is>
      </c>
      <c r="E1067" t="inlineStr">
        <is>
          <t>HÖGSBY</t>
        </is>
      </c>
      <c r="G1067" t="n">
        <v>4.1</v>
      </c>
      <c r="H1067" t="n">
        <v>0</v>
      </c>
      <c r="I1067" t="n">
        <v>0</v>
      </c>
      <c r="J1067" t="n">
        <v>1</v>
      </c>
      <c r="K1067" t="n">
        <v>0</v>
      </c>
      <c r="L1067" t="n">
        <v>0</v>
      </c>
      <c r="M1067" t="n">
        <v>0</v>
      </c>
      <c r="N1067" t="n">
        <v>0</v>
      </c>
      <c r="O1067" t="n">
        <v>1</v>
      </c>
      <c r="P1067" t="n">
        <v>0</v>
      </c>
      <c r="Q1067" t="n">
        <v>1</v>
      </c>
      <c r="R1067" s="2" t="inlineStr">
        <is>
          <t>Backklöver</t>
        </is>
      </c>
      <c r="S1067">
        <f>HYPERLINK("https://klasma.github.io/Logging_0821/artfynd/A 38513-2023 artfynd.xlsx", "A 38513-2023")</f>
        <v/>
      </c>
      <c r="T1067">
        <f>HYPERLINK("https://klasma.github.io/Logging_0821/kartor/A 38513-2023 karta.png", "A 38513-2023")</f>
        <v/>
      </c>
      <c r="V1067">
        <f>HYPERLINK("https://klasma.github.io/Logging_0821/klagomål/A 38513-2023 FSC-klagomål.docx", "A 38513-2023")</f>
        <v/>
      </c>
      <c r="W1067">
        <f>HYPERLINK("https://klasma.github.io/Logging_0821/klagomålsmail/A 38513-2023 FSC-klagomål mail.docx", "A 38513-2023")</f>
        <v/>
      </c>
      <c r="X1067">
        <f>HYPERLINK("https://klasma.github.io/Logging_0821/tillsyn/A 38513-2023 tillsynsbegäran.docx", "A 38513-2023")</f>
        <v/>
      </c>
      <c r="Y1067">
        <f>HYPERLINK("https://klasma.github.io/Logging_0821/tillsynsmail/A 38513-2023 tillsynsbegäran mail.docx", "A 38513-2023")</f>
        <v/>
      </c>
    </row>
    <row r="1068" ht="15" customHeight="1">
      <c r="A1068" t="inlineStr">
        <is>
          <t>A 38813-2023</t>
        </is>
      </c>
      <c r="B1068" s="1" t="n">
        <v>45163</v>
      </c>
      <c r="C1068" s="1" t="n">
        <v>45832</v>
      </c>
      <c r="D1068" t="inlineStr">
        <is>
          <t>KALMAR LÄN</t>
        </is>
      </c>
      <c r="E1068" t="inlineStr">
        <is>
          <t>EMMABODA</t>
        </is>
      </c>
      <c r="G1068" t="n">
        <v>4.8</v>
      </c>
      <c r="H1068" t="n">
        <v>0</v>
      </c>
      <c r="I1068" t="n">
        <v>1</v>
      </c>
      <c r="J1068" t="n">
        <v>0</v>
      </c>
      <c r="K1068" t="n">
        <v>0</v>
      </c>
      <c r="L1068" t="n">
        <v>0</v>
      </c>
      <c r="M1068" t="n">
        <v>0</v>
      </c>
      <c r="N1068" t="n">
        <v>0</v>
      </c>
      <c r="O1068" t="n">
        <v>0</v>
      </c>
      <c r="P1068" t="n">
        <v>0</v>
      </c>
      <c r="Q1068" t="n">
        <v>1</v>
      </c>
      <c r="R1068" s="2" t="inlineStr">
        <is>
          <t>Grönpyrola</t>
        </is>
      </c>
      <c r="S1068">
        <f>HYPERLINK("https://klasma.github.io/Logging_0862/artfynd/A 38813-2023 artfynd.xlsx", "A 38813-2023")</f>
        <v/>
      </c>
      <c r="T1068">
        <f>HYPERLINK("https://klasma.github.io/Logging_0862/kartor/A 38813-2023 karta.png", "A 38813-2023")</f>
        <v/>
      </c>
      <c r="V1068">
        <f>HYPERLINK("https://klasma.github.io/Logging_0862/klagomål/A 38813-2023 FSC-klagomål.docx", "A 38813-2023")</f>
        <v/>
      </c>
      <c r="W1068">
        <f>HYPERLINK("https://klasma.github.io/Logging_0862/klagomålsmail/A 38813-2023 FSC-klagomål mail.docx", "A 38813-2023")</f>
        <v/>
      </c>
      <c r="X1068">
        <f>HYPERLINK("https://klasma.github.io/Logging_0862/tillsyn/A 38813-2023 tillsynsbegäran.docx", "A 38813-2023")</f>
        <v/>
      </c>
      <c r="Y1068">
        <f>HYPERLINK("https://klasma.github.io/Logging_0862/tillsynsmail/A 38813-2023 tillsynsbegäran mail.docx", "A 38813-2023")</f>
        <v/>
      </c>
    </row>
    <row r="1069" ht="15" customHeight="1">
      <c r="A1069" t="inlineStr">
        <is>
          <t>A 39745-2023</t>
        </is>
      </c>
      <c r="B1069" s="1" t="n">
        <v>45167</v>
      </c>
      <c r="C1069" s="1" t="n">
        <v>45832</v>
      </c>
      <c r="D1069" t="inlineStr">
        <is>
          <t>KALMAR LÄN</t>
        </is>
      </c>
      <c r="E1069" t="inlineStr">
        <is>
          <t>KALMAR</t>
        </is>
      </c>
      <c r="G1069" t="n">
        <v>1.3</v>
      </c>
      <c r="H1069" t="n">
        <v>0</v>
      </c>
      <c r="I1069" t="n">
        <v>1</v>
      </c>
      <c r="J1069" t="n">
        <v>0</v>
      </c>
      <c r="K1069" t="n">
        <v>0</v>
      </c>
      <c r="L1069" t="n">
        <v>0</v>
      </c>
      <c r="M1069" t="n">
        <v>0</v>
      </c>
      <c r="N1069" t="n">
        <v>0</v>
      </c>
      <c r="O1069" t="n">
        <v>0</v>
      </c>
      <c r="P1069" t="n">
        <v>0</v>
      </c>
      <c r="Q1069" t="n">
        <v>1</v>
      </c>
      <c r="R1069" s="2" t="inlineStr">
        <is>
          <t>Murgröna</t>
        </is>
      </c>
      <c r="S1069">
        <f>HYPERLINK("https://klasma.github.io/Logging_0880/artfynd/A 39745-2023 artfynd.xlsx", "A 39745-2023")</f>
        <v/>
      </c>
      <c r="T1069">
        <f>HYPERLINK("https://klasma.github.io/Logging_0880/kartor/A 39745-2023 karta.png", "A 39745-2023")</f>
        <v/>
      </c>
      <c r="V1069">
        <f>HYPERLINK("https://klasma.github.io/Logging_0880/klagomål/A 39745-2023 FSC-klagomål.docx", "A 39745-2023")</f>
        <v/>
      </c>
      <c r="W1069">
        <f>HYPERLINK("https://klasma.github.io/Logging_0880/klagomålsmail/A 39745-2023 FSC-klagomål mail.docx", "A 39745-2023")</f>
        <v/>
      </c>
      <c r="X1069">
        <f>HYPERLINK("https://klasma.github.io/Logging_0880/tillsyn/A 39745-2023 tillsynsbegäran.docx", "A 39745-2023")</f>
        <v/>
      </c>
      <c r="Y1069">
        <f>HYPERLINK("https://klasma.github.io/Logging_0880/tillsynsmail/A 39745-2023 tillsynsbegäran mail.docx", "A 39745-2023")</f>
        <v/>
      </c>
    </row>
    <row r="1070" ht="15" customHeight="1">
      <c r="A1070" t="inlineStr">
        <is>
          <t>A 40083-2023</t>
        </is>
      </c>
      <c r="B1070" s="1" t="n">
        <v>45168</v>
      </c>
      <c r="C1070" s="1" t="n">
        <v>45832</v>
      </c>
      <c r="D1070" t="inlineStr">
        <is>
          <t>KALMAR LÄN</t>
        </is>
      </c>
      <c r="E1070" t="inlineStr">
        <is>
          <t>VIMMERBY</t>
        </is>
      </c>
      <c r="G1070" t="n">
        <v>2.2</v>
      </c>
      <c r="H1070" t="n">
        <v>1</v>
      </c>
      <c r="I1070" t="n">
        <v>0</v>
      </c>
      <c r="J1070" t="n">
        <v>0</v>
      </c>
      <c r="K1070" t="n">
        <v>0</v>
      </c>
      <c r="L1070" t="n">
        <v>0</v>
      </c>
      <c r="M1070" t="n">
        <v>0</v>
      </c>
      <c r="N1070" t="n">
        <v>0</v>
      </c>
      <c r="O1070" t="n">
        <v>0</v>
      </c>
      <c r="P1070" t="n">
        <v>0</v>
      </c>
      <c r="Q1070" t="n">
        <v>1</v>
      </c>
      <c r="R1070" s="2" t="inlineStr">
        <is>
          <t>Revlummer</t>
        </is>
      </c>
      <c r="S1070">
        <f>HYPERLINK("https://klasma.github.io/Logging_0884/artfynd/A 40083-2023 artfynd.xlsx", "A 40083-2023")</f>
        <v/>
      </c>
      <c r="T1070">
        <f>HYPERLINK("https://klasma.github.io/Logging_0884/kartor/A 40083-2023 karta.png", "A 40083-2023")</f>
        <v/>
      </c>
      <c r="V1070">
        <f>HYPERLINK("https://klasma.github.io/Logging_0884/klagomål/A 40083-2023 FSC-klagomål.docx", "A 40083-2023")</f>
        <v/>
      </c>
      <c r="W1070">
        <f>HYPERLINK("https://klasma.github.io/Logging_0884/klagomålsmail/A 40083-2023 FSC-klagomål mail.docx", "A 40083-2023")</f>
        <v/>
      </c>
      <c r="X1070">
        <f>HYPERLINK("https://klasma.github.io/Logging_0884/tillsyn/A 40083-2023 tillsynsbegäran.docx", "A 40083-2023")</f>
        <v/>
      </c>
      <c r="Y1070">
        <f>HYPERLINK("https://klasma.github.io/Logging_0884/tillsynsmail/A 40083-2023 tillsynsbegäran mail.docx", "A 40083-2023")</f>
        <v/>
      </c>
    </row>
    <row r="1071" ht="15" customHeight="1">
      <c r="A1071" t="inlineStr">
        <is>
          <t>A 40084-2023</t>
        </is>
      </c>
      <c r="B1071" s="1" t="n">
        <v>45168</v>
      </c>
      <c r="C1071" s="1" t="n">
        <v>45832</v>
      </c>
      <c r="D1071" t="inlineStr">
        <is>
          <t>KALMAR LÄN</t>
        </is>
      </c>
      <c r="E1071" t="inlineStr">
        <is>
          <t>VIMMERBY</t>
        </is>
      </c>
      <c r="G1071" t="n">
        <v>1.3</v>
      </c>
      <c r="H1071" t="n">
        <v>1</v>
      </c>
      <c r="I1071" t="n">
        <v>0</v>
      </c>
      <c r="J1071" t="n">
        <v>1</v>
      </c>
      <c r="K1071" t="n">
        <v>0</v>
      </c>
      <c r="L1071" t="n">
        <v>0</v>
      </c>
      <c r="M1071" t="n">
        <v>0</v>
      </c>
      <c r="N1071" t="n">
        <v>0</v>
      </c>
      <c r="O1071" t="n">
        <v>1</v>
      </c>
      <c r="P1071" t="n">
        <v>0</v>
      </c>
      <c r="Q1071" t="n">
        <v>1</v>
      </c>
      <c r="R1071" s="2" t="inlineStr">
        <is>
          <t>Entita</t>
        </is>
      </c>
      <c r="S1071">
        <f>HYPERLINK("https://klasma.github.io/Logging_0884/artfynd/A 40084-2023 artfynd.xlsx", "A 40084-2023")</f>
        <v/>
      </c>
      <c r="T1071">
        <f>HYPERLINK("https://klasma.github.io/Logging_0884/kartor/A 40084-2023 karta.png", "A 40084-2023")</f>
        <v/>
      </c>
      <c r="V1071">
        <f>HYPERLINK("https://klasma.github.io/Logging_0884/klagomål/A 40084-2023 FSC-klagomål.docx", "A 40084-2023")</f>
        <v/>
      </c>
      <c r="W1071">
        <f>HYPERLINK("https://klasma.github.io/Logging_0884/klagomålsmail/A 40084-2023 FSC-klagomål mail.docx", "A 40084-2023")</f>
        <v/>
      </c>
      <c r="X1071">
        <f>HYPERLINK("https://klasma.github.io/Logging_0884/tillsyn/A 40084-2023 tillsynsbegäran.docx", "A 40084-2023")</f>
        <v/>
      </c>
      <c r="Y1071">
        <f>HYPERLINK("https://klasma.github.io/Logging_0884/tillsynsmail/A 40084-2023 tillsynsbegäran mail.docx", "A 40084-2023")</f>
        <v/>
      </c>
      <c r="Z1071">
        <f>HYPERLINK("https://klasma.github.io/Logging_0884/fåglar/A 40084-2023 prioriterade fågelarter.docx", "A 40084-2023")</f>
        <v/>
      </c>
    </row>
    <row r="1072" ht="15" customHeight="1">
      <c r="A1072" t="inlineStr">
        <is>
          <t>A 40256-2023</t>
        </is>
      </c>
      <c r="B1072" s="1" t="n">
        <v>45169</v>
      </c>
      <c r="C1072" s="1" t="n">
        <v>45832</v>
      </c>
      <c r="D1072" t="inlineStr">
        <is>
          <t>KALMAR LÄN</t>
        </is>
      </c>
      <c r="E1072" t="inlineStr">
        <is>
          <t>HULTSFRED</t>
        </is>
      </c>
      <c r="G1072" t="n">
        <v>2.2</v>
      </c>
      <c r="H1072" t="n">
        <v>1</v>
      </c>
      <c r="I1072" t="n">
        <v>0</v>
      </c>
      <c r="J1072" t="n">
        <v>0</v>
      </c>
      <c r="K1072" t="n">
        <v>1</v>
      </c>
      <c r="L1072" t="n">
        <v>0</v>
      </c>
      <c r="M1072" t="n">
        <v>0</v>
      </c>
      <c r="N1072" t="n">
        <v>0</v>
      </c>
      <c r="O1072" t="n">
        <v>1</v>
      </c>
      <c r="P1072" t="n">
        <v>1</v>
      </c>
      <c r="Q1072" t="n">
        <v>1</v>
      </c>
      <c r="R1072" s="2" t="inlineStr">
        <is>
          <t>Tofsvipa</t>
        </is>
      </c>
      <c r="S1072">
        <f>HYPERLINK("https://klasma.github.io/Logging_0860/artfynd/A 40256-2023 artfynd.xlsx", "A 40256-2023")</f>
        <v/>
      </c>
      <c r="T1072">
        <f>HYPERLINK("https://klasma.github.io/Logging_0860/kartor/A 40256-2023 karta.png", "A 40256-2023")</f>
        <v/>
      </c>
      <c r="V1072">
        <f>HYPERLINK("https://klasma.github.io/Logging_0860/klagomål/A 40256-2023 FSC-klagomål.docx", "A 40256-2023")</f>
        <v/>
      </c>
      <c r="W1072">
        <f>HYPERLINK("https://klasma.github.io/Logging_0860/klagomålsmail/A 40256-2023 FSC-klagomål mail.docx", "A 40256-2023")</f>
        <v/>
      </c>
      <c r="X1072">
        <f>HYPERLINK("https://klasma.github.io/Logging_0860/tillsyn/A 40256-2023 tillsynsbegäran.docx", "A 40256-2023")</f>
        <v/>
      </c>
      <c r="Y1072">
        <f>HYPERLINK("https://klasma.github.io/Logging_0860/tillsynsmail/A 40256-2023 tillsynsbegäran mail.docx", "A 40256-2023")</f>
        <v/>
      </c>
    </row>
    <row r="1073" ht="15" customHeight="1">
      <c r="A1073" t="inlineStr">
        <is>
          <t>A 41198-2023</t>
        </is>
      </c>
      <c r="B1073" s="1" t="n">
        <v>45174</v>
      </c>
      <c r="C1073" s="1" t="n">
        <v>45832</v>
      </c>
      <c r="D1073" t="inlineStr">
        <is>
          <t>KALMAR LÄN</t>
        </is>
      </c>
      <c r="E1073" t="inlineStr">
        <is>
          <t>MÖNSTERÅS</t>
        </is>
      </c>
      <c r="G1073" t="n">
        <v>3.5</v>
      </c>
      <c r="H1073" t="n">
        <v>1</v>
      </c>
      <c r="I1073" t="n">
        <v>0</v>
      </c>
      <c r="J1073" t="n">
        <v>0</v>
      </c>
      <c r="K1073" t="n">
        <v>0</v>
      </c>
      <c r="L1073" t="n">
        <v>0</v>
      </c>
      <c r="M1073" t="n">
        <v>0</v>
      </c>
      <c r="N1073" t="n">
        <v>0</v>
      </c>
      <c r="O1073" t="n">
        <v>0</v>
      </c>
      <c r="P1073" t="n">
        <v>0</v>
      </c>
      <c r="Q1073" t="n">
        <v>1</v>
      </c>
      <c r="R1073" s="2" t="inlineStr">
        <is>
          <t>Revlummer</t>
        </is>
      </c>
      <c r="S1073">
        <f>HYPERLINK("https://klasma.github.io/Logging_0861/artfynd/A 41198-2023 artfynd.xlsx", "A 41198-2023")</f>
        <v/>
      </c>
      <c r="T1073">
        <f>HYPERLINK("https://klasma.github.io/Logging_0861/kartor/A 41198-2023 karta.png", "A 41198-2023")</f>
        <v/>
      </c>
      <c r="V1073">
        <f>HYPERLINK("https://klasma.github.io/Logging_0861/klagomål/A 41198-2023 FSC-klagomål.docx", "A 41198-2023")</f>
        <v/>
      </c>
      <c r="W1073">
        <f>HYPERLINK("https://klasma.github.io/Logging_0861/klagomålsmail/A 41198-2023 FSC-klagomål mail.docx", "A 41198-2023")</f>
        <v/>
      </c>
      <c r="X1073">
        <f>HYPERLINK("https://klasma.github.io/Logging_0861/tillsyn/A 41198-2023 tillsynsbegäran.docx", "A 41198-2023")</f>
        <v/>
      </c>
      <c r="Y1073">
        <f>HYPERLINK("https://klasma.github.io/Logging_0861/tillsynsmail/A 41198-2023 tillsynsbegäran mail.docx", "A 41198-2023")</f>
        <v/>
      </c>
    </row>
    <row r="1074" ht="15" customHeight="1">
      <c r="A1074" t="inlineStr">
        <is>
          <t>A 41640-2023</t>
        </is>
      </c>
      <c r="B1074" s="1" t="n">
        <v>45175</v>
      </c>
      <c r="C1074" s="1" t="n">
        <v>45832</v>
      </c>
      <c r="D1074" t="inlineStr">
        <is>
          <t>KALMAR LÄN</t>
        </is>
      </c>
      <c r="E1074" t="inlineStr">
        <is>
          <t>BORGHOLM</t>
        </is>
      </c>
      <c r="G1074" t="n">
        <v>5</v>
      </c>
      <c r="H1074" t="n">
        <v>1</v>
      </c>
      <c r="I1074" t="n">
        <v>0</v>
      </c>
      <c r="J1074" t="n">
        <v>0</v>
      </c>
      <c r="K1074" t="n">
        <v>0</v>
      </c>
      <c r="L1074" t="n">
        <v>0</v>
      </c>
      <c r="M1074" t="n">
        <v>0</v>
      </c>
      <c r="N1074" t="n">
        <v>0</v>
      </c>
      <c r="O1074" t="n">
        <v>0</v>
      </c>
      <c r="P1074" t="n">
        <v>0</v>
      </c>
      <c r="Q1074" t="n">
        <v>1</v>
      </c>
      <c r="R1074" s="2" t="inlineStr">
        <is>
          <t>Johannesnycklar</t>
        </is>
      </c>
      <c r="S1074">
        <f>HYPERLINK("https://klasma.github.io/Logging_0885/artfynd/A 41640-2023 artfynd.xlsx", "A 41640-2023")</f>
        <v/>
      </c>
      <c r="T1074">
        <f>HYPERLINK("https://klasma.github.io/Logging_0885/kartor/A 41640-2023 karta.png", "A 41640-2023")</f>
        <v/>
      </c>
      <c r="V1074">
        <f>HYPERLINK("https://klasma.github.io/Logging_0885/klagomål/A 41640-2023 FSC-klagomål.docx", "A 41640-2023")</f>
        <v/>
      </c>
      <c r="W1074">
        <f>HYPERLINK("https://klasma.github.io/Logging_0885/klagomålsmail/A 41640-2023 FSC-klagomål mail.docx", "A 41640-2023")</f>
        <v/>
      </c>
      <c r="X1074">
        <f>HYPERLINK("https://klasma.github.io/Logging_0885/tillsyn/A 41640-2023 tillsynsbegäran.docx", "A 41640-2023")</f>
        <v/>
      </c>
      <c r="Y1074">
        <f>HYPERLINK("https://klasma.github.io/Logging_0885/tillsynsmail/A 41640-2023 tillsynsbegäran mail.docx", "A 41640-2023")</f>
        <v/>
      </c>
    </row>
    <row r="1075" ht="15" customHeight="1">
      <c r="A1075" t="inlineStr">
        <is>
          <t>A 42443-2023</t>
        </is>
      </c>
      <c r="B1075" s="1" t="n">
        <v>45175</v>
      </c>
      <c r="C1075" s="1" t="n">
        <v>45832</v>
      </c>
      <c r="D1075" t="inlineStr">
        <is>
          <t>KALMAR LÄN</t>
        </is>
      </c>
      <c r="E1075" t="inlineStr">
        <is>
          <t>OSKARSHAMN</t>
        </is>
      </c>
      <c r="G1075" t="n">
        <v>11.4</v>
      </c>
      <c r="H1075" t="n">
        <v>0</v>
      </c>
      <c r="I1075" t="n">
        <v>1</v>
      </c>
      <c r="J1075" t="n">
        <v>0</v>
      </c>
      <c r="K1075" t="n">
        <v>0</v>
      </c>
      <c r="L1075" t="n">
        <v>0</v>
      </c>
      <c r="M1075" t="n">
        <v>0</v>
      </c>
      <c r="N1075" t="n">
        <v>0</v>
      </c>
      <c r="O1075" t="n">
        <v>0</v>
      </c>
      <c r="P1075" t="n">
        <v>0</v>
      </c>
      <c r="Q1075" t="n">
        <v>1</v>
      </c>
      <c r="R1075" s="2" t="inlineStr">
        <is>
          <t>Blåmossa</t>
        </is>
      </c>
      <c r="S1075">
        <f>HYPERLINK("https://klasma.github.io/Logging_0882/artfynd/A 42443-2023 artfynd.xlsx", "A 42443-2023")</f>
        <v/>
      </c>
      <c r="T1075">
        <f>HYPERLINK("https://klasma.github.io/Logging_0882/kartor/A 42443-2023 karta.png", "A 42443-2023")</f>
        <v/>
      </c>
      <c r="V1075">
        <f>HYPERLINK("https://klasma.github.io/Logging_0882/klagomål/A 42443-2023 FSC-klagomål.docx", "A 42443-2023")</f>
        <v/>
      </c>
      <c r="W1075">
        <f>HYPERLINK("https://klasma.github.io/Logging_0882/klagomålsmail/A 42443-2023 FSC-klagomål mail.docx", "A 42443-2023")</f>
        <v/>
      </c>
      <c r="X1075">
        <f>HYPERLINK("https://klasma.github.io/Logging_0882/tillsyn/A 42443-2023 tillsynsbegäran.docx", "A 42443-2023")</f>
        <v/>
      </c>
      <c r="Y1075">
        <f>HYPERLINK("https://klasma.github.io/Logging_0882/tillsynsmail/A 42443-2023 tillsynsbegäran mail.docx", "A 42443-2023")</f>
        <v/>
      </c>
    </row>
    <row r="1076" ht="15" customHeight="1">
      <c r="A1076" t="inlineStr">
        <is>
          <t>A 42375-2023</t>
        </is>
      </c>
      <c r="B1076" s="1" t="n">
        <v>45175</v>
      </c>
      <c r="C1076" s="1" t="n">
        <v>45832</v>
      </c>
      <c r="D1076" t="inlineStr">
        <is>
          <t>KALMAR LÄN</t>
        </is>
      </c>
      <c r="E1076" t="inlineStr">
        <is>
          <t>HULTSFRED</t>
        </is>
      </c>
      <c r="G1076" t="n">
        <v>1.1</v>
      </c>
      <c r="H1076" t="n">
        <v>1</v>
      </c>
      <c r="I1076" t="n">
        <v>0</v>
      </c>
      <c r="J1076" t="n">
        <v>1</v>
      </c>
      <c r="K1076" t="n">
        <v>0</v>
      </c>
      <c r="L1076" t="n">
        <v>0</v>
      </c>
      <c r="M1076" t="n">
        <v>0</v>
      </c>
      <c r="N1076" t="n">
        <v>0</v>
      </c>
      <c r="O1076" t="n">
        <v>1</v>
      </c>
      <c r="P1076" t="n">
        <v>0</v>
      </c>
      <c r="Q1076" t="n">
        <v>1</v>
      </c>
      <c r="R1076" s="2" t="inlineStr">
        <is>
          <t>Grönsångare</t>
        </is>
      </c>
      <c r="S1076">
        <f>HYPERLINK("https://klasma.github.io/Logging_0860/artfynd/A 42375-2023 artfynd.xlsx", "A 42375-2023")</f>
        <v/>
      </c>
      <c r="T1076">
        <f>HYPERLINK("https://klasma.github.io/Logging_0860/kartor/A 42375-2023 karta.png", "A 42375-2023")</f>
        <v/>
      </c>
      <c r="V1076">
        <f>HYPERLINK("https://klasma.github.io/Logging_0860/klagomål/A 42375-2023 FSC-klagomål.docx", "A 42375-2023")</f>
        <v/>
      </c>
      <c r="W1076">
        <f>HYPERLINK("https://klasma.github.io/Logging_0860/klagomålsmail/A 42375-2023 FSC-klagomål mail.docx", "A 42375-2023")</f>
        <v/>
      </c>
      <c r="X1076">
        <f>HYPERLINK("https://klasma.github.io/Logging_0860/tillsyn/A 42375-2023 tillsynsbegäran.docx", "A 42375-2023")</f>
        <v/>
      </c>
      <c r="Y1076">
        <f>HYPERLINK("https://klasma.github.io/Logging_0860/tillsynsmail/A 42375-2023 tillsynsbegäran mail.docx", "A 42375-2023")</f>
        <v/>
      </c>
      <c r="Z1076">
        <f>HYPERLINK("https://klasma.github.io/Logging_0860/fåglar/A 42375-2023 prioriterade fågelarter.docx", "A 42375-2023")</f>
        <v/>
      </c>
    </row>
    <row r="1077" ht="15" customHeight="1">
      <c r="A1077" t="inlineStr">
        <is>
          <t>A 42127-2023</t>
        </is>
      </c>
      <c r="B1077" s="1" t="n">
        <v>45177</v>
      </c>
      <c r="C1077" s="1" t="n">
        <v>45832</v>
      </c>
      <c r="D1077" t="inlineStr">
        <is>
          <t>KALMAR LÄN</t>
        </is>
      </c>
      <c r="E1077" t="inlineStr">
        <is>
          <t>BORGHOLM</t>
        </is>
      </c>
      <c r="G1077" t="n">
        <v>1.6</v>
      </c>
      <c r="H1077" t="n">
        <v>0</v>
      </c>
      <c r="I1077" t="n">
        <v>0</v>
      </c>
      <c r="J1077" t="n">
        <v>0</v>
      </c>
      <c r="K1077" t="n">
        <v>1</v>
      </c>
      <c r="L1077" t="n">
        <v>0</v>
      </c>
      <c r="M1077" t="n">
        <v>0</v>
      </c>
      <c r="N1077" t="n">
        <v>0</v>
      </c>
      <c r="O1077" t="n">
        <v>1</v>
      </c>
      <c r="P1077" t="n">
        <v>1</v>
      </c>
      <c r="Q1077" t="n">
        <v>1</v>
      </c>
      <c r="R1077" s="2" t="inlineStr">
        <is>
          <t>Gotlandsmåra</t>
        </is>
      </c>
      <c r="S1077">
        <f>HYPERLINK("https://klasma.github.io/Logging_0885/artfynd/A 42127-2023 artfynd.xlsx", "A 42127-2023")</f>
        <v/>
      </c>
      <c r="T1077">
        <f>HYPERLINK("https://klasma.github.io/Logging_0885/kartor/A 42127-2023 karta.png", "A 42127-2023")</f>
        <v/>
      </c>
      <c r="V1077">
        <f>HYPERLINK("https://klasma.github.io/Logging_0885/klagomål/A 42127-2023 FSC-klagomål.docx", "A 42127-2023")</f>
        <v/>
      </c>
      <c r="W1077">
        <f>HYPERLINK("https://klasma.github.io/Logging_0885/klagomålsmail/A 42127-2023 FSC-klagomål mail.docx", "A 42127-2023")</f>
        <v/>
      </c>
      <c r="X1077">
        <f>HYPERLINK("https://klasma.github.io/Logging_0885/tillsyn/A 42127-2023 tillsynsbegäran.docx", "A 42127-2023")</f>
        <v/>
      </c>
      <c r="Y1077">
        <f>HYPERLINK("https://klasma.github.io/Logging_0885/tillsynsmail/A 42127-2023 tillsynsbegäran mail.docx", "A 42127-2023")</f>
        <v/>
      </c>
    </row>
    <row r="1078" ht="15" customHeight="1">
      <c r="A1078" t="inlineStr">
        <is>
          <t>A 43009-2023</t>
        </is>
      </c>
      <c r="B1078" s="1" t="n">
        <v>45182</v>
      </c>
      <c r="C1078" s="1" t="n">
        <v>45832</v>
      </c>
      <c r="D1078" t="inlineStr">
        <is>
          <t>KALMAR LÄN</t>
        </is>
      </c>
      <c r="E1078" t="inlineStr">
        <is>
          <t>OSKARSHAMN</t>
        </is>
      </c>
      <c r="F1078" t="inlineStr">
        <is>
          <t>Sveaskog</t>
        </is>
      </c>
      <c r="G1078" t="n">
        <v>3.2</v>
      </c>
      <c r="H1078" t="n">
        <v>0</v>
      </c>
      <c r="I1078" t="n">
        <v>1</v>
      </c>
      <c r="J1078" t="n">
        <v>0</v>
      </c>
      <c r="K1078" t="n">
        <v>0</v>
      </c>
      <c r="L1078" t="n">
        <v>0</v>
      </c>
      <c r="M1078" t="n">
        <v>0</v>
      </c>
      <c r="N1078" t="n">
        <v>0</v>
      </c>
      <c r="O1078" t="n">
        <v>0</v>
      </c>
      <c r="P1078" t="n">
        <v>0</v>
      </c>
      <c r="Q1078" t="n">
        <v>1</v>
      </c>
      <c r="R1078" s="2" t="inlineStr">
        <is>
          <t>Murgröna</t>
        </is>
      </c>
      <c r="S1078">
        <f>HYPERLINK("https://klasma.github.io/Logging_0882/artfynd/A 43009-2023 artfynd.xlsx", "A 43009-2023")</f>
        <v/>
      </c>
      <c r="T1078">
        <f>HYPERLINK("https://klasma.github.io/Logging_0882/kartor/A 43009-2023 karta.png", "A 43009-2023")</f>
        <v/>
      </c>
      <c r="V1078">
        <f>HYPERLINK("https://klasma.github.io/Logging_0882/klagomål/A 43009-2023 FSC-klagomål.docx", "A 43009-2023")</f>
        <v/>
      </c>
      <c r="W1078">
        <f>HYPERLINK("https://klasma.github.io/Logging_0882/klagomålsmail/A 43009-2023 FSC-klagomål mail.docx", "A 43009-2023")</f>
        <v/>
      </c>
      <c r="X1078">
        <f>HYPERLINK("https://klasma.github.io/Logging_0882/tillsyn/A 43009-2023 tillsynsbegäran.docx", "A 43009-2023")</f>
        <v/>
      </c>
      <c r="Y1078">
        <f>HYPERLINK("https://klasma.github.io/Logging_0882/tillsynsmail/A 43009-2023 tillsynsbegäran mail.docx", "A 43009-2023")</f>
        <v/>
      </c>
    </row>
    <row r="1079" ht="15" customHeight="1">
      <c r="A1079" t="inlineStr">
        <is>
          <t>A 43210-2023</t>
        </is>
      </c>
      <c r="B1079" s="1" t="n">
        <v>45183</v>
      </c>
      <c r="C1079" s="1" t="n">
        <v>45832</v>
      </c>
      <c r="D1079" t="inlineStr">
        <is>
          <t>KALMAR LÄN</t>
        </is>
      </c>
      <c r="E1079" t="inlineStr">
        <is>
          <t>HULTSFRED</t>
        </is>
      </c>
      <c r="G1079" t="n">
        <v>7</v>
      </c>
      <c r="H1079" t="n">
        <v>1</v>
      </c>
      <c r="I1079" t="n">
        <v>0</v>
      </c>
      <c r="J1079" t="n">
        <v>0</v>
      </c>
      <c r="K1079" t="n">
        <v>1</v>
      </c>
      <c r="L1079" t="n">
        <v>0</v>
      </c>
      <c r="M1079" t="n">
        <v>0</v>
      </c>
      <c r="N1079" t="n">
        <v>0</v>
      </c>
      <c r="O1079" t="n">
        <v>1</v>
      </c>
      <c r="P1079" t="n">
        <v>1</v>
      </c>
      <c r="Q1079" t="n">
        <v>1</v>
      </c>
      <c r="R1079" s="2" t="inlineStr">
        <is>
          <t>Knärot</t>
        </is>
      </c>
      <c r="S1079">
        <f>HYPERLINK("https://klasma.github.io/Logging_0860/artfynd/A 43210-2023 artfynd.xlsx", "A 43210-2023")</f>
        <v/>
      </c>
      <c r="T1079">
        <f>HYPERLINK("https://klasma.github.io/Logging_0860/kartor/A 43210-2023 karta.png", "A 43210-2023")</f>
        <v/>
      </c>
      <c r="U1079">
        <f>HYPERLINK("https://klasma.github.io/Logging_0860/knärot/A 43210-2023 karta knärot.png", "A 43210-2023")</f>
        <v/>
      </c>
      <c r="V1079">
        <f>HYPERLINK("https://klasma.github.io/Logging_0860/klagomål/A 43210-2023 FSC-klagomål.docx", "A 43210-2023")</f>
        <v/>
      </c>
      <c r="W1079">
        <f>HYPERLINK("https://klasma.github.io/Logging_0860/klagomålsmail/A 43210-2023 FSC-klagomål mail.docx", "A 43210-2023")</f>
        <v/>
      </c>
      <c r="X1079">
        <f>HYPERLINK("https://klasma.github.io/Logging_0860/tillsyn/A 43210-2023 tillsynsbegäran.docx", "A 43210-2023")</f>
        <v/>
      </c>
      <c r="Y1079">
        <f>HYPERLINK("https://klasma.github.io/Logging_0860/tillsynsmail/A 43210-2023 tillsynsbegäran mail.docx", "A 43210-2023")</f>
        <v/>
      </c>
    </row>
    <row r="1080" ht="15" customHeight="1">
      <c r="A1080" t="inlineStr">
        <is>
          <t>A 43788-2023</t>
        </is>
      </c>
      <c r="B1080" s="1" t="n">
        <v>45187</v>
      </c>
      <c r="C1080" s="1" t="n">
        <v>45832</v>
      </c>
      <c r="D1080" t="inlineStr">
        <is>
          <t>KALMAR LÄN</t>
        </is>
      </c>
      <c r="E1080" t="inlineStr">
        <is>
          <t>VÄSTERVIK</t>
        </is>
      </c>
      <c r="G1080" t="n">
        <v>4.5</v>
      </c>
      <c r="H1080" t="n">
        <v>0</v>
      </c>
      <c r="I1080" t="n">
        <v>0</v>
      </c>
      <c r="J1080" t="n">
        <v>1</v>
      </c>
      <c r="K1080" t="n">
        <v>0</v>
      </c>
      <c r="L1080" t="n">
        <v>0</v>
      </c>
      <c r="M1080" t="n">
        <v>0</v>
      </c>
      <c r="N1080" t="n">
        <v>0</v>
      </c>
      <c r="O1080" t="n">
        <v>1</v>
      </c>
      <c r="P1080" t="n">
        <v>0</v>
      </c>
      <c r="Q1080" t="n">
        <v>1</v>
      </c>
      <c r="R1080" s="2" t="inlineStr">
        <is>
          <t>Motaggsvamp</t>
        </is>
      </c>
      <c r="S1080">
        <f>HYPERLINK("https://klasma.github.io/Logging_0883/artfynd/A 43788-2023 artfynd.xlsx", "A 43788-2023")</f>
        <v/>
      </c>
      <c r="T1080">
        <f>HYPERLINK("https://klasma.github.io/Logging_0883/kartor/A 43788-2023 karta.png", "A 43788-2023")</f>
        <v/>
      </c>
      <c r="V1080">
        <f>HYPERLINK("https://klasma.github.io/Logging_0883/klagomål/A 43788-2023 FSC-klagomål.docx", "A 43788-2023")</f>
        <v/>
      </c>
      <c r="W1080">
        <f>HYPERLINK("https://klasma.github.io/Logging_0883/klagomålsmail/A 43788-2023 FSC-klagomål mail.docx", "A 43788-2023")</f>
        <v/>
      </c>
      <c r="X1080">
        <f>HYPERLINK("https://klasma.github.io/Logging_0883/tillsyn/A 43788-2023 tillsynsbegäran.docx", "A 43788-2023")</f>
        <v/>
      </c>
      <c r="Y1080">
        <f>HYPERLINK("https://klasma.github.io/Logging_0883/tillsynsmail/A 43788-2023 tillsynsbegäran mail.docx", "A 43788-2023")</f>
        <v/>
      </c>
    </row>
    <row r="1081" ht="15" customHeight="1">
      <c r="A1081" t="inlineStr">
        <is>
          <t>A 44633-2023</t>
        </is>
      </c>
      <c r="B1081" s="1" t="n">
        <v>45189</v>
      </c>
      <c r="C1081" s="1" t="n">
        <v>45832</v>
      </c>
      <c r="D1081" t="inlineStr">
        <is>
          <t>KALMAR LÄN</t>
        </is>
      </c>
      <c r="E1081" t="inlineStr">
        <is>
          <t>VIMMERBY</t>
        </is>
      </c>
      <c r="G1081" t="n">
        <v>2.4</v>
      </c>
      <c r="H1081" t="n">
        <v>0</v>
      </c>
      <c r="I1081" t="n">
        <v>1</v>
      </c>
      <c r="J1081" t="n">
        <v>0</v>
      </c>
      <c r="K1081" t="n">
        <v>0</v>
      </c>
      <c r="L1081" t="n">
        <v>0</v>
      </c>
      <c r="M1081" t="n">
        <v>0</v>
      </c>
      <c r="N1081" t="n">
        <v>0</v>
      </c>
      <c r="O1081" t="n">
        <v>0</v>
      </c>
      <c r="P1081" t="n">
        <v>0</v>
      </c>
      <c r="Q1081" t="n">
        <v>1</v>
      </c>
      <c r="R1081" s="2" t="inlineStr">
        <is>
          <t>Sårläka</t>
        </is>
      </c>
      <c r="S1081">
        <f>HYPERLINK("https://klasma.github.io/Logging_0884/artfynd/A 44633-2023 artfynd.xlsx", "A 44633-2023")</f>
        <v/>
      </c>
      <c r="T1081">
        <f>HYPERLINK("https://klasma.github.io/Logging_0884/kartor/A 44633-2023 karta.png", "A 44633-2023")</f>
        <v/>
      </c>
      <c r="V1081">
        <f>HYPERLINK("https://klasma.github.io/Logging_0884/klagomål/A 44633-2023 FSC-klagomål.docx", "A 44633-2023")</f>
        <v/>
      </c>
      <c r="W1081">
        <f>HYPERLINK("https://klasma.github.io/Logging_0884/klagomålsmail/A 44633-2023 FSC-klagomål mail.docx", "A 44633-2023")</f>
        <v/>
      </c>
      <c r="X1081">
        <f>HYPERLINK("https://klasma.github.io/Logging_0884/tillsyn/A 44633-2023 tillsynsbegäran.docx", "A 44633-2023")</f>
        <v/>
      </c>
      <c r="Y1081">
        <f>HYPERLINK("https://klasma.github.io/Logging_0884/tillsynsmail/A 44633-2023 tillsynsbegäran mail.docx", "A 44633-2023")</f>
        <v/>
      </c>
    </row>
    <row r="1082" ht="15" customHeight="1">
      <c r="A1082" t="inlineStr">
        <is>
          <t>A 44723-2023</t>
        </is>
      </c>
      <c r="B1082" s="1" t="n">
        <v>45190</v>
      </c>
      <c r="C1082" s="1" t="n">
        <v>45832</v>
      </c>
      <c r="D1082" t="inlineStr">
        <is>
          <t>KALMAR LÄN</t>
        </is>
      </c>
      <c r="E1082" t="inlineStr">
        <is>
          <t>HULTSFRED</t>
        </is>
      </c>
      <c r="G1082" t="n">
        <v>1</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44723-2023 artfynd.xlsx", "A 44723-2023")</f>
        <v/>
      </c>
      <c r="T1082">
        <f>HYPERLINK("https://klasma.github.io/Logging_0860/kartor/A 44723-2023 karta.png", "A 44723-2023")</f>
        <v/>
      </c>
      <c r="U1082">
        <f>HYPERLINK("https://klasma.github.io/Logging_0860/knärot/A 44723-2023 karta knärot.png", "A 44723-2023")</f>
        <v/>
      </c>
      <c r="V1082">
        <f>HYPERLINK("https://klasma.github.io/Logging_0860/klagomål/A 44723-2023 FSC-klagomål.docx", "A 44723-2023")</f>
        <v/>
      </c>
      <c r="W1082">
        <f>HYPERLINK("https://klasma.github.io/Logging_0860/klagomålsmail/A 44723-2023 FSC-klagomål mail.docx", "A 44723-2023")</f>
        <v/>
      </c>
      <c r="X1082">
        <f>HYPERLINK("https://klasma.github.io/Logging_0860/tillsyn/A 44723-2023 tillsynsbegäran.docx", "A 44723-2023")</f>
        <v/>
      </c>
      <c r="Y1082">
        <f>HYPERLINK("https://klasma.github.io/Logging_0860/tillsynsmail/A 44723-2023 tillsynsbegäran mail.docx", "A 44723-2023")</f>
        <v/>
      </c>
    </row>
    <row r="1083" ht="15" customHeight="1">
      <c r="A1083" t="inlineStr">
        <is>
          <t>A 45301-2023</t>
        </is>
      </c>
      <c r="B1083" s="1" t="n">
        <v>45191</v>
      </c>
      <c r="C1083" s="1" t="n">
        <v>45832</v>
      </c>
      <c r="D1083" t="inlineStr">
        <is>
          <t>KALMAR LÄN</t>
        </is>
      </c>
      <c r="E1083" t="inlineStr">
        <is>
          <t>HULTSFRED</t>
        </is>
      </c>
      <c r="F1083" t="inlineStr">
        <is>
          <t>Övriga Aktiebolag</t>
        </is>
      </c>
      <c r="G1083" t="n">
        <v>2</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45301-2023 artfynd.xlsx", "A 45301-2023")</f>
        <v/>
      </c>
      <c r="T1083">
        <f>HYPERLINK("https://klasma.github.io/Logging_0860/kartor/A 45301-2023 karta.png", "A 45301-2023")</f>
        <v/>
      </c>
      <c r="U1083">
        <f>HYPERLINK("https://klasma.github.io/Logging_0860/knärot/A 45301-2023 karta knärot.png", "A 45301-2023")</f>
        <v/>
      </c>
      <c r="V1083">
        <f>HYPERLINK("https://klasma.github.io/Logging_0860/klagomål/A 45301-2023 FSC-klagomål.docx", "A 45301-2023")</f>
        <v/>
      </c>
      <c r="W1083">
        <f>HYPERLINK("https://klasma.github.io/Logging_0860/klagomålsmail/A 45301-2023 FSC-klagomål mail.docx", "A 45301-2023")</f>
        <v/>
      </c>
      <c r="X1083">
        <f>HYPERLINK("https://klasma.github.io/Logging_0860/tillsyn/A 45301-2023 tillsynsbegäran.docx", "A 45301-2023")</f>
        <v/>
      </c>
      <c r="Y1083">
        <f>HYPERLINK("https://klasma.github.io/Logging_0860/tillsynsmail/A 45301-2023 tillsynsbegäran mail.docx", "A 45301-2023")</f>
        <v/>
      </c>
    </row>
    <row r="1084" ht="15" customHeight="1">
      <c r="A1084" t="inlineStr">
        <is>
          <t>A 46722-2023</t>
        </is>
      </c>
      <c r="B1084" s="1" t="n">
        <v>45194</v>
      </c>
      <c r="C1084" s="1" t="n">
        <v>45832</v>
      </c>
      <c r="D1084" t="inlineStr">
        <is>
          <t>KALMAR LÄN</t>
        </is>
      </c>
      <c r="E1084" t="inlineStr">
        <is>
          <t>VÄSTERVIK</t>
        </is>
      </c>
      <c r="G1084" t="n">
        <v>0.9</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46722-2023 artfynd.xlsx", "A 46722-2023")</f>
        <v/>
      </c>
      <c r="T1084">
        <f>HYPERLINK("https://klasma.github.io/Logging_0883/kartor/A 46722-2023 karta.png", "A 46722-2023")</f>
        <v/>
      </c>
      <c r="U1084">
        <f>HYPERLINK("https://klasma.github.io/Logging_0883/knärot/A 46722-2023 karta knärot.png", "A 46722-2023")</f>
        <v/>
      </c>
      <c r="V1084">
        <f>HYPERLINK("https://klasma.github.io/Logging_0883/klagomål/A 46722-2023 FSC-klagomål.docx", "A 46722-2023")</f>
        <v/>
      </c>
      <c r="W1084">
        <f>HYPERLINK("https://klasma.github.io/Logging_0883/klagomålsmail/A 46722-2023 FSC-klagomål mail.docx", "A 46722-2023")</f>
        <v/>
      </c>
      <c r="X1084">
        <f>HYPERLINK("https://klasma.github.io/Logging_0883/tillsyn/A 46722-2023 tillsynsbegäran.docx", "A 46722-2023")</f>
        <v/>
      </c>
      <c r="Y1084">
        <f>HYPERLINK("https://klasma.github.io/Logging_0883/tillsynsmail/A 46722-2023 tillsynsbegäran mail.docx", "A 46722-2023")</f>
        <v/>
      </c>
    </row>
    <row r="1085" ht="15" customHeight="1">
      <c r="A1085" t="inlineStr">
        <is>
          <t>A 45836-2023</t>
        </is>
      </c>
      <c r="B1085" s="1" t="n">
        <v>45195</v>
      </c>
      <c r="C1085" s="1" t="n">
        <v>45832</v>
      </c>
      <c r="D1085" t="inlineStr">
        <is>
          <t>KALMAR LÄN</t>
        </is>
      </c>
      <c r="E1085" t="inlineStr">
        <is>
          <t>OSKARSHAMN</t>
        </is>
      </c>
      <c r="G1085" t="n">
        <v>2.4</v>
      </c>
      <c r="H1085" t="n">
        <v>0</v>
      </c>
      <c r="I1085" t="n">
        <v>0</v>
      </c>
      <c r="J1085" t="n">
        <v>1</v>
      </c>
      <c r="K1085" t="n">
        <v>0</v>
      </c>
      <c r="L1085" t="n">
        <v>0</v>
      </c>
      <c r="M1085" t="n">
        <v>0</v>
      </c>
      <c r="N1085" t="n">
        <v>0</v>
      </c>
      <c r="O1085" t="n">
        <v>1</v>
      </c>
      <c r="P1085" t="n">
        <v>0</v>
      </c>
      <c r="Q1085" t="n">
        <v>1</v>
      </c>
      <c r="R1085" s="2" t="inlineStr">
        <is>
          <t>Åkerkål</t>
        </is>
      </c>
      <c r="S1085">
        <f>HYPERLINK("https://klasma.github.io/Logging_0882/artfynd/A 45836-2023 artfynd.xlsx", "A 45836-2023")</f>
        <v/>
      </c>
      <c r="T1085">
        <f>HYPERLINK("https://klasma.github.io/Logging_0882/kartor/A 45836-2023 karta.png", "A 45836-2023")</f>
        <v/>
      </c>
      <c r="V1085">
        <f>HYPERLINK("https://klasma.github.io/Logging_0882/klagomål/A 45836-2023 FSC-klagomål.docx", "A 45836-2023")</f>
        <v/>
      </c>
      <c r="W1085">
        <f>HYPERLINK("https://klasma.github.io/Logging_0882/klagomålsmail/A 45836-2023 FSC-klagomål mail.docx", "A 45836-2023")</f>
        <v/>
      </c>
      <c r="X1085">
        <f>HYPERLINK("https://klasma.github.io/Logging_0882/tillsyn/A 45836-2023 tillsynsbegäran.docx", "A 45836-2023")</f>
        <v/>
      </c>
      <c r="Y1085">
        <f>HYPERLINK("https://klasma.github.io/Logging_0882/tillsynsmail/A 45836-2023 tillsynsbegäran mail.docx", "A 45836-2023")</f>
        <v/>
      </c>
    </row>
    <row r="1086" ht="15" customHeight="1">
      <c r="A1086" t="inlineStr">
        <is>
          <t>A 47112-2023</t>
        </is>
      </c>
      <c r="B1086" s="1" t="n">
        <v>45201</v>
      </c>
      <c r="C1086" s="1" t="n">
        <v>45832</v>
      </c>
      <c r="D1086" t="inlineStr">
        <is>
          <t>KALMAR LÄN</t>
        </is>
      </c>
      <c r="E1086" t="inlineStr">
        <is>
          <t>VÄSTERVIK</t>
        </is>
      </c>
      <c r="G1086" t="n">
        <v>1</v>
      </c>
      <c r="H1086" t="n">
        <v>0</v>
      </c>
      <c r="I1086" t="n">
        <v>0</v>
      </c>
      <c r="J1086" t="n">
        <v>1</v>
      </c>
      <c r="K1086" t="n">
        <v>0</v>
      </c>
      <c r="L1086" t="n">
        <v>0</v>
      </c>
      <c r="M1086" t="n">
        <v>0</v>
      </c>
      <c r="N1086" t="n">
        <v>0</v>
      </c>
      <c r="O1086" t="n">
        <v>1</v>
      </c>
      <c r="P1086" t="n">
        <v>0</v>
      </c>
      <c r="Q1086" t="n">
        <v>1</v>
      </c>
      <c r="R1086" s="2" t="inlineStr">
        <is>
          <t>Tallticka</t>
        </is>
      </c>
      <c r="S1086">
        <f>HYPERLINK("https://klasma.github.io/Logging_0883/artfynd/A 47112-2023 artfynd.xlsx", "A 47112-2023")</f>
        <v/>
      </c>
      <c r="T1086">
        <f>HYPERLINK("https://klasma.github.io/Logging_0883/kartor/A 47112-2023 karta.png", "A 47112-2023")</f>
        <v/>
      </c>
      <c r="V1086">
        <f>HYPERLINK("https://klasma.github.io/Logging_0883/klagomål/A 47112-2023 FSC-klagomål.docx", "A 47112-2023")</f>
        <v/>
      </c>
      <c r="W1086">
        <f>HYPERLINK("https://klasma.github.io/Logging_0883/klagomålsmail/A 47112-2023 FSC-klagomål mail.docx", "A 47112-2023")</f>
        <v/>
      </c>
      <c r="X1086">
        <f>HYPERLINK("https://klasma.github.io/Logging_0883/tillsyn/A 47112-2023 tillsynsbegäran.docx", "A 47112-2023")</f>
        <v/>
      </c>
      <c r="Y1086">
        <f>HYPERLINK("https://klasma.github.io/Logging_0883/tillsynsmail/A 47112-2023 tillsynsbegäran mail.docx", "A 47112-2023")</f>
        <v/>
      </c>
    </row>
    <row r="1087" ht="15" customHeight="1">
      <c r="A1087" t="inlineStr">
        <is>
          <t>A 49680-2023</t>
        </is>
      </c>
      <c r="B1087" s="1" t="n">
        <v>45212</v>
      </c>
      <c r="C1087" s="1" t="n">
        <v>45832</v>
      </c>
      <c r="D1087" t="inlineStr">
        <is>
          <t>KALMAR LÄN</t>
        </is>
      </c>
      <c r="E1087" t="inlineStr">
        <is>
          <t>VÄSTERVIK</t>
        </is>
      </c>
      <c r="G1087" t="n">
        <v>3.3</v>
      </c>
      <c r="H1087" t="n">
        <v>0</v>
      </c>
      <c r="I1087" t="n">
        <v>0</v>
      </c>
      <c r="J1087" t="n">
        <v>1</v>
      </c>
      <c r="K1087" t="n">
        <v>0</v>
      </c>
      <c r="L1087" t="n">
        <v>0</v>
      </c>
      <c r="M1087" t="n">
        <v>0</v>
      </c>
      <c r="N1087" t="n">
        <v>0</v>
      </c>
      <c r="O1087" t="n">
        <v>1</v>
      </c>
      <c r="P1087" t="n">
        <v>0</v>
      </c>
      <c r="Q1087" t="n">
        <v>1</v>
      </c>
      <c r="R1087" s="2" t="inlineStr">
        <is>
          <t>Skogsklocka</t>
        </is>
      </c>
      <c r="S1087">
        <f>HYPERLINK("https://klasma.github.io/Logging_0883/artfynd/A 49680-2023 artfynd.xlsx", "A 49680-2023")</f>
        <v/>
      </c>
      <c r="T1087">
        <f>HYPERLINK("https://klasma.github.io/Logging_0883/kartor/A 49680-2023 karta.png", "A 49680-2023")</f>
        <v/>
      </c>
      <c r="V1087">
        <f>HYPERLINK("https://klasma.github.io/Logging_0883/klagomål/A 49680-2023 FSC-klagomål.docx", "A 49680-2023")</f>
        <v/>
      </c>
      <c r="W1087">
        <f>HYPERLINK("https://klasma.github.io/Logging_0883/klagomålsmail/A 49680-2023 FSC-klagomål mail.docx", "A 49680-2023")</f>
        <v/>
      </c>
      <c r="X1087">
        <f>HYPERLINK("https://klasma.github.io/Logging_0883/tillsyn/A 49680-2023 tillsynsbegäran.docx", "A 49680-2023")</f>
        <v/>
      </c>
      <c r="Y1087">
        <f>HYPERLINK("https://klasma.github.io/Logging_0883/tillsynsmail/A 49680-2023 tillsynsbegäran mail.docx", "A 49680-2023")</f>
        <v/>
      </c>
    </row>
    <row r="1088" ht="15" customHeight="1">
      <c r="A1088" t="inlineStr">
        <is>
          <t>A 50008-2023</t>
        </is>
      </c>
      <c r="B1088" s="1" t="n">
        <v>45215</v>
      </c>
      <c r="C1088" s="1" t="n">
        <v>45832</v>
      </c>
      <c r="D1088" t="inlineStr">
        <is>
          <t>KALMAR LÄN</t>
        </is>
      </c>
      <c r="E1088" t="inlineStr">
        <is>
          <t>NYBRO</t>
        </is>
      </c>
      <c r="G1088" t="n">
        <v>2.1</v>
      </c>
      <c r="H1088" t="n">
        <v>0</v>
      </c>
      <c r="I1088" t="n">
        <v>0</v>
      </c>
      <c r="J1088" t="n">
        <v>1</v>
      </c>
      <c r="K1088" t="n">
        <v>0</v>
      </c>
      <c r="L1088" t="n">
        <v>0</v>
      </c>
      <c r="M1088" t="n">
        <v>0</v>
      </c>
      <c r="N1088" t="n">
        <v>0</v>
      </c>
      <c r="O1088" t="n">
        <v>1</v>
      </c>
      <c r="P1088" t="n">
        <v>0</v>
      </c>
      <c r="Q1088" t="n">
        <v>1</v>
      </c>
      <c r="R1088" s="2" t="inlineStr">
        <is>
          <t>Mindre bastardsvärmare</t>
        </is>
      </c>
      <c r="S1088">
        <f>HYPERLINK("https://klasma.github.io/Logging_0881/artfynd/A 50008-2023 artfynd.xlsx", "A 50008-2023")</f>
        <v/>
      </c>
      <c r="T1088">
        <f>HYPERLINK("https://klasma.github.io/Logging_0881/kartor/A 50008-2023 karta.png", "A 50008-2023")</f>
        <v/>
      </c>
      <c r="V1088">
        <f>HYPERLINK("https://klasma.github.io/Logging_0881/klagomål/A 50008-2023 FSC-klagomål.docx", "A 50008-2023")</f>
        <v/>
      </c>
      <c r="W1088">
        <f>HYPERLINK("https://klasma.github.io/Logging_0881/klagomålsmail/A 50008-2023 FSC-klagomål mail.docx", "A 50008-2023")</f>
        <v/>
      </c>
      <c r="X1088">
        <f>HYPERLINK("https://klasma.github.io/Logging_0881/tillsyn/A 50008-2023 tillsynsbegäran.docx", "A 50008-2023")</f>
        <v/>
      </c>
      <c r="Y1088">
        <f>HYPERLINK("https://klasma.github.io/Logging_0881/tillsynsmail/A 50008-2023 tillsynsbegäran mail.docx", "A 50008-2023")</f>
        <v/>
      </c>
    </row>
    <row r="1089" ht="15" customHeight="1">
      <c r="A1089" t="inlineStr">
        <is>
          <t>A 50296-2023</t>
        </is>
      </c>
      <c r="B1089" s="1" t="n">
        <v>45216</v>
      </c>
      <c r="C1089" s="1" t="n">
        <v>45832</v>
      </c>
      <c r="D1089" t="inlineStr">
        <is>
          <t>KALMAR LÄN</t>
        </is>
      </c>
      <c r="E1089" t="inlineStr">
        <is>
          <t>HULTSFRED</t>
        </is>
      </c>
      <c r="G1089" t="n">
        <v>8.5</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50296-2023 artfynd.xlsx", "A 50296-2023")</f>
        <v/>
      </c>
      <c r="T1089">
        <f>HYPERLINK("https://klasma.github.io/Logging_0860/kartor/A 50296-2023 karta.png", "A 50296-2023")</f>
        <v/>
      </c>
      <c r="U1089">
        <f>HYPERLINK("https://klasma.github.io/Logging_0860/knärot/A 50296-2023 karta knärot.png", "A 50296-2023")</f>
        <v/>
      </c>
      <c r="V1089">
        <f>HYPERLINK("https://klasma.github.io/Logging_0860/klagomål/A 50296-2023 FSC-klagomål.docx", "A 50296-2023")</f>
        <v/>
      </c>
      <c r="W1089">
        <f>HYPERLINK("https://klasma.github.io/Logging_0860/klagomålsmail/A 50296-2023 FSC-klagomål mail.docx", "A 50296-2023")</f>
        <v/>
      </c>
      <c r="X1089">
        <f>HYPERLINK("https://klasma.github.io/Logging_0860/tillsyn/A 50296-2023 tillsynsbegäran.docx", "A 50296-2023")</f>
        <v/>
      </c>
      <c r="Y1089">
        <f>HYPERLINK("https://klasma.github.io/Logging_0860/tillsynsmail/A 50296-2023 tillsynsbegäran mail.docx", "A 50296-2023")</f>
        <v/>
      </c>
    </row>
    <row r="1090" ht="15" customHeight="1">
      <c r="A1090" t="inlineStr">
        <is>
          <t>A 51761-2023</t>
        </is>
      </c>
      <c r="B1090" s="1" t="n">
        <v>45222</v>
      </c>
      <c r="C1090" s="1" t="n">
        <v>45832</v>
      </c>
      <c r="D1090" t="inlineStr">
        <is>
          <t>KALMAR LÄN</t>
        </is>
      </c>
      <c r="E1090" t="inlineStr">
        <is>
          <t>NYBRO</t>
        </is>
      </c>
      <c r="G1090" t="n">
        <v>9.300000000000001</v>
      </c>
      <c r="H1090" t="n">
        <v>1</v>
      </c>
      <c r="I1090" t="n">
        <v>0</v>
      </c>
      <c r="J1090" t="n">
        <v>0</v>
      </c>
      <c r="K1090" t="n">
        <v>1</v>
      </c>
      <c r="L1090" t="n">
        <v>0</v>
      </c>
      <c r="M1090" t="n">
        <v>0</v>
      </c>
      <c r="N1090" t="n">
        <v>0</v>
      </c>
      <c r="O1090" t="n">
        <v>1</v>
      </c>
      <c r="P1090" t="n">
        <v>1</v>
      </c>
      <c r="Q1090" t="n">
        <v>1</v>
      </c>
      <c r="R1090" s="2" t="inlineStr">
        <is>
          <t>Lappuggla</t>
        </is>
      </c>
      <c r="S1090">
        <f>HYPERLINK("https://klasma.github.io/Logging_0881/artfynd/A 51761-2023 artfynd.xlsx", "A 51761-2023")</f>
        <v/>
      </c>
      <c r="T1090">
        <f>HYPERLINK("https://klasma.github.io/Logging_0881/kartor/A 51761-2023 karta.png", "A 51761-2023")</f>
        <v/>
      </c>
      <c r="V1090">
        <f>HYPERLINK("https://klasma.github.io/Logging_0881/klagomål/A 51761-2023 FSC-klagomål.docx", "A 51761-2023")</f>
        <v/>
      </c>
      <c r="W1090">
        <f>HYPERLINK("https://klasma.github.io/Logging_0881/klagomålsmail/A 51761-2023 FSC-klagomål mail.docx", "A 51761-2023")</f>
        <v/>
      </c>
      <c r="X1090">
        <f>HYPERLINK("https://klasma.github.io/Logging_0881/tillsyn/A 51761-2023 tillsynsbegäran.docx", "A 51761-2023")</f>
        <v/>
      </c>
      <c r="Y1090">
        <f>HYPERLINK("https://klasma.github.io/Logging_0881/tillsynsmail/A 51761-2023 tillsynsbegäran mail.docx", "A 51761-2023")</f>
        <v/>
      </c>
      <c r="Z1090">
        <f>HYPERLINK("https://klasma.github.io/Logging_0881/fåglar/A 51761-2023 prioriterade fågelarter.docx", "A 51761-2023")</f>
        <v/>
      </c>
    </row>
    <row r="1091" ht="15" customHeight="1">
      <c r="A1091" t="inlineStr">
        <is>
          <t>A 52207-2023</t>
        </is>
      </c>
      <c r="B1091" s="1" t="n">
        <v>45224</v>
      </c>
      <c r="C1091" s="1" t="n">
        <v>45832</v>
      </c>
      <c r="D1091" t="inlineStr">
        <is>
          <t>KALMAR LÄN</t>
        </is>
      </c>
      <c r="E1091" t="inlineStr">
        <is>
          <t>HULTSFRED</t>
        </is>
      </c>
      <c r="G1091" t="n">
        <v>8.6</v>
      </c>
      <c r="H1091" t="n">
        <v>1</v>
      </c>
      <c r="I1091" t="n">
        <v>0</v>
      </c>
      <c r="J1091" t="n">
        <v>0</v>
      </c>
      <c r="K1091" t="n">
        <v>0</v>
      </c>
      <c r="L1091" t="n">
        <v>0</v>
      </c>
      <c r="M1091" t="n">
        <v>0</v>
      </c>
      <c r="N1091" t="n">
        <v>0</v>
      </c>
      <c r="O1091" t="n">
        <v>0</v>
      </c>
      <c r="P1091" t="n">
        <v>0</v>
      </c>
      <c r="Q1091" t="n">
        <v>1</v>
      </c>
      <c r="R1091" s="2" t="inlineStr">
        <is>
          <t>Revlummer</t>
        </is>
      </c>
      <c r="S1091">
        <f>HYPERLINK("https://klasma.github.io/Logging_0860/artfynd/A 52207-2023 artfynd.xlsx", "A 52207-2023")</f>
        <v/>
      </c>
      <c r="T1091">
        <f>HYPERLINK("https://klasma.github.io/Logging_0860/kartor/A 52207-2023 karta.png", "A 52207-2023")</f>
        <v/>
      </c>
      <c r="V1091">
        <f>HYPERLINK("https://klasma.github.io/Logging_0860/klagomål/A 52207-2023 FSC-klagomål.docx", "A 52207-2023")</f>
        <v/>
      </c>
      <c r="W1091">
        <f>HYPERLINK("https://klasma.github.io/Logging_0860/klagomålsmail/A 52207-2023 FSC-klagomål mail.docx", "A 52207-2023")</f>
        <v/>
      </c>
      <c r="X1091">
        <f>HYPERLINK("https://klasma.github.io/Logging_0860/tillsyn/A 52207-2023 tillsynsbegäran.docx", "A 52207-2023")</f>
        <v/>
      </c>
      <c r="Y1091">
        <f>HYPERLINK("https://klasma.github.io/Logging_0860/tillsynsmail/A 52207-2023 tillsynsbegäran mail.docx", "A 52207-2023")</f>
        <v/>
      </c>
    </row>
    <row r="1092" ht="15" customHeight="1">
      <c r="A1092" t="inlineStr">
        <is>
          <t>A 52301-2023</t>
        </is>
      </c>
      <c r="B1092" s="1" t="n">
        <v>45224</v>
      </c>
      <c r="C1092" s="1" t="n">
        <v>45832</v>
      </c>
      <c r="D1092" t="inlineStr">
        <is>
          <t>KALMAR LÄN</t>
        </is>
      </c>
      <c r="E1092" t="inlineStr">
        <is>
          <t>VIMMERBY</t>
        </is>
      </c>
      <c r="G1092" t="n">
        <v>5.3</v>
      </c>
      <c r="H1092" t="n">
        <v>0</v>
      </c>
      <c r="I1092" t="n">
        <v>0</v>
      </c>
      <c r="J1092" t="n">
        <v>0</v>
      </c>
      <c r="K1092" t="n">
        <v>0</v>
      </c>
      <c r="L1092" t="n">
        <v>1</v>
      </c>
      <c r="M1092" t="n">
        <v>0</v>
      </c>
      <c r="N1092" t="n">
        <v>0</v>
      </c>
      <c r="O1092" t="n">
        <v>1</v>
      </c>
      <c r="P1092" t="n">
        <v>1</v>
      </c>
      <c r="Q1092" t="n">
        <v>1</v>
      </c>
      <c r="R1092" s="2" t="inlineStr">
        <is>
          <t>Ask</t>
        </is>
      </c>
      <c r="S1092">
        <f>HYPERLINK("https://klasma.github.io/Logging_0884/artfynd/A 52301-2023 artfynd.xlsx", "A 52301-2023")</f>
        <v/>
      </c>
      <c r="T1092">
        <f>HYPERLINK("https://klasma.github.io/Logging_0884/kartor/A 52301-2023 karta.png", "A 52301-2023")</f>
        <v/>
      </c>
      <c r="V1092">
        <f>HYPERLINK("https://klasma.github.io/Logging_0884/klagomål/A 52301-2023 FSC-klagomål.docx", "A 52301-2023")</f>
        <v/>
      </c>
      <c r="W1092">
        <f>HYPERLINK("https://klasma.github.io/Logging_0884/klagomålsmail/A 52301-2023 FSC-klagomål mail.docx", "A 52301-2023")</f>
        <v/>
      </c>
      <c r="X1092">
        <f>HYPERLINK("https://klasma.github.io/Logging_0884/tillsyn/A 52301-2023 tillsynsbegäran.docx", "A 52301-2023")</f>
        <v/>
      </c>
      <c r="Y1092">
        <f>HYPERLINK("https://klasma.github.io/Logging_0884/tillsynsmail/A 52301-2023 tillsynsbegäran mail.docx", "A 52301-2023")</f>
        <v/>
      </c>
    </row>
    <row r="1093" ht="15" customHeight="1">
      <c r="A1093" t="inlineStr">
        <is>
          <t>A 52211-2023</t>
        </is>
      </c>
      <c r="B1093" s="1" t="n">
        <v>45224</v>
      </c>
      <c r="C1093" s="1" t="n">
        <v>45832</v>
      </c>
      <c r="D1093" t="inlineStr">
        <is>
          <t>KALMAR LÄN</t>
        </is>
      </c>
      <c r="E1093" t="inlineStr">
        <is>
          <t>OSKARSHAMN</t>
        </is>
      </c>
      <c r="G1093" t="n">
        <v>4.1</v>
      </c>
      <c r="H1093" t="n">
        <v>0</v>
      </c>
      <c r="I1093" t="n">
        <v>0</v>
      </c>
      <c r="J1093" t="n">
        <v>1</v>
      </c>
      <c r="K1093" t="n">
        <v>0</v>
      </c>
      <c r="L1093" t="n">
        <v>0</v>
      </c>
      <c r="M1093" t="n">
        <v>0</v>
      </c>
      <c r="N1093" t="n">
        <v>0</v>
      </c>
      <c r="O1093" t="n">
        <v>1</v>
      </c>
      <c r="P1093" t="n">
        <v>0</v>
      </c>
      <c r="Q1093" t="n">
        <v>1</v>
      </c>
      <c r="R1093" s="2" t="inlineStr">
        <is>
          <t>Kösa</t>
        </is>
      </c>
      <c r="S1093">
        <f>HYPERLINK("https://klasma.github.io/Logging_0882/artfynd/A 52211-2023 artfynd.xlsx", "A 52211-2023")</f>
        <v/>
      </c>
      <c r="T1093">
        <f>HYPERLINK("https://klasma.github.io/Logging_0882/kartor/A 52211-2023 karta.png", "A 52211-2023")</f>
        <v/>
      </c>
      <c r="V1093">
        <f>HYPERLINK("https://klasma.github.io/Logging_0882/klagomål/A 52211-2023 FSC-klagomål.docx", "A 52211-2023")</f>
        <v/>
      </c>
      <c r="W1093">
        <f>HYPERLINK("https://klasma.github.io/Logging_0882/klagomålsmail/A 52211-2023 FSC-klagomål mail.docx", "A 52211-2023")</f>
        <v/>
      </c>
      <c r="X1093">
        <f>HYPERLINK("https://klasma.github.io/Logging_0882/tillsyn/A 52211-2023 tillsynsbegäran.docx", "A 52211-2023")</f>
        <v/>
      </c>
      <c r="Y1093">
        <f>HYPERLINK("https://klasma.github.io/Logging_0882/tillsynsmail/A 52211-2023 tillsynsbegäran mail.docx", "A 52211-2023")</f>
        <v/>
      </c>
    </row>
    <row r="1094" ht="15" customHeight="1">
      <c r="A1094" t="inlineStr">
        <is>
          <t>A 52607-2023</t>
        </is>
      </c>
      <c r="B1094" s="1" t="n">
        <v>45225</v>
      </c>
      <c r="C1094" s="1" t="n">
        <v>45832</v>
      </c>
      <c r="D1094" t="inlineStr">
        <is>
          <t>KALMAR LÄN</t>
        </is>
      </c>
      <c r="E1094" t="inlineStr">
        <is>
          <t>TORSÅS</t>
        </is>
      </c>
      <c r="G1094" t="n">
        <v>2.6</v>
      </c>
      <c r="H1094" t="n">
        <v>0</v>
      </c>
      <c r="I1094" t="n">
        <v>1</v>
      </c>
      <c r="J1094" t="n">
        <v>0</v>
      </c>
      <c r="K1094" t="n">
        <v>0</v>
      </c>
      <c r="L1094" t="n">
        <v>0</v>
      </c>
      <c r="M1094" t="n">
        <v>0</v>
      </c>
      <c r="N1094" t="n">
        <v>0</v>
      </c>
      <c r="O1094" t="n">
        <v>0</v>
      </c>
      <c r="P1094" t="n">
        <v>0</v>
      </c>
      <c r="Q1094" t="n">
        <v>1</v>
      </c>
      <c r="R1094" s="2" t="inlineStr">
        <is>
          <t>Grönpyrola</t>
        </is>
      </c>
      <c r="S1094">
        <f>HYPERLINK("https://klasma.github.io/Logging_0834/artfynd/A 52607-2023 artfynd.xlsx", "A 52607-2023")</f>
        <v/>
      </c>
      <c r="T1094">
        <f>HYPERLINK("https://klasma.github.io/Logging_0834/kartor/A 52607-2023 karta.png", "A 52607-2023")</f>
        <v/>
      </c>
      <c r="V1094">
        <f>HYPERLINK("https://klasma.github.io/Logging_0834/klagomål/A 52607-2023 FSC-klagomål.docx", "A 52607-2023")</f>
        <v/>
      </c>
      <c r="W1094">
        <f>HYPERLINK("https://klasma.github.io/Logging_0834/klagomålsmail/A 52607-2023 FSC-klagomål mail.docx", "A 52607-2023")</f>
        <v/>
      </c>
      <c r="X1094">
        <f>HYPERLINK("https://klasma.github.io/Logging_0834/tillsyn/A 52607-2023 tillsynsbegäran.docx", "A 52607-2023")</f>
        <v/>
      </c>
      <c r="Y1094">
        <f>HYPERLINK("https://klasma.github.io/Logging_0834/tillsynsmail/A 52607-2023 tillsynsbegäran mail.docx", "A 52607-2023")</f>
        <v/>
      </c>
    </row>
    <row r="1095" ht="15" customHeight="1">
      <c r="A1095" t="inlineStr">
        <is>
          <t>A 52690-2023</t>
        </is>
      </c>
      <c r="B1095" s="1" t="n">
        <v>45225</v>
      </c>
      <c r="C1095" s="1" t="n">
        <v>45832</v>
      </c>
      <c r="D1095" t="inlineStr">
        <is>
          <t>KALMAR LÄN</t>
        </is>
      </c>
      <c r="E1095" t="inlineStr">
        <is>
          <t>HULTSFRED</t>
        </is>
      </c>
      <c r="G1095" t="n">
        <v>1.4</v>
      </c>
      <c r="H1095" t="n">
        <v>0</v>
      </c>
      <c r="I1095" t="n">
        <v>1</v>
      </c>
      <c r="J1095" t="n">
        <v>0</v>
      </c>
      <c r="K1095" t="n">
        <v>0</v>
      </c>
      <c r="L1095" t="n">
        <v>0</v>
      </c>
      <c r="M1095" t="n">
        <v>0</v>
      </c>
      <c r="N1095" t="n">
        <v>0</v>
      </c>
      <c r="O1095" t="n">
        <v>0</v>
      </c>
      <c r="P1095" t="n">
        <v>0</v>
      </c>
      <c r="Q1095" t="n">
        <v>1</v>
      </c>
      <c r="R1095" s="2" t="inlineStr">
        <is>
          <t>Tibast</t>
        </is>
      </c>
      <c r="S1095">
        <f>HYPERLINK("https://klasma.github.io/Logging_0860/artfynd/A 52690-2023 artfynd.xlsx", "A 52690-2023")</f>
        <v/>
      </c>
      <c r="T1095">
        <f>HYPERLINK("https://klasma.github.io/Logging_0860/kartor/A 52690-2023 karta.png", "A 52690-2023")</f>
        <v/>
      </c>
      <c r="V1095">
        <f>HYPERLINK("https://klasma.github.io/Logging_0860/klagomål/A 52690-2023 FSC-klagomål.docx", "A 52690-2023")</f>
        <v/>
      </c>
      <c r="W1095">
        <f>HYPERLINK("https://klasma.github.io/Logging_0860/klagomålsmail/A 52690-2023 FSC-klagomål mail.docx", "A 52690-2023")</f>
        <v/>
      </c>
      <c r="X1095">
        <f>HYPERLINK("https://klasma.github.io/Logging_0860/tillsyn/A 52690-2023 tillsynsbegäran.docx", "A 52690-2023")</f>
        <v/>
      </c>
      <c r="Y1095">
        <f>HYPERLINK("https://klasma.github.io/Logging_0860/tillsynsmail/A 52690-2023 tillsynsbegäran mail.docx", "A 52690-2023")</f>
        <v/>
      </c>
    </row>
    <row r="1096" ht="15" customHeight="1">
      <c r="A1096" t="inlineStr">
        <is>
          <t>A 54179-2023</t>
        </is>
      </c>
      <c r="B1096" s="1" t="n">
        <v>45225</v>
      </c>
      <c r="C1096" s="1" t="n">
        <v>45832</v>
      </c>
      <c r="D1096" t="inlineStr">
        <is>
          <t>KALMAR LÄN</t>
        </is>
      </c>
      <c r="E1096" t="inlineStr">
        <is>
          <t>OSKARSHAMN</t>
        </is>
      </c>
      <c r="G1096" t="n">
        <v>7.3</v>
      </c>
      <c r="H1096" t="n">
        <v>0</v>
      </c>
      <c r="I1096" t="n">
        <v>0</v>
      </c>
      <c r="J1096" t="n">
        <v>1</v>
      </c>
      <c r="K1096" t="n">
        <v>0</v>
      </c>
      <c r="L1096" t="n">
        <v>0</v>
      </c>
      <c r="M1096" t="n">
        <v>0</v>
      </c>
      <c r="N1096" t="n">
        <v>0</v>
      </c>
      <c r="O1096" t="n">
        <v>1</v>
      </c>
      <c r="P1096" t="n">
        <v>0</v>
      </c>
      <c r="Q1096" t="n">
        <v>1</v>
      </c>
      <c r="R1096" s="2" t="inlineStr">
        <is>
          <t>Klubbsprötad bastardsvärmare</t>
        </is>
      </c>
      <c r="S1096">
        <f>HYPERLINK("https://klasma.github.io/Logging_0882/artfynd/A 54179-2023 artfynd.xlsx", "A 54179-2023")</f>
        <v/>
      </c>
      <c r="T1096">
        <f>HYPERLINK("https://klasma.github.io/Logging_0882/kartor/A 54179-2023 karta.png", "A 54179-2023")</f>
        <v/>
      </c>
      <c r="V1096">
        <f>HYPERLINK("https://klasma.github.io/Logging_0882/klagomål/A 54179-2023 FSC-klagomål.docx", "A 54179-2023")</f>
        <v/>
      </c>
      <c r="W1096">
        <f>HYPERLINK("https://klasma.github.io/Logging_0882/klagomålsmail/A 54179-2023 FSC-klagomål mail.docx", "A 54179-2023")</f>
        <v/>
      </c>
      <c r="X1096">
        <f>HYPERLINK("https://klasma.github.io/Logging_0882/tillsyn/A 54179-2023 tillsynsbegäran.docx", "A 54179-2023")</f>
        <v/>
      </c>
      <c r="Y1096">
        <f>HYPERLINK("https://klasma.github.io/Logging_0882/tillsynsmail/A 54179-2023 tillsynsbegäran mail.docx", "A 54179-2023")</f>
        <v/>
      </c>
    </row>
    <row r="1097" ht="15" customHeight="1">
      <c r="A1097" t="inlineStr">
        <is>
          <t>A 53370-2023</t>
        </is>
      </c>
      <c r="B1097" s="1" t="n">
        <v>45229</v>
      </c>
      <c r="C1097" s="1" t="n">
        <v>45832</v>
      </c>
      <c r="D1097" t="inlineStr">
        <is>
          <t>KALMAR LÄN</t>
        </is>
      </c>
      <c r="E1097" t="inlineStr">
        <is>
          <t>EMMABODA</t>
        </is>
      </c>
      <c r="G1097" t="n">
        <v>2.4</v>
      </c>
      <c r="H1097" t="n">
        <v>1</v>
      </c>
      <c r="I1097" t="n">
        <v>0</v>
      </c>
      <c r="J1097" t="n">
        <v>0</v>
      </c>
      <c r="K1097" t="n">
        <v>1</v>
      </c>
      <c r="L1097" t="n">
        <v>0</v>
      </c>
      <c r="M1097" t="n">
        <v>0</v>
      </c>
      <c r="N1097" t="n">
        <v>0</v>
      </c>
      <c r="O1097" t="n">
        <v>1</v>
      </c>
      <c r="P1097" t="n">
        <v>1</v>
      </c>
      <c r="Q1097" t="n">
        <v>1</v>
      </c>
      <c r="R1097" s="2" t="inlineStr">
        <is>
          <t>Knärot</t>
        </is>
      </c>
      <c r="S1097">
        <f>HYPERLINK("https://klasma.github.io/Logging_0862/artfynd/A 53370-2023 artfynd.xlsx", "A 53370-2023")</f>
        <v/>
      </c>
      <c r="T1097">
        <f>HYPERLINK("https://klasma.github.io/Logging_0862/kartor/A 53370-2023 karta.png", "A 53370-2023")</f>
        <v/>
      </c>
      <c r="U1097">
        <f>HYPERLINK("https://klasma.github.io/Logging_0862/knärot/A 53370-2023 karta knärot.png", "A 53370-2023")</f>
        <v/>
      </c>
      <c r="V1097">
        <f>HYPERLINK("https://klasma.github.io/Logging_0862/klagomål/A 53370-2023 FSC-klagomål.docx", "A 53370-2023")</f>
        <v/>
      </c>
      <c r="W1097">
        <f>HYPERLINK("https://klasma.github.io/Logging_0862/klagomålsmail/A 53370-2023 FSC-klagomål mail.docx", "A 53370-2023")</f>
        <v/>
      </c>
      <c r="X1097">
        <f>HYPERLINK("https://klasma.github.io/Logging_0862/tillsyn/A 53370-2023 tillsynsbegäran.docx", "A 53370-2023")</f>
        <v/>
      </c>
      <c r="Y1097">
        <f>HYPERLINK("https://klasma.github.io/Logging_0862/tillsynsmail/A 53370-2023 tillsynsbegäran mail.docx", "A 53370-2023")</f>
        <v/>
      </c>
    </row>
    <row r="1098" ht="15" customHeight="1">
      <c r="A1098" t="inlineStr">
        <is>
          <t>A 54272-2023</t>
        </is>
      </c>
      <c r="B1098" s="1" t="n">
        <v>45232</v>
      </c>
      <c r="C1098" s="1" t="n">
        <v>45832</v>
      </c>
      <c r="D1098" t="inlineStr">
        <is>
          <t>KALMAR LÄN</t>
        </is>
      </c>
      <c r="E1098" t="inlineStr">
        <is>
          <t>VÄSTERVIK</t>
        </is>
      </c>
      <c r="G1098" t="n">
        <v>1</v>
      </c>
      <c r="H1098" t="n">
        <v>0</v>
      </c>
      <c r="I1098" t="n">
        <v>1</v>
      </c>
      <c r="J1098" t="n">
        <v>0</v>
      </c>
      <c r="K1098" t="n">
        <v>0</v>
      </c>
      <c r="L1098" t="n">
        <v>0</v>
      </c>
      <c r="M1098" t="n">
        <v>0</v>
      </c>
      <c r="N1098" t="n">
        <v>0</v>
      </c>
      <c r="O1098" t="n">
        <v>0</v>
      </c>
      <c r="P1098" t="n">
        <v>0</v>
      </c>
      <c r="Q1098" t="n">
        <v>1</v>
      </c>
      <c r="R1098" s="2" t="inlineStr">
        <is>
          <t>Aprikosfingersvamp</t>
        </is>
      </c>
      <c r="S1098">
        <f>HYPERLINK("https://klasma.github.io/Logging_0883/artfynd/A 54272-2023 artfynd.xlsx", "A 54272-2023")</f>
        <v/>
      </c>
      <c r="T1098">
        <f>HYPERLINK("https://klasma.github.io/Logging_0883/kartor/A 54272-2023 karta.png", "A 54272-2023")</f>
        <v/>
      </c>
      <c r="V1098">
        <f>HYPERLINK("https://klasma.github.io/Logging_0883/klagomål/A 54272-2023 FSC-klagomål.docx", "A 54272-2023")</f>
        <v/>
      </c>
      <c r="W1098">
        <f>HYPERLINK("https://klasma.github.io/Logging_0883/klagomålsmail/A 54272-2023 FSC-klagomål mail.docx", "A 54272-2023")</f>
        <v/>
      </c>
      <c r="X1098">
        <f>HYPERLINK("https://klasma.github.io/Logging_0883/tillsyn/A 54272-2023 tillsynsbegäran.docx", "A 54272-2023")</f>
        <v/>
      </c>
      <c r="Y1098">
        <f>HYPERLINK("https://klasma.github.io/Logging_0883/tillsynsmail/A 54272-2023 tillsynsbegäran mail.docx", "A 54272-2023")</f>
        <v/>
      </c>
    </row>
    <row r="1099" ht="15" customHeight="1">
      <c r="A1099" t="inlineStr">
        <is>
          <t>A 55516-2023</t>
        </is>
      </c>
      <c r="B1099" s="1" t="n">
        <v>45238</v>
      </c>
      <c r="C1099" s="1" t="n">
        <v>45832</v>
      </c>
      <c r="D1099" t="inlineStr">
        <is>
          <t>KALMAR LÄN</t>
        </is>
      </c>
      <c r="E1099" t="inlineStr">
        <is>
          <t>HULTSFRED</t>
        </is>
      </c>
      <c r="G1099" t="n">
        <v>4.3</v>
      </c>
      <c r="H1099" t="n">
        <v>0</v>
      </c>
      <c r="I1099" t="n">
        <v>0</v>
      </c>
      <c r="J1099" t="n">
        <v>1</v>
      </c>
      <c r="K1099" t="n">
        <v>0</v>
      </c>
      <c r="L1099" t="n">
        <v>0</v>
      </c>
      <c r="M1099" t="n">
        <v>0</v>
      </c>
      <c r="N1099" t="n">
        <v>0</v>
      </c>
      <c r="O1099" t="n">
        <v>1</v>
      </c>
      <c r="P1099" t="n">
        <v>0</v>
      </c>
      <c r="Q1099" t="n">
        <v>1</v>
      </c>
      <c r="R1099" s="2" t="inlineStr">
        <is>
          <t>Spindelört</t>
        </is>
      </c>
      <c r="S1099">
        <f>HYPERLINK("https://klasma.github.io/Logging_0860/artfynd/A 55516-2023 artfynd.xlsx", "A 55516-2023")</f>
        <v/>
      </c>
      <c r="T1099">
        <f>HYPERLINK("https://klasma.github.io/Logging_0860/kartor/A 55516-2023 karta.png", "A 55516-2023")</f>
        <v/>
      </c>
      <c r="V1099">
        <f>HYPERLINK("https://klasma.github.io/Logging_0860/klagomål/A 55516-2023 FSC-klagomål.docx", "A 55516-2023")</f>
        <v/>
      </c>
      <c r="W1099">
        <f>HYPERLINK("https://klasma.github.io/Logging_0860/klagomålsmail/A 55516-2023 FSC-klagomål mail.docx", "A 55516-2023")</f>
        <v/>
      </c>
      <c r="X1099">
        <f>HYPERLINK("https://klasma.github.io/Logging_0860/tillsyn/A 55516-2023 tillsynsbegäran.docx", "A 55516-2023")</f>
        <v/>
      </c>
      <c r="Y1099">
        <f>HYPERLINK("https://klasma.github.io/Logging_0860/tillsynsmail/A 55516-2023 tillsynsbegäran mail.docx", "A 55516-2023")</f>
        <v/>
      </c>
    </row>
    <row r="1100" ht="15" customHeight="1">
      <c r="A1100" t="inlineStr">
        <is>
          <t>A 55575-2023</t>
        </is>
      </c>
      <c r="B1100" s="1" t="n">
        <v>45238</v>
      </c>
      <c r="C1100" s="1" t="n">
        <v>45832</v>
      </c>
      <c r="D1100" t="inlineStr">
        <is>
          <t>KALMAR LÄN</t>
        </is>
      </c>
      <c r="E1100" t="inlineStr">
        <is>
          <t>VÄSTERVIK</t>
        </is>
      </c>
      <c r="G1100" t="n">
        <v>3.8</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55575-2023 artfynd.xlsx", "A 55575-2023")</f>
        <v/>
      </c>
      <c r="T1100">
        <f>HYPERLINK("https://klasma.github.io/Logging_0883/kartor/A 55575-2023 karta.png", "A 55575-2023")</f>
        <v/>
      </c>
      <c r="U1100">
        <f>HYPERLINK("https://klasma.github.io/Logging_0883/knärot/A 55575-2023 karta knärot.png", "A 55575-2023")</f>
        <v/>
      </c>
      <c r="V1100">
        <f>HYPERLINK("https://klasma.github.io/Logging_0883/klagomål/A 55575-2023 FSC-klagomål.docx", "A 55575-2023")</f>
        <v/>
      </c>
      <c r="W1100">
        <f>HYPERLINK("https://klasma.github.io/Logging_0883/klagomålsmail/A 55575-2023 FSC-klagomål mail.docx", "A 55575-2023")</f>
        <v/>
      </c>
      <c r="X1100">
        <f>HYPERLINK("https://klasma.github.io/Logging_0883/tillsyn/A 55575-2023 tillsynsbegäran.docx", "A 55575-2023")</f>
        <v/>
      </c>
      <c r="Y1100">
        <f>HYPERLINK("https://klasma.github.io/Logging_0883/tillsynsmail/A 55575-2023 tillsynsbegäran mail.docx", "A 55575-2023")</f>
        <v/>
      </c>
    </row>
    <row r="1101" ht="15" customHeight="1">
      <c r="A1101" t="inlineStr">
        <is>
          <t>A 55758-2023</t>
        </is>
      </c>
      <c r="B1101" s="1" t="n">
        <v>45239</v>
      </c>
      <c r="C1101" s="1" t="n">
        <v>45832</v>
      </c>
      <c r="D1101" t="inlineStr">
        <is>
          <t>KALMAR LÄN</t>
        </is>
      </c>
      <c r="E1101" t="inlineStr">
        <is>
          <t>HULTSFRED</t>
        </is>
      </c>
      <c r="G1101" t="n">
        <v>6.7</v>
      </c>
      <c r="H1101" t="n">
        <v>0</v>
      </c>
      <c r="I1101" t="n">
        <v>0</v>
      </c>
      <c r="J1101" t="n">
        <v>1</v>
      </c>
      <c r="K1101" t="n">
        <v>0</v>
      </c>
      <c r="L1101" t="n">
        <v>0</v>
      </c>
      <c r="M1101" t="n">
        <v>0</v>
      </c>
      <c r="N1101" t="n">
        <v>0</v>
      </c>
      <c r="O1101" t="n">
        <v>1</v>
      </c>
      <c r="P1101" t="n">
        <v>0</v>
      </c>
      <c r="Q1101" t="n">
        <v>1</v>
      </c>
      <c r="R1101" s="2" t="inlineStr">
        <is>
          <t>Korskovall</t>
        </is>
      </c>
      <c r="S1101">
        <f>HYPERLINK("https://klasma.github.io/Logging_0860/artfynd/A 55758-2023 artfynd.xlsx", "A 55758-2023")</f>
        <v/>
      </c>
      <c r="T1101">
        <f>HYPERLINK("https://klasma.github.io/Logging_0860/kartor/A 55758-2023 karta.png", "A 55758-2023")</f>
        <v/>
      </c>
      <c r="V1101">
        <f>HYPERLINK("https://klasma.github.io/Logging_0860/klagomål/A 55758-2023 FSC-klagomål.docx", "A 55758-2023")</f>
        <v/>
      </c>
      <c r="W1101">
        <f>HYPERLINK("https://klasma.github.io/Logging_0860/klagomålsmail/A 55758-2023 FSC-klagomål mail.docx", "A 55758-2023")</f>
        <v/>
      </c>
      <c r="X1101">
        <f>HYPERLINK("https://klasma.github.io/Logging_0860/tillsyn/A 55758-2023 tillsynsbegäran.docx", "A 55758-2023")</f>
        <v/>
      </c>
      <c r="Y1101">
        <f>HYPERLINK("https://klasma.github.io/Logging_0860/tillsynsmail/A 55758-2023 tillsynsbegäran mail.docx", "A 55758-2023")</f>
        <v/>
      </c>
    </row>
    <row r="1102" ht="15" customHeight="1">
      <c r="A1102" t="inlineStr">
        <is>
          <t>A 56186-2023</t>
        </is>
      </c>
      <c r="B1102" s="1" t="n">
        <v>45240</v>
      </c>
      <c r="C1102" s="1" t="n">
        <v>45832</v>
      </c>
      <c r="D1102" t="inlineStr">
        <is>
          <t>KALMAR LÄN</t>
        </is>
      </c>
      <c r="E1102" t="inlineStr">
        <is>
          <t>VÄSTERVIK</t>
        </is>
      </c>
      <c r="G1102" t="n">
        <v>2.7</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56186-2023 artfynd.xlsx", "A 56186-2023")</f>
        <v/>
      </c>
      <c r="T1102">
        <f>HYPERLINK("https://klasma.github.io/Logging_0883/kartor/A 56186-2023 karta.png", "A 56186-2023")</f>
        <v/>
      </c>
      <c r="V1102">
        <f>HYPERLINK("https://klasma.github.io/Logging_0883/klagomål/A 56186-2023 FSC-klagomål.docx", "A 56186-2023")</f>
        <v/>
      </c>
      <c r="W1102">
        <f>HYPERLINK("https://klasma.github.io/Logging_0883/klagomålsmail/A 56186-2023 FSC-klagomål mail.docx", "A 56186-2023")</f>
        <v/>
      </c>
      <c r="X1102">
        <f>HYPERLINK("https://klasma.github.io/Logging_0883/tillsyn/A 56186-2023 tillsynsbegäran.docx", "A 56186-2023")</f>
        <v/>
      </c>
      <c r="Y1102">
        <f>HYPERLINK("https://klasma.github.io/Logging_0883/tillsynsmail/A 56186-2023 tillsynsbegäran mail.docx", "A 56186-2023")</f>
        <v/>
      </c>
    </row>
    <row r="1103" ht="15" customHeight="1">
      <c r="A1103" t="inlineStr">
        <is>
          <t>A 56482-2023</t>
        </is>
      </c>
      <c r="B1103" s="1" t="n">
        <v>45243</v>
      </c>
      <c r="C1103" s="1" t="n">
        <v>45832</v>
      </c>
      <c r="D1103" t="inlineStr">
        <is>
          <t>KALMAR LÄN</t>
        </is>
      </c>
      <c r="E1103" t="inlineStr">
        <is>
          <t>KALMAR</t>
        </is>
      </c>
      <c r="G1103" t="n">
        <v>2.7</v>
      </c>
      <c r="H1103" t="n">
        <v>0</v>
      </c>
      <c r="I1103" t="n">
        <v>1</v>
      </c>
      <c r="J1103" t="n">
        <v>0</v>
      </c>
      <c r="K1103" t="n">
        <v>0</v>
      </c>
      <c r="L1103" t="n">
        <v>0</v>
      </c>
      <c r="M1103" t="n">
        <v>0</v>
      </c>
      <c r="N1103" t="n">
        <v>0</v>
      </c>
      <c r="O1103" t="n">
        <v>0</v>
      </c>
      <c r="P1103" t="n">
        <v>0</v>
      </c>
      <c r="Q1103" t="n">
        <v>1</v>
      </c>
      <c r="R1103" s="2" t="inlineStr">
        <is>
          <t>Murgröna</t>
        </is>
      </c>
      <c r="S1103">
        <f>HYPERLINK("https://klasma.github.io/Logging_0880/artfynd/A 56482-2023 artfynd.xlsx", "A 56482-2023")</f>
        <v/>
      </c>
      <c r="T1103">
        <f>HYPERLINK("https://klasma.github.io/Logging_0880/kartor/A 56482-2023 karta.png", "A 56482-2023")</f>
        <v/>
      </c>
      <c r="V1103">
        <f>HYPERLINK("https://klasma.github.io/Logging_0880/klagomål/A 56482-2023 FSC-klagomål.docx", "A 56482-2023")</f>
        <v/>
      </c>
      <c r="W1103">
        <f>HYPERLINK("https://klasma.github.io/Logging_0880/klagomålsmail/A 56482-2023 FSC-klagomål mail.docx", "A 56482-2023")</f>
        <v/>
      </c>
      <c r="X1103">
        <f>HYPERLINK("https://klasma.github.io/Logging_0880/tillsyn/A 56482-2023 tillsynsbegäran.docx", "A 56482-2023")</f>
        <v/>
      </c>
      <c r="Y1103">
        <f>HYPERLINK("https://klasma.github.io/Logging_0880/tillsynsmail/A 56482-2023 tillsynsbegäran mail.docx", "A 56482-2023")</f>
        <v/>
      </c>
    </row>
    <row r="1104" ht="15" customHeight="1">
      <c r="A1104" t="inlineStr">
        <is>
          <t>A 57038-2023</t>
        </is>
      </c>
      <c r="B1104" s="1" t="n">
        <v>45244</v>
      </c>
      <c r="C1104" s="1" t="n">
        <v>45832</v>
      </c>
      <c r="D1104" t="inlineStr">
        <is>
          <t>KALMAR LÄN</t>
        </is>
      </c>
      <c r="E1104" t="inlineStr">
        <is>
          <t>VIMMERBY</t>
        </is>
      </c>
      <c r="G1104" t="n">
        <v>4.6</v>
      </c>
      <c r="H1104" t="n">
        <v>1</v>
      </c>
      <c r="I1104" t="n">
        <v>0</v>
      </c>
      <c r="J1104" t="n">
        <v>1</v>
      </c>
      <c r="K1104" t="n">
        <v>0</v>
      </c>
      <c r="L1104" t="n">
        <v>0</v>
      </c>
      <c r="M1104" t="n">
        <v>0</v>
      </c>
      <c r="N1104" t="n">
        <v>0</v>
      </c>
      <c r="O1104" t="n">
        <v>1</v>
      </c>
      <c r="P1104" t="n">
        <v>0</v>
      </c>
      <c r="Q1104" t="n">
        <v>1</v>
      </c>
      <c r="R1104" s="2" t="inlineStr">
        <is>
          <t>Talltita</t>
        </is>
      </c>
      <c r="S1104">
        <f>HYPERLINK("https://klasma.github.io/Logging_0884/artfynd/A 57038-2023 artfynd.xlsx", "A 57038-2023")</f>
        <v/>
      </c>
      <c r="T1104">
        <f>HYPERLINK("https://klasma.github.io/Logging_0884/kartor/A 57038-2023 karta.png", "A 57038-2023")</f>
        <v/>
      </c>
      <c r="V1104">
        <f>HYPERLINK("https://klasma.github.io/Logging_0884/klagomål/A 57038-2023 FSC-klagomål.docx", "A 57038-2023")</f>
        <v/>
      </c>
      <c r="W1104">
        <f>HYPERLINK("https://klasma.github.io/Logging_0884/klagomålsmail/A 57038-2023 FSC-klagomål mail.docx", "A 57038-2023")</f>
        <v/>
      </c>
      <c r="X1104">
        <f>HYPERLINK("https://klasma.github.io/Logging_0884/tillsyn/A 57038-2023 tillsynsbegäran.docx", "A 57038-2023")</f>
        <v/>
      </c>
      <c r="Y1104">
        <f>HYPERLINK("https://klasma.github.io/Logging_0884/tillsynsmail/A 57038-2023 tillsynsbegäran mail.docx", "A 57038-2023")</f>
        <v/>
      </c>
      <c r="Z1104">
        <f>HYPERLINK("https://klasma.github.io/Logging_0884/fåglar/A 57038-2023 prioriterade fågelarter.docx", "A 57038-2023")</f>
        <v/>
      </c>
    </row>
    <row r="1105" ht="15" customHeight="1">
      <c r="A1105" t="inlineStr">
        <is>
          <t>A 57763-2023</t>
        </is>
      </c>
      <c r="B1105" s="1" t="n">
        <v>45246</v>
      </c>
      <c r="C1105" s="1" t="n">
        <v>45832</v>
      </c>
      <c r="D1105" t="inlineStr">
        <is>
          <t>KALMAR LÄN</t>
        </is>
      </c>
      <c r="E1105" t="inlineStr">
        <is>
          <t>BORGHOLM</t>
        </is>
      </c>
      <c r="G1105" t="n">
        <v>2</v>
      </c>
      <c r="H1105" t="n">
        <v>1</v>
      </c>
      <c r="I1105" t="n">
        <v>0</v>
      </c>
      <c r="J1105" t="n">
        <v>0</v>
      </c>
      <c r="K1105" t="n">
        <v>0</v>
      </c>
      <c r="L1105" t="n">
        <v>0</v>
      </c>
      <c r="M1105" t="n">
        <v>0</v>
      </c>
      <c r="N1105" t="n">
        <v>0</v>
      </c>
      <c r="O1105" t="n">
        <v>0</v>
      </c>
      <c r="P1105" t="n">
        <v>0</v>
      </c>
      <c r="Q1105" t="n">
        <v>1</v>
      </c>
      <c r="R1105" s="2" t="inlineStr">
        <is>
          <t>Gullviva</t>
        </is>
      </c>
      <c r="S1105">
        <f>HYPERLINK("https://klasma.github.io/Logging_0885/artfynd/A 57763-2023 artfynd.xlsx", "A 57763-2023")</f>
        <v/>
      </c>
      <c r="T1105">
        <f>HYPERLINK("https://klasma.github.io/Logging_0885/kartor/A 57763-2023 karta.png", "A 57763-2023")</f>
        <v/>
      </c>
      <c r="V1105">
        <f>HYPERLINK("https://klasma.github.io/Logging_0885/klagomål/A 57763-2023 FSC-klagomål.docx", "A 57763-2023")</f>
        <v/>
      </c>
      <c r="W1105">
        <f>HYPERLINK("https://klasma.github.io/Logging_0885/klagomålsmail/A 57763-2023 FSC-klagomål mail.docx", "A 57763-2023")</f>
        <v/>
      </c>
      <c r="X1105">
        <f>HYPERLINK("https://klasma.github.io/Logging_0885/tillsyn/A 57763-2023 tillsynsbegäran.docx", "A 57763-2023")</f>
        <v/>
      </c>
      <c r="Y1105">
        <f>HYPERLINK("https://klasma.github.io/Logging_0885/tillsynsmail/A 57763-2023 tillsynsbegäran mail.docx", "A 57763-2023")</f>
        <v/>
      </c>
    </row>
    <row r="1106" ht="15" customHeight="1">
      <c r="A1106" t="inlineStr">
        <is>
          <t>A 59368-2023</t>
        </is>
      </c>
      <c r="B1106" s="1" t="n">
        <v>45253</v>
      </c>
      <c r="C1106" s="1" t="n">
        <v>45832</v>
      </c>
      <c r="D1106" t="inlineStr">
        <is>
          <t>KALMAR LÄN</t>
        </is>
      </c>
      <c r="E1106" t="inlineStr">
        <is>
          <t>VÄSTERVIK</t>
        </is>
      </c>
      <c r="G1106" t="n">
        <v>2.4</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59368-2023 artfynd.xlsx", "A 59368-2023")</f>
        <v/>
      </c>
      <c r="T1106">
        <f>HYPERLINK("https://klasma.github.io/Logging_0883/kartor/A 59368-2023 karta.png", "A 59368-2023")</f>
        <v/>
      </c>
      <c r="U1106">
        <f>HYPERLINK("https://klasma.github.io/Logging_0883/knärot/A 59368-2023 karta knärot.png", "A 59368-2023")</f>
        <v/>
      </c>
      <c r="V1106">
        <f>HYPERLINK("https://klasma.github.io/Logging_0883/klagomål/A 59368-2023 FSC-klagomål.docx", "A 59368-2023")</f>
        <v/>
      </c>
      <c r="W1106">
        <f>HYPERLINK("https://klasma.github.io/Logging_0883/klagomålsmail/A 59368-2023 FSC-klagomål mail.docx", "A 59368-2023")</f>
        <v/>
      </c>
      <c r="X1106">
        <f>HYPERLINK("https://klasma.github.io/Logging_0883/tillsyn/A 59368-2023 tillsynsbegäran.docx", "A 59368-2023")</f>
        <v/>
      </c>
      <c r="Y1106">
        <f>HYPERLINK("https://klasma.github.io/Logging_0883/tillsynsmail/A 59368-2023 tillsynsbegäran mail.docx", "A 59368-2023")</f>
        <v/>
      </c>
    </row>
    <row r="1107" ht="15" customHeight="1">
      <c r="A1107" t="inlineStr">
        <is>
          <t>A 59361-2023</t>
        </is>
      </c>
      <c r="B1107" s="1" t="n">
        <v>45253</v>
      </c>
      <c r="C1107" s="1" t="n">
        <v>45832</v>
      </c>
      <c r="D1107" t="inlineStr">
        <is>
          <t>KALMAR LÄN</t>
        </is>
      </c>
      <c r="E1107" t="inlineStr">
        <is>
          <t>TORSÅS</t>
        </is>
      </c>
      <c r="G1107" t="n">
        <v>1.7</v>
      </c>
      <c r="H1107" t="n">
        <v>0</v>
      </c>
      <c r="I1107" t="n">
        <v>1</v>
      </c>
      <c r="J1107" t="n">
        <v>0</v>
      </c>
      <c r="K1107" t="n">
        <v>0</v>
      </c>
      <c r="L1107" t="n">
        <v>0</v>
      </c>
      <c r="M1107" t="n">
        <v>0</v>
      </c>
      <c r="N1107" t="n">
        <v>0</v>
      </c>
      <c r="O1107" t="n">
        <v>0</v>
      </c>
      <c r="P1107" t="n">
        <v>0</v>
      </c>
      <c r="Q1107" t="n">
        <v>1</v>
      </c>
      <c r="R1107" s="2" t="inlineStr">
        <is>
          <t>Murgröna</t>
        </is>
      </c>
      <c r="S1107">
        <f>HYPERLINK("https://klasma.github.io/Logging_0834/artfynd/A 59361-2023 artfynd.xlsx", "A 59361-2023")</f>
        <v/>
      </c>
      <c r="T1107">
        <f>HYPERLINK("https://klasma.github.io/Logging_0834/kartor/A 59361-2023 karta.png", "A 59361-2023")</f>
        <v/>
      </c>
      <c r="V1107">
        <f>HYPERLINK("https://klasma.github.io/Logging_0834/klagomål/A 59361-2023 FSC-klagomål.docx", "A 59361-2023")</f>
        <v/>
      </c>
      <c r="W1107">
        <f>HYPERLINK("https://klasma.github.io/Logging_0834/klagomålsmail/A 59361-2023 FSC-klagomål mail.docx", "A 59361-2023")</f>
        <v/>
      </c>
      <c r="X1107">
        <f>HYPERLINK("https://klasma.github.io/Logging_0834/tillsyn/A 59361-2023 tillsynsbegäran.docx", "A 59361-2023")</f>
        <v/>
      </c>
      <c r="Y1107">
        <f>HYPERLINK("https://klasma.github.io/Logging_0834/tillsynsmail/A 59361-2023 tillsynsbegäran mail.docx", "A 59361-2023")</f>
        <v/>
      </c>
    </row>
    <row r="1108" ht="15" customHeight="1">
      <c r="A1108" t="inlineStr">
        <is>
          <t>A 59704-2023</t>
        </is>
      </c>
      <c r="B1108" s="1" t="n">
        <v>45256</v>
      </c>
      <c r="C1108" s="1" t="n">
        <v>45832</v>
      </c>
      <c r="D1108" t="inlineStr">
        <is>
          <t>KALMAR LÄN</t>
        </is>
      </c>
      <c r="E1108" t="inlineStr">
        <is>
          <t>HÖGSBY</t>
        </is>
      </c>
      <c r="G1108" t="n">
        <v>4.2</v>
      </c>
      <c r="H1108" t="n">
        <v>0</v>
      </c>
      <c r="I1108" t="n">
        <v>1</v>
      </c>
      <c r="J1108" t="n">
        <v>0</v>
      </c>
      <c r="K1108" t="n">
        <v>0</v>
      </c>
      <c r="L1108" t="n">
        <v>0</v>
      </c>
      <c r="M1108" t="n">
        <v>0</v>
      </c>
      <c r="N1108" t="n">
        <v>0</v>
      </c>
      <c r="O1108" t="n">
        <v>0</v>
      </c>
      <c r="P1108" t="n">
        <v>0</v>
      </c>
      <c r="Q1108" t="n">
        <v>1</v>
      </c>
      <c r="R1108" s="2" t="inlineStr">
        <is>
          <t>Flagellkvastmossa</t>
        </is>
      </c>
      <c r="S1108">
        <f>HYPERLINK("https://klasma.github.io/Logging_0821/artfynd/A 59704-2023 artfynd.xlsx", "A 59704-2023")</f>
        <v/>
      </c>
      <c r="T1108">
        <f>HYPERLINK("https://klasma.github.io/Logging_0821/kartor/A 59704-2023 karta.png", "A 59704-2023")</f>
        <v/>
      </c>
      <c r="V1108">
        <f>HYPERLINK("https://klasma.github.io/Logging_0821/klagomål/A 59704-2023 FSC-klagomål.docx", "A 59704-2023")</f>
        <v/>
      </c>
      <c r="W1108">
        <f>HYPERLINK("https://klasma.github.io/Logging_0821/klagomålsmail/A 59704-2023 FSC-klagomål mail.docx", "A 59704-2023")</f>
        <v/>
      </c>
      <c r="X1108">
        <f>HYPERLINK("https://klasma.github.io/Logging_0821/tillsyn/A 59704-2023 tillsynsbegäran.docx", "A 59704-2023")</f>
        <v/>
      </c>
      <c r="Y1108">
        <f>HYPERLINK("https://klasma.github.io/Logging_0821/tillsynsmail/A 59704-2023 tillsynsbegäran mail.docx", "A 59704-2023")</f>
        <v/>
      </c>
    </row>
    <row r="1109" ht="15" customHeight="1">
      <c r="A1109" t="inlineStr">
        <is>
          <t>A 60633-2023</t>
        </is>
      </c>
      <c r="B1109" s="1" t="n">
        <v>45260</v>
      </c>
      <c r="C1109" s="1" t="n">
        <v>45832</v>
      </c>
      <c r="D1109" t="inlineStr">
        <is>
          <t>KALMAR LÄN</t>
        </is>
      </c>
      <c r="E1109" t="inlineStr">
        <is>
          <t>VÄSTERVIK</t>
        </is>
      </c>
      <c r="G1109" t="n">
        <v>1.4</v>
      </c>
      <c r="H1109" t="n">
        <v>1</v>
      </c>
      <c r="I1109" t="n">
        <v>0</v>
      </c>
      <c r="J1109" t="n">
        <v>1</v>
      </c>
      <c r="K1109" t="n">
        <v>0</v>
      </c>
      <c r="L1109" t="n">
        <v>0</v>
      </c>
      <c r="M1109" t="n">
        <v>0</v>
      </c>
      <c r="N1109" t="n">
        <v>0</v>
      </c>
      <c r="O1109" t="n">
        <v>1</v>
      </c>
      <c r="P1109" t="n">
        <v>0</v>
      </c>
      <c r="Q1109" t="n">
        <v>1</v>
      </c>
      <c r="R1109" s="2" t="inlineStr">
        <is>
          <t>Talltita</t>
        </is>
      </c>
      <c r="S1109">
        <f>HYPERLINK("https://klasma.github.io/Logging_0883/artfynd/A 60633-2023 artfynd.xlsx", "A 60633-2023")</f>
        <v/>
      </c>
      <c r="T1109">
        <f>HYPERLINK("https://klasma.github.io/Logging_0883/kartor/A 60633-2023 karta.png", "A 60633-2023")</f>
        <v/>
      </c>
      <c r="V1109">
        <f>HYPERLINK("https://klasma.github.io/Logging_0883/klagomål/A 60633-2023 FSC-klagomål.docx", "A 60633-2023")</f>
        <v/>
      </c>
      <c r="W1109">
        <f>HYPERLINK("https://klasma.github.io/Logging_0883/klagomålsmail/A 60633-2023 FSC-klagomål mail.docx", "A 60633-2023")</f>
        <v/>
      </c>
      <c r="X1109">
        <f>HYPERLINK("https://klasma.github.io/Logging_0883/tillsyn/A 60633-2023 tillsynsbegäran.docx", "A 60633-2023")</f>
        <v/>
      </c>
      <c r="Y1109">
        <f>HYPERLINK("https://klasma.github.io/Logging_0883/tillsynsmail/A 60633-2023 tillsynsbegäran mail.docx", "A 60633-2023")</f>
        <v/>
      </c>
      <c r="Z1109">
        <f>HYPERLINK("https://klasma.github.io/Logging_0883/fåglar/A 60633-2023 prioriterade fågelarter.docx", "A 60633-2023")</f>
        <v/>
      </c>
    </row>
    <row r="1110" ht="15" customHeight="1">
      <c r="A1110" t="inlineStr">
        <is>
          <t>A 61806-2023</t>
        </is>
      </c>
      <c r="B1110" s="1" t="n">
        <v>45266</v>
      </c>
      <c r="C1110" s="1" t="n">
        <v>45832</v>
      </c>
      <c r="D1110" t="inlineStr">
        <is>
          <t>KALMAR LÄN</t>
        </is>
      </c>
      <c r="E1110" t="inlineStr">
        <is>
          <t>VÄSTERVIK</t>
        </is>
      </c>
      <c r="G1110" t="n">
        <v>1.1</v>
      </c>
      <c r="H1110" t="n">
        <v>0</v>
      </c>
      <c r="I1110" t="n">
        <v>0</v>
      </c>
      <c r="J1110" t="n">
        <v>1</v>
      </c>
      <c r="K1110" t="n">
        <v>0</v>
      </c>
      <c r="L1110" t="n">
        <v>0</v>
      </c>
      <c r="M1110" t="n">
        <v>0</v>
      </c>
      <c r="N1110" t="n">
        <v>0</v>
      </c>
      <c r="O1110" t="n">
        <v>1</v>
      </c>
      <c r="P1110" t="n">
        <v>0</v>
      </c>
      <c r="Q1110" t="n">
        <v>1</v>
      </c>
      <c r="R1110" s="2" t="inlineStr">
        <is>
          <t>Veckticka</t>
        </is>
      </c>
      <c r="S1110">
        <f>HYPERLINK("https://klasma.github.io/Logging_0883/artfynd/A 61806-2023 artfynd.xlsx", "A 61806-2023")</f>
        <v/>
      </c>
      <c r="T1110">
        <f>HYPERLINK("https://klasma.github.io/Logging_0883/kartor/A 61806-2023 karta.png", "A 61806-2023")</f>
        <v/>
      </c>
      <c r="V1110">
        <f>HYPERLINK("https://klasma.github.io/Logging_0883/klagomål/A 61806-2023 FSC-klagomål.docx", "A 61806-2023")</f>
        <v/>
      </c>
      <c r="W1110">
        <f>HYPERLINK("https://klasma.github.io/Logging_0883/klagomålsmail/A 61806-2023 FSC-klagomål mail.docx", "A 61806-2023")</f>
        <v/>
      </c>
      <c r="X1110">
        <f>HYPERLINK("https://klasma.github.io/Logging_0883/tillsyn/A 61806-2023 tillsynsbegäran.docx", "A 61806-2023")</f>
        <v/>
      </c>
      <c r="Y1110">
        <f>HYPERLINK("https://klasma.github.io/Logging_0883/tillsynsmail/A 61806-2023 tillsynsbegäran mail.docx", "A 61806-2023")</f>
        <v/>
      </c>
    </row>
    <row r="1111" ht="15" customHeight="1">
      <c r="A1111" t="inlineStr">
        <is>
          <t>A 62394-2023</t>
        </is>
      </c>
      <c r="B1111" s="1" t="n">
        <v>45268</v>
      </c>
      <c r="C1111" s="1" t="n">
        <v>45832</v>
      </c>
      <c r="D1111" t="inlineStr">
        <is>
          <t>KALMAR LÄN</t>
        </is>
      </c>
      <c r="E1111" t="inlineStr">
        <is>
          <t>HÖGSBY</t>
        </is>
      </c>
      <c r="G1111" t="n">
        <v>4.1</v>
      </c>
      <c r="H1111" t="n">
        <v>0</v>
      </c>
      <c r="I1111" t="n">
        <v>1</v>
      </c>
      <c r="J1111" t="n">
        <v>0</v>
      </c>
      <c r="K1111" t="n">
        <v>0</v>
      </c>
      <c r="L1111" t="n">
        <v>0</v>
      </c>
      <c r="M1111" t="n">
        <v>0</v>
      </c>
      <c r="N1111" t="n">
        <v>0</v>
      </c>
      <c r="O1111" t="n">
        <v>0</v>
      </c>
      <c r="P1111" t="n">
        <v>0</v>
      </c>
      <c r="Q1111" t="n">
        <v>1</v>
      </c>
      <c r="R1111" s="2" t="inlineStr">
        <is>
          <t>Kattfotslav</t>
        </is>
      </c>
      <c r="S1111">
        <f>HYPERLINK("https://klasma.github.io/Logging_0821/artfynd/A 62394-2023 artfynd.xlsx", "A 62394-2023")</f>
        <v/>
      </c>
      <c r="T1111">
        <f>HYPERLINK("https://klasma.github.io/Logging_0821/kartor/A 62394-2023 karta.png", "A 62394-2023")</f>
        <v/>
      </c>
      <c r="V1111">
        <f>HYPERLINK("https://klasma.github.io/Logging_0821/klagomål/A 62394-2023 FSC-klagomål.docx", "A 62394-2023")</f>
        <v/>
      </c>
      <c r="W1111">
        <f>HYPERLINK("https://klasma.github.io/Logging_0821/klagomålsmail/A 62394-2023 FSC-klagomål mail.docx", "A 62394-2023")</f>
        <v/>
      </c>
      <c r="X1111">
        <f>HYPERLINK("https://klasma.github.io/Logging_0821/tillsyn/A 62394-2023 tillsynsbegäran.docx", "A 62394-2023")</f>
        <v/>
      </c>
      <c r="Y1111">
        <f>HYPERLINK("https://klasma.github.io/Logging_0821/tillsynsmail/A 62394-2023 tillsynsbegäran mail.docx", "A 62394-2023")</f>
        <v/>
      </c>
    </row>
    <row r="1112" ht="15" customHeight="1">
      <c r="A1112" t="inlineStr">
        <is>
          <t>A 62431-2023</t>
        </is>
      </c>
      <c r="B1112" s="1" t="n">
        <v>45268</v>
      </c>
      <c r="C1112" s="1" t="n">
        <v>45832</v>
      </c>
      <c r="D1112" t="inlineStr">
        <is>
          <t>KALMAR LÄN</t>
        </is>
      </c>
      <c r="E1112" t="inlineStr">
        <is>
          <t>HÖGSBY</t>
        </is>
      </c>
      <c r="G1112" t="n">
        <v>4.3</v>
      </c>
      <c r="H1112" t="n">
        <v>0</v>
      </c>
      <c r="I1112" t="n">
        <v>0</v>
      </c>
      <c r="J1112" t="n">
        <v>1</v>
      </c>
      <c r="K1112" t="n">
        <v>0</v>
      </c>
      <c r="L1112" t="n">
        <v>0</v>
      </c>
      <c r="M1112" t="n">
        <v>0</v>
      </c>
      <c r="N1112" t="n">
        <v>0</v>
      </c>
      <c r="O1112" t="n">
        <v>1</v>
      </c>
      <c r="P1112" t="n">
        <v>0</v>
      </c>
      <c r="Q1112" t="n">
        <v>1</v>
      </c>
      <c r="R1112" s="2" t="inlineStr">
        <is>
          <t>Tallticka</t>
        </is>
      </c>
      <c r="S1112">
        <f>HYPERLINK("https://klasma.github.io/Logging_0821/artfynd/A 62431-2023 artfynd.xlsx", "A 62431-2023")</f>
        <v/>
      </c>
      <c r="T1112">
        <f>HYPERLINK("https://klasma.github.io/Logging_0821/kartor/A 62431-2023 karta.png", "A 62431-2023")</f>
        <v/>
      </c>
      <c r="V1112">
        <f>HYPERLINK("https://klasma.github.io/Logging_0821/klagomål/A 62431-2023 FSC-klagomål.docx", "A 62431-2023")</f>
        <v/>
      </c>
      <c r="W1112">
        <f>HYPERLINK("https://klasma.github.io/Logging_0821/klagomålsmail/A 62431-2023 FSC-klagomål mail.docx", "A 62431-2023")</f>
        <v/>
      </c>
      <c r="X1112">
        <f>HYPERLINK("https://klasma.github.io/Logging_0821/tillsyn/A 62431-2023 tillsynsbegäran.docx", "A 62431-2023")</f>
        <v/>
      </c>
      <c r="Y1112">
        <f>HYPERLINK("https://klasma.github.io/Logging_0821/tillsynsmail/A 62431-2023 tillsynsbegäran mail.docx", "A 62431-2023")</f>
        <v/>
      </c>
    </row>
    <row r="1113" ht="15" customHeight="1">
      <c r="A1113" t="inlineStr">
        <is>
          <t>A 63620-2023</t>
        </is>
      </c>
      <c r="B1113" s="1" t="n">
        <v>45275</v>
      </c>
      <c r="C1113" s="1" t="n">
        <v>45832</v>
      </c>
      <c r="D1113" t="inlineStr">
        <is>
          <t>KALMAR LÄN</t>
        </is>
      </c>
      <c r="E1113" t="inlineStr">
        <is>
          <t>KALMAR</t>
        </is>
      </c>
      <c r="F1113" t="inlineStr">
        <is>
          <t>Kommuner</t>
        </is>
      </c>
      <c r="G1113" t="n">
        <v>4.2</v>
      </c>
      <c r="H1113" t="n">
        <v>0</v>
      </c>
      <c r="I1113" t="n">
        <v>0</v>
      </c>
      <c r="J1113" t="n">
        <v>1</v>
      </c>
      <c r="K1113" t="n">
        <v>0</v>
      </c>
      <c r="L1113" t="n">
        <v>0</v>
      </c>
      <c r="M1113" t="n">
        <v>0</v>
      </c>
      <c r="N1113" t="n">
        <v>0</v>
      </c>
      <c r="O1113" t="n">
        <v>1</v>
      </c>
      <c r="P1113" t="n">
        <v>0</v>
      </c>
      <c r="Q1113" t="n">
        <v>1</v>
      </c>
      <c r="R1113" s="2" t="inlineStr">
        <is>
          <t>Motaggsvamp</t>
        </is>
      </c>
      <c r="S1113">
        <f>HYPERLINK("https://klasma.github.io/Logging_0880/artfynd/A 63620-2023 artfynd.xlsx", "A 63620-2023")</f>
        <v/>
      </c>
      <c r="T1113">
        <f>HYPERLINK("https://klasma.github.io/Logging_0880/kartor/A 63620-2023 karta.png", "A 63620-2023")</f>
        <v/>
      </c>
      <c r="V1113">
        <f>HYPERLINK("https://klasma.github.io/Logging_0880/klagomål/A 63620-2023 FSC-klagomål.docx", "A 63620-2023")</f>
        <v/>
      </c>
      <c r="W1113">
        <f>HYPERLINK("https://klasma.github.io/Logging_0880/klagomålsmail/A 63620-2023 FSC-klagomål mail.docx", "A 63620-2023")</f>
        <v/>
      </c>
      <c r="X1113">
        <f>HYPERLINK("https://klasma.github.io/Logging_0880/tillsyn/A 63620-2023 tillsynsbegäran.docx", "A 63620-2023")</f>
        <v/>
      </c>
      <c r="Y1113">
        <f>HYPERLINK("https://klasma.github.io/Logging_0880/tillsynsmail/A 63620-2023 tillsynsbegäran mail.docx", "A 63620-2023")</f>
        <v/>
      </c>
    </row>
    <row r="1114" ht="15" customHeight="1">
      <c r="A1114" t="inlineStr">
        <is>
          <t>A 64542-2023</t>
        </is>
      </c>
      <c r="B1114" s="1" t="n">
        <v>45281</v>
      </c>
      <c r="C1114" s="1" t="n">
        <v>45832</v>
      </c>
      <c r="D1114" t="inlineStr">
        <is>
          <t>KALMAR LÄN</t>
        </is>
      </c>
      <c r="E1114" t="inlineStr">
        <is>
          <t>NYBRO</t>
        </is>
      </c>
      <c r="G1114" t="n">
        <v>1.1</v>
      </c>
      <c r="H1114" t="n">
        <v>0</v>
      </c>
      <c r="I1114" t="n">
        <v>0</v>
      </c>
      <c r="J1114" t="n">
        <v>1</v>
      </c>
      <c r="K1114" t="n">
        <v>0</v>
      </c>
      <c r="L1114" t="n">
        <v>0</v>
      </c>
      <c r="M1114" t="n">
        <v>0</v>
      </c>
      <c r="N1114" t="n">
        <v>0</v>
      </c>
      <c r="O1114" t="n">
        <v>1</v>
      </c>
      <c r="P1114" t="n">
        <v>0</v>
      </c>
      <c r="Q1114" t="n">
        <v>1</v>
      </c>
      <c r="R1114" s="2" t="inlineStr">
        <is>
          <t>Sumpviol</t>
        </is>
      </c>
      <c r="S1114">
        <f>HYPERLINK("https://klasma.github.io/Logging_0881/artfynd/A 64542-2023 artfynd.xlsx", "A 64542-2023")</f>
        <v/>
      </c>
      <c r="T1114">
        <f>HYPERLINK("https://klasma.github.io/Logging_0881/kartor/A 64542-2023 karta.png", "A 64542-2023")</f>
        <v/>
      </c>
      <c r="V1114">
        <f>HYPERLINK("https://klasma.github.io/Logging_0881/klagomål/A 64542-2023 FSC-klagomål.docx", "A 64542-2023")</f>
        <v/>
      </c>
      <c r="W1114">
        <f>HYPERLINK("https://klasma.github.io/Logging_0881/klagomålsmail/A 64542-2023 FSC-klagomål mail.docx", "A 64542-2023")</f>
        <v/>
      </c>
      <c r="X1114">
        <f>HYPERLINK("https://klasma.github.io/Logging_0881/tillsyn/A 64542-2023 tillsynsbegäran.docx", "A 64542-2023")</f>
        <v/>
      </c>
      <c r="Y1114">
        <f>HYPERLINK("https://klasma.github.io/Logging_0881/tillsynsmail/A 64542-2023 tillsynsbegäran mail.docx", "A 64542-2023")</f>
        <v/>
      </c>
    </row>
    <row r="1115" ht="15" customHeight="1">
      <c r="A1115" t="inlineStr">
        <is>
          <t>A 262-2024</t>
        </is>
      </c>
      <c r="B1115" s="1" t="n">
        <v>45295</v>
      </c>
      <c r="C1115" s="1" t="n">
        <v>45832</v>
      </c>
      <c r="D1115" t="inlineStr">
        <is>
          <t>KALMAR LÄN</t>
        </is>
      </c>
      <c r="E1115" t="inlineStr">
        <is>
          <t>NYBRO</t>
        </is>
      </c>
      <c r="G1115" t="n">
        <v>2</v>
      </c>
      <c r="H1115" t="n">
        <v>1</v>
      </c>
      <c r="I1115" t="n">
        <v>0</v>
      </c>
      <c r="J1115" t="n">
        <v>0</v>
      </c>
      <c r="K1115" t="n">
        <v>0</v>
      </c>
      <c r="L1115" t="n">
        <v>0</v>
      </c>
      <c r="M1115" t="n">
        <v>0</v>
      </c>
      <c r="N1115" t="n">
        <v>0</v>
      </c>
      <c r="O1115" t="n">
        <v>0</v>
      </c>
      <c r="P1115" t="n">
        <v>0</v>
      </c>
      <c r="Q1115" t="n">
        <v>1</v>
      </c>
      <c r="R1115" s="2" t="inlineStr">
        <is>
          <t>Gullviva</t>
        </is>
      </c>
      <c r="S1115">
        <f>HYPERLINK("https://klasma.github.io/Logging_0881/artfynd/A 262-2024 artfynd.xlsx", "A 262-2024")</f>
        <v/>
      </c>
      <c r="T1115">
        <f>HYPERLINK("https://klasma.github.io/Logging_0881/kartor/A 262-2024 karta.png", "A 262-2024")</f>
        <v/>
      </c>
      <c r="V1115">
        <f>HYPERLINK("https://klasma.github.io/Logging_0881/klagomål/A 262-2024 FSC-klagomål.docx", "A 262-2024")</f>
        <v/>
      </c>
      <c r="W1115">
        <f>HYPERLINK("https://klasma.github.io/Logging_0881/klagomålsmail/A 262-2024 FSC-klagomål mail.docx", "A 262-2024")</f>
        <v/>
      </c>
      <c r="X1115">
        <f>HYPERLINK("https://klasma.github.io/Logging_0881/tillsyn/A 262-2024 tillsynsbegäran.docx", "A 262-2024")</f>
        <v/>
      </c>
      <c r="Y1115">
        <f>HYPERLINK("https://klasma.github.io/Logging_0881/tillsynsmail/A 262-2024 tillsynsbegäran mail.docx", "A 262-2024")</f>
        <v/>
      </c>
    </row>
    <row r="1116" ht="15" customHeight="1">
      <c r="A1116" t="inlineStr">
        <is>
          <t>A 1176-2024</t>
        </is>
      </c>
      <c r="B1116" s="1" t="n">
        <v>45302</v>
      </c>
      <c r="C1116" s="1" t="n">
        <v>45832</v>
      </c>
      <c r="D1116" t="inlineStr">
        <is>
          <t>KALMAR LÄN</t>
        </is>
      </c>
      <c r="E1116" t="inlineStr">
        <is>
          <t>VÄSTERVIK</t>
        </is>
      </c>
      <c r="G1116" t="n">
        <v>2.5</v>
      </c>
      <c r="H1116" t="n">
        <v>0</v>
      </c>
      <c r="I1116" t="n">
        <v>0</v>
      </c>
      <c r="J1116" t="n">
        <v>1</v>
      </c>
      <c r="K1116" t="n">
        <v>0</v>
      </c>
      <c r="L1116" t="n">
        <v>0</v>
      </c>
      <c r="M1116" t="n">
        <v>0</v>
      </c>
      <c r="N1116" t="n">
        <v>0</v>
      </c>
      <c r="O1116" t="n">
        <v>1</v>
      </c>
      <c r="P1116" t="n">
        <v>0</v>
      </c>
      <c r="Q1116" t="n">
        <v>1</v>
      </c>
      <c r="R1116" s="2" t="inlineStr">
        <is>
          <t>Tallticka</t>
        </is>
      </c>
      <c r="S1116">
        <f>HYPERLINK("https://klasma.github.io/Logging_0883/artfynd/A 1176-2024 artfynd.xlsx", "A 1176-2024")</f>
        <v/>
      </c>
      <c r="T1116">
        <f>HYPERLINK("https://klasma.github.io/Logging_0883/kartor/A 1176-2024 karta.png", "A 1176-2024")</f>
        <v/>
      </c>
      <c r="V1116">
        <f>HYPERLINK("https://klasma.github.io/Logging_0883/klagomål/A 1176-2024 FSC-klagomål.docx", "A 1176-2024")</f>
        <v/>
      </c>
      <c r="W1116">
        <f>HYPERLINK("https://klasma.github.io/Logging_0883/klagomålsmail/A 1176-2024 FSC-klagomål mail.docx", "A 1176-2024")</f>
        <v/>
      </c>
      <c r="X1116">
        <f>HYPERLINK("https://klasma.github.io/Logging_0883/tillsyn/A 1176-2024 tillsynsbegäran.docx", "A 1176-2024")</f>
        <v/>
      </c>
      <c r="Y1116">
        <f>HYPERLINK("https://klasma.github.io/Logging_0883/tillsynsmail/A 1176-2024 tillsynsbegäran mail.docx", "A 1176-2024")</f>
        <v/>
      </c>
    </row>
    <row r="1117" ht="15" customHeight="1">
      <c r="A1117" t="inlineStr">
        <is>
          <t>A 1717-2024</t>
        </is>
      </c>
      <c r="B1117" s="1" t="n">
        <v>45307</v>
      </c>
      <c r="C1117" s="1" t="n">
        <v>45832</v>
      </c>
      <c r="D1117" t="inlineStr">
        <is>
          <t>KALMAR LÄN</t>
        </is>
      </c>
      <c r="E1117" t="inlineStr">
        <is>
          <t>NYBRO</t>
        </is>
      </c>
      <c r="F1117" t="inlineStr">
        <is>
          <t>Sveaskog</t>
        </is>
      </c>
      <c r="G1117" t="n">
        <v>0.7</v>
      </c>
      <c r="H1117" t="n">
        <v>1</v>
      </c>
      <c r="I1117" t="n">
        <v>0</v>
      </c>
      <c r="J1117" t="n">
        <v>0</v>
      </c>
      <c r="K1117" t="n">
        <v>0</v>
      </c>
      <c r="L1117" t="n">
        <v>0</v>
      </c>
      <c r="M1117" t="n">
        <v>0</v>
      </c>
      <c r="N1117" t="n">
        <v>0</v>
      </c>
      <c r="O1117" t="n">
        <v>0</v>
      </c>
      <c r="P1117" t="n">
        <v>0</v>
      </c>
      <c r="Q1117" t="n">
        <v>1</v>
      </c>
      <c r="R1117" s="2" t="inlineStr">
        <is>
          <t>Blåsippa</t>
        </is>
      </c>
      <c r="S1117">
        <f>HYPERLINK("https://klasma.github.io/Logging_0881/artfynd/A 1717-2024 artfynd.xlsx", "A 1717-2024")</f>
        <v/>
      </c>
      <c r="T1117">
        <f>HYPERLINK("https://klasma.github.io/Logging_0881/kartor/A 1717-2024 karta.png", "A 1717-2024")</f>
        <v/>
      </c>
      <c r="V1117">
        <f>HYPERLINK("https://klasma.github.io/Logging_0881/klagomål/A 1717-2024 FSC-klagomål.docx", "A 1717-2024")</f>
        <v/>
      </c>
      <c r="W1117">
        <f>HYPERLINK("https://klasma.github.io/Logging_0881/klagomålsmail/A 1717-2024 FSC-klagomål mail.docx", "A 1717-2024")</f>
        <v/>
      </c>
      <c r="X1117">
        <f>HYPERLINK("https://klasma.github.io/Logging_0881/tillsyn/A 1717-2024 tillsynsbegäran.docx", "A 1717-2024")</f>
        <v/>
      </c>
      <c r="Y1117">
        <f>HYPERLINK("https://klasma.github.io/Logging_0881/tillsynsmail/A 1717-2024 tillsynsbegäran mail.docx", "A 1717-2024")</f>
        <v/>
      </c>
    </row>
    <row r="1118" ht="15" customHeight="1">
      <c r="A1118" t="inlineStr">
        <is>
          <t>A 2521-2024</t>
        </is>
      </c>
      <c r="B1118" s="1" t="n">
        <v>45313</v>
      </c>
      <c r="C1118" s="1" t="n">
        <v>45832</v>
      </c>
      <c r="D1118" t="inlineStr">
        <is>
          <t>KALMAR LÄN</t>
        </is>
      </c>
      <c r="E1118" t="inlineStr">
        <is>
          <t>HÖGSBY</t>
        </is>
      </c>
      <c r="F1118" t="inlineStr">
        <is>
          <t>Sveaskog</t>
        </is>
      </c>
      <c r="G1118" t="n">
        <v>6.1</v>
      </c>
      <c r="H1118" t="n">
        <v>0</v>
      </c>
      <c r="I1118" t="n">
        <v>0</v>
      </c>
      <c r="J1118" t="n">
        <v>1</v>
      </c>
      <c r="K1118" t="n">
        <v>0</v>
      </c>
      <c r="L1118" t="n">
        <v>0</v>
      </c>
      <c r="M1118" t="n">
        <v>0</v>
      </c>
      <c r="N1118" t="n">
        <v>0</v>
      </c>
      <c r="O1118" t="n">
        <v>1</v>
      </c>
      <c r="P1118" t="n">
        <v>0</v>
      </c>
      <c r="Q1118" t="n">
        <v>1</v>
      </c>
      <c r="R1118" s="2" t="inlineStr">
        <is>
          <t>Hårig blombock</t>
        </is>
      </c>
      <c r="S1118">
        <f>HYPERLINK("https://klasma.github.io/Logging_0821/artfynd/A 2521-2024 artfynd.xlsx", "A 2521-2024")</f>
        <v/>
      </c>
      <c r="T1118">
        <f>HYPERLINK("https://klasma.github.io/Logging_0821/kartor/A 2521-2024 karta.png", "A 2521-2024")</f>
        <v/>
      </c>
      <c r="V1118">
        <f>HYPERLINK("https://klasma.github.io/Logging_0821/klagomål/A 2521-2024 FSC-klagomål.docx", "A 2521-2024")</f>
        <v/>
      </c>
      <c r="W1118">
        <f>HYPERLINK("https://klasma.github.io/Logging_0821/klagomålsmail/A 2521-2024 FSC-klagomål mail.docx", "A 2521-2024")</f>
        <v/>
      </c>
      <c r="X1118">
        <f>HYPERLINK("https://klasma.github.io/Logging_0821/tillsyn/A 2521-2024 tillsynsbegäran.docx", "A 2521-2024")</f>
        <v/>
      </c>
      <c r="Y1118">
        <f>HYPERLINK("https://klasma.github.io/Logging_0821/tillsynsmail/A 2521-2024 tillsynsbegäran mail.docx", "A 2521-2024")</f>
        <v/>
      </c>
    </row>
    <row r="1119" ht="15" customHeight="1">
      <c r="A1119" t="inlineStr">
        <is>
          <t>A 2804-2024</t>
        </is>
      </c>
      <c r="B1119" s="1" t="n">
        <v>45314</v>
      </c>
      <c r="C1119" s="1" t="n">
        <v>45832</v>
      </c>
      <c r="D1119" t="inlineStr">
        <is>
          <t>KALMAR LÄN</t>
        </is>
      </c>
      <c r="E1119" t="inlineStr">
        <is>
          <t>VÄSTERVIK</t>
        </is>
      </c>
      <c r="G1119" t="n">
        <v>2</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2804-2024 artfynd.xlsx", "A 2804-2024")</f>
        <v/>
      </c>
      <c r="T1119">
        <f>HYPERLINK("https://klasma.github.io/Logging_0883/kartor/A 2804-2024 karta.png", "A 2804-2024")</f>
        <v/>
      </c>
      <c r="U1119">
        <f>HYPERLINK("https://klasma.github.io/Logging_0883/knärot/A 2804-2024 karta knärot.png", "A 2804-2024")</f>
        <v/>
      </c>
      <c r="V1119">
        <f>HYPERLINK("https://klasma.github.io/Logging_0883/klagomål/A 2804-2024 FSC-klagomål.docx", "A 2804-2024")</f>
        <v/>
      </c>
      <c r="W1119">
        <f>HYPERLINK("https://klasma.github.io/Logging_0883/klagomålsmail/A 2804-2024 FSC-klagomål mail.docx", "A 2804-2024")</f>
        <v/>
      </c>
      <c r="X1119">
        <f>HYPERLINK("https://klasma.github.io/Logging_0883/tillsyn/A 2804-2024 tillsynsbegäran.docx", "A 2804-2024")</f>
        <v/>
      </c>
      <c r="Y1119">
        <f>HYPERLINK("https://klasma.github.io/Logging_0883/tillsynsmail/A 2804-2024 tillsynsbegäran mail.docx", "A 2804-2024")</f>
        <v/>
      </c>
    </row>
    <row r="1120" ht="15" customHeight="1">
      <c r="A1120" t="inlineStr">
        <is>
          <t>A 3053-2024</t>
        </is>
      </c>
      <c r="B1120" s="1" t="n">
        <v>45316</v>
      </c>
      <c r="C1120" s="1" t="n">
        <v>45832</v>
      </c>
      <c r="D1120" t="inlineStr">
        <is>
          <t>KALMAR LÄN</t>
        </is>
      </c>
      <c r="E1120" t="inlineStr">
        <is>
          <t>NYBRO</t>
        </is>
      </c>
      <c r="G1120" t="n">
        <v>1.7</v>
      </c>
      <c r="H1120" t="n">
        <v>0</v>
      </c>
      <c r="I1120" t="n">
        <v>0</v>
      </c>
      <c r="J1120" t="n">
        <v>1</v>
      </c>
      <c r="K1120" t="n">
        <v>0</v>
      </c>
      <c r="L1120" t="n">
        <v>0</v>
      </c>
      <c r="M1120" t="n">
        <v>0</v>
      </c>
      <c r="N1120" t="n">
        <v>0</v>
      </c>
      <c r="O1120" t="n">
        <v>1</v>
      </c>
      <c r="P1120" t="n">
        <v>0</v>
      </c>
      <c r="Q1120" t="n">
        <v>1</v>
      </c>
      <c r="R1120" s="2" t="inlineStr">
        <is>
          <t>Slåtterfibbla</t>
        </is>
      </c>
      <c r="S1120">
        <f>HYPERLINK("https://klasma.github.io/Logging_0881/artfynd/A 3053-2024 artfynd.xlsx", "A 3053-2024")</f>
        <v/>
      </c>
      <c r="T1120">
        <f>HYPERLINK("https://klasma.github.io/Logging_0881/kartor/A 3053-2024 karta.png", "A 3053-2024")</f>
        <v/>
      </c>
      <c r="V1120">
        <f>HYPERLINK("https://klasma.github.io/Logging_0881/klagomål/A 3053-2024 FSC-klagomål.docx", "A 3053-2024")</f>
        <v/>
      </c>
      <c r="W1120">
        <f>HYPERLINK("https://klasma.github.io/Logging_0881/klagomålsmail/A 3053-2024 FSC-klagomål mail.docx", "A 3053-2024")</f>
        <v/>
      </c>
      <c r="X1120">
        <f>HYPERLINK("https://klasma.github.io/Logging_0881/tillsyn/A 3053-2024 tillsynsbegäran.docx", "A 3053-2024")</f>
        <v/>
      </c>
      <c r="Y1120">
        <f>HYPERLINK("https://klasma.github.io/Logging_0881/tillsynsmail/A 3053-2024 tillsynsbegäran mail.docx", "A 3053-2024")</f>
        <v/>
      </c>
    </row>
    <row r="1121" ht="15" customHeight="1">
      <c r="A1121" t="inlineStr">
        <is>
          <t>A 3490-2024</t>
        </is>
      </c>
      <c r="B1121" s="1" t="n">
        <v>45317</v>
      </c>
      <c r="C1121" s="1" t="n">
        <v>45832</v>
      </c>
      <c r="D1121" t="inlineStr">
        <is>
          <t>KALMAR LÄN</t>
        </is>
      </c>
      <c r="E1121" t="inlineStr">
        <is>
          <t>HÖGSBY</t>
        </is>
      </c>
      <c r="G1121" t="n">
        <v>7</v>
      </c>
      <c r="H1121" t="n">
        <v>1</v>
      </c>
      <c r="I1121" t="n">
        <v>0</v>
      </c>
      <c r="J1121" t="n">
        <v>0</v>
      </c>
      <c r="K1121" t="n">
        <v>0</v>
      </c>
      <c r="L1121" t="n">
        <v>1</v>
      </c>
      <c r="M1121" t="n">
        <v>0</v>
      </c>
      <c r="N1121" t="n">
        <v>0</v>
      </c>
      <c r="O1121" t="n">
        <v>1</v>
      </c>
      <c r="P1121" t="n">
        <v>1</v>
      </c>
      <c r="Q1121" t="n">
        <v>1</v>
      </c>
      <c r="R1121" s="2" t="inlineStr">
        <is>
          <t>Mosippa</t>
        </is>
      </c>
      <c r="S1121">
        <f>HYPERLINK("https://klasma.github.io/Logging_0821/artfynd/A 3490-2024 artfynd.xlsx", "A 3490-2024")</f>
        <v/>
      </c>
      <c r="T1121">
        <f>HYPERLINK("https://klasma.github.io/Logging_0821/kartor/A 3490-2024 karta.png", "A 3490-2024")</f>
        <v/>
      </c>
      <c r="V1121">
        <f>HYPERLINK("https://klasma.github.io/Logging_0821/klagomål/A 3490-2024 FSC-klagomål.docx", "A 3490-2024")</f>
        <v/>
      </c>
      <c r="W1121">
        <f>HYPERLINK("https://klasma.github.io/Logging_0821/klagomålsmail/A 3490-2024 FSC-klagomål mail.docx", "A 3490-2024")</f>
        <v/>
      </c>
      <c r="X1121">
        <f>HYPERLINK("https://klasma.github.io/Logging_0821/tillsyn/A 3490-2024 tillsynsbegäran.docx", "A 3490-2024")</f>
        <v/>
      </c>
      <c r="Y1121">
        <f>HYPERLINK("https://klasma.github.io/Logging_0821/tillsynsmail/A 3490-2024 tillsynsbegäran mail.docx", "A 3490-2024")</f>
        <v/>
      </c>
    </row>
    <row r="1122" ht="15" customHeight="1">
      <c r="A1122" t="inlineStr">
        <is>
          <t>A 3800-2024</t>
        </is>
      </c>
      <c r="B1122" s="1" t="n">
        <v>45321</v>
      </c>
      <c r="C1122" s="1" t="n">
        <v>45832</v>
      </c>
      <c r="D1122" t="inlineStr">
        <is>
          <t>KALMAR LÄN</t>
        </is>
      </c>
      <c r="E1122" t="inlineStr">
        <is>
          <t>HÖGSBY</t>
        </is>
      </c>
      <c r="G1122" t="n">
        <v>4.9</v>
      </c>
      <c r="H1122" t="n">
        <v>0</v>
      </c>
      <c r="I1122" t="n">
        <v>0</v>
      </c>
      <c r="J1122" t="n">
        <v>1</v>
      </c>
      <c r="K1122" t="n">
        <v>0</v>
      </c>
      <c r="L1122" t="n">
        <v>0</v>
      </c>
      <c r="M1122" t="n">
        <v>0</v>
      </c>
      <c r="N1122" t="n">
        <v>0</v>
      </c>
      <c r="O1122" t="n">
        <v>1</v>
      </c>
      <c r="P1122" t="n">
        <v>0</v>
      </c>
      <c r="Q1122" t="n">
        <v>1</v>
      </c>
      <c r="R1122" s="2" t="inlineStr">
        <is>
          <t>Tallticka</t>
        </is>
      </c>
      <c r="S1122">
        <f>HYPERLINK("https://klasma.github.io/Logging_0821/artfynd/A 3800-2024 artfynd.xlsx", "A 3800-2024")</f>
        <v/>
      </c>
      <c r="T1122">
        <f>HYPERLINK("https://klasma.github.io/Logging_0821/kartor/A 3800-2024 karta.png", "A 3800-2024")</f>
        <v/>
      </c>
      <c r="V1122">
        <f>HYPERLINK("https://klasma.github.io/Logging_0821/klagomål/A 3800-2024 FSC-klagomål.docx", "A 3800-2024")</f>
        <v/>
      </c>
      <c r="W1122">
        <f>HYPERLINK("https://klasma.github.io/Logging_0821/klagomålsmail/A 3800-2024 FSC-klagomål mail.docx", "A 3800-2024")</f>
        <v/>
      </c>
      <c r="X1122">
        <f>HYPERLINK("https://klasma.github.io/Logging_0821/tillsyn/A 3800-2024 tillsynsbegäran.docx", "A 3800-2024")</f>
        <v/>
      </c>
      <c r="Y1122">
        <f>HYPERLINK("https://klasma.github.io/Logging_0821/tillsynsmail/A 3800-2024 tillsynsbegäran mail.docx", "A 3800-2024")</f>
        <v/>
      </c>
    </row>
    <row r="1123" ht="15" customHeight="1">
      <c r="A1123" t="inlineStr">
        <is>
          <t>A 4254-2024</t>
        </is>
      </c>
      <c r="B1123" s="1" t="n">
        <v>45324</v>
      </c>
      <c r="C1123" s="1" t="n">
        <v>45832</v>
      </c>
      <c r="D1123" t="inlineStr">
        <is>
          <t>KALMAR LÄN</t>
        </is>
      </c>
      <c r="E1123" t="inlineStr">
        <is>
          <t>HULTSFRED</t>
        </is>
      </c>
      <c r="G1123" t="n">
        <v>1.7</v>
      </c>
      <c r="H1123" t="n">
        <v>1</v>
      </c>
      <c r="I1123" t="n">
        <v>0</v>
      </c>
      <c r="J1123" t="n">
        <v>0</v>
      </c>
      <c r="K1123" t="n">
        <v>1</v>
      </c>
      <c r="L1123" t="n">
        <v>0</v>
      </c>
      <c r="M1123" t="n">
        <v>0</v>
      </c>
      <c r="N1123" t="n">
        <v>0</v>
      </c>
      <c r="O1123" t="n">
        <v>1</v>
      </c>
      <c r="P1123" t="n">
        <v>1</v>
      </c>
      <c r="Q1123" t="n">
        <v>1</v>
      </c>
      <c r="R1123" s="2" t="inlineStr">
        <is>
          <t>Knärot</t>
        </is>
      </c>
      <c r="S1123">
        <f>HYPERLINK("https://klasma.github.io/Logging_0860/artfynd/A 4254-2024 artfynd.xlsx", "A 4254-2024")</f>
        <v/>
      </c>
      <c r="T1123">
        <f>HYPERLINK("https://klasma.github.io/Logging_0860/kartor/A 4254-2024 karta.png", "A 4254-2024")</f>
        <v/>
      </c>
      <c r="U1123">
        <f>HYPERLINK("https://klasma.github.io/Logging_0860/knärot/A 4254-2024 karta knärot.png", "A 4254-2024")</f>
        <v/>
      </c>
      <c r="V1123">
        <f>HYPERLINK("https://klasma.github.io/Logging_0860/klagomål/A 4254-2024 FSC-klagomål.docx", "A 4254-2024")</f>
        <v/>
      </c>
      <c r="W1123">
        <f>HYPERLINK("https://klasma.github.io/Logging_0860/klagomålsmail/A 4254-2024 FSC-klagomål mail.docx", "A 4254-2024")</f>
        <v/>
      </c>
      <c r="X1123">
        <f>HYPERLINK("https://klasma.github.io/Logging_0860/tillsyn/A 4254-2024 tillsynsbegäran.docx", "A 4254-2024")</f>
        <v/>
      </c>
      <c r="Y1123">
        <f>HYPERLINK("https://klasma.github.io/Logging_0860/tillsynsmail/A 4254-2024 tillsynsbegäran mail.docx", "A 4254-2024")</f>
        <v/>
      </c>
    </row>
    <row r="1124" ht="15" customHeight="1">
      <c r="A1124" t="inlineStr">
        <is>
          <t>A 4302-2024</t>
        </is>
      </c>
      <c r="B1124" s="1" t="n">
        <v>45324</v>
      </c>
      <c r="C1124" s="1" t="n">
        <v>45832</v>
      </c>
      <c r="D1124" t="inlineStr">
        <is>
          <t>KALMAR LÄN</t>
        </is>
      </c>
      <c r="E1124" t="inlineStr">
        <is>
          <t>KALMAR</t>
        </is>
      </c>
      <c r="G1124" t="n">
        <v>2.1</v>
      </c>
      <c r="H1124" t="n">
        <v>1</v>
      </c>
      <c r="I1124" t="n">
        <v>1</v>
      </c>
      <c r="J1124" t="n">
        <v>0</v>
      </c>
      <c r="K1124" t="n">
        <v>0</v>
      </c>
      <c r="L1124" t="n">
        <v>0</v>
      </c>
      <c r="M1124" t="n">
        <v>0</v>
      </c>
      <c r="N1124" t="n">
        <v>0</v>
      </c>
      <c r="O1124" t="n">
        <v>0</v>
      </c>
      <c r="P1124" t="n">
        <v>0</v>
      </c>
      <c r="Q1124" t="n">
        <v>1</v>
      </c>
      <c r="R1124" s="2" t="inlineStr">
        <is>
          <t>Ekoxe</t>
        </is>
      </c>
      <c r="S1124">
        <f>HYPERLINK("https://klasma.github.io/Logging_0880/artfynd/A 4302-2024 artfynd.xlsx", "A 4302-2024")</f>
        <v/>
      </c>
      <c r="T1124">
        <f>HYPERLINK("https://klasma.github.io/Logging_0880/kartor/A 4302-2024 karta.png", "A 4302-2024")</f>
        <v/>
      </c>
      <c r="V1124">
        <f>HYPERLINK("https://klasma.github.io/Logging_0880/klagomål/A 4302-2024 FSC-klagomål.docx", "A 4302-2024")</f>
        <v/>
      </c>
      <c r="W1124">
        <f>HYPERLINK("https://klasma.github.io/Logging_0880/klagomålsmail/A 4302-2024 FSC-klagomål mail.docx", "A 4302-2024")</f>
        <v/>
      </c>
      <c r="X1124">
        <f>HYPERLINK("https://klasma.github.io/Logging_0880/tillsyn/A 4302-2024 tillsynsbegäran.docx", "A 4302-2024")</f>
        <v/>
      </c>
      <c r="Y1124">
        <f>HYPERLINK("https://klasma.github.io/Logging_0880/tillsynsmail/A 4302-2024 tillsynsbegäran mail.docx", "A 4302-2024")</f>
        <v/>
      </c>
    </row>
    <row r="1125" ht="15" customHeight="1">
      <c r="A1125" t="inlineStr">
        <is>
          <t>A 4257-2024</t>
        </is>
      </c>
      <c r="B1125" s="1" t="n">
        <v>45324</v>
      </c>
      <c r="C1125" s="1" t="n">
        <v>45832</v>
      </c>
      <c r="D1125" t="inlineStr">
        <is>
          <t>KALMAR LÄN</t>
        </is>
      </c>
      <c r="E1125" t="inlineStr">
        <is>
          <t>HULTSFRED</t>
        </is>
      </c>
      <c r="G1125" t="n">
        <v>0.4</v>
      </c>
      <c r="H1125" t="n">
        <v>1</v>
      </c>
      <c r="I1125" t="n">
        <v>0</v>
      </c>
      <c r="J1125" t="n">
        <v>0</v>
      </c>
      <c r="K1125" t="n">
        <v>1</v>
      </c>
      <c r="L1125" t="n">
        <v>0</v>
      </c>
      <c r="M1125" t="n">
        <v>0</v>
      </c>
      <c r="N1125" t="n">
        <v>0</v>
      </c>
      <c r="O1125" t="n">
        <v>1</v>
      </c>
      <c r="P1125" t="n">
        <v>1</v>
      </c>
      <c r="Q1125" t="n">
        <v>1</v>
      </c>
      <c r="R1125" s="2" t="inlineStr">
        <is>
          <t>Knärot</t>
        </is>
      </c>
      <c r="S1125">
        <f>HYPERLINK("https://klasma.github.io/Logging_0860/artfynd/A 4257-2024 artfynd.xlsx", "A 4257-2024")</f>
        <v/>
      </c>
      <c r="T1125">
        <f>HYPERLINK("https://klasma.github.io/Logging_0860/kartor/A 4257-2024 karta.png", "A 4257-2024")</f>
        <v/>
      </c>
      <c r="U1125">
        <f>HYPERLINK("https://klasma.github.io/Logging_0860/knärot/A 4257-2024 karta knärot.png", "A 4257-2024")</f>
        <v/>
      </c>
      <c r="V1125">
        <f>HYPERLINK("https://klasma.github.io/Logging_0860/klagomål/A 4257-2024 FSC-klagomål.docx", "A 4257-2024")</f>
        <v/>
      </c>
      <c r="W1125">
        <f>HYPERLINK("https://klasma.github.io/Logging_0860/klagomålsmail/A 4257-2024 FSC-klagomål mail.docx", "A 4257-2024")</f>
        <v/>
      </c>
      <c r="X1125">
        <f>HYPERLINK("https://klasma.github.io/Logging_0860/tillsyn/A 4257-2024 tillsynsbegäran.docx", "A 4257-2024")</f>
        <v/>
      </c>
      <c r="Y1125">
        <f>HYPERLINK("https://klasma.github.io/Logging_0860/tillsynsmail/A 4257-2024 tillsynsbegäran mail.docx", "A 4257-2024")</f>
        <v/>
      </c>
    </row>
    <row r="1126" ht="15" customHeight="1">
      <c r="A1126" t="inlineStr">
        <is>
          <t>A 4359-2024</t>
        </is>
      </c>
      <c r="B1126" s="1" t="n">
        <v>45325</v>
      </c>
      <c r="C1126" s="1" t="n">
        <v>45832</v>
      </c>
      <c r="D1126" t="inlineStr">
        <is>
          <t>KALMAR LÄN</t>
        </is>
      </c>
      <c r="E1126" t="inlineStr">
        <is>
          <t>VIMMERBY</t>
        </is>
      </c>
      <c r="G1126" t="n">
        <v>3.6</v>
      </c>
      <c r="H1126" t="n">
        <v>0</v>
      </c>
      <c r="I1126" t="n">
        <v>0</v>
      </c>
      <c r="J1126" t="n">
        <v>1</v>
      </c>
      <c r="K1126" t="n">
        <v>0</v>
      </c>
      <c r="L1126" t="n">
        <v>0</v>
      </c>
      <c r="M1126" t="n">
        <v>0</v>
      </c>
      <c r="N1126" t="n">
        <v>0</v>
      </c>
      <c r="O1126" t="n">
        <v>1</v>
      </c>
      <c r="P1126" t="n">
        <v>0</v>
      </c>
      <c r="Q1126" t="n">
        <v>1</v>
      </c>
      <c r="R1126" s="2" t="inlineStr">
        <is>
          <t>Kandelabersvamp</t>
        </is>
      </c>
      <c r="S1126">
        <f>HYPERLINK("https://klasma.github.io/Logging_0884/artfynd/A 4359-2024 artfynd.xlsx", "A 4359-2024")</f>
        <v/>
      </c>
      <c r="T1126">
        <f>HYPERLINK("https://klasma.github.io/Logging_0884/kartor/A 4359-2024 karta.png", "A 4359-2024")</f>
        <v/>
      </c>
      <c r="V1126">
        <f>HYPERLINK("https://klasma.github.io/Logging_0884/klagomål/A 4359-2024 FSC-klagomål.docx", "A 4359-2024")</f>
        <v/>
      </c>
      <c r="W1126">
        <f>HYPERLINK("https://klasma.github.io/Logging_0884/klagomålsmail/A 4359-2024 FSC-klagomål mail.docx", "A 4359-2024")</f>
        <v/>
      </c>
      <c r="X1126">
        <f>HYPERLINK("https://klasma.github.io/Logging_0884/tillsyn/A 4359-2024 tillsynsbegäran.docx", "A 4359-2024")</f>
        <v/>
      </c>
      <c r="Y1126">
        <f>HYPERLINK("https://klasma.github.io/Logging_0884/tillsynsmail/A 4359-2024 tillsynsbegäran mail.docx", "A 4359-2024")</f>
        <v/>
      </c>
    </row>
    <row r="1127" ht="15" customHeight="1">
      <c r="A1127" t="inlineStr">
        <is>
          <t>A 4677-2024</t>
        </is>
      </c>
      <c r="B1127" s="1" t="n">
        <v>45328</v>
      </c>
      <c r="C1127" s="1" t="n">
        <v>45832</v>
      </c>
      <c r="D1127" t="inlineStr">
        <is>
          <t>KALMAR LÄN</t>
        </is>
      </c>
      <c r="E1127" t="inlineStr">
        <is>
          <t>HULTSFRED</t>
        </is>
      </c>
      <c r="G1127" t="n">
        <v>1.7</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4677-2024 artfynd.xlsx", "A 4677-2024")</f>
        <v/>
      </c>
      <c r="T1127">
        <f>HYPERLINK("https://klasma.github.io/Logging_0860/kartor/A 4677-2024 karta.png", "A 4677-2024")</f>
        <v/>
      </c>
      <c r="U1127">
        <f>HYPERLINK("https://klasma.github.io/Logging_0860/knärot/A 4677-2024 karta knärot.png", "A 4677-2024")</f>
        <v/>
      </c>
      <c r="V1127">
        <f>HYPERLINK("https://klasma.github.io/Logging_0860/klagomål/A 4677-2024 FSC-klagomål.docx", "A 4677-2024")</f>
        <v/>
      </c>
      <c r="W1127">
        <f>HYPERLINK("https://klasma.github.io/Logging_0860/klagomålsmail/A 4677-2024 FSC-klagomål mail.docx", "A 4677-2024")</f>
        <v/>
      </c>
      <c r="X1127">
        <f>HYPERLINK("https://klasma.github.io/Logging_0860/tillsyn/A 4677-2024 tillsynsbegäran.docx", "A 4677-2024")</f>
        <v/>
      </c>
      <c r="Y1127">
        <f>HYPERLINK("https://klasma.github.io/Logging_0860/tillsynsmail/A 4677-2024 tillsynsbegäran mail.docx", "A 4677-2024")</f>
        <v/>
      </c>
    </row>
    <row r="1128" ht="15" customHeight="1">
      <c r="A1128" t="inlineStr">
        <is>
          <t>A 4727-2024</t>
        </is>
      </c>
      <c r="B1128" s="1" t="n">
        <v>45328</v>
      </c>
      <c r="C1128" s="1" t="n">
        <v>45832</v>
      </c>
      <c r="D1128" t="inlineStr">
        <is>
          <t>KALMAR LÄN</t>
        </is>
      </c>
      <c r="E1128" t="inlineStr">
        <is>
          <t>TORSÅS</t>
        </is>
      </c>
      <c r="G1128" t="n">
        <v>8.9</v>
      </c>
      <c r="H1128" t="n">
        <v>1</v>
      </c>
      <c r="I1128" t="n">
        <v>0</v>
      </c>
      <c r="J1128" t="n">
        <v>0</v>
      </c>
      <c r="K1128" t="n">
        <v>0</v>
      </c>
      <c r="L1128" t="n">
        <v>0</v>
      </c>
      <c r="M1128" t="n">
        <v>0</v>
      </c>
      <c r="N1128" t="n">
        <v>0</v>
      </c>
      <c r="O1128" t="n">
        <v>0</v>
      </c>
      <c r="P1128" t="n">
        <v>0</v>
      </c>
      <c r="Q1128" t="n">
        <v>1</v>
      </c>
      <c r="R1128" s="2" t="inlineStr">
        <is>
          <t>Mattlummer</t>
        </is>
      </c>
      <c r="S1128">
        <f>HYPERLINK("https://klasma.github.io/Logging_0834/artfynd/A 4727-2024 artfynd.xlsx", "A 4727-2024")</f>
        <v/>
      </c>
      <c r="T1128">
        <f>HYPERLINK("https://klasma.github.io/Logging_0834/kartor/A 4727-2024 karta.png", "A 4727-2024")</f>
        <v/>
      </c>
      <c r="V1128">
        <f>HYPERLINK("https://klasma.github.io/Logging_0834/klagomål/A 4727-2024 FSC-klagomål.docx", "A 4727-2024")</f>
        <v/>
      </c>
      <c r="W1128">
        <f>HYPERLINK("https://klasma.github.io/Logging_0834/klagomålsmail/A 4727-2024 FSC-klagomål mail.docx", "A 4727-2024")</f>
        <v/>
      </c>
      <c r="X1128">
        <f>HYPERLINK("https://klasma.github.io/Logging_0834/tillsyn/A 4727-2024 tillsynsbegäran.docx", "A 4727-2024")</f>
        <v/>
      </c>
      <c r="Y1128">
        <f>HYPERLINK("https://klasma.github.io/Logging_0834/tillsynsmail/A 4727-2024 tillsynsbegäran mail.docx", "A 4727-2024")</f>
        <v/>
      </c>
    </row>
    <row r="1129" ht="15" customHeight="1">
      <c r="A1129" t="inlineStr">
        <is>
          <t>A 5111-2024</t>
        </is>
      </c>
      <c r="B1129" s="1" t="n">
        <v>45330</v>
      </c>
      <c r="C1129" s="1" t="n">
        <v>45832</v>
      </c>
      <c r="D1129" t="inlineStr">
        <is>
          <t>KALMAR LÄN</t>
        </is>
      </c>
      <c r="E1129" t="inlineStr">
        <is>
          <t>OSKARSHAMN</t>
        </is>
      </c>
      <c r="G1129" t="n">
        <v>1.3</v>
      </c>
      <c r="H1129" t="n">
        <v>1</v>
      </c>
      <c r="I1129" t="n">
        <v>0</v>
      </c>
      <c r="J1129" t="n">
        <v>0</v>
      </c>
      <c r="K1129" t="n">
        <v>1</v>
      </c>
      <c r="L1129" t="n">
        <v>0</v>
      </c>
      <c r="M1129" t="n">
        <v>0</v>
      </c>
      <c r="N1129" t="n">
        <v>0</v>
      </c>
      <c r="O1129" t="n">
        <v>1</v>
      </c>
      <c r="P1129" t="n">
        <v>1</v>
      </c>
      <c r="Q1129" t="n">
        <v>1</v>
      </c>
      <c r="R1129" s="2" t="inlineStr">
        <is>
          <t>Knärot</t>
        </is>
      </c>
      <c r="S1129">
        <f>HYPERLINK("https://klasma.github.io/Logging_0882/artfynd/A 5111-2024 artfynd.xlsx", "A 5111-2024")</f>
        <v/>
      </c>
      <c r="T1129">
        <f>HYPERLINK("https://klasma.github.io/Logging_0882/kartor/A 5111-2024 karta.png", "A 5111-2024")</f>
        <v/>
      </c>
      <c r="U1129">
        <f>HYPERLINK("https://klasma.github.io/Logging_0882/knärot/A 5111-2024 karta knärot.png", "A 5111-2024")</f>
        <v/>
      </c>
      <c r="V1129">
        <f>HYPERLINK("https://klasma.github.io/Logging_0882/klagomål/A 5111-2024 FSC-klagomål.docx", "A 5111-2024")</f>
        <v/>
      </c>
      <c r="W1129">
        <f>HYPERLINK("https://klasma.github.io/Logging_0882/klagomålsmail/A 5111-2024 FSC-klagomål mail.docx", "A 5111-2024")</f>
        <v/>
      </c>
      <c r="X1129">
        <f>HYPERLINK("https://klasma.github.io/Logging_0882/tillsyn/A 5111-2024 tillsynsbegäran.docx", "A 5111-2024")</f>
        <v/>
      </c>
      <c r="Y1129">
        <f>HYPERLINK("https://klasma.github.io/Logging_0882/tillsynsmail/A 5111-2024 tillsynsbegäran mail.docx", "A 5111-2024")</f>
        <v/>
      </c>
    </row>
    <row r="1130" ht="15" customHeight="1">
      <c r="A1130" t="inlineStr">
        <is>
          <t>A 5296-2024</t>
        </is>
      </c>
      <c r="B1130" s="1" t="n">
        <v>45331</v>
      </c>
      <c r="C1130" s="1" t="n">
        <v>45832</v>
      </c>
      <c r="D1130" t="inlineStr">
        <is>
          <t>KALMAR LÄN</t>
        </is>
      </c>
      <c r="E1130" t="inlineStr">
        <is>
          <t>HÖGSBY</t>
        </is>
      </c>
      <c r="G1130" t="n">
        <v>11.2</v>
      </c>
      <c r="H1130" t="n">
        <v>1</v>
      </c>
      <c r="I1130" t="n">
        <v>0</v>
      </c>
      <c r="J1130" t="n">
        <v>0</v>
      </c>
      <c r="K1130" t="n">
        <v>0</v>
      </c>
      <c r="L1130" t="n">
        <v>0</v>
      </c>
      <c r="M1130" t="n">
        <v>0</v>
      </c>
      <c r="N1130" t="n">
        <v>0</v>
      </c>
      <c r="O1130" t="n">
        <v>0</v>
      </c>
      <c r="P1130" t="n">
        <v>0</v>
      </c>
      <c r="Q1130" t="n">
        <v>1</v>
      </c>
      <c r="R1130" s="2" t="inlineStr">
        <is>
          <t>Blåsippa</t>
        </is>
      </c>
      <c r="S1130">
        <f>HYPERLINK("https://klasma.github.io/Logging_0821/artfynd/A 5296-2024 artfynd.xlsx", "A 5296-2024")</f>
        <v/>
      </c>
      <c r="T1130">
        <f>HYPERLINK("https://klasma.github.io/Logging_0821/kartor/A 5296-2024 karta.png", "A 5296-2024")</f>
        <v/>
      </c>
      <c r="V1130">
        <f>HYPERLINK("https://klasma.github.io/Logging_0821/klagomål/A 5296-2024 FSC-klagomål.docx", "A 5296-2024")</f>
        <v/>
      </c>
      <c r="W1130">
        <f>HYPERLINK("https://klasma.github.io/Logging_0821/klagomålsmail/A 5296-2024 FSC-klagomål mail.docx", "A 5296-2024")</f>
        <v/>
      </c>
      <c r="X1130">
        <f>HYPERLINK("https://klasma.github.io/Logging_0821/tillsyn/A 5296-2024 tillsynsbegäran.docx", "A 5296-2024")</f>
        <v/>
      </c>
      <c r="Y1130">
        <f>HYPERLINK("https://klasma.github.io/Logging_0821/tillsynsmail/A 5296-2024 tillsynsbegäran mail.docx", "A 5296-2024")</f>
        <v/>
      </c>
    </row>
    <row r="1131" ht="15" customHeight="1">
      <c r="A1131" t="inlineStr">
        <is>
          <t>A 5884-2024</t>
        </is>
      </c>
      <c r="B1131" s="1" t="n">
        <v>45335</v>
      </c>
      <c r="C1131" s="1" t="n">
        <v>45832</v>
      </c>
      <c r="D1131" t="inlineStr">
        <is>
          <t>KALMAR LÄN</t>
        </is>
      </c>
      <c r="E1131" t="inlineStr">
        <is>
          <t>EMMABODA</t>
        </is>
      </c>
      <c r="G1131" t="n">
        <v>4.7</v>
      </c>
      <c r="H1131" t="n">
        <v>1</v>
      </c>
      <c r="I1131" t="n">
        <v>1</v>
      </c>
      <c r="J1131" t="n">
        <v>0</v>
      </c>
      <c r="K1131" t="n">
        <v>0</v>
      </c>
      <c r="L1131" t="n">
        <v>0</v>
      </c>
      <c r="M1131" t="n">
        <v>0</v>
      </c>
      <c r="N1131" t="n">
        <v>0</v>
      </c>
      <c r="O1131" t="n">
        <v>0</v>
      </c>
      <c r="P1131" t="n">
        <v>0</v>
      </c>
      <c r="Q1131" t="n">
        <v>1</v>
      </c>
      <c r="R1131" s="2" t="inlineStr">
        <is>
          <t>Grön sköldmossa</t>
        </is>
      </c>
      <c r="S1131">
        <f>HYPERLINK("https://klasma.github.io/Logging_0862/artfynd/A 5884-2024 artfynd.xlsx", "A 5884-2024")</f>
        <v/>
      </c>
      <c r="T1131">
        <f>HYPERLINK("https://klasma.github.io/Logging_0862/kartor/A 5884-2024 karta.png", "A 5884-2024")</f>
        <v/>
      </c>
      <c r="V1131">
        <f>HYPERLINK("https://klasma.github.io/Logging_0862/klagomål/A 5884-2024 FSC-klagomål.docx", "A 5884-2024")</f>
        <v/>
      </c>
      <c r="W1131">
        <f>HYPERLINK("https://klasma.github.io/Logging_0862/klagomålsmail/A 5884-2024 FSC-klagomål mail.docx", "A 5884-2024")</f>
        <v/>
      </c>
      <c r="X1131">
        <f>HYPERLINK("https://klasma.github.io/Logging_0862/tillsyn/A 5884-2024 tillsynsbegäran.docx", "A 5884-2024")</f>
        <v/>
      </c>
      <c r="Y1131">
        <f>HYPERLINK("https://klasma.github.io/Logging_0862/tillsynsmail/A 5884-2024 tillsynsbegäran mail.docx", "A 5884-2024")</f>
        <v/>
      </c>
    </row>
    <row r="1132" ht="15" customHeight="1">
      <c r="A1132" t="inlineStr">
        <is>
          <t>A 6025-2024</t>
        </is>
      </c>
      <c r="B1132" s="1" t="n">
        <v>45336</v>
      </c>
      <c r="C1132" s="1" t="n">
        <v>45832</v>
      </c>
      <c r="D1132" t="inlineStr">
        <is>
          <t>KALMAR LÄN</t>
        </is>
      </c>
      <c r="E1132" t="inlineStr">
        <is>
          <t>VÄSTERVIK</t>
        </is>
      </c>
      <c r="G1132" t="n">
        <v>2.8</v>
      </c>
      <c r="H1132" t="n">
        <v>0</v>
      </c>
      <c r="I1132" t="n">
        <v>0</v>
      </c>
      <c r="J1132" t="n">
        <v>1</v>
      </c>
      <c r="K1132" t="n">
        <v>0</v>
      </c>
      <c r="L1132" t="n">
        <v>0</v>
      </c>
      <c r="M1132" t="n">
        <v>0</v>
      </c>
      <c r="N1132" t="n">
        <v>0</v>
      </c>
      <c r="O1132" t="n">
        <v>1</v>
      </c>
      <c r="P1132" t="n">
        <v>0</v>
      </c>
      <c r="Q1132" t="n">
        <v>1</v>
      </c>
      <c r="R1132" s="2" t="inlineStr">
        <is>
          <t>Tallticka</t>
        </is>
      </c>
      <c r="S1132">
        <f>HYPERLINK("https://klasma.github.io/Logging_0883/artfynd/A 6025-2024 artfynd.xlsx", "A 6025-2024")</f>
        <v/>
      </c>
      <c r="T1132">
        <f>HYPERLINK("https://klasma.github.io/Logging_0883/kartor/A 6025-2024 karta.png", "A 6025-2024")</f>
        <v/>
      </c>
      <c r="V1132">
        <f>HYPERLINK("https://klasma.github.io/Logging_0883/klagomål/A 6025-2024 FSC-klagomål.docx", "A 6025-2024")</f>
        <v/>
      </c>
      <c r="W1132">
        <f>HYPERLINK("https://klasma.github.io/Logging_0883/klagomålsmail/A 6025-2024 FSC-klagomål mail.docx", "A 6025-2024")</f>
        <v/>
      </c>
      <c r="X1132">
        <f>HYPERLINK("https://klasma.github.io/Logging_0883/tillsyn/A 6025-2024 tillsynsbegäran.docx", "A 6025-2024")</f>
        <v/>
      </c>
      <c r="Y1132">
        <f>HYPERLINK("https://klasma.github.io/Logging_0883/tillsynsmail/A 6025-2024 tillsynsbegäran mail.docx", "A 6025-2024")</f>
        <v/>
      </c>
    </row>
    <row r="1133" ht="15" customHeight="1">
      <c r="A1133" t="inlineStr">
        <is>
          <t>A 6854-2024</t>
        </is>
      </c>
      <c r="B1133" s="1" t="n">
        <v>45342</v>
      </c>
      <c r="C1133" s="1" t="n">
        <v>45832</v>
      </c>
      <c r="D1133" t="inlineStr">
        <is>
          <t>KALMAR LÄN</t>
        </is>
      </c>
      <c r="E1133" t="inlineStr">
        <is>
          <t>HÖGSBY</t>
        </is>
      </c>
      <c r="G1133" t="n">
        <v>6.8</v>
      </c>
      <c r="H1133" t="n">
        <v>0</v>
      </c>
      <c r="I1133" t="n">
        <v>0</v>
      </c>
      <c r="J1133" t="n">
        <v>1</v>
      </c>
      <c r="K1133" t="n">
        <v>0</v>
      </c>
      <c r="L1133" t="n">
        <v>0</v>
      </c>
      <c r="M1133" t="n">
        <v>0</v>
      </c>
      <c r="N1133" t="n">
        <v>0</v>
      </c>
      <c r="O1133" t="n">
        <v>1</v>
      </c>
      <c r="P1133" t="n">
        <v>0</v>
      </c>
      <c r="Q1133" t="n">
        <v>1</v>
      </c>
      <c r="R1133" s="2" t="inlineStr">
        <is>
          <t>Rödbrun blankbock</t>
        </is>
      </c>
      <c r="S1133">
        <f>HYPERLINK("https://klasma.github.io/Logging_0821/artfynd/A 6854-2024 artfynd.xlsx", "A 6854-2024")</f>
        <v/>
      </c>
      <c r="T1133">
        <f>HYPERLINK("https://klasma.github.io/Logging_0821/kartor/A 6854-2024 karta.png", "A 6854-2024")</f>
        <v/>
      </c>
      <c r="V1133">
        <f>HYPERLINK("https://klasma.github.io/Logging_0821/klagomål/A 6854-2024 FSC-klagomål.docx", "A 6854-2024")</f>
        <v/>
      </c>
      <c r="W1133">
        <f>HYPERLINK("https://klasma.github.io/Logging_0821/klagomålsmail/A 6854-2024 FSC-klagomål mail.docx", "A 6854-2024")</f>
        <v/>
      </c>
      <c r="X1133">
        <f>HYPERLINK("https://klasma.github.io/Logging_0821/tillsyn/A 6854-2024 tillsynsbegäran.docx", "A 6854-2024")</f>
        <v/>
      </c>
      <c r="Y1133">
        <f>HYPERLINK("https://klasma.github.io/Logging_0821/tillsynsmail/A 6854-2024 tillsynsbegäran mail.docx", "A 6854-2024")</f>
        <v/>
      </c>
    </row>
    <row r="1134" ht="15" customHeight="1">
      <c r="A1134" t="inlineStr">
        <is>
          <t>A 7183-2024</t>
        </is>
      </c>
      <c r="B1134" s="1" t="n">
        <v>45344</v>
      </c>
      <c r="C1134" s="1" t="n">
        <v>45832</v>
      </c>
      <c r="D1134" t="inlineStr">
        <is>
          <t>KALMAR LÄN</t>
        </is>
      </c>
      <c r="E1134" t="inlineStr">
        <is>
          <t>MÖNSTERÅS</t>
        </is>
      </c>
      <c r="F1134" t="inlineStr">
        <is>
          <t>Övriga Aktiebolag</t>
        </is>
      </c>
      <c r="G1134" t="n">
        <v>6.6</v>
      </c>
      <c r="H1134" t="n">
        <v>0</v>
      </c>
      <c r="I1134" t="n">
        <v>0</v>
      </c>
      <c r="J1134" t="n">
        <v>1</v>
      </c>
      <c r="K1134" t="n">
        <v>0</v>
      </c>
      <c r="L1134" t="n">
        <v>0</v>
      </c>
      <c r="M1134" t="n">
        <v>0</v>
      </c>
      <c r="N1134" t="n">
        <v>0</v>
      </c>
      <c r="O1134" t="n">
        <v>1</v>
      </c>
      <c r="P1134" t="n">
        <v>0</v>
      </c>
      <c r="Q1134" t="n">
        <v>1</v>
      </c>
      <c r="R1134" s="2" t="inlineStr">
        <is>
          <t>Aspelandsfibbla</t>
        </is>
      </c>
      <c r="S1134">
        <f>HYPERLINK("https://klasma.github.io/Logging_0861/artfynd/A 7183-2024 artfynd.xlsx", "A 7183-2024")</f>
        <v/>
      </c>
      <c r="T1134">
        <f>HYPERLINK("https://klasma.github.io/Logging_0861/kartor/A 7183-2024 karta.png", "A 7183-2024")</f>
        <v/>
      </c>
      <c r="V1134">
        <f>HYPERLINK("https://klasma.github.io/Logging_0861/klagomål/A 7183-2024 FSC-klagomål.docx", "A 7183-2024")</f>
        <v/>
      </c>
      <c r="W1134">
        <f>HYPERLINK("https://klasma.github.io/Logging_0861/klagomålsmail/A 7183-2024 FSC-klagomål mail.docx", "A 7183-2024")</f>
        <v/>
      </c>
      <c r="X1134">
        <f>HYPERLINK("https://klasma.github.io/Logging_0861/tillsyn/A 7183-2024 tillsynsbegäran.docx", "A 7183-2024")</f>
        <v/>
      </c>
      <c r="Y1134">
        <f>HYPERLINK("https://klasma.github.io/Logging_0861/tillsynsmail/A 7183-2024 tillsynsbegäran mail.docx", "A 7183-2024")</f>
        <v/>
      </c>
    </row>
    <row r="1135" ht="15" customHeight="1">
      <c r="A1135" t="inlineStr">
        <is>
          <t>A 7941-2024</t>
        </is>
      </c>
      <c r="B1135" s="1" t="n">
        <v>45350</v>
      </c>
      <c r="C1135" s="1" t="n">
        <v>45832</v>
      </c>
      <c r="D1135" t="inlineStr">
        <is>
          <t>KALMAR LÄN</t>
        </is>
      </c>
      <c r="E1135" t="inlineStr">
        <is>
          <t>MÖNSTERÅS</t>
        </is>
      </c>
      <c r="F1135" t="inlineStr">
        <is>
          <t>Övriga Aktiebolag</t>
        </is>
      </c>
      <c r="G1135" t="n">
        <v>5.6</v>
      </c>
      <c r="H1135" t="n">
        <v>1</v>
      </c>
      <c r="I1135" t="n">
        <v>0</v>
      </c>
      <c r="J1135" t="n">
        <v>0</v>
      </c>
      <c r="K1135" t="n">
        <v>1</v>
      </c>
      <c r="L1135" t="n">
        <v>0</v>
      </c>
      <c r="M1135" t="n">
        <v>0</v>
      </c>
      <c r="N1135" t="n">
        <v>0</v>
      </c>
      <c r="O1135" t="n">
        <v>1</v>
      </c>
      <c r="P1135" t="n">
        <v>1</v>
      </c>
      <c r="Q1135" t="n">
        <v>1</v>
      </c>
      <c r="R1135" s="2" t="inlineStr">
        <is>
          <t>Kricka</t>
        </is>
      </c>
      <c r="S1135">
        <f>HYPERLINK("https://klasma.github.io/Logging_0861/artfynd/A 7941-2024 artfynd.xlsx", "A 7941-2024")</f>
        <v/>
      </c>
      <c r="T1135">
        <f>HYPERLINK("https://klasma.github.io/Logging_0861/kartor/A 7941-2024 karta.png", "A 7941-2024")</f>
        <v/>
      </c>
      <c r="V1135">
        <f>HYPERLINK("https://klasma.github.io/Logging_0861/klagomål/A 7941-2024 FSC-klagomål.docx", "A 7941-2024")</f>
        <v/>
      </c>
      <c r="W1135">
        <f>HYPERLINK("https://klasma.github.io/Logging_0861/klagomålsmail/A 7941-2024 FSC-klagomål mail.docx", "A 7941-2024")</f>
        <v/>
      </c>
      <c r="X1135">
        <f>HYPERLINK("https://klasma.github.io/Logging_0861/tillsyn/A 7941-2024 tillsynsbegäran.docx", "A 7941-2024")</f>
        <v/>
      </c>
      <c r="Y1135">
        <f>HYPERLINK("https://klasma.github.io/Logging_0861/tillsynsmail/A 7941-2024 tillsynsbegäran mail.docx", "A 7941-2024")</f>
        <v/>
      </c>
      <c r="Z1135">
        <f>HYPERLINK("https://klasma.github.io/Logging_0861/fåglar/A 7941-2024 prioriterade fågelarter.docx", "A 7941-2024")</f>
        <v/>
      </c>
    </row>
    <row r="1136" ht="15" customHeight="1">
      <c r="A1136" t="inlineStr">
        <is>
          <t>A 8311-2024</t>
        </is>
      </c>
      <c r="B1136" s="1" t="n">
        <v>45350</v>
      </c>
      <c r="C1136" s="1" t="n">
        <v>45832</v>
      </c>
      <c r="D1136" t="inlineStr">
        <is>
          <t>KALMAR LÄN</t>
        </is>
      </c>
      <c r="E1136" t="inlineStr">
        <is>
          <t>TORSÅS</t>
        </is>
      </c>
      <c r="G1136" t="n">
        <v>3.8</v>
      </c>
      <c r="H1136" t="n">
        <v>0</v>
      </c>
      <c r="I1136" t="n">
        <v>1</v>
      </c>
      <c r="J1136" t="n">
        <v>0</v>
      </c>
      <c r="K1136" t="n">
        <v>0</v>
      </c>
      <c r="L1136" t="n">
        <v>0</v>
      </c>
      <c r="M1136" t="n">
        <v>0</v>
      </c>
      <c r="N1136" t="n">
        <v>0</v>
      </c>
      <c r="O1136" t="n">
        <v>0</v>
      </c>
      <c r="P1136" t="n">
        <v>0</v>
      </c>
      <c r="Q1136" t="n">
        <v>1</v>
      </c>
      <c r="R1136" s="2" t="inlineStr">
        <is>
          <t>Underviol</t>
        </is>
      </c>
      <c r="S1136">
        <f>HYPERLINK("https://klasma.github.io/Logging_0834/artfynd/A 8311-2024 artfynd.xlsx", "A 8311-2024")</f>
        <v/>
      </c>
      <c r="T1136">
        <f>HYPERLINK("https://klasma.github.io/Logging_0834/kartor/A 8311-2024 karta.png", "A 8311-2024")</f>
        <v/>
      </c>
      <c r="V1136">
        <f>HYPERLINK("https://klasma.github.io/Logging_0834/klagomål/A 8311-2024 FSC-klagomål.docx", "A 8311-2024")</f>
        <v/>
      </c>
      <c r="W1136">
        <f>HYPERLINK("https://klasma.github.io/Logging_0834/klagomålsmail/A 8311-2024 FSC-klagomål mail.docx", "A 8311-2024")</f>
        <v/>
      </c>
      <c r="X1136">
        <f>HYPERLINK("https://klasma.github.io/Logging_0834/tillsyn/A 8311-2024 tillsynsbegäran.docx", "A 8311-2024")</f>
        <v/>
      </c>
      <c r="Y1136">
        <f>HYPERLINK("https://klasma.github.io/Logging_0834/tillsynsmail/A 8311-2024 tillsynsbegäran mail.docx", "A 8311-2024")</f>
        <v/>
      </c>
    </row>
    <row r="1137" ht="15" customHeight="1">
      <c r="A1137" t="inlineStr">
        <is>
          <t>A 9792-2024</t>
        </is>
      </c>
      <c r="B1137" s="1" t="n">
        <v>45362</v>
      </c>
      <c r="C1137" s="1" t="n">
        <v>45832</v>
      </c>
      <c r="D1137" t="inlineStr">
        <is>
          <t>KALMAR LÄN</t>
        </is>
      </c>
      <c r="E1137" t="inlineStr">
        <is>
          <t>MÖNSTERÅS</t>
        </is>
      </c>
      <c r="F1137" t="inlineStr">
        <is>
          <t>Övriga Aktiebolag</t>
        </is>
      </c>
      <c r="G1137" t="n">
        <v>2.2</v>
      </c>
      <c r="H1137" t="n">
        <v>1</v>
      </c>
      <c r="I1137" t="n">
        <v>0</v>
      </c>
      <c r="J1137" t="n">
        <v>0</v>
      </c>
      <c r="K1137" t="n">
        <v>0</v>
      </c>
      <c r="L1137" t="n">
        <v>0</v>
      </c>
      <c r="M1137" t="n">
        <v>0</v>
      </c>
      <c r="N1137" t="n">
        <v>0</v>
      </c>
      <c r="O1137" t="n">
        <v>0</v>
      </c>
      <c r="P1137" t="n">
        <v>0</v>
      </c>
      <c r="Q1137" t="n">
        <v>1</v>
      </c>
      <c r="R1137" s="2" t="inlineStr">
        <is>
          <t>Dvärgpipistrell</t>
        </is>
      </c>
      <c r="S1137">
        <f>HYPERLINK("https://klasma.github.io/Logging_0861/artfynd/A 9792-2024 artfynd.xlsx", "A 9792-2024")</f>
        <v/>
      </c>
      <c r="T1137">
        <f>HYPERLINK("https://klasma.github.io/Logging_0861/kartor/A 9792-2024 karta.png", "A 9792-2024")</f>
        <v/>
      </c>
      <c r="V1137">
        <f>HYPERLINK("https://klasma.github.io/Logging_0861/klagomål/A 9792-2024 FSC-klagomål.docx", "A 9792-2024")</f>
        <v/>
      </c>
      <c r="W1137">
        <f>HYPERLINK("https://klasma.github.io/Logging_0861/klagomålsmail/A 9792-2024 FSC-klagomål mail.docx", "A 9792-2024")</f>
        <v/>
      </c>
      <c r="X1137">
        <f>HYPERLINK("https://klasma.github.io/Logging_0861/tillsyn/A 9792-2024 tillsynsbegäran.docx", "A 9792-2024")</f>
        <v/>
      </c>
      <c r="Y1137">
        <f>HYPERLINK("https://klasma.github.io/Logging_0861/tillsynsmail/A 9792-2024 tillsynsbegäran mail.docx", "A 9792-2024")</f>
        <v/>
      </c>
    </row>
    <row r="1138" ht="15" customHeight="1">
      <c r="A1138" t="inlineStr">
        <is>
          <t>A 9791-2024</t>
        </is>
      </c>
      <c r="B1138" s="1" t="n">
        <v>45362</v>
      </c>
      <c r="C1138" s="1" t="n">
        <v>45832</v>
      </c>
      <c r="D1138" t="inlineStr">
        <is>
          <t>KALMAR LÄN</t>
        </is>
      </c>
      <c r="E1138" t="inlineStr">
        <is>
          <t>KALMAR</t>
        </is>
      </c>
      <c r="G1138" t="n">
        <v>3</v>
      </c>
      <c r="H1138" t="n">
        <v>1</v>
      </c>
      <c r="I1138" t="n">
        <v>0</v>
      </c>
      <c r="J1138" t="n">
        <v>0</v>
      </c>
      <c r="K1138" t="n">
        <v>0</v>
      </c>
      <c r="L1138" t="n">
        <v>0</v>
      </c>
      <c r="M1138" t="n">
        <v>0</v>
      </c>
      <c r="N1138" t="n">
        <v>0</v>
      </c>
      <c r="O1138" t="n">
        <v>0</v>
      </c>
      <c r="P1138" t="n">
        <v>0</v>
      </c>
      <c r="Q1138" t="n">
        <v>1</v>
      </c>
      <c r="R1138" s="2" t="inlineStr">
        <is>
          <t>Mattlummer</t>
        </is>
      </c>
      <c r="S1138">
        <f>HYPERLINK("https://klasma.github.io/Logging_0880/artfynd/A 9791-2024 artfynd.xlsx", "A 9791-2024")</f>
        <v/>
      </c>
      <c r="T1138">
        <f>HYPERLINK("https://klasma.github.io/Logging_0880/kartor/A 9791-2024 karta.png", "A 9791-2024")</f>
        <v/>
      </c>
      <c r="V1138">
        <f>HYPERLINK("https://klasma.github.io/Logging_0880/klagomål/A 9791-2024 FSC-klagomål.docx", "A 9791-2024")</f>
        <v/>
      </c>
      <c r="W1138">
        <f>HYPERLINK("https://klasma.github.io/Logging_0880/klagomålsmail/A 9791-2024 FSC-klagomål mail.docx", "A 9791-2024")</f>
        <v/>
      </c>
      <c r="X1138">
        <f>HYPERLINK("https://klasma.github.io/Logging_0880/tillsyn/A 9791-2024 tillsynsbegäran.docx", "A 9791-2024")</f>
        <v/>
      </c>
      <c r="Y1138">
        <f>HYPERLINK("https://klasma.github.io/Logging_0880/tillsynsmail/A 9791-2024 tillsynsbegäran mail.docx", "A 9791-2024")</f>
        <v/>
      </c>
    </row>
    <row r="1139" ht="15" customHeight="1">
      <c r="A1139" t="inlineStr">
        <is>
          <t>A 9789-2024</t>
        </is>
      </c>
      <c r="B1139" s="1" t="n">
        <v>45362</v>
      </c>
      <c r="C1139" s="1" t="n">
        <v>45832</v>
      </c>
      <c r="D1139" t="inlineStr">
        <is>
          <t>KALMAR LÄN</t>
        </is>
      </c>
      <c r="E1139" t="inlineStr">
        <is>
          <t>MÖNSTERÅS</t>
        </is>
      </c>
      <c r="F1139" t="inlineStr">
        <is>
          <t>Övriga Aktiebolag</t>
        </is>
      </c>
      <c r="G1139" t="n">
        <v>15.8</v>
      </c>
      <c r="H1139" t="n">
        <v>0</v>
      </c>
      <c r="I1139" t="n">
        <v>1</v>
      </c>
      <c r="J1139" t="n">
        <v>0</v>
      </c>
      <c r="K1139" t="n">
        <v>0</v>
      </c>
      <c r="L1139" t="n">
        <v>0</v>
      </c>
      <c r="M1139" t="n">
        <v>0</v>
      </c>
      <c r="N1139" t="n">
        <v>0</v>
      </c>
      <c r="O1139" t="n">
        <v>0</v>
      </c>
      <c r="P1139" t="n">
        <v>0</v>
      </c>
      <c r="Q1139" t="n">
        <v>1</v>
      </c>
      <c r="R1139" s="2" t="inlineStr">
        <is>
          <t>Jättesvampmal</t>
        </is>
      </c>
      <c r="S1139">
        <f>HYPERLINK("https://klasma.github.io/Logging_0861/artfynd/A 9789-2024 artfynd.xlsx", "A 9789-2024")</f>
        <v/>
      </c>
      <c r="T1139">
        <f>HYPERLINK("https://klasma.github.io/Logging_0861/kartor/A 9789-2024 karta.png", "A 9789-2024")</f>
        <v/>
      </c>
      <c r="V1139">
        <f>HYPERLINK("https://klasma.github.io/Logging_0861/klagomål/A 9789-2024 FSC-klagomål.docx", "A 9789-2024")</f>
        <v/>
      </c>
      <c r="W1139">
        <f>HYPERLINK("https://klasma.github.io/Logging_0861/klagomålsmail/A 9789-2024 FSC-klagomål mail.docx", "A 9789-2024")</f>
        <v/>
      </c>
      <c r="X1139">
        <f>HYPERLINK("https://klasma.github.io/Logging_0861/tillsyn/A 9789-2024 tillsynsbegäran.docx", "A 9789-2024")</f>
        <v/>
      </c>
      <c r="Y1139">
        <f>HYPERLINK("https://klasma.github.io/Logging_0861/tillsynsmail/A 9789-2024 tillsynsbegäran mail.docx", "A 9789-2024")</f>
        <v/>
      </c>
    </row>
    <row r="1140" ht="15" customHeight="1">
      <c r="A1140" t="inlineStr">
        <is>
          <t>A 10016-2024</t>
        </is>
      </c>
      <c r="B1140" s="1" t="n">
        <v>45363</v>
      </c>
      <c r="C1140" s="1" t="n">
        <v>45832</v>
      </c>
      <c r="D1140" t="inlineStr">
        <is>
          <t>KALMAR LÄN</t>
        </is>
      </c>
      <c r="E1140" t="inlineStr">
        <is>
          <t>VIMMERBY</t>
        </is>
      </c>
      <c r="G1140" t="n">
        <v>1.5</v>
      </c>
      <c r="H1140" t="n">
        <v>1</v>
      </c>
      <c r="I1140" t="n">
        <v>0</v>
      </c>
      <c r="J1140" t="n">
        <v>1</v>
      </c>
      <c r="K1140" t="n">
        <v>0</v>
      </c>
      <c r="L1140" t="n">
        <v>0</v>
      </c>
      <c r="M1140" t="n">
        <v>0</v>
      </c>
      <c r="N1140" t="n">
        <v>0</v>
      </c>
      <c r="O1140" t="n">
        <v>1</v>
      </c>
      <c r="P1140" t="n">
        <v>0</v>
      </c>
      <c r="Q1140" t="n">
        <v>1</v>
      </c>
      <c r="R1140" s="2" t="inlineStr">
        <is>
          <t>Röd skogslilja</t>
        </is>
      </c>
      <c r="S1140">
        <f>HYPERLINK("https://klasma.github.io/Logging_0884/artfynd/A 10016-2024 artfynd.xlsx", "A 10016-2024")</f>
        <v/>
      </c>
      <c r="T1140">
        <f>HYPERLINK("https://klasma.github.io/Logging_0884/kartor/A 10016-2024 karta.png", "A 10016-2024")</f>
        <v/>
      </c>
      <c r="V1140">
        <f>HYPERLINK("https://klasma.github.io/Logging_0884/klagomål/A 10016-2024 FSC-klagomål.docx", "A 10016-2024")</f>
        <v/>
      </c>
      <c r="W1140">
        <f>HYPERLINK("https://klasma.github.io/Logging_0884/klagomålsmail/A 10016-2024 FSC-klagomål mail.docx", "A 10016-2024")</f>
        <v/>
      </c>
      <c r="X1140">
        <f>HYPERLINK("https://klasma.github.io/Logging_0884/tillsyn/A 10016-2024 tillsynsbegäran.docx", "A 10016-2024")</f>
        <v/>
      </c>
      <c r="Y1140">
        <f>HYPERLINK("https://klasma.github.io/Logging_0884/tillsynsmail/A 10016-2024 tillsynsbegäran mail.docx", "A 10016-2024")</f>
        <v/>
      </c>
    </row>
    <row r="1141" ht="15" customHeight="1">
      <c r="A1141" t="inlineStr">
        <is>
          <t>A 10174-2024</t>
        </is>
      </c>
      <c r="B1141" s="1" t="n">
        <v>45364</v>
      </c>
      <c r="C1141" s="1" t="n">
        <v>45832</v>
      </c>
      <c r="D1141" t="inlineStr">
        <is>
          <t>KALMAR LÄN</t>
        </is>
      </c>
      <c r="E1141" t="inlineStr">
        <is>
          <t>NYBRO</t>
        </is>
      </c>
      <c r="G1141" t="n">
        <v>0.7</v>
      </c>
      <c r="H1141" t="n">
        <v>0</v>
      </c>
      <c r="I1141" t="n">
        <v>0</v>
      </c>
      <c r="J1141" t="n">
        <v>1</v>
      </c>
      <c r="K1141" t="n">
        <v>0</v>
      </c>
      <c r="L1141" t="n">
        <v>0</v>
      </c>
      <c r="M1141" t="n">
        <v>0</v>
      </c>
      <c r="N1141" t="n">
        <v>0</v>
      </c>
      <c r="O1141" t="n">
        <v>1</v>
      </c>
      <c r="P1141" t="n">
        <v>0</v>
      </c>
      <c r="Q1141" t="n">
        <v>1</v>
      </c>
      <c r="R1141" s="2" t="inlineStr">
        <is>
          <t>Mindre bastardsvärmare</t>
        </is>
      </c>
      <c r="S1141">
        <f>HYPERLINK("https://klasma.github.io/Logging_0881/artfynd/A 10174-2024 artfynd.xlsx", "A 10174-2024")</f>
        <v/>
      </c>
      <c r="T1141">
        <f>HYPERLINK("https://klasma.github.io/Logging_0881/kartor/A 10174-2024 karta.png", "A 10174-2024")</f>
        <v/>
      </c>
      <c r="V1141">
        <f>HYPERLINK("https://klasma.github.io/Logging_0881/klagomål/A 10174-2024 FSC-klagomål.docx", "A 10174-2024")</f>
        <v/>
      </c>
      <c r="W1141">
        <f>HYPERLINK("https://klasma.github.io/Logging_0881/klagomålsmail/A 10174-2024 FSC-klagomål mail.docx", "A 10174-2024")</f>
        <v/>
      </c>
      <c r="X1141">
        <f>HYPERLINK("https://klasma.github.io/Logging_0881/tillsyn/A 10174-2024 tillsynsbegäran.docx", "A 10174-2024")</f>
        <v/>
      </c>
      <c r="Y1141">
        <f>HYPERLINK("https://klasma.github.io/Logging_0881/tillsynsmail/A 10174-2024 tillsynsbegäran mail.docx", "A 10174-2024")</f>
        <v/>
      </c>
    </row>
    <row r="1142" ht="15" customHeight="1">
      <c r="A1142" t="inlineStr">
        <is>
          <t>A 10178-2024</t>
        </is>
      </c>
      <c r="B1142" s="1" t="n">
        <v>45364</v>
      </c>
      <c r="C1142" s="1" t="n">
        <v>45832</v>
      </c>
      <c r="D1142" t="inlineStr">
        <is>
          <t>KALMAR LÄN</t>
        </is>
      </c>
      <c r="E1142" t="inlineStr">
        <is>
          <t>MÖNSTERÅS</t>
        </is>
      </c>
      <c r="F1142" t="inlineStr">
        <is>
          <t>Övriga Aktiebolag</t>
        </is>
      </c>
      <c r="G1142" t="n">
        <v>4.8</v>
      </c>
      <c r="H1142" t="n">
        <v>1</v>
      </c>
      <c r="I1142" t="n">
        <v>0</v>
      </c>
      <c r="J1142" t="n">
        <v>1</v>
      </c>
      <c r="K1142" t="n">
        <v>0</v>
      </c>
      <c r="L1142" t="n">
        <v>0</v>
      </c>
      <c r="M1142" t="n">
        <v>0</v>
      </c>
      <c r="N1142" t="n">
        <v>0</v>
      </c>
      <c r="O1142" t="n">
        <v>1</v>
      </c>
      <c r="P1142" t="n">
        <v>0</v>
      </c>
      <c r="Q1142" t="n">
        <v>1</v>
      </c>
      <c r="R1142" s="2" t="inlineStr">
        <is>
          <t>Spillkråka</t>
        </is>
      </c>
      <c r="S1142">
        <f>HYPERLINK("https://klasma.github.io/Logging_0861/artfynd/A 10178-2024 artfynd.xlsx", "A 10178-2024")</f>
        <v/>
      </c>
      <c r="T1142">
        <f>HYPERLINK("https://klasma.github.io/Logging_0861/kartor/A 10178-2024 karta.png", "A 10178-2024")</f>
        <v/>
      </c>
      <c r="V1142">
        <f>HYPERLINK("https://klasma.github.io/Logging_0861/klagomål/A 10178-2024 FSC-klagomål.docx", "A 10178-2024")</f>
        <v/>
      </c>
      <c r="W1142">
        <f>HYPERLINK("https://klasma.github.io/Logging_0861/klagomålsmail/A 10178-2024 FSC-klagomål mail.docx", "A 10178-2024")</f>
        <v/>
      </c>
      <c r="X1142">
        <f>HYPERLINK("https://klasma.github.io/Logging_0861/tillsyn/A 10178-2024 tillsynsbegäran.docx", "A 10178-2024")</f>
        <v/>
      </c>
      <c r="Y1142">
        <f>HYPERLINK("https://klasma.github.io/Logging_0861/tillsynsmail/A 10178-2024 tillsynsbegäran mail.docx", "A 10178-2024")</f>
        <v/>
      </c>
      <c r="Z1142">
        <f>HYPERLINK("https://klasma.github.io/Logging_0861/fåglar/A 10178-2024 prioriterade fågelarter.docx", "A 10178-2024")</f>
        <v/>
      </c>
    </row>
    <row r="1143" ht="15" customHeight="1">
      <c r="A1143" t="inlineStr">
        <is>
          <t>A 10254-2024</t>
        </is>
      </c>
      <c r="B1143" s="1" t="n">
        <v>45365</v>
      </c>
      <c r="C1143" s="1" t="n">
        <v>45832</v>
      </c>
      <c r="D1143" t="inlineStr">
        <is>
          <t>KALMAR LÄN</t>
        </is>
      </c>
      <c r="E1143" t="inlineStr">
        <is>
          <t>HÖGSBY</t>
        </is>
      </c>
      <c r="G1143" t="n">
        <v>0.8</v>
      </c>
      <c r="H1143" t="n">
        <v>1</v>
      </c>
      <c r="I1143" t="n">
        <v>0</v>
      </c>
      <c r="J1143" t="n">
        <v>0</v>
      </c>
      <c r="K1143" t="n">
        <v>0</v>
      </c>
      <c r="L1143" t="n">
        <v>0</v>
      </c>
      <c r="M1143" t="n">
        <v>0</v>
      </c>
      <c r="N1143" t="n">
        <v>0</v>
      </c>
      <c r="O1143" t="n">
        <v>0</v>
      </c>
      <c r="P1143" t="n">
        <v>0</v>
      </c>
      <c r="Q1143" t="n">
        <v>1</v>
      </c>
      <c r="R1143" s="2" t="inlineStr">
        <is>
          <t>Tjäder</t>
        </is>
      </c>
      <c r="S1143">
        <f>HYPERLINK("https://klasma.github.io/Logging_0821/artfynd/A 10254-2024 artfynd.xlsx", "A 10254-2024")</f>
        <v/>
      </c>
      <c r="T1143">
        <f>HYPERLINK("https://klasma.github.io/Logging_0821/kartor/A 10254-2024 karta.png", "A 10254-2024")</f>
        <v/>
      </c>
      <c r="V1143">
        <f>HYPERLINK("https://klasma.github.io/Logging_0821/klagomål/A 10254-2024 FSC-klagomål.docx", "A 10254-2024")</f>
        <v/>
      </c>
      <c r="W1143">
        <f>HYPERLINK("https://klasma.github.io/Logging_0821/klagomålsmail/A 10254-2024 FSC-klagomål mail.docx", "A 10254-2024")</f>
        <v/>
      </c>
      <c r="X1143">
        <f>HYPERLINK("https://klasma.github.io/Logging_0821/tillsyn/A 10254-2024 tillsynsbegäran.docx", "A 10254-2024")</f>
        <v/>
      </c>
      <c r="Y1143">
        <f>HYPERLINK("https://klasma.github.io/Logging_0821/tillsynsmail/A 10254-2024 tillsynsbegäran mail.docx", "A 10254-2024")</f>
        <v/>
      </c>
      <c r="Z1143">
        <f>HYPERLINK("https://klasma.github.io/Logging_0821/fåglar/A 10254-2024 prioriterade fågelarter.docx", "A 10254-2024")</f>
        <v/>
      </c>
    </row>
    <row r="1144" ht="15" customHeight="1">
      <c r="A1144" t="inlineStr">
        <is>
          <t>A 10459-2024</t>
        </is>
      </c>
      <c r="B1144" s="1" t="n">
        <v>45366</v>
      </c>
      <c r="C1144" s="1" t="n">
        <v>45832</v>
      </c>
      <c r="D1144" t="inlineStr">
        <is>
          <t>KALMAR LÄN</t>
        </is>
      </c>
      <c r="E1144" t="inlineStr">
        <is>
          <t>NYBRO</t>
        </is>
      </c>
      <c r="G1144" t="n">
        <v>2.2</v>
      </c>
      <c r="H1144" t="n">
        <v>0</v>
      </c>
      <c r="I1144" t="n">
        <v>0</v>
      </c>
      <c r="J1144" t="n">
        <v>1</v>
      </c>
      <c r="K1144" t="n">
        <v>0</v>
      </c>
      <c r="L1144" t="n">
        <v>0</v>
      </c>
      <c r="M1144" t="n">
        <v>0</v>
      </c>
      <c r="N1144" t="n">
        <v>0</v>
      </c>
      <c r="O1144" t="n">
        <v>1</v>
      </c>
      <c r="P1144" t="n">
        <v>0</v>
      </c>
      <c r="Q1144" t="n">
        <v>1</v>
      </c>
      <c r="R1144" s="2" t="inlineStr">
        <is>
          <t>Sumpviol</t>
        </is>
      </c>
      <c r="S1144">
        <f>HYPERLINK("https://klasma.github.io/Logging_0881/artfynd/A 10459-2024 artfynd.xlsx", "A 10459-2024")</f>
        <v/>
      </c>
      <c r="T1144">
        <f>HYPERLINK("https://klasma.github.io/Logging_0881/kartor/A 10459-2024 karta.png", "A 10459-2024")</f>
        <v/>
      </c>
      <c r="V1144">
        <f>HYPERLINK("https://klasma.github.io/Logging_0881/klagomål/A 10459-2024 FSC-klagomål.docx", "A 10459-2024")</f>
        <v/>
      </c>
      <c r="W1144">
        <f>HYPERLINK("https://klasma.github.io/Logging_0881/klagomålsmail/A 10459-2024 FSC-klagomål mail.docx", "A 10459-2024")</f>
        <v/>
      </c>
      <c r="X1144">
        <f>HYPERLINK("https://klasma.github.io/Logging_0881/tillsyn/A 10459-2024 tillsynsbegäran.docx", "A 10459-2024")</f>
        <v/>
      </c>
      <c r="Y1144">
        <f>HYPERLINK("https://klasma.github.io/Logging_0881/tillsynsmail/A 10459-2024 tillsynsbegäran mail.docx", "A 10459-2024")</f>
        <v/>
      </c>
    </row>
    <row r="1145" ht="15" customHeight="1">
      <c r="A1145" t="inlineStr">
        <is>
          <t>A 11165-2024</t>
        </is>
      </c>
      <c r="B1145" s="1" t="n">
        <v>45371</v>
      </c>
      <c r="C1145" s="1" t="n">
        <v>45832</v>
      </c>
      <c r="D1145" t="inlineStr">
        <is>
          <t>KALMAR LÄN</t>
        </is>
      </c>
      <c r="E1145" t="inlineStr">
        <is>
          <t>VÄSTERVIK</t>
        </is>
      </c>
      <c r="G1145" t="n">
        <v>3.7</v>
      </c>
      <c r="H1145" t="n">
        <v>1</v>
      </c>
      <c r="I1145" t="n">
        <v>0</v>
      </c>
      <c r="J1145" t="n">
        <v>1</v>
      </c>
      <c r="K1145" t="n">
        <v>0</v>
      </c>
      <c r="L1145" t="n">
        <v>0</v>
      </c>
      <c r="M1145" t="n">
        <v>0</v>
      </c>
      <c r="N1145" t="n">
        <v>0</v>
      </c>
      <c r="O1145" t="n">
        <v>1</v>
      </c>
      <c r="P1145" t="n">
        <v>0</v>
      </c>
      <c r="Q1145" t="n">
        <v>1</v>
      </c>
      <c r="R1145" s="2" t="inlineStr">
        <is>
          <t>Spillkråka</t>
        </is>
      </c>
      <c r="S1145">
        <f>HYPERLINK("https://klasma.github.io/Logging_0883/artfynd/A 11165-2024 artfynd.xlsx", "A 11165-2024")</f>
        <v/>
      </c>
      <c r="T1145">
        <f>HYPERLINK("https://klasma.github.io/Logging_0883/kartor/A 11165-2024 karta.png", "A 11165-2024")</f>
        <v/>
      </c>
      <c r="V1145">
        <f>HYPERLINK("https://klasma.github.io/Logging_0883/klagomål/A 11165-2024 FSC-klagomål.docx", "A 11165-2024")</f>
        <v/>
      </c>
      <c r="W1145">
        <f>HYPERLINK("https://klasma.github.io/Logging_0883/klagomålsmail/A 11165-2024 FSC-klagomål mail.docx", "A 11165-2024")</f>
        <v/>
      </c>
      <c r="X1145">
        <f>HYPERLINK("https://klasma.github.io/Logging_0883/tillsyn/A 11165-2024 tillsynsbegäran.docx", "A 11165-2024")</f>
        <v/>
      </c>
      <c r="Y1145">
        <f>HYPERLINK("https://klasma.github.io/Logging_0883/tillsynsmail/A 11165-2024 tillsynsbegäran mail.docx", "A 11165-2024")</f>
        <v/>
      </c>
      <c r="Z1145">
        <f>HYPERLINK("https://klasma.github.io/Logging_0883/fåglar/A 11165-2024 prioriterade fågelarter.docx", "A 11165-2024")</f>
        <v/>
      </c>
    </row>
    <row r="1146" ht="15" customHeight="1">
      <c r="A1146" t="inlineStr">
        <is>
          <t>A 11195-2024</t>
        </is>
      </c>
      <c r="B1146" s="1" t="n">
        <v>45371</v>
      </c>
      <c r="C1146" s="1" t="n">
        <v>45832</v>
      </c>
      <c r="D1146" t="inlineStr">
        <is>
          <t>KALMAR LÄN</t>
        </is>
      </c>
      <c r="E1146" t="inlineStr">
        <is>
          <t>VÄSTERVIK</t>
        </is>
      </c>
      <c r="G1146" t="n">
        <v>1.9</v>
      </c>
      <c r="H1146" t="n">
        <v>1</v>
      </c>
      <c r="I1146" t="n">
        <v>0</v>
      </c>
      <c r="J1146" t="n">
        <v>0</v>
      </c>
      <c r="K1146" t="n">
        <v>1</v>
      </c>
      <c r="L1146" t="n">
        <v>0</v>
      </c>
      <c r="M1146" t="n">
        <v>0</v>
      </c>
      <c r="N1146" t="n">
        <v>0</v>
      </c>
      <c r="O1146" t="n">
        <v>1</v>
      </c>
      <c r="P1146" t="n">
        <v>1</v>
      </c>
      <c r="Q1146" t="n">
        <v>1</v>
      </c>
      <c r="R1146" s="2" t="inlineStr">
        <is>
          <t>Knärot</t>
        </is>
      </c>
      <c r="S1146">
        <f>HYPERLINK("https://klasma.github.io/Logging_0883/artfynd/A 11195-2024 artfynd.xlsx", "A 11195-2024")</f>
        <v/>
      </c>
      <c r="T1146">
        <f>HYPERLINK("https://klasma.github.io/Logging_0883/kartor/A 11195-2024 karta.png", "A 11195-2024")</f>
        <v/>
      </c>
      <c r="U1146">
        <f>HYPERLINK("https://klasma.github.io/Logging_0883/knärot/A 11195-2024 karta knärot.png", "A 11195-2024")</f>
        <v/>
      </c>
      <c r="V1146">
        <f>HYPERLINK("https://klasma.github.io/Logging_0883/klagomål/A 11195-2024 FSC-klagomål.docx", "A 11195-2024")</f>
        <v/>
      </c>
      <c r="W1146">
        <f>HYPERLINK("https://klasma.github.io/Logging_0883/klagomålsmail/A 11195-2024 FSC-klagomål mail.docx", "A 11195-2024")</f>
        <v/>
      </c>
      <c r="X1146">
        <f>HYPERLINK("https://klasma.github.io/Logging_0883/tillsyn/A 11195-2024 tillsynsbegäran.docx", "A 11195-2024")</f>
        <v/>
      </c>
      <c r="Y1146">
        <f>HYPERLINK("https://klasma.github.io/Logging_0883/tillsynsmail/A 11195-2024 tillsynsbegäran mail.docx", "A 11195-2024")</f>
        <v/>
      </c>
    </row>
    <row r="1147" ht="15" customHeight="1">
      <c r="A1147" t="inlineStr">
        <is>
          <t>A 11397-2024</t>
        </is>
      </c>
      <c r="B1147" s="1" t="n">
        <v>45372</v>
      </c>
      <c r="C1147" s="1" t="n">
        <v>45832</v>
      </c>
      <c r="D1147" t="inlineStr">
        <is>
          <t>KALMAR LÄN</t>
        </is>
      </c>
      <c r="E1147" t="inlineStr">
        <is>
          <t>MÖNSTERÅS</t>
        </is>
      </c>
      <c r="G1147" t="n">
        <v>4.1</v>
      </c>
      <c r="H1147" t="n">
        <v>1</v>
      </c>
      <c r="I1147" t="n">
        <v>0</v>
      </c>
      <c r="J1147" t="n">
        <v>1</v>
      </c>
      <c r="K1147" t="n">
        <v>0</v>
      </c>
      <c r="L1147" t="n">
        <v>0</v>
      </c>
      <c r="M1147" t="n">
        <v>0</v>
      </c>
      <c r="N1147" t="n">
        <v>0</v>
      </c>
      <c r="O1147" t="n">
        <v>1</v>
      </c>
      <c r="P1147" t="n">
        <v>0</v>
      </c>
      <c r="Q1147" t="n">
        <v>1</v>
      </c>
      <c r="R1147" s="2" t="inlineStr">
        <is>
          <t>Spillkråka</t>
        </is>
      </c>
      <c r="S1147">
        <f>HYPERLINK("https://klasma.github.io/Logging_0861/artfynd/A 11397-2024 artfynd.xlsx", "A 11397-2024")</f>
        <v/>
      </c>
      <c r="T1147">
        <f>HYPERLINK("https://klasma.github.io/Logging_0861/kartor/A 11397-2024 karta.png", "A 11397-2024")</f>
        <v/>
      </c>
      <c r="V1147">
        <f>HYPERLINK("https://klasma.github.io/Logging_0861/klagomål/A 11397-2024 FSC-klagomål.docx", "A 11397-2024")</f>
        <v/>
      </c>
      <c r="W1147">
        <f>HYPERLINK("https://klasma.github.io/Logging_0861/klagomålsmail/A 11397-2024 FSC-klagomål mail.docx", "A 11397-2024")</f>
        <v/>
      </c>
      <c r="X1147">
        <f>HYPERLINK("https://klasma.github.io/Logging_0861/tillsyn/A 11397-2024 tillsynsbegäran.docx", "A 11397-2024")</f>
        <v/>
      </c>
      <c r="Y1147">
        <f>HYPERLINK("https://klasma.github.io/Logging_0861/tillsynsmail/A 11397-2024 tillsynsbegäran mail.docx", "A 11397-2024")</f>
        <v/>
      </c>
      <c r="Z1147">
        <f>HYPERLINK("https://klasma.github.io/Logging_0861/fåglar/A 11397-2024 prioriterade fågelarter.docx", "A 11397-2024")</f>
        <v/>
      </c>
    </row>
    <row r="1148" ht="15" customHeight="1">
      <c r="A1148" t="inlineStr">
        <is>
          <t>A 12000-2024</t>
        </is>
      </c>
      <c r="B1148" s="1" t="n">
        <v>45377</v>
      </c>
      <c r="C1148" s="1" t="n">
        <v>45832</v>
      </c>
      <c r="D1148" t="inlineStr">
        <is>
          <t>KALMAR LÄN</t>
        </is>
      </c>
      <c r="E1148" t="inlineStr">
        <is>
          <t>TORSÅS</t>
        </is>
      </c>
      <c r="G1148" t="n">
        <v>0.9</v>
      </c>
      <c r="H1148" t="n">
        <v>0</v>
      </c>
      <c r="I1148" t="n">
        <v>1</v>
      </c>
      <c r="J1148" t="n">
        <v>0</v>
      </c>
      <c r="K1148" t="n">
        <v>0</v>
      </c>
      <c r="L1148" t="n">
        <v>0</v>
      </c>
      <c r="M1148" t="n">
        <v>0</v>
      </c>
      <c r="N1148" t="n">
        <v>0</v>
      </c>
      <c r="O1148" t="n">
        <v>0</v>
      </c>
      <c r="P1148" t="n">
        <v>0</v>
      </c>
      <c r="Q1148" t="n">
        <v>1</v>
      </c>
      <c r="R1148" s="2" t="inlineStr">
        <is>
          <t>Västlig hakmossa</t>
        </is>
      </c>
      <c r="S1148">
        <f>HYPERLINK("https://klasma.github.io/Logging_0834/artfynd/A 12000-2024 artfynd.xlsx", "A 12000-2024")</f>
        <v/>
      </c>
      <c r="T1148">
        <f>HYPERLINK("https://klasma.github.io/Logging_0834/kartor/A 12000-2024 karta.png", "A 12000-2024")</f>
        <v/>
      </c>
      <c r="V1148">
        <f>HYPERLINK("https://klasma.github.io/Logging_0834/klagomål/A 12000-2024 FSC-klagomål.docx", "A 12000-2024")</f>
        <v/>
      </c>
      <c r="W1148">
        <f>HYPERLINK("https://klasma.github.io/Logging_0834/klagomålsmail/A 12000-2024 FSC-klagomål mail.docx", "A 12000-2024")</f>
        <v/>
      </c>
      <c r="X1148">
        <f>HYPERLINK("https://klasma.github.io/Logging_0834/tillsyn/A 12000-2024 tillsynsbegäran.docx", "A 12000-2024")</f>
        <v/>
      </c>
      <c r="Y1148">
        <f>HYPERLINK("https://klasma.github.io/Logging_0834/tillsynsmail/A 12000-2024 tillsynsbegäran mail.docx", "A 12000-2024")</f>
        <v/>
      </c>
    </row>
    <row r="1149" ht="15" customHeight="1">
      <c r="A1149" t="inlineStr">
        <is>
          <t>A 12015-2024</t>
        </is>
      </c>
      <c r="B1149" s="1" t="n">
        <v>45377</v>
      </c>
      <c r="C1149" s="1" t="n">
        <v>45832</v>
      </c>
      <c r="D1149" t="inlineStr">
        <is>
          <t>KALMAR LÄN</t>
        </is>
      </c>
      <c r="E1149" t="inlineStr">
        <is>
          <t>TORSÅS</t>
        </is>
      </c>
      <c r="G1149" t="n">
        <v>0.9</v>
      </c>
      <c r="H1149" t="n">
        <v>1</v>
      </c>
      <c r="I1149" t="n">
        <v>0</v>
      </c>
      <c r="J1149" t="n">
        <v>0</v>
      </c>
      <c r="K1149" t="n">
        <v>0</v>
      </c>
      <c r="L1149" t="n">
        <v>0</v>
      </c>
      <c r="M1149" t="n">
        <v>0</v>
      </c>
      <c r="N1149" t="n">
        <v>0</v>
      </c>
      <c r="O1149" t="n">
        <v>0</v>
      </c>
      <c r="P1149" t="n">
        <v>0</v>
      </c>
      <c r="Q1149" t="n">
        <v>1</v>
      </c>
      <c r="R1149" s="2" t="inlineStr">
        <is>
          <t>Gröngöling</t>
        </is>
      </c>
      <c r="S1149">
        <f>HYPERLINK("https://klasma.github.io/Logging_0834/artfynd/A 12015-2024 artfynd.xlsx", "A 12015-2024")</f>
        <v/>
      </c>
      <c r="T1149">
        <f>HYPERLINK("https://klasma.github.io/Logging_0834/kartor/A 12015-2024 karta.png", "A 12015-2024")</f>
        <v/>
      </c>
      <c r="V1149">
        <f>HYPERLINK("https://klasma.github.io/Logging_0834/klagomål/A 12015-2024 FSC-klagomål.docx", "A 12015-2024")</f>
        <v/>
      </c>
      <c r="W1149">
        <f>HYPERLINK("https://klasma.github.io/Logging_0834/klagomålsmail/A 12015-2024 FSC-klagomål mail.docx", "A 12015-2024")</f>
        <v/>
      </c>
      <c r="X1149">
        <f>HYPERLINK("https://klasma.github.io/Logging_0834/tillsyn/A 12015-2024 tillsynsbegäran.docx", "A 12015-2024")</f>
        <v/>
      </c>
      <c r="Y1149">
        <f>HYPERLINK("https://klasma.github.io/Logging_0834/tillsynsmail/A 12015-2024 tillsynsbegäran mail.docx", "A 12015-2024")</f>
        <v/>
      </c>
      <c r="Z1149">
        <f>HYPERLINK("https://klasma.github.io/Logging_0834/fåglar/A 12015-2024 prioriterade fågelarter.docx", "A 12015-2024")</f>
        <v/>
      </c>
    </row>
    <row r="1150" ht="15" customHeight="1">
      <c r="A1150" t="inlineStr">
        <is>
          <t>A 13745-2024</t>
        </is>
      </c>
      <c r="B1150" s="1" t="n">
        <v>45390</v>
      </c>
      <c r="C1150" s="1" t="n">
        <v>45832</v>
      </c>
      <c r="D1150" t="inlineStr">
        <is>
          <t>KALMAR LÄN</t>
        </is>
      </c>
      <c r="E1150" t="inlineStr">
        <is>
          <t>VÄSTERVIK</t>
        </is>
      </c>
      <c r="F1150" t="inlineStr">
        <is>
          <t>Sveaskog</t>
        </is>
      </c>
      <c r="G1150" t="n">
        <v>2.7</v>
      </c>
      <c r="H1150" t="n">
        <v>1</v>
      </c>
      <c r="I1150" t="n">
        <v>0</v>
      </c>
      <c r="J1150" t="n">
        <v>1</v>
      </c>
      <c r="K1150" t="n">
        <v>0</v>
      </c>
      <c r="L1150" t="n">
        <v>0</v>
      </c>
      <c r="M1150" t="n">
        <v>0</v>
      </c>
      <c r="N1150" t="n">
        <v>0</v>
      </c>
      <c r="O1150" t="n">
        <v>1</v>
      </c>
      <c r="P1150" t="n">
        <v>0</v>
      </c>
      <c r="Q1150" t="n">
        <v>1</v>
      </c>
      <c r="R1150" s="2" t="inlineStr">
        <is>
          <t>Talltita</t>
        </is>
      </c>
      <c r="S1150">
        <f>HYPERLINK("https://klasma.github.io/Logging_0883/artfynd/A 13745-2024 artfynd.xlsx", "A 13745-2024")</f>
        <v/>
      </c>
      <c r="T1150">
        <f>HYPERLINK("https://klasma.github.io/Logging_0883/kartor/A 13745-2024 karta.png", "A 13745-2024")</f>
        <v/>
      </c>
      <c r="U1150">
        <f>HYPERLINK("https://klasma.github.io/Logging_0883/knärot/A 13745-2024 karta knärot.png", "A 13745-2024")</f>
        <v/>
      </c>
      <c r="V1150">
        <f>HYPERLINK("https://klasma.github.io/Logging_0883/klagomål/A 13745-2024 FSC-klagomål.docx", "A 13745-2024")</f>
        <v/>
      </c>
      <c r="W1150">
        <f>HYPERLINK("https://klasma.github.io/Logging_0883/klagomålsmail/A 13745-2024 FSC-klagomål mail.docx", "A 13745-2024")</f>
        <v/>
      </c>
      <c r="X1150">
        <f>HYPERLINK("https://klasma.github.io/Logging_0883/tillsyn/A 13745-2024 tillsynsbegäran.docx", "A 13745-2024")</f>
        <v/>
      </c>
      <c r="Y1150">
        <f>HYPERLINK("https://klasma.github.io/Logging_0883/tillsynsmail/A 13745-2024 tillsynsbegäran mail.docx", "A 13745-2024")</f>
        <v/>
      </c>
      <c r="Z1150">
        <f>HYPERLINK("https://klasma.github.io/Logging_0883/fåglar/A 13745-2024 prioriterade fågelarter.docx", "A 13745-2024")</f>
        <v/>
      </c>
    </row>
    <row r="1151" ht="15" customHeight="1">
      <c r="A1151" t="inlineStr">
        <is>
          <t>A 14231-2024</t>
        </is>
      </c>
      <c r="B1151" s="1" t="n">
        <v>45393</v>
      </c>
      <c r="C1151" s="1" t="n">
        <v>45832</v>
      </c>
      <c r="D1151" t="inlineStr">
        <is>
          <t>KALMAR LÄN</t>
        </is>
      </c>
      <c r="E1151" t="inlineStr">
        <is>
          <t>VÄSTERVIK</t>
        </is>
      </c>
      <c r="G1151" t="n">
        <v>2.8</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14231-2024 artfynd.xlsx", "A 14231-2024")</f>
        <v/>
      </c>
      <c r="T1151">
        <f>HYPERLINK("https://klasma.github.io/Logging_0883/kartor/A 14231-2024 karta.png", "A 14231-2024")</f>
        <v/>
      </c>
      <c r="U1151">
        <f>HYPERLINK("https://klasma.github.io/Logging_0883/knärot/A 14231-2024 karta knärot.png", "A 14231-2024")</f>
        <v/>
      </c>
      <c r="V1151">
        <f>HYPERLINK("https://klasma.github.io/Logging_0883/klagomål/A 14231-2024 FSC-klagomål.docx", "A 14231-2024")</f>
        <v/>
      </c>
      <c r="W1151">
        <f>HYPERLINK("https://klasma.github.io/Logging_0883/klagomålsmail/A 14231-2024 FSC-klagomål mail.docx", "A 14231-2024")</f>
        <v/>
      </c>
      <c r="X1151">
        <f>HYPERLINK("https://klasma.github.io/Logging_0883/tillsyn/A 14231-2024 tillsynsbegäran.docx", "A 14231-2024")</f>
        <v/>
      </c>
      <c r="Y1151">
        <f>HYPERLINK("https://klasma.github.io/Logging_0883/tillsynsmail/A 14231-2024 tillsynsbegäran mail.docx", "A 14231-2024")</f>
        <v/>
      </c>
    </row>
    <row r="1152" ht="15" customHeight="1">
      <c r="A1152" t="inlineStr">
        <is>
          <t>A 14290-2024</t>
        </is>
      </c>
      <c r="B1152" s="1" t="n">
        <v>45393</v>
      </c>
      <c r="C1152" s="1" t="n">
        <v>45832</v>
      </c>
      <c r="D1152" t="inlineStr">
        <is>
          <t>KALMAR LÄN</t>
        </is>
      </c>
      <c r="E1152" t="inlineStr">
        <is>
          <t>HULTSFRED</t>
        </is>
      </c>
      <c r="G1152" t="n">
        <v>4</v>
      </c>
      <c r="H1152" t="n">
        <v>1</v>
      </c>
      <c r="I1152" t="n">
        <v>0</v>
      </c>
      <c r="J1152" t="n">
        <v>0</v>
      </c>
      <c r="K1152" t="n">
        <v>0</v>
      </c>
      <c r="L1152" t="n">
        <v>0</v>
      </c>
      <c r="M1152" t="n">
        <v>0</v>
      </c>
      <c r="N1152" t="n">
        <v>0</v>
      </c>
      <c r="O1152" t="n">
        <v>0</v>
      </c>
      <c r="P1152" t="n">
        <v>0</v>
      </c>
      <c r="Q1152" t="n">
        <v>1</v>
      </c>
      <c r="R1152" s="2" t="inlineStr">
        <is>
          <t>Blåsippa</t>
        </is>
      </c>
      <c r="S1152">
        <f>HYPERLINK("https://klasma.github.io/Logging_0860/artfynd/A 14290-2024 artfynd.xlsx", "A 14290-2024")</f>
        <v/>
      </c>
      <c r="T1152">
        <f>HYPERLINK("https://klasma.github.io/Logging_0860/kartor/A 14290-2024 karta.png", "A 14290-2024")</f>
        <v/>
      </c>
      <c r="V1152">
        <f>HYPERLINK("https://klasma.github.io/Logging_0860/klagomål/A 14290-2024 FSC-klagomål.docx", "A 14290-2024")</f>
        <v/>
      </c>
      <c r="W1152">
        <f>HYPERLINK("https://klasma.github.io/Logging_0860/klagomålsmail/A 14290-2024 FSC-klagomål mail.docx", "A 14290-2024")</f>
        <v/>
      </c>
      <c r="X1152">
        <f>HYPERLINK("https://klasma.github.io/Logging_0860/tillsyn/A 14290-2024 tillsynsbegäran.docx", "A 14290-2024")</f>
        <v/>
      </c>
      <c r="Y1152">
        <f>HYPERLINK("https://klasma.github.io/Logging_0860/tillsynsmail/A 14290-2024 tillsynsbegäran mail.docx", "A 14290-2024")</f>
        <v/>
      </c>
    </row>
    <row r="1153" ht="15" customHeight="1">
      <c r="A1153" t="inlineStr">
        <is>
          <t>A 15110-2024</t>
        </is>
      </c>
      <c r="B1153" s="1" t="n">
        <v>45399</v>
      </c>
      <c r="C1153" s="1" t="n">
        <v>45832</v>
      </c>
      <c r="D1153" t="inlineStr">
        <is>
          <t>KALMAR LÄN</t>
        </is>
      </c>
      <c r="E1153" t="inlineStr">
        <is>
          <t>HULTSFRED</t>
        </is>
      </c>
      <c r="G1153" t="n">
        <v>1.1</v>
      </c>
      <c r="H1153" t="n">
        <v>1</v>
      </c>
      <c r="I1153" t="n">
        <v>0</v>
      </c>
      <c r="J1153" t="n">
        <v>1</v>
      </c>
      <c r="K1153" t="n">
        <v>0</v>
      </c>
      <c r="L1153" t="n">
        <v>0</v>
      </c>
      <c r="M1153" t="n">
        <v>0</v>
      </c>
      <c r="N1153" t="n">
        <v>0</v>
      </c>
      <c r="O1153" t="n">
        <v>1</v>
      </c>
      <c r="P1153" t="n">
        <v>0</v>
      </c>
      <c r="Q1153" t="n">
        <v>1</v>
      </c>
      <c r="R1153" s="2" t="inlineStr">
        <is>
          <t>Grönsångare</t>
        </is>
      </c>
      <c r="S1153">
        <f>HYPERLINK("https://klasma.github.io/Logging_0860/artfynd/A 15110-2024 artfynd.xlsx", "A 15110-2024")</f>
        <v/>
      </c>
      <c r="T1153">
        <f>HYPERLINK("https://klasma.github.io/Logging_0860/kartor/A 15110-2024 karta.png", "A 15110-2024")</f>
        <v/>
      </c>
      <c r="V1153">
        <f>HYPERLINK("https://klasma.github.io/Logging_0860/klagomål/A 15110-2024 FSC-klagomål.docx", "A 15110-2024")</f>
        <v/>
      </c>
      <c r="W1153">
        <f>HYPERLINK("https://klasma.github.io/Logging_0860/klagomålsmail/A 15110-2024 FSC-klagomål mail.docx", "A 15110-2024")</f>
        <v/>
      </c>
      <c r="X1153">
        <f>HYPERLINK("https://klasma.github.io/Logging_0860/tillsyn/A 15110-2024 tillsynsbegäran.docx", "A 15110-2024")</f>
        <v/>
      </c>
      <c r="Y1153">
        <f>HYPERLINK("https://klasma.github.io/Logging_0860/tillsynsmail/A 15110-2024 tillsynsbegäran mail.docx", "A 15110-2024")</f>
        <v/>
      </c>
      <c r="Z1153">
        <f>HYPERLINK("https://klasma.github.io/Logging_0860/fåglar/A 15110-2024 prioriterade fågelarter.docx", "A 15110-2024")</f>
        <v/>
      </c>
    </row>
    <row r="1154" ht="15" customHeight="1">
      <c r="A1154" t="inlineStr">
        <is>
          <t>A 15122-2024</t>
        </is>
      </c>
      <c r="B1154" s="1" t="n">
        <v>45399</v>
      </c>
      <c r="C1154" s="1" t="n">
        <v>45832</v>
      </c>
      <c r="D1154" t="inlineStr">
        <is>
          <t>KALMAR LÄN</t>
        </is>
      </c>
      <c r="E1154" t="inlineStr">
        <is>
          <t>VIMMERBY</t>
        </is>
      </c>
      <c r="G1154" t="n">
        <v>1.7</v>
      </c>
      <c r="H1154" t="n">
        <v>0</v>
      </c>
      <c r="I1154" t="n">
        <v>0</v>
      </c>
      <c r="J1154" t="n">
        <v>0</v>
      </c>
      <c r="K1154" t="n">
        <v>1</v>
      </c>
      <c r="L1154" t="n">
        <v>0</v>
      </c>
      <c r="M1154" t="n">
        <v>0</v>
      </c>
      <c r="N1154" t="n">
        <v>0</v>
      </c>
      <c r="O1154" t="n">
        <v>1</v>
      </c>
      <c r="P1154" t="n">
        <v>1</v>
      </c>
      <c r="Q1154" t="n">
        <v>1</v>
      </c>
      <c r="R1154" s="2" t="inlineStr">
        <is>
          <t>Sågfibbla</t>
        </is>
      </c>
      <c r="S1154">
        <f>HYPERLINK("https://klasma.github.io/Logging_0884/artfynd/A 15122-2024 artfynd.xlsx", "A 15122-2024")</f>
        <v/>
      </c>
      <c r="T1154">
        <f>HYPERLINK("https://klasma.github.io/Logging_0884/kartor/A 15122-2024 karta.png", "A 15122-2024")</f>
        <v/>
      </c>
      <c r="V1154">
        <f>HYPERLINK("https://klasma.github.io/Logging_0884/klagomål/A 15122-2024 FSC-klagomål.docx", "A 15122-2024")</f>
        <v/>
      </c>
      <c r="W1154">
        <f>HYPERLINK("https://klasma.github.io/Logging_0884/klagomålsmail/A 15122-2024 FSC-klagomål mail.docx", "A 15122-2024")</f>
        <v/>
      </c>
      <c r="X1154">
        <f>HYPERLINK("https://klasma.github.io/Logging_0884/tillsyn/A 15122-2024 tillsynsbegäran.docx", "A 15122-2024")</f>
        <v/>
      </c>
      <c r="Y1154">
        <f>HYPERLINK("https://klasma.github.io/Logging_0884/tillsynsmail/A 15122-2024 tillsynsbegäran mail.docx", "A 15122-2024")</f>
        <v/>
      </c>
    </row>
    <row r="1155" ht="15" customHeight="1">
      <c r="A1155" t="inlineStr">
        <is>
          <t>A 15173-2024</t>
        </is>
      </c>
      <c r="B1155" s="1" t="n">
        <v>45400</v>
      </c>
      <c r="C1155" s="1" t="n">
        <v>45832</v>
      </c>
      <c r="D1155" t="inlineStr">
        <is>
          <t>KALMAR LÄN</t>
        </is>
      </c>
      <c r="E1155" t="inlineStr">
        <is>
          <t>HULTSFRED</t>
        </is>
      </c>
      <c r="G1155" t="n">
        <v>1.7</v>
      </c>
      <c r="H1155" t="n">
        <v>1</v>
      </c>
      <c r="I1155" t="n">
        <v>0</v>
      </c>
      <c r="J1155" t="n">
        <v>0</v>
      </c>
      <c r="K1155" t="n">
        <v>0</v>
      </c>
      <c r="L1155" t="n">
        <v>0</v>
      </c>
      <c r="M1155" t="n">
        <v>0</v>
      </c>
      <c r="N1155" t="n">
        <v>0</v>
      </c>
      <c r="O1155" t="n">
        <v>0</v>
      </c>
      <c r="P1155" t="n">
        <v>0</v>
      </c>
      <c r="Q1155" t="n">
        <v>1</v>
      </c>
      <c r="R1155" s="2" t="inlineStr">
        <is>
          <t>Vanlig groda</t>
        </is>
      </c>
      <c r="S1155">
        <f>HYPERLINK("https://klasma.github.io/Logging_0860/artfynd/A 15173-2024 artfynd.xlsx", "A 15173-2024")</f>
        <v/>
      </c>
      <c r="T1155">
        <f>HYPERLINK("https://klasma.github.io/Logging_0860/kartor/A 15173-2024 karta.png", "A 15173-2024")</f>
        <v/>
      </c>
      <c r="V1155">
        <f>HYPERLINK("https://klasma.github.io/Logging_0860/klagomål/A 15173-2024 FSC-klagomål.docx", "A 15173-2024")</f>
        <v/>
      </c>
      <c r="W1155">
        <f>HYPERLINK("https://klasma.github.io/Logging_0860/klagomålsmail/A 15173-2024 FSC-klagomål mail.docx", "A 15173-2024")</f>
        <v/>
      </c>
      <c r="X1155">
        <f>HYPERLINK("https://klasma.github.io/Logging_0860/tillsyn/A 15173-2024 tillsynsbegäran.docx", "A 15173-2024")</f>
        <v/>
      </c>
      <c r="Y1155">
        <f>HYPERLINK("https://klasma.github.io/Logging_0860/tillsynsmail/A 15173-2024 tillsynsbegäran mail.docx", "A 15173-2024")</f>
        <v/>
      </c>
    </row>
    <row r="1156" ht="15" customHeight="1">
      <c r="A1156" t="inlineStr">
        <is>
          <t>A 15627-2024</t>
        </is>
      </c>
      <c r="B1156" s="1" t="n">
        <v>45402</v>
      </c>
      <c r="C1156" s="1" t="n">
        <v>45832</v>
      </c>
      <c r="D1156" t="inlineStr">
        <is>
          <t>KALMAR LÄN</t>
        </is>
      </c>
      <c r="E1156" t="inlineStr">
        <is>
          <t>VIMMERBY</t>
        </is>
      </c>
      <c r="G1156" t="n">
        <v>3.2</v>
      </c>
      <c r="H1156" t="n">
        <v>1</v>
      </c>
      <c r="I1156" t="n">
        <v>1</v>
      </c>
      <c r="J1156" t="n">
        <v>0</v>
      </c>
      <c r="K1156" t="n">
        <v>0</v>
      </c>
      <c r="L1156" t="n">
        <v>0</v>
      </c>
      <c r="M1156" t="n">
        <v>0</v>
      </c>
      <c r="N1156" t="n">
        <v>0</v>
      </c>
      <c r="O1156" t="n">
        <v>0</v>
      </c>
      <c r="P1156" t="n">
        <v>0</v>
      </c>
      <c r="Q1156" t="n">
        <v>1</v>
      </c>
      <c r="R1156" s="2" t="inlineStr">
        <is>
          <t>Plattlummer</t>
        </is>
      </c>
      <c r="S1156">
        <f>HYPERLINK("https://klasma.github.io/Logging_0884/artfynd/A 15627-2024 artfynd.xlsx", "A 15627-2024")</f>
        <v/>
      </c>
      <c r="T1156">
        <f>HYPERLINK("https://klasma.github.io/Logging_0884/kartor/A 15627-2024 karta.png", "A 15627-2024")</f>
        <v/>
      </c>
      <c r="V1156">
        <f>HYPERLINK("https://klasma.github.io/Logging_0884/klagomål/A 15627-2024 FSC-klagomål.docx", "A 15627-2024")</f>
        <v/>
      </c>
      <c r="W1156">
        <f>HYPERLINK("https://klasma.github.io/Logging_0884/klagomålsmail/A 15627-2024 FSC-klagomål mail.docx", "A 15627-2024")</f>
        <v/>
      </c>
      <c r="X1156">
        <f>HYPERLINK("https://klasma.github.io/Logging_0884/tillsyn/A 15627-2024 tillsynsbegäran.docx", "A 15627-2024")</f>
        <v/>
      </c>
      <c r="Y1156">
        <f>HYPERLINK("https://klasma.github.io/Logging_0884/tillsynsmail/A 15627-2024 tillsynsbegäran mail.docx", "A 15627-2024")</f>
        <v/>
      </c>
    </row>
    <row r="1157" ht="15" customHeight="1">
      <c r="A1157" t="inlineStr">
        <is>
          <t>A 15898-2024</t>
        </is>
      </c>
      <c r="B1157" s="1" t="n">
        <v>45405</v>
      </c>
      <c r="C1157" s="1" t="n">
        <v>45832</v>
      </c>
      <c r="D1157" t="inlineStr">
        <is>
          <t>KALMAR LÄN</t>
        </is>
      </c>
      <c r="E1157" t="inlineStr">
        <is>
          <t>MÖNSTERÅS</t>
        </is>
      </c>
      <c r="G1157" t="n">
        <v>0.7</v>
      </c>
      <c r="H1157" t="n">
        <v>1</v>
      </c>
      <c r="I1157" t="n">
        <v>0</v>
      </c>
      <c r="J1157" t="n">
        <v>0</v>
      </c>
      <c r="K1157" t="n">
        <v>0</v>
      </c>
      <c r="L1157" t="n">
        <v>0</v>
      </c>
      <c r="M1157" t="n">
        <v>0</v>
      </c>
      <c r="N1157" t="n">
        <v>0</v>
      </c>
      <c r="O1157" t="n">
        <v>0</v>
      </c>
      <c r="P1157" t="n">
        <v>0</v>
      </c>
      <c r="Q1157" t="n">
        <v>1</v>
      </c>
      <c r="R1157" s="2" t="inlineStr">
        <is>
          <t>Gullviva</t>
        </is>
      </c>
      <c r="S1157">
        <f>HYPERLINK("https://klasma.github.io/Logging_0861/artfynd/A 15898-2024 artfynd.xlsx", "A 15898-2024")</f>
        <v/>
      </c>
      <c r="T1157">
        <f>HYPERLINK("https://klasma.github.io/Logging_0861/kartor/A 15898-2024 karta.png", "A 15898-2024")</f>
        <v/>
      </c>
      <c r="V1157">
        <f>HYPERLINK("https://klasma.github.io/Logging_0861/klagomål/A 15898-2024 FSC-klagomål.docx", "A 15898-2024")</f>
        <v/>
      </c>
      <c r="W1157">
        <f>HYPERLINK("https://klasma.github.io/Logging_0861/klagomålsmail/A 15898-2024 FSC-klagomål mail.docx", "A 15898-2024")</f>
        <v/>
      </c>
      <c r="X1157">
        <f>HYPERLINK("https://klasma.github.io/Logging_0861/tillsyn/A 15898-2024 tillsynsbegäran.docx", "A 15898-2024")</f>
        <v/>
      </c>
      <c r="Y1157">
        <f>HYPERLINK("https://klasma.github.io/Logging_0861/tillsynsmail/A 15898-2024 tillsynsbegäran mail.docx", "A 15898-2024")</f>
        <v/>
      </c>
    </row>
    <row r="1158" ht="15" customHeight="1">
      <c r="A1158" t="inlineStr">
        <is>
          <t>A 16406-2024</t>
        </is>
      </c>
      <c r="B1158" s="1" t="n">
        <v>45407</v>
      </c>
      <c r="C1158" s="1" t="n">
        <v>45832</v>
      </c>
      <c r="D1158" t="inlineStr">
        <is>
          <t>KALMAR LÄN</t>
        </is>
      </c>
      <c r="E1158" t="inlineStr">
        <is>
          <t>VÄSTERVIK</t>
        </is>
      </c>
      <c r="F1158" t="inlineStr">
        <is>
          <t>Holmen skog AB</t>
        </is>
      </c>
      <c r="G1158" t="n">
        <v>4.9</v>
      </c>
      <c r="H1158" t="n">
        <v>0</v>
      </c>
      <c r="I1158" t="n">
        <v>1</v>
      </c>
      <c r="J1158" t="n">
        <v>0</v>
      </c>
      <c r="K1158" t="n">
        <v>0</v>
      </c>
      <c r="L1158" t="n">
        <v>0</v>
      </c>
      <c r="M1158" t="n">
        <v>0</v>
      </c>
      <c r="N1158" t="n">
        <v>0</v>
      </c>
      <c r="O1158" t="n">
        <v>0</v>
      </c>
      <c r="P1158" t="n">
        <v>0</v>
      </c>
      <c r="Q1158" t="n">
        <v>1</v>
      </c>
      <c r="R1158" s="2" t="inlineStr">
        <is>
          <t>Tibast</t>
        </is>
      </c>
      <c r="S1158">
        <f>HYPERLINK("https://klasma.github.io/Logging_0883/artfynd/A 16406-2024 artfynd.xlsx", "A 16406-2024")</f>
        <v/>
      </c>
      <c r="T1158">
        <f>HYPERLINK("https://klasma.github.io/Logging_0883/kartor/A 16406-2024 karta.png", "A 16406-2024")</f>
        <v/>
      </c>
      <c r="V1158">
        <f>HYPERLINK("https://klasma.github.io/Logging_0883/klagomål/A 16406-2024 FSC-klagomål.docx", "A 16406-2024")</f>
        <v/>
      </c>
      <c r="W1158">
        <f>HYPERLINK("https://klasma.github.io/Logging_0883/klagomålsmail/A 16406-2024 FSC-klagomål mail.docx", "A 16406-2024")</f>
        <v/>
      </c>
      <c r="X1158">
        <f>HYPERLINK("https://klasma.github.io/Logging_0883/tillsyn/A 16406-2024 tillsynsbegäran.docx", "A 16406-2024")</f>
        <v/>
      </c>
      <c r="Y1158">
        <f>HYPERLINK("https://klasma.github.io/Logging_0883/tillsynsmail/A 16406-2024 tillsynsbegäran mail.docx", "A 16406-2024")</f>
        <v/>
      </c>
    </row>
    <row r="1159" ht="15" customHeight="1">
      <c r="A1159" t="inlineStr">
        <is>
          <t>A 16987-2024</t>
        </is>
      </c>
      <c r="B1159" s="1" t="n">
        <v>45412</v>
      </c>
      <c r="C1159" s="1" t="n">
        <v>45832</v>
      </c>
      <c r="D1159" t="inlineStr">
        <is>
          <t>KALMAR LÄN</t>
        </is>
      </c>
      <c r="E1159" t="inlineStr">
        <is>
          <t>HULTSFRED</t>
        </is>
      </c>
      <c r="G1159" t="n">
        <v>1.6</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16987-2024 artfynd.xlsx", "A 16987-2024")</f>
        <v/>
      </c>
      <c r="T1159">
        <f>HYPERLINK("https://klasma.github.io/Logging_0860/kartor/A 16987-2024 karta.png", "A 16987-2024")</f>
        <v/>
      </c>
      <c r="V1159">
        <f>HYPERLINK("https://klasma.github.io/Logging_0860/klagomål/A 16987-2024 FSC-klagomål.docx", "A 16987-2024")</f>
        <v/>
      </c>
      <c r="W1159">
        <f>HYPERLINK("https://klasma.github.io/Logging_0860/klagomålsmail/A 16987-2024 FSC-klagomål mail.docx", "A 16987-2024")</f>
        <v/>
      </c>
      <c r="X1159">
        <f>HYPERLINK("https://klasma.github.io/Logging_0860/tillsyn/A 16987-2024 tillsynsbegäran.docx", "A 16987-2024")</f>
        <v/>
      </c>
      <c r="Y1159">
        <f>HYPERLINK("https://klasma.github.io/Logging_0860/tillsynsmail/A 16987-2024 tillsynsbegäran mail.docx", "A 16987-2024")</f>
        <v/>
      </c>
    </row>
    <row r="1160" ht="15" customHeight="1">
      <c r="A1160" t="inlineStr">
        <is>
          <t>A 17424-2024</t>
        </is>
      </c>
      <c r="B1160" s="1" t="n">
        <v>45415</v>
      </c>
      <c r="C1160" s="1" t="n">
        <v>45832</v>
      </c>
      <c r="D1160" t="inlineStr">
        <is>
          <t>KALMAR LÄN</t>
        </is>
      </c>
      <c r="E1160" t="inlineStr">
        <is>
          <t>VÄSTERVIK</t>
        </is>
      </c>
      <c r="F1160" t="inlineStr">
        <is>
          <t>Sveaskog</t>
        </is>
      </c>
      <c r="G1160" t="n">
        <v>5</v>
      </c>
      <c r="H1160" t="n">
        <v>1</v>
      </c>
      <c r="I1160" t="n">
        <v>0</v>
      </c>
      <c r="J1160" t="n">
        <v>0</v>
      </c>
      <c r="K1160" t="n">
        <v>0</v>
      </c>
      <c r="L1160" t="n">
        <v>0</v>
      </c>
      <c r="M1160" t="n">
        <v>0</v>
      </c>
      <c r="N1160" t="n">
        <v>0</v>
      </c>
      <c r="O1160" t="n">
        <v>0</v>
      </c>
      <c r="P1160" t="n">
        <v>0</v>
      </c>
      <c r="Q1160" t="n">
        <v>1</v>
      </c>
      <c r="R1160" s="2" t="inlineStr">
        <is>
          <t>Blåsippa</t>
        </is>
      </c>
      <c r="S1160">
        <f>HYPERLINK("https://klasma.github.io/Logging_0883/artfynd/A 17424-2024 artfynd.xlsx", "A 17424-2024")</f>
        <v/>
      </c>
      <c r="T1160">
        <f>HYPERLINK("https://klasma.github.io/Logging_0883/kartor/A 17424-2024 karta.png", "A 17424-2024")</f>
        <v/>
      </c>
      <c r="V1160">
        <f>HYPERLINK("https://klasma.github.io/Logging_0883/klagomål/A 17424-2024 FSC-klagomål.docx", "A 17424-2024")</f>
        <v/>
      </c>
      <c r="W1160">
        <f>HYPERLINK("https://klasma.github.io/Logging_0883/klagomålsmail/A 17424-2024 FSC-klagomål mail.docx", "A 17424-2024")</f>
        <v/>
      </c>
      <c r="X1160">
        <f>HYPERLINK("https://klasma.github.io/Logging_0883/tillsyn/A 17424-2024 tillsynsbegäran.docx", "A 17424-2024")</f>
        <v/>
      </c>
      <c r="Y1160">
        <f>HYPERLINK("https://klasma.github.io/Logging_0883/tillsynsmail/A 17424-2024 tillsynsbegäran mail.docx", "A 17424-2024")</f>
        <v/>
      </c>
    </row>
    <row r="1161" ht="15" customHeight="1">
      <c r="A1161" t="inlineStr">
        <is>
          <t>A 18396-2024</t>
        </is>
      </c>
      <c r="B1161" s="1" t="n">
        <v>45425</v>
      </c>
      <c r="C1161" s="1" t="n">
        <v>45832</v>
      </c>
      <c r="D1161" t="inlineStr">
        <is>
          <t>KALMAR LÄN</t>
        </is>
      </c>
      <c r="E1161" t="inlineStr">
        <is>
          <t>VÄSTERVIK</t>
        </is>
      </c>
      <c r="F1161" t="inlineStr">
        <is>
          <t>Holmen skog AB</t>
        </is>
      </c>
      <c r="G1161" t="n">
        <v>3.5</v>
      </c>
      <c r="H1161" t="n">
        <v>0</v>
      </c>
      <c r="I1161" t="n">
        <v>1</v>
      </c>
      <c r="J1161" t="n">
        <v>0</v>
      </c>
      <c r="K1161" t="n">
        <v>0</v>
      </c>
      <c r="L1161" t="n">
        <v>0</v>
      </c>
      <c r="M1161" t="n">
        <v>0</v>
      </c>
      <c r="N1161" t="n">
        <v>0</v>
      </c>
      <c r="O1161" t="n">
        <v>0</v>
      </c>
      <c r="P1161" t="n">
        <v>0</v>
      </c>
      <c r="Q1161" t="n">
        <v>1</v>
      </c>
      <c r="R1161" s="2" t="inlineStr">
        <is>
          <t>Blåmossa</t>
        </is>
      </c>
      <c r="S1161">
        <f>HYPERLINK("https://klasma.github.io/Logging_0883/artfynd/A 18396-2024 artfynd.xlsx", "A 18396-2024")</f>
        <v/>
      </c>
      <c r="T1161">
        <f>HYPERLINK("https://klasma.github.io/Logging_0883/kartor/A 18396-2024 karta.png", "A 18396-2024")</f>
        <v/>
      </c>
      <c r="V1161">
        <f>HYPERLINK("https://klasma.github.io/Logging_0883/klagomål/A 18396-2024 FSC-klagomål.docx", "A 18396-2024")</f>
        <v/>
      </c>
      <c r="W1161">
        <f>HYPERLINK("https://klasma.github.io/Logging_0883/klagomålsmail/A 18396-2024 FSC-klagomål mail.docx", "A 18396-2024")</f>
        <v/>
      </c>
      <c r="X1161">
        <f>HYPERLINK("https://klasma.github.io/Logging_0883/tillsyn/A 18396-2024 tillsynsbegäran.docx", "A 18396-2024")</f>
        <v/>
      </c>
      <c r="Y1161">
        <f>HYPERLINK("https://klasma.github.io/Logging_0883/tillsynsmail/A 18396-2024 tillsynsbegäran mail.docx", "A 18396-2024")</f>
        <v/>
      </c>
    </row>
    <row r="1162" ht="15" customHeight="1">
      <c r="A1162" t="inlineStr">
        <is>
          <t>A 19460-2024</t>
        </is>
      </c>
      <c r="B1162" s="1" t="n">
        <v>45429</v>
      </c>
      <c r="C1162" s="1" t="n">
        <v>45832</v>
      </c>
      <c r="D1162" t="inlineStr">
        <is>
          <t>KALMAR LÄN</t>
        </is>
      </c>
      <c r="E1162" t="inlineStr">
        <is>
          <t>NYBRO</t>
        </is>
      </c>
      <c r="F1162" t="inlineStr">
        <is>
          <t>Sveaskog</t>
        </is>
      </c>
      <c r="G1162" t="n">
        <v>5.4</v>
      </c>
      <c r="H1162" t="n">
        <v>0</v>
      </c>
      <c r="I1162" t="n">
        <v>1</v>
      </c>
      <c r="J1162" t="n">
        <v>0</v>
      </c>
      <c r="K1162" t="n">
        <v>0</v>
      </c>
      <c r="L1162" t="n">
        <v>0</v>
      </c>
      <c r="M1162" t="n">
        <v>0</v>
      </c>
      <c r="N1162" t="n">
        <v>0</v>
      </c>
      <c r="O1162" t="n">
        <v>0</v>
      </c>
      <c r="P1162" t="n">
        <v>0</v>
      </c>
      <c r="Q1162" t="n">
        <v>1</v>
      </c>
      <c r="R1162" s="2" t="inlineStr">
        <is>
          <t>Blåmossa</t>
        </is>
      </c>
      <c r="S1162">
        <f>HYPERLINK("https://klasma.github.io/Logging_0881/artfynd/A 19460-2024 artfynd.xlsx", "A 19460-2024")</f>
        <v/>
      </c>
      <c r="T1162">
        <f>HYPERLINK("https://klasma.github.io/Logging_0881/kartor/A 19460-2024 karta.png", "A 19460-2024")</f>
        <v/>
      </c>
      <c r="V1162">
        <f>HYPERLINK("https://klasma.github.io/Logging_0881/klagomål/A 19460-2024 FSC-klagomål.docx", "A 19460-2024")</f>
        <v/>
      </c>
      <c r="W1162">
        <f>HYPERLINK("https://klasma.github.io/Logging_0881/klagomålsmail/A 19460-2024 FSC-klagomål mail.docx", "A 19460-2024")</f>
        <v/>
      </c>
      <c r="X1162">
        <f>HYPERLINK("https://klasma.github.io/Logging_0881/tillsyn/A 19460-2024 tillsynsbegäran.docx", "A 19460-2024")</f>
        <v/>
      </c>
      <c r="Y1162">
        <f>HYPERLINK("https://klasma.github.io/Logging_0881/tillsynsmail/A 19460-2024 tillsynsbegäran mail.docx", "A 19460-2024")</f>
        <v/>
      </c>
    </row>
    <row r="1163" ht="15" customHeight="1">
      <c r="A1163" t="inlineStr">
        <is>
          <t>A 19705-2024</t>
        </is>
      </c>
      <c r="B1163" s="1" t="n">
        <v>45432</v>
      </c>
      <c r="C1163" s="1" t="n">
        <v>45832</v>
      </c>
      <c r="D1163" t="inlineStr">
        <is>
          <t>KALMAR LÄN</t>
        </is>
      </c>
      <c r="E1163" t="inlineStr">
        <is>
          <t>OSKARSHAMN</t>
        </is>
      </c>
      <c r="G1163" t="n">
        <v>4.1</v>
      </c>
      <c r="H1163" t="n">
        <v>0</v>
      </c>
      <c r="I1163" t="n">
        <v>0</v>
      </c>
      <c r="J1163" t="n">
        <v>1</v>
      </c>
      <c r="K1163" t="n">
        <v>0</v>
      </c>
      <c r="L1163" t="n">
        <v>0</v>
      </c>
      <c r="M1163" t="n">
        <v>0</v>
      </c>
      <c r="N1163" t="n">
        <v>0</v>
      </c>
      <c r="O1163" t="n">
        <v>1</v>
      </c>
      <c r="P1163" t="n">
        <v>0</v>
      </c>
      <c r="Q1163" t="n">
        <v>1</v>
      </c>
      <c r="R1163" s="2" t="inlineStr">
        <is>
          <t>Solvända</t>
        </is>
      </c>
      <c r="S1163">
        <f>HYPERLINK("https://klasma.github.io/Logging_0882/artfynd/A 19705-2024 artfynd.xlsx", "A 19705-2024")</f>
        <v/>
      </c>
      <c r="T1163">
        <f>HYPERLINK("https://klasma.github.io/Logging_0882/kartor/A 19705-2024 karta.png", "A 19705-2024")</f>
        <v/>
      </c>
      <c r="V1163">
        <f>HYPERLINK("https://klasma.github.io/Logging_0882/klagomål/A 19705-2024 FSC-klagomål.docx", "A 19705-2024")</f>
        <v/>
      </c>
      <c r="W1163">
        <f>HYPERLINK("https://klasma.github.io/Logging_0882/klagomålsmail/A 19705-2024 FSC-klagomål mail.docx", "A 19705-2024")</f>
        <v/>
      </c>
      <c r="X1163">
        <f>HYPERLINK("https://klasma.github.io/Logging_0882/tillsyn/A 19705-2024 tillsynsbegäran.docx", "A 19705-2024")</f>
        <v/>
      </c>
      <c r="Y1163">
        <f>HYPERLINK("https://klasma.github.io/Logging_0882/tillsynsmail/A 19705-2024 tillsynsbegäran mail.docx", "A 19705-2024")</f>
        <v/>
      </c>
    </row>
    <row r="1164" ht="15" customHeight="1">
      <c r="A1164" t="inlineStr">
        <is>
          <t>A 21749-2024</t>
        </is>
      </c>
      <c r="B1164" s="1" t="n">
        <v>45442</v>
      </c>
      <c r="C1164" s="1" t="n">
        <v>45832</v>
      </c>
      <c r="D1164" t="inlineStr">
        <is>
          <t>KALMAR LÄN</t>
        </is>
      </c>
      <c r="E1164" t="inlineStr">
        <is>
          <t>NYBRO</t>
        </is>
      </c>
      <c r="F1164" t="inlineStr">
        <is>
          <t>Sveaskog</t>
        </is>
      </c>
      <c r="G1164" t="n">
        <v>2.1</v>
      </c>
      <c r="H1164" t="n">
        <v>1</v>
      </c>
      <c r="I1164" t="n">
        <v>0</v>
      </c>
      <c r="J1164" t="n">
        <v>1</v>
      </c>
      <c r="K1164" t="n">
        <v>0</v>
      </c>
      <c r="L1164" t="n">
        <v>0</v>
      </c>
      <c r="M1164" t="n">
        <v>0</v>
      </c>
      <c r="N1164" t="n">
        <v>0</v>
      </c>
      <c r="O1164" t="n">
        <v>1</v>
      </c>
      <c r="P1164" t="n">
        <v>0</v>
      </c>
      <c r="Q1164" t="n">
        <v>1</v>
      </c>
      <c r="R1164" s="2" t="inlineStr">
        <is>
          <t>Havsörn</t>
        </is>
      </c>
      <c r="S1164">
        <f>HYPERLINK("https://klasma.github.io/Logging_0881/artfynd/A 21749-2024 artfynd.xlsx", "A 21749-2024")</f>
        <v/>
      </c>
      <c r="T1164">
        <f>HYPERLINK("https://klasma.github.io/Logging_0881/kartor/A 21749-2024 karta.png", "A 21749-2024")</f>
        <v/>
      </c>
      <c r="V1164">
        <f>HYPERLINK("https://klasma.github.io/Logging_0881/klagomål/A 21749-2024 FSC-klagomål.docx", "A 21749-2024")</f>
        <v/>
      </c>
      <c r="W1164">
        <f>HYPERLINK("https://klasma.github.io/Logging_0881/klagomålsmail/A 21749-2024 FSC-klagomål mail.docx", "A 21749-2024")</f>
        <v/>
      </c>
      <c r="X1164">
        <f>HYPERLINK("https://klasma.github.io/Logging_0881/tillsyn/A 21749-2024 tillsynsbegäran.docx", "A 21749-2024")</f>
        <v/>
      </c>
      <c r="Y1164">
        <f>HYPERLINK("https://klasma.github.io/Logging_0881/tillsynsmail/A 21749-2024 tillsynsbegäran mail.docx", "A 21749-2024")</f>
        <v/>
      </c>
      <c r="Z1164">
        <f>HYPERLINK("https://klasma.github.io/Logging_0881/fåglar/A 21749-2024 prioriterade fågelarter.docx", "A 21749-2024")</f>
        <v/>
      </c>
    </row>
    <row r="1165" ht="15" customHeight="1">
      <c r="A1165" t="inlineStr">
        <is>
          <t>A 22885-2024</t>
        </is>
      </c>
      <c r="B1165" s="1" t="n">
        <v>45448</v>
      </c>
      <c r="C1165" s="1" t="n">
        <v>45832</v>
      </c>
      <c r="D1165" t="inlineStr">
        <is>
          <t>KALMAR LÄN</t>
        </is>
      </c>
      <c r="E1165" t="inlineStr">
        <is>
          <t>VÄSTERVIK</t>
        </is>
      </c>
      <c r="G1165" t="n">
        <v>7.1</v>
      </c>
      <c r="H1165" t="n">
        <v>0</v>
      </c>
      <c r="I1165" t="n">
        <v>0</v>
      </c>
      <c r="J1165" t="n">
        <v>1</v>
      </c>
      <c r="K1165" t="n">
        <v>0</v>
      </c>
      <c r="L1165" t="n">
        <v>0</v>
      </c>
      <c r="M1165" t="n">
        <v>0</v>
      </c>
      <c r="N1165" t="n">
        <v>0</v>
      </c>
      <c r="O1165" t="n">
        <v>1</v>
      </c>
      <c r="P1165" t="n">
        <v>0</v>
      </c>
      <c r="Q1165" t="n">
        <v>1</v>
      </c>
      <c r="R1165" s="2" t="inlineStr">
        <is>
          <t>Tallticka</t>
        </is>
      </c>
      <c r="S1165">
        <f>HYPERLINK("https://klasma.github.io/Logging_0883/artfynd/A 22885-2024 artfynd.xlsx", "A 22885-2024")</f>
        <v/>
      </c>
      <c r="T1165">
        <f>HYPERLINK("https://klasma.github.io/Logging_0883/kartor/A 22885-2024 karta.png", "A 22885-2024")</f>
        <v/>
      </c>
      <c r="V1165">
        <f>HYPERLINK("https://klasma.github.io/Logging_0883/klagomål/A 22885-2024 FSC-klagomål.docx", "A 22885-2024")</f>
        <v/>
      </c>
      <c r="W1165">
        <f>HYPERLINK("https://klasma.github.io/Logging_0883/klagomålsmail/A 22885-2024 FSC-klagomål mail.docx", "A 22885-2024")</f>
        <v/>
      </c>
      <c r="X1165">
        <f>HYPERLINK("https://klasma.github.io/Logging_0883/tillsyn/A 22885-2024 tillsynsbegäran.docx", "A 22885-2024")</f>
        <v/>
      </c>
      <c r="Y1165">
        <f>HYPERLINK("https://klasma.github.io/Logging_0883/tillsynsmail/A 22885-2024 tillsynsbegäran mail.docx", "A 22885-2024")</f>
        <v/>
      </c>
    </row>
    <row r="1166" ht="15" customHeight="1">
      <c r="A1166" t="inlineStr">
        <is>
          <t>A 22952-2024</t>
        </is>
      </c>
      <c r="B1166" s="1" t="n">
        <v>45449</v>
      </c>
      <c r="C1166" s="1" t="n">
        <v>45832</v>
      </c>
      <c r="D1166" t="inlineStr">
        <is>
          <t>KALMAR LÄN</t>
        </is>
      </c>
      <c r="E1166" t="inlineStr">
        <is>
          <t>NYBRO</t>
        </is>
      </c>
      <c r="G1166" t="n">
        <v>14.1</v>
      </c>
      <c r="H1166" t="n">
        <v>1</v>
      </c>
      <c r="I1166" t="n">
        <v>0</v>
      </c>
      <c r="J1166" t="n">
        <v>0</v>
      </c>
      <c r="K1166" t="n">
        <v>0</v>
      </c>
      <c r="L1166" t="n">
        <v>0</v>
      </c>
      <c r="M1166" t="n">
        <v>0</v>
      </c>
      <c r="N1166" t="n">
        <v>0</v>
      </c>
      <c r="O1166" t="n">
        <v>0</v>
      </c>
      <c r="P1166" t="n">
        <v>0</v>
      </c>
      <c r="Q1166" t="n">
        <v>1</v>
      </c>
      <c r="R1166" s="2" t="inlineStr">
        <is>
          <t>Revlummer</t>
        </is>
      </c>
      <c r="S1166">
        <f>HYPERLINK("https://klasma.github.io/Logging_0881/artfynd/A 22952-2024 artfynd.xlsx", "A 22952-2024")</f>
        <v/>
      </c>
      <c r="T1166">
        <f>HYPERLINK("https://klasma.github.io/Logging_0881/kartor/A 22952-2024 karta.png", "A 22952-2024")</f>
        <v/>
      </c>
      <c r="V1166">
        <f>HYPERLINK("https://klasma.github.io/Logging_0881/klagomål/A 22952-2024 FSC-klagomål.docx", "A 22952-2024")</f>
        <v/>
      </c>
      <c r="W1166">
        <f>HYPERLINK("https://klasma.github.io/Logging_0881/klagomålsmail/A 22952-2024 FSC-klagomål mail.docx", "A 22952-2024")</f>
        <v/>
      </c>
      <c r="X1166">
        <f>HYPERLINK("https://klasma.github.io/Logging_0881/tillsyn/A 22952-2024 tillsynsbegäran.docx", "A 22952-2024")</f>
        <v/>
      </c>
      <c r="Y1166">
        <f>HYPERLINK("https://klasma.github.io/Logging_0881/tillsynsmail/A 22952-2024 tillsynsbegäran mail.docx", "A 22952-2024")</f>
        <v/>
      </c>
    </row>
    <row r="1167" ht="15" customHeight="1">
      <c r="A1167" t="inlineStr">
        <is>
          <t>A 23082-2024</t>
        </is>
      </c>
      <c r="B1167" s="1" t="n">
        <v>45450</v>
      </c>
      <c r="C1167" s="1" t="n">
        <v>45832</v>
      </c>
      <c r="D1167" t="inlineStr">
        <is>
          <t>KALMAR LÄN</t>
        </is>
      </c>
      <c r="E1167" t="inlineStr">
        <is>
          <t>HULTSFRED</t>
        </is>
      </c>
      <c r="G1167" t="n">
        <v>1.8</v>
      </c>
      <c r="H1167" t="n">
        <v>1</v>
      </c>
      <c r="I1167" t="n">
        <v>0</v>
      </c>
      <c r="J1167" t="n">
        <v>1</v>
      </c>
      <c r="K1167" t="n">
        <v>0</v>
      </c>
      <c r="L1167" t="n">
        <v>0</v>
      </c>
      <c r="M1167" t="n">
        <v>0</v>
      </c>
      <c r="N1167" t="n">
        <v>0</v>
      </c>
      <c r="O1167" t="n">
        <v>1</v>
      </c>
      <c r="P1167" t="n">
        <v>0</v>
      </c>
      <c r="Q1167" t="n">
        <v>1</v>
      </c>
      <c r="R1167" s="2" t="inlineStr">
        <is>
          <t>Spillkråka</t>
        </is>
      </c>
      <c r="S1167">
        <f>HYPERLINK("https://klasma.github.io/Logging_0860/artfynd/A 23082-2024 artfynd.xlsx", "A 23082-2024")</f>
        <v/>
      </c>
      <c r="T1167">
        <f>HYPERLINK("https://klasma.github.io/Logging_0860/kartor/A 23082-2024 karta.png", "A 23082-2024")</f>
        <v/>
      </c>
      <c r="V1167">
        <f>HYPERLINK("https://klasma.github.io/Logging_0860/klagomål/A 23082-2024 FSC-klagomål.docx", "A 23082-2024")</f>
        <v/>
      </c>
      <c r="W1167">
        <f>HYPERLINK("https://klasma.github.io/Logging_0860/klagomålsmail/A 23082-2024 FSC-klagomål mail.docx", "A 23082-2024")</f>
        <v/>
      </c>
      <c r="X1167">
        <f>HYPERLINK("https://klasma.github.io/Logging_0860/tillsyn/A 23082-2024 tillsynsbegäran.docx", "A 23082-2024")</f>
        <v/>
      </c>
      <c r="Y1167">
        <f>HYPERLINK("https://klasma.github.io/Logging_0860/tillsynsmail/A 23082-2024 tillsynsbegäran mail.docx", "A 23082-2024")</f>
        <v/>
      </c>
      <c r="Z1167">
        <f>HYPERLINK("https://klasma.github.io/Logging_0860/fåglar/A 23082-2024 prioriterade fågelarter.docx", "A 23082-2024")</f>
        <v/>
      </c>
    </row>
    <row r="1168" ht="15" customHeight="1">
      <c r="A1168" t="inlineStr">
        <is>
          <t>A 23879-2024</t>
        </is>
      </c>
      <c r="B1168" s="1" t="n">
        <v>45455</v>
      </c>
      <c r="C1168" s="1" t="n">
        <v>45832</v>
      </c>
      <c r="D1168" t="inlineStr">
        <is>
          <t>KALMAR LÄN</t>
        </is>
      </c>
      <c r="E1168" t="inlineStr">
        <is>
          <t>MÖNSTERÅS</t>
        </is>
      </c>
      <c r="G1168" t="n">
        <v>0.6</v>
      </c>
      <c r="H1168" t="n">
        <v>0</v>
      </c>
      <c r="I1168" t="n">
        <v>0</v>
      </c>
      <c r="J1168" t="n">
        <v>1</v>
      </c>
      <c r="K1168" t="n">
        <v>0</v>
      </c>
      <c r="L1168" t="n">
        <v>0</v>
      </c>
      <c r="M1168" t="n">
        <v>0</v>
      </c>
      <c r="N1168" t="n">
        <v>0</v>
      </c>
      <c r="O1168" t="n">
        <v>1</v>
      </c>
      <c r="P1168" t="n">
        <v>0</v>
      </c>
      <c r="Q1168" t="n">
        <v>1</v>
      </c>
      <c r="R1168" s="2" t="inlineStr">
        <is>
          <t>Ekticka</t>
        </is>
      </c>
      <c r="S1168">
        <f>HYPERLINK("https://klasma.github.io/Logging_0861/artfynd/A 23879-2024 artfynd.xlsx", "A 23879-2024")</f>
        <v/>
      </c>
      <c r="T1168">
        <f>HYPERLINK("https://klasma.github.io/Logging_0861/kartor/A 23879-2024 karta.png", "A 23879-2024")</f>
        <v/>
      </c>
      <c r="V1168">
        <f>HYPERLINK("https://klasma.github.io/Logging_0861/klagomål/A 23879-2024 FSC-klagomål.docx", "A 23879-2024")</f>
        <v/>
      </c>
      <c r="W1168">
        <f>HYPERLINK("https://klasma.github.io/Logging_0861/klagomålsmail/A 23879-2024 FSC-klagomål mail.docx", "A 23879-2024")</f>
        <v/>
      </c>
      <c r="X1168">
        <f>HYPERLINK("https://klasma.github.io/Logging_0861/tillsyn/A 23879-2024 tillsynsbegäran.docx", "A 23879-2024")</f>
        <v/>
      </c>
      <c r="Y1168">
        <f>HYPERLINK("https://klasma.github.io/Logging_0861/tillsynsmail/A 23879-2024 tillsynsbegäran mail.docx", "A 23879-2024")</f>
        <v/>
      </c>
    </row>
    <row r="1169" ht="15" customHeight="1">
      <c r="A1169" t="inlineStr">
        <is>
          <t>A 25605-2024</t>
        </is>
      </c>
      <c r="B1169" s="1" t="n">
        <v>45463</v>
      </c>
      <c r="C1169" s="1" t="n">
        <v>45832</v>
      </c>
      <c r="D1169" t="inlineStr">
        <is>
          <t>KALMAR LÄN</t>
        </is>
      </c>
      <c r="E1169" t="inlineStr">
        <is>
          <t>MÖNSTERÅS</t>
        </is>
      </c>
      <c r="G1169" t="n">
        <v>1</v>
      </c>
      <c r="H1169" t="n">
        <v>1</v>
      </c>
      <c r="I1169" t="n">
        <v>0</v>
      </c>
      <c r="J1169" t="n">
        <v>0</v>
      </c>
      <c r="K1169" t="n">
        <v>0</v>
      </c>
      <c r="L1169" t="n">
        <v>0</v>
      </c>
      <c r="M1169" t="n">
        <v>0</v>
      </c>
      <c r="N1169" t="n">
        <v>0</v>
      </c>
      <c r="O1169" t="n">
        <v>0</v>
      </c>
      <c r="P1169" t="n">
        <v>0</v>
      </c>
      <c r="Q1169" t="n">
        <v>1</v>
      </c>
      <c r="R1169" s="2" t="inlineStr">
        <is>
          <t>Gullviva</t>
        </is>
      </c>
      <c r="S1169">
        <f>HYPERLINK("https://klasma.github.io/Logging_0861/artfynd/A 25605-2024 artfynd.xlsx", "A 25605-2024")</f>
        <v/>
      </c>
      <c r="T1169">
        <f>HYPERLINK("https://klasma.github.io/Logging_0861/kartor/A 25605-2024 karta.png", "A 25605-2024")</f>
        <v/>
      </c>
      <c r="V1169">
        <f>HYPERLINK("https://klasma.github.io/Logging_0861/klagomål/A 25605-2024 FSC-klagomål.docx", "A 25605-2024")</f>
        <v/>
      </c>
      <c r="W1169">
        <f>HYPERLINK("https://klasma.github.io/Logging_0861/klagomålsmail/A 25605-2024 FSC-klagomål mail.docx", "A 25605-2024")</f>
        <v/>
      </c>
      <c r="X1169">
        <f>HYPERLINK("https://klasma.github.io/Logging_0861/tillsyn/A 25605-2024 tillsynsbegäran.docx", "A 25605-2024")</f>
        <v/>
      </c>
      <c r="Y1169">
        <f>HYPERLINK("https://klasma.github.io/Logging_0861/tillsynsmail/A 25605-2024 tillsynsbegäran mail.docx", "A 25605-2024")</f>
        <v/>
      </c>
    </row>
    <row r="1170" ht="15" customHeight="1">
      <c r="A1170" t="inlineStr">
        <is>
          <t>A 25849-2024</t>
        </is>
      </c>
      <c r="B1170" s="1" t="n">
        <v>45467</v>
      </c>
      <c r="C1170" s="1" t="n">
        <v>45832</v>
      </c>
      <c r="D1170" t="inlineStr">
        <is>
          <t>KALMAR LÄN</t>
        </is>
      </c>
      <c r="E1170" t="inlineStr">
        <is>
          <t>NYBRO</t>
        </is>
      </c>
      <c r="G1170" t="n">
        <v>1.8</v>
      </c>
      <c r="H1170" t="n">
        <v>1</v>
      </c>
      <c r="I1170" t="n">
        <v>0</v>
      </c>
      <c r="J1170" t="n">
        <v>0</v>
      </c>
      <c r="K1170" t="n">
        <v>1</v>
      </c>
      <c r="L1170" t="n">
        <v>0</v>
      </c>
      <c r="M1170" t="n">
        <v>0</v>
      </c>
      <c r="N1170" t="n">
        <v>0</v>
      </c>
      <c r="O1170" t="n">
        <v>1</v>
      </c>
      <c r="P1170" t="n">
        <v>1</v>
      </c>
      <c r="Q1170" t="n">
        <v>1</v>
      </c>
      <c r="R1170" s="2" t="inlineStr">
        <is>
          <t>Knärot</t>
        </is>
      </c>
      <c r="S1170">
        <f>HYPERLINK("https://klasma.github.io/Logging_0881/artfynd/A 25849-2024 artfynd.xlsx", "A 25849-2024")</f>
        <v/>
      </c>
      <c r="T1170">
        <f>HYPERLINK("https://klasma.github.io/Logging_0881/kartor/A 25849-2024 karta.png", "A 25849-2024")</f>
        <v/>
      </c>
      <c r="U1170">
        <f>HYPERLINK("https://klasma.github.io/Logging_0881/knärot/A 25849-2024 karta knärot.png", "A 25849-2024")</f>
        <v/>
      </c>
      <c r="V1170">
        <f>HYPERLINK("https://klasma.github.io/Logging_0881/klagomål/A 25849-2024 FSC-klagomål.docx", "A 25849-2024")</f>
        <v/>
      </c>
      <c r="W1170">
        <f>HYPERLINK("https://klasma.github.io/Logging_0881/klagomålsmail/A 25849-2024 FSC-klagomål mail.docx", "A 25849-2024")</f>
        <v/>
      </c>
      <c r="X1170">
        <f>HYPERLINK("https://klasma.github.io/Logging_0881/tillsyn/A 25849-2024 tillsynsbegäran.docx", "A 25849-2024")</f>
        <v/>
      </c>
      <c r="Y1170">
        <f>HYPERLINK("https://klasma.github.io/Logging_0881/tillsynsmail/A 25849-2024 tillsynsbegäran mail.docx", "A 25849-2024")</f>
        <v/>
      </c>
    </row>
    <row r="1171" ht="15" customHeight="1">
      <c r="A1171" t="inlineStr">
        <is>
          <t>A 27708-2024</t>
        </is>
      </c>
      <c r="B1171" s="1" t="n">
        <v>45475</v>
      </c>
      <c r="C1171" s="1" t="n">
        <v>45832</v>
      </c>
      <c r="D1171" t="inlineStr">
        <is>
          <t>KALMAR LÄN</t>
        </is>
      </c>
      <c r="E1171" t="inlineStr">
        <is>
          <t>VÄSTERVIK</t>
        </is>
      </c>
      <c r="F1171" t="inlineStr">
        <is>
          <t>Holmen skog AB</t>
        </is>
      </c>
      <c r="G1171" t="n">
        <v>1.7</v>
      </c>
      <c r="H1171" t="n">
        <v>1</v>
      </c>
      <c r="I1171" t="n">
        <v>0</v>
      </c>
      <c r="J1171" t="n">
        <v>1</v>
      </c>
      <c r="K1171" t="n">
        <v>0</v>
      </c>
      <c r="L1171" t="n">
        <v>0</v>
      </c>
      <c r="M1171" t="n">
        <v>0</v>
      </c>
      <c r="N1171" t="n">
        <v>0</v>
      </c>
      <c r="O1171" t="n">
        <v>1</v>
      </c>
      <c r="P1171" t="n">
        <v>0</v>
      </c>
      <c r="Q1171" t="n">
        <v>1</v>
      </c>
      <c r="R1171" s="2" t="inlineStr">
        <is>
          <t>Spillkråka</t>
        </is>
      </c>
      <c r="S1171">
        <f>HYPERLINK("https://klasma.github.io/Logging_0883/artfynd/A 27708-2024 artfynd.xlsx", "A 27708-2024")</f>
        <v/>
      </c>
      <c r="T1171">
        <f>HYPERLINK("https://klasma.github.io/Logging_0883/kartor/A 27708-2024 karta.png", "A 27708-2024")</f>
        <v/>
      </c>
      <c r="V1171">
        <f>HYPERLINK("https://klasma.github.io/Logging_0883/klagomål/A 27708-2024 FSC-klagomål.docx", "A 27708-2024")</f>
        <v/>
      </c>
      <c r="W1171">
        <f>HYPERLINK("https://klasma.github.io/Logging_0883/klagomålsmail/A 27708-2024 FSC-klagomål mail.docx", "A 27708-2024")</f>
        <v/>
      </c>
      <c r="X1171">
        <f>HYPERLINK("https://klasma.github.io/Logging_0883/tillsyn/A 27708-2024 tillsynsbegäran.docx", "A 27708-2024")</f>
        <v/>
      </c>
      <c r="Y1171">
        <f>HYPERLINK("https://klasma.github.io/Logging_0883/tillsynsmail/A 27708-2024 tillsynsbegäran mail.docx", "A 27708-2024")</f>
        <v/>
      </c>
      <c r="Z1171">
        <f>HYPERLINK("https://klasma.github.io/Logging_0883/fåglar/A 27708-2024 prioriterade fågelarter.docx", "A 27708-2024")</f>
        <v/>
      </c>
    </row>
    <row r="1172" ht="15" customHeight="1">
      <c r="A1172" t="inlineStr">
        <is>
          <t>A 27760-2024</t>
        </is>
      </c>
      <c r="B1172" s="1" t="n">
        <v>45475</v>
      </c>
      <c r="C1172" s="1" t="n">
        <v>45832</v>
      </c>
      <c r="D1172" t="inlineStr">
        <is>
          <t>KALMAR LÄN</t>
        </is>
      </c>
      <c r="E1172" t="inlineStr">
        <is>
          <t>KALMAR</t>
        </is>
      </c>
      <c r="G1172" t="n">
        <v>3.3</v>
      </c>
      <c r="H1172" t="n">
        <v>0</v>
      </c>
      <c r="I1172" t="n">
        <v>1</v>
      </c>
      <c r="J1172" t="n">
        <v>0</v>
      </c>
      <c r="K1172" t="n">
        <v>0</v>
      </c>
      <c r="L1172" t="n">
        <v>0</v>
      </c>
      <c r="M1172" t="n">
        <v>0</v>
      </c>
      <c r="N1172" t="n">
        <v>0</v>
      </c>
      <c r="O1172" t="n">
        <v>0</v>
      </c>
      <c r="P1172" t="n">
        <v>0</v>
      </c>
      <c r="Q1172" t="n">
        <v>1</v>
      </c>
      <c r="R1172" s="2" t="inlineStr">
        <is>
          <t>Vit vaxskivling</t>
        </is>
      </c>
      <c r="S1172">
        <f>HYPERLINK("https://klasma.github.io/Logging_0880/artfynd/A 27760-2024 artfynd.xlsx", "A 27760-2024")</f>
        <v/>
      </c>
      <c r="T1172">
        <f>HYPERLINK("https://klasma.github.io/Logging_0880/kartor/A 27760-2024 karta.png", "A 27760-2024")</f>
        <v/>
      </c>
      <c r="V1172">
        <f>HYPERLINK("https://klasma.github.io/Logging_0880/klagomål/A 27760-2024 FSC-klagomål.docx", "A 27760-2024")</f>
        <v/>
      </c>
      <c r="W1172">
        <f>HYPERLINK("https://klasma.github.io/Logging_0880/klagomålsmail/A 27760-2024 FSC-klagomål mail.docx", "A 27760-2024")</f>
        <v/>
      </c>
      <c r="X1172">
        <f>HYPERLINK("https://klasma.github.io/Logging_0880/tillsyn/A 27760-2024 tillsynsbegäran.docx", "A 27760-2024")</f>
        <v/>
      </c>
      <c r="Y1172">
        <f>HYPERLINK("https://klasma.github.io/Logging_0880/tillsynsmail/A 27760-2024 tillsynsbegäran mail.docx", "A 27760-2024")</f>
        <v/>
      </c>
    </row>
    <row r="1173" ht="15" customHeight="1">
      <c r="A1173" t="inlineStr">
        <is>
          <t>A 28488-2024</t>
        </is>
      </c>
      <c r="B1173" s="1" t="n">
        <v>45477</v>
      </c>
      <c r="C1173" s="1" t="n">
        <v>45832</v>
      </c>
      <c r="D1173" t="inlineStr">
        <is>
          <t>KALMAR LÄN</t>
        </is>
      </c>
      <c r="E1173" t="inlineStr">
        <is>
          <t>HULTSFRED</t>
        </is>
      </c>
      <c r="G1173" t="n">
        <v>2</v>
      </c>
      <c r="H1173" t="n">
        <v>1</v>
      </c>
      <c r="I1173" t="n">
        <v>0</v>
      </c>
      <c r="J1173" t="n">
        <v>0</v>
      </c>
      <c r="K1173" t="n">
        <v>1</v>
      </c>
      <c r="L1173" t="n">
        <v>0</v>
      </c>
      <c r="M1173" t="n">
        <v>0</v>
      </c>
      <c r="N1173" t="n">
        <v>0</v>
      </c>
      <c r="O1173" t="n">
        <v>1</v>
      </c>
      <c r="P1173" t="n">
        <v>1</v>
      </c>
      <c r="Q1173" t="n">
        <v>1</v>
      </c>
      <c r="R1173" s="2" t="inlineStr">
        <is>
          <t>Knärot</t>
        </is>
      </c>
      <c r="S1173">
        <f>HYPERLINK("https://klasma.github.io/Logging_0860/artfynd/A 28488-2024 artfynd.xlsx", "A 28488-2024")</f>
        <v/>
      </c>
      <c r="T1173">
        <f>HYPERLINK("https://klasma.github.io/Logging_0860/kartor/A 28488-2024 karta.png", "A 28488-2024")</f>
        <v/>
      </c>
      <c r="U1173">
        <f>HYPERLINK("https://klasma.github.io/Logging_0860/knärot/A 28488-2024 karta knärot.png", "A 28488-2024")</f>
        <v/>
      </c>
      <c r="V1173">
        <f>HYPERLINK("https://klasma.github.io/Logging_0860/klagomål/A 28488-2024 FSC-klagomål.docx", "A 28488-2024")</f>
        <v/>
      </c>
      <c r="W1173">
        <f>HYPERLINK("https://klasma.github.io/Logging_0860/klagomålsmail/A 28488-2024 FSC-klagomål mail.docx", "A 28488-2024")</f>
        <v/>
      </c>
      <c r="X1173">
        <f>HYPERLINK("https://klasma.github.io/Logging_0860/tillsyn/A 28488-2024 tillsynsbegäran.docx", "A 28488-2024")</f>
        <v/>
      </c>
      <c r="Y1173">
        <f>HYPERLINK("https://klasma.github.io/Logging_0860/tillsynsmail/A 28488-2024 tillsynsbegäran mail.docx", "A 28488-2024")</f>
        <v/>
      </c>
    </row>
    <row r="1174" ht="15" customHeight="1">
      <c r="A1174" t="inlineStr">
        <is>
          <t>A 29398-2024</t>
        </is>
      </c>
      <c r="B1174" s="1" t="n">
        <v>45483</v>
      </c>
      <c r="C1174" s="1" t="n">
        <v>45832</v>
      </c>
      <c r="D1174" t="inlineStr">
        <is>
          <t>KALMAR LÄN</t>
        </is>
      </c>
      <c r="E1174" t="inlineStr">
        <is>
          <t>VÄSTERVIK</t>
        </is>
      </c>
      <c r="G1174" t="n">
        <v>2.7</v>
      </c>
      <c r="H1174" t="n">
        <v>0</v>
      </c>
      <c r="I1174" t="n">
        <v>0</v>
      </c>
      <c r="J1174" t="n">
        <v>1</v>
      </c>
      <c r="K1174" t="n">
        <v>0</v>
      </c>
      <c r="L1174" t="n">
        <v>0</v>
      </c>
      <c r="M1174" t="n">
        <v>0</v>
      </c>
      <c r="N1174" t="n">
        <v>0</v>
      </c>
      <c r="O1174" t="n">
        <v>1</v>
      </c>
      <c r="P1174" t="n">
        <v>0</v>
      </c>
      <c r="Q1174" t="n">
        <v>1</v>
      </c>
      <c r="R1174" s="2" t="inlineStr">
        <is>
          <t>Skogsklocka</t>
        </is>
      </c>
      <c r="S1174">
        <f>HYPERLINK("https://klasma.github.io/Logging_0883/artfynd/A 29398-2024 artfynd.xlsx", "A 29398-2024")</f>
        <v/>
      </c>
      <c r="T1174">
        <f>HYPERLINK("https://klasma.github.io/Logging_0883/kartor/A 29398-2024 karta.png", "A 29398-2024")</f>
        <v/>
      </c>
      <c r="V1174">
        <f>HYPERLINK("https://klasma.github.io/Logging_0883/klagomål/A 29398-2024 FSC-klagomål.docx", "A 29398-2024")</f>
        <v/>
      </c>
      <c r="W1174">
        <f>HYPERLINK("https://klasma.github.io/Logging_0883/klagomålsmail/A 29398-2024 FSC-klagomål mail.docx", "A 29398-2024")</f>
        <v/>
      </c>
      <c r="X1174">
        <f>HYPERLINK("https://klasma.github.io/Logging_0883/tillsyn/A 29398-2024 tillsynsbegäran.docx", "A 29398-2024")</f>
        <v/>
      </c>
      <c r="Y1174">
        <f>HYPERLINK("https://klasma.github.io/Logging_0883/tillsynsmail/A 29398-2024 tillsynsbegäran mail.docx", "A 29398-2024")</f>
        <v/>
      </c>
    </row>
    <row r="1175" ht="15" customHeight="1">
      <c r="A1175" t="inlineStr">
        <is>
          <t>A 30022-2024</t>
        </is>
      </c>
      <c r="B1175" s="1" t="n">
        <v>45488</v>
      </c>
      <c r="C1175" s="1" t="n">
        <v>45832</v>
      </c>
      <c r="D1175" t="inlineStr">
        <is>
          <t>KALMAR LÄN</t>
        </is>
      </c>
      <c r="E1175" t="inlineStr">
        <is>
          <t>MÖNSTERÅS</t>
        </is>
      </c>
      <c r="G1175" t="n">
        <v>1.9</v>
      </c>
      <c r="H1175" t="n">
        <v>0</v>
      </c>
      <c r="I1175" t="n">
        <v>1</v>
      </c>
      <c r="J1175" t="n">
        <v>0</v>
      </c>
      <c r="K1175" t="n">
        <v>0</v>
      </c>
      <c r="L1175" t="n">
        <v>0</v>
      </c>
      <c r="M1175" t="n">
        <v>0</v>
      </c>
      <c r="N1175" t="n">
        <v>0</v>
      </c>
      <c r="O1175" t="n">
        <v>0</v>
      </c>
      <c r="P1175" t="n">
        <v>0</v>
      </c>
      <c r="Q1175" t="n">
        <v>1</v>
      </c>
      <c r="R1175" s="2" t="inlineStr">
        <is>
          <t>Bronshjon</t>
        </is>
      </c>
      <c r="S1175">
        <f>HYPERLINK("https://klasma.github.io/Logging_0861/artfynd/A 30022-2024 artfynd.xlsx", "A 30022-2024")</f>
        <v/>
      </c>
      <c r="T1175">
        <f>HYPERLINK("https://klasma.github.io/Logging_0861/kartor/A 30022-2024 karta.png", "A 30022-2024")</f>
        <v/>
      </c>
      <c r="V1175">
        <f>HYPERLINK("https://klasma.github.io/Logging_0861/klagomål/A 30022-2024 FSC-klagomål.docx", "A 30022-2024")</f>
        <v/>
      </c>
      <c r="W1175">
        <f>HYPERLINK("https://klasma.github.io/Logging_0861/klagomålsmail/A 30022-2024 FSC-klagomål mail.docx", "A 30022-2024")</f>
        <v/>
      </c>
      <c r="X1175">
        <f>HYPERLINK("https://klasma.github.io/Logging_0861/tillsyn/A 30022-2024 tillsynsbegäran.docx", "A 30022-2024")</f>
        <v/>
      </c>
      <c r="Y1175">
        <f>HYPERLINK("https://klasma.github.io/Logging_0861/tillsynsmail/A 30022-2024 tillsynsbegäran mail.docx", "A 30022-2024")</f>
        <v/>
      </c>
    </row>
    <row r="1176" ht="15" customHeight="1">
      <c r="A1176" t="inlineStr">
        <is>
          <t>A 30386-2024</t>
        </is>
      </c>
      <c r="B1176" s="1" t="n">
        <v>45491</v>
      </c>
      <c r="C1176" s="1" t="n">
        <v>45832</v>
      </c>
      <c r="D1176" t="inlineStr">
        <is>
          <t>KALMAR LÄN</t>
        </is>
      </c>
      <c r="E1176" t="inlineStr">
        <is>
          <t>VÄSTERVIK</t>
        </is>
      </c>
      <c r="F1176" t="inlineStr">
        <is>
          <t>Holmen skog AB</t>
        </is>
      </c>
      <c r="G1176" t="n">
        <v>3.7</v>
      </c>
      <c r="H1176" t="n">
        <v>0</v>
      </c>
      <c r="I1176" t="n">
        <v>0</v>
      </c>
      <c r="J1176" t="n">
        <v>1</v>
      </c>
      <c r="K1176" t="n">
        <v>0</v>
      </c>
      <c r="L1176" t="n">
        <v>0</v>
      </c>
      <c r="M1176" t="n">
        <v>0</v>
      </c>
      <c r="N1176" t="n">
        <v>0</v>
      </c>
      <c r="O1176" t="n">
        <v>1</v>
      </c>
      <c r="P1176" t="n">
        <v>0</v>
      </c>
      <c r="Q1176" t="n">
        <v>1</v>
      </c>
      <c r="R1176" s="2" t="inlineStr">
        <is>
          <t>Svedjenäva</t>
        </is>
      </c>
      <c r="S1176">
        <f>HYPERLINK("https://klasma.github.io/Logging_0883/artfynd/A 30386-2024 artfynd.xlsx", "A 30386-2024")</f>
        <v/>
      </c>
      <c r="T1176">
        <f>HYPERLINK("https://klasma.github.io/Logging_0883/kartor/A 30386-2024 karta.png", "A 30386-2024")</f>
        <v/>
      </c>
      <c r="V1176">
        <f>HYPERLINK("https://klasma.github.io/Logging_0883/klagomål/A 30386-2024 FSC-klagomål.docx", "A 30386-2024")</f>
        <v/>
      </c>
      <c r="W1176">
        <f>HYPERLINK("https://klasma.github.io/Logging_0883/klagomålsmail/A 30386-2024 FSC-klagomål mail.docx", "A 30386-2024")</f>
        <v/>
      </c>
      <c r="X1176">
        <f>HYPERLINK("https://klasma.github.io/Logging_0883/tillsyn/A 30386-2024 tillsynsbegäran.docx", "A 30386-2024")</f>
        <v/>
      </c>
      <c r="Y1176">
        <f>HYPERLINK("https://klasma.github.io/Logging_0883/tillsynsmail/A 30386-2024 tillsynsbegäran mail.docx", "A 30386-2024")</f>
        <v/>
      </c>
    </row>
    <row r="1177" ht="15" customHeight="1">
      <c r="A1177" t="inlineStr">
        <is>
          <t>A 30746-2024</t>
        </is>
      </c>
      <c r="B1177" s="1" t="n">
        <v>45496</v>
      </c>
      <c r="C1177" s="1" t="n">
        <v>45832</v>
      </c>
      <c r="D1177" t="inlineStr">
        <is>
          <t>KALMAR LÄN</t>
        </is>
      </c>
      <c r="E1177" t="inlineStr">
        <is>
          <t>NYBRO</t>
        </is>
      </c>
      <c r="G1177" t="n">
        <v>1</v>
      </c>
      <c r="H1177" t="n">
        <v>0</v>
      </c>
      <c r="I1177" t="n">
        <v>0</v>
      </c>
      <c r="J1177" t="n">
        <v>1</v>
      </c>
      <c r="K1177" t="n">
        <v>0</v>
      </c>
      <c r="L1177" t="n">
        <v>0</v>
      </c>
      <c r="M1177" t="n">
        <v>0</v>
      </c>
      <c r="N1177" t="n">
        <v>0</v>
      </c>
      <c r="O1177" t="n">
        <v>1</v>
      </c>
      <c r="P1177" t="n">
        <v>0</v>
      </c>
      <c r="Q1177" t="n">
        <v>1</v>
      </c>
      <c r="R1177" s="2" t="inlineStr">
        <is>
          <t>Granspira</t>
        </is>
      </c>
      <c r="S1177">
        <f>HYPERLINK("https://klasma.github.io/Logging_0881/artfynd/A 30746-2024 artfynd.xlsx", "A 30746-2024")</f>
        <v/>
      </c>
      <c r="T1177">
        <f>HYPERLINK("https://klasma.github.io/Logging_0881/kartor/A 30746-2024 karta.png", "A 30746-2024")</f>
        <v/>
      </c>
      <c r="V1177">
        <f>HYPERLINK("https://klasma.github.io/Logging_0881/klagomål/A 30746-2024 FSC-klagomål.docx", "A 30746-2024")</f>
        <v/>
      </c>
      <c r="W1177">
        <f>HYPERLINK("https://klasma.github.io/Logging_0881/klagomålsmail/A 30746-2024 FSC-klagomål mail.docx", "A 30746-2024")</f>
        <v/>
      </c>
      <c r="X1177">
        <f>HYPERLINK("https://klasma.github.io/Logging_0881/tillsyn/A 30746-2024 tillsynsbegäran.docx", "A 30746-2024")</f>
        <v/>
      </c>
      <c r="Y1177">
        <f>HYPERLINK("https://klasma.github.io/Logging_0881/tillsynsmail/A 30746-2024 tillsynsbegäran mail.docx", "A 30746-2024")</f>
        <v/>
      </c>
    </row>
    <row r="1178" ht="15" customHeight="1">
      <c r="A1178" t="inlineStr">
        <is>
          <t>A 31865-2024</t>
        </is>
      </c>
      <c r="B1178" s="1" t="n">
        <v>45509</v>
      </c>
      <c r="C1178" s="1" t="n">
        <v>45832</v>
      </c>
      <c r="D1178" t="inlineStr">
        <is>
          <t>KALMAR LÄN</t>
        </is>
      </c>
      <c r="E1178" t="inlineStr">
        <is>
          <t>HULTSFRED</t>
        </is>
      </c>
      <c r="G1178" t="n">
        <v>4</v>
      </c>
      <c r="H1178" t="n">
        <v>1</v>
      </c>
      <c r="I1178" t="n">
        <v>0</v>
      </c>
      <c r="J1178" t="n">
        <v>0</v>
      </c>
      <c r="K1178" t="n">
        <v>0</v>
      </c>
      <c r="L1178" t="n">
        <v>0</v>
      </c>
      <c r="M1178" t="n">
        <v>0</v>
      </c>
      <c r="N1178" t="n">
        <v>0</v>
      </c>
      <c r="O1178" t="n">
        <v>0</v>
      </c>
      <c r="P1178" t="n">
        <v>0</v>
      </c>
      <c r="Q1178" t="n">
        <v>1</v>
      </c>
      <c r="R1178" s="2" t="inlineStr">
        <is>
          <t>Blåsippa</t>
        </is>
      </c>
      <c r="S1178">
        <f>HYPERLINK("https://klasma.github.io/Logging_0860/artfynd/A 31865-2024 artfynd.xlsx", "A 31865-2024")</f>
        <v/>
      </c>
      <c r="T1178">
        <f>HYPERLINK("https://klasma.github.io/Logging_0860/kartor/A 31865-2024 karta.png", "A 31865-2024")</f>
        <v/>
      </c>
      <c r="V1178">
        <f>HYPERLINK("https://klasma.github.io/Logging_0860/klagomål/A 31865-2024 FSC-klagomål.docx", "A 31865-2024")</f>
        <v/>
      </c>
      <c r="W1178">
        <f>HYPERLINK("https://klasma.github.io/Logging_0860/klagomålsmail/A 31865-2024 FSC-klagomål mail.docx", "A 31865-2024")</f>
        <v/>
      </c>
      <c r="X1178">
        <f>HYPERLINK("https://klasma.github.io/Logging_0860/tillsyn/A 31865-2024 tillsynsbegäran.docx", "A 31865-2024")</f>
        <v/>
      </c>
      <c r="Y1178">
        <f>HYPERLINK("https://klasma.github.io/Logging_0860/tillsynsmail/A 31865-2024 tillsynsbegäran mail.docx", "A 31865-2024")</f>
        <v/>
      </c>
    </row>
    <row r="1179" ht="15" customHeight="1">
      <c r="A1179" t="inlineStr">
        <is>
          <t>A 32356-2024</t>
        </is>
      </c>
      <c r="B1179" s="1" t="n">
        <v>45512</v>
      </c>
      <c r="C1179" s="1" t="n">
        <v>45832</v>
      </c>
      <c r="D1179" t="inlineStr">
        <is>
          <t>KALMAR LÄN</t>
        </is>
      </c>
      <c r="E1179" t="inlineStr">
        <is>
          <t>HÖGSBY</t>
        </is>
      </c>
      <c r="G1179" t="n">
        <v>3.6</v>
      </c>
      <c r="H1179" t="n">
        <v>1</v>
      </c>
      <c r="I1179" t="n">
        <v>0</v>
      </c>
      <c r="J1179" t="n">
        <v>0</v>
      </c>
      <c r="K1179" t="n">
        <v>0</v>
      </c>
      <c r="L1179" t="n">
        <v>0</v>
      </c>
      <c r="M1179" t="n">
        <v>0</v>
      </c>
      <c r="N1179" t="n">
        <v>0</v>
      </c>
      <c r="O1179" t="n">
        <v>0</v>
      </c>
      <c r="P1179" t="n">
        <v>0</v>
      </c>
      <c r="Q1179" t="n">
        <v>1</v>
      </c>
      <c r="R1179" s="2" t="inlineStr">
        <is>
          <t>Större vattensalamander</t>
        </is>
      </c>
      <c r="S1179">
        <f>HYPERLINK("https://klasma.github.io/Logging_0821/artfynd/A 32356-2024 artfynd.xlsx", "A 32356-2024")</f>
        <v/>
      </c>
      <c r="T1179">
        <f>HYPERLINK("https://klasma.github.io/Logging_0821/kartor/A 32356-2024 karta.png", "A 32356-2024")</f>
        <v/>
      </c>
      <c r="V1179">
        <f>HYPERLINK("https://klasma.github.io/Logging_0821/klagomål/A 32356-2024 FSC-klagomål.docx", "A 32356-2024")</f>
        <v/>
      </c>
      <c r="W1179">
        <f>HYPERLINK("https://klasma.github.io/Logging_0821/klagomålsmail/A 32356-2024 FSC-klagomål mail.docx", "A 32356-2024")</f>
        <v/>
      </c>
      <c r="X1179">
        <f>HYPERLINK("https://klasma.github.io/Logging_0821/tillsyn/A 32356-2024 tillsynsbegäran.docx", "A 32356-2024")</f>
        <v/>
      </c>
      <c r="Y1179">
        <f>HYPERLINK("https://klasma.github.io/Logging_0821/tillsynsmail/A 32356-2024 tillsynsbegäran mail.docx", "A 32356-2024")</f>
        <v/>
      </c>
    </row>
    <row r="1180" ht="15" customHeight="1">
      <c r="A1180" t="inlineStr">
        <is>
          <t>A 34357-2024</t>
        </is>
      </c>
      <c r="B1180" s="1" t="n">
        <v>45525</v>
      </c>
      <c r="C1180" s="1" t="n">
        <v>45832</v>
      </c>
      <c r="D1180" t="inlineStr">
        <is>
          <t>KALMAR LÄN</t>
        </is>
      </c>
      <c r="E1180" t="inlineStr">
        <is>
          <t>VÄSTERVIK</t>
        </is>
      </c>
      <c r="F1180" t="inlineStr">
        <is>
          <t>Övriga Aktiebolag</t>
        </is>
      </c>
      <c r="G1180" t="n">
        <v>14</v>
      </c>
      <c r="H1180" t="n">
        <v>1</v>
      </c>
      <c r="I1180" t="n">
        <v>0</v>
      </c>
      <c r="J1180" t="n">
        <v>1</v>
      </c>
      <c r="K1180" t="n">
        <v>0</v>
      </c>
      <c r="L1180" t="n">
        <v>0</v>
      </c>
      <c r="M1180" t="n">
        <v>0</v>
      </c>
      <c r="N1180" t="n">
        <v>0</v>
      </c>
      <c r="O1180" t="n">
        <v>1</v>
      </c>
      <c r="P1180" t="n">
        <v>0</v>
      </c>
      <c r="Q1180" t="n">
        <v>1</v>
      </c>
      <c r="R1180" s="2" t="inlineStr">
        <is>
          <t>Havsörn</t>
        </is>
      </c>
      <c r="S1180">
        <f>HYPERLINK("https://klasma.github.io/Logging_0883/artfynd/A 34357-2024 artfynd.xlsx", "A 34357-2024")</f>
        <v/>
      </c>
      <c r="T1180">
        <f>HYPERLINK("https://klasma.github.io/Logging_0883/kartor/A 34357-2024 karta.png", "A 34357-2024")</f>
        <v/>
      </c>
      <c r="V1180">
        <f>HYPERLINK("https://klasma.github.io/Logging_0883/klagomål/A 34357-2024 FSC-klagomål.docx", "A 34357-2024")</f>
        <v/>
      </c>
      <c r="W1180">
        <f>HYPERLINK("https://klasma.github.io/Logging_0883/klagomålsmail/A 34357-2024 FSC-klagomål mail.docx", "A 34357-2024")</f>
        <v/>
      </c>
      <c r="X1180">
        <f>HYPERLINK("https://klasma.github.io/Logging_0883/tillsyn/A 34357-2024 tillsynsbegäran.docx", "A 34357-2024")</f>
        <v/>
      </c>
      <c r="Y1180">
        <f>HYPERLINK("https://klasma.github.io/Logging_0883/tillsynsmail/A 34357-2024 tillsynsbegäran mail.docx", "A 34357-2024")</f>
        <v/>
      </c>
      <c r="Z1180">
        <f>HYPERLINK("https://klasma.github.io/Logging_0883/fåglar/A 34357-2024 prioriterade fågelarter.docx", "A 34357-2024")</f>
        <v/>
      </c>
    </row>
    <row r="1181" ht="15" customHeight="1">
      <c r="A1181" t="inlineStr">
        <is>
          <t>A 34784-2024</t>
        </is>
      </c>
      <c r="B1181" s="1" t="n">
        <v>45526</v>
      </c>
      <c r="C1181" s="1" t="n">
        <v>45832</v>
      </c>
      <c r="D1181" t="inlineStr">
        <is>
          <t>KALMAR LÄN</t>
        </is>
      </c>
      <c r="E1181" t="inlineStr">
        <is>
          <t>KALMAR</t>
        </is>
      </c>
      <c r="G1181" t="n">
        <v>1.5</v>
      </c>
      <c r="H1181" t="n">
        <v>1</v>
      </c>
      <c r="I1181" t="n">
        <v>0</v>
      </c>
      <c r="J1181" t="n">
        <v>0</v>
      </c>
      <c r="K1181" t="n">
        <v>0</v>
      </c>
      <c r="L1181" t="n">
        <v>0</v>
      </c>
      <c r="M1181" t="n">
        <v>0</v>
      </c>
      <c r="N1181" t="n">
        <v>0</v>
      </c>
      <c r="O1181" t="n">
        <v>0</v>
      </c>
      <c r="P1181" t="n">
        <v>0</v>
      </c>
      <c r="Q1181" t="n">
        <v>1</v>
      </c>
      <c r="R1181" s="2" t="inlineStr">
        <is>
          <t>Mattlummer</t>
        </is>
      </c>
      <c r="S1181">
        <f>HYPERLINK("https://klasma.github.io/Logging_0880/artfynd/A 34784-2024 artfynd.xlsx", "A 34784-2024")</f>
        <v/>
      </c>
      <c r="T1181">
        <f>HYPERLINK("https://klasma.github.io/Logging_0880/kartor/A 34784-2024 karta.png", "A 34784-2024")</f>
        <v/>
      </c>
      <c r="V1181">
        <f>HYPERLINK("https://klasma.github.io/Logging_0880/klagomål/A 34784-2024 FSC-klagomål.docx", "A 34784-2024")</f>
        <v/>
      </c>
      <c r="W1181">
        <f>HYPERLINK("https://klasma.github.io/Logging_0880/klagomålsmail/A 34784-2024 FSC-klagomål mail.docx", "A 34784-2024")</f>
        <v/>
      </c>
      <c r="X1181">
        <f>HYPERLINK("https://klasma.github.io/Logging_0880/tillsyn/A 34784-2024 tillsynsbegäran.docx", "A 34784-2024")</f>
        <v/>
      </c>
      <c r="Y1181">
        <f>HYPERLINK("https://klasma.github.io/Logging_0880/tillsynsmail/A 34784-2024 tillsynsbegäran mail.docx", "A 34784-2024")</f>
        <v/>
      </c>
    </row>
    <row r="1182" ht="15" customHeight="1">
      <c r="A1182" t="inlineStr">
        <is>
          <t>A 34836-2024</t>
        </is>
      </c>
      <c r="B1182" s="1" t="n">
        <v>45526</v>
      </c>
      <c r="C1182" s="1" t="n">
        <v>45832</v>
      </c>
      <c r="D1182" t="inlineStr">
        <is>
          <t>KALMAR LÄN</t>
        </is>
      </c>
      <c r="E1182" t="inlineStr">
        <is>
          <t>OSKARSHAMN</t>
        </is>
      </c>
      <c r="G1182" t="n">
        <v>8.6</v>
      </c>
      <c r="H1182" t="n">
        <v>1</v>
      </c>
      <c r="I1182" t="n">
        <v>0</v>
      </c>
      <c r="J1182" t="n">
        <v>0</v>
      </c>
      <c r="K1182" t="n">
        <v>0</v>
      </c>
      <c r="L1182" t="n">
        <v>0</v>
      </c>
      <c r="M1182" t="n">
        <v>0</v>
      </c>
      <c r="N1182" t="n">
        <v>0</v>
      </c>
      <c r="O1182" t="n">
        <v>0</v>
      </c>
      <c r="P1182" t="n">
        <v>0</v>
      </c>
      <c r="Q1182" t="n">
        <v>1</v>
      </c>
      <c r="R1182" s="2" t="inlineStr">
        <is>
          <t>Blåsippa</t>
        </is>
      </c>
      <c r="S1182">
        <f>HYPERLINK("https://klasma.github.io/Logging_0882/artfynd/A 34836-2024 artfynd.xlsx", "A 34836-2024")</f>
        <v/>
      </c>
      <c r="T1182">
        <f>HYPERLINK("https://klasma.github.io/Logging_0882/kartor/A 34836-2024 karta.png", "A 34836-2024")</f>
        <v/>
      </c>
      <c r="V1182">
        <f>HYPERLINK("https://klasma.github.io/Logging_0882/klagomål/A 34836-2024 FSC-klagomål.docx", "A 34836-2024")</f>
        <v/>
      </c>
      <c r="W1182">
        <f>HYPERLINK("https://klasma.github.io/Logging_0882/klagomålsmail/A 34836-2024 FSC-klagomål mail.docx", "A 34836-2024")</f>
        <v/>
      </c>
      <c r="X1182">
        <f>HYPERLINK("https://klasma.github.io/Logging_0882/tillsyn/A 34836-2024 tillsynsbegäran.docx", "A 34836-2024")</f>
        <v/>
      </c>
      <c r="Y1182">
        <f>HYPERLINK("https://klasma.github.io/Logging_0882/tillsynsmail/A 34836-2024 tillsynsbegäran mail.docx", "A 34836-2024")</f>
        <v/>
      </c>
    </row>
    <row r="1183" ht="15" customHeight="1">
      <c r="A1183" t="inlineStr">
        <is>
          <t>A 35028-2024</t>
        </is>
      </c>
      <c r="B1183" s="1" t="n">
        <v>45527</v>
      </c>
      <c r="C1183" s="1" t="n">
        <v>45832</v>
      </c>
      <c r="D1183" t="inlineStr">
        <is>
          <t>KALMAR LÄN</t>
        </is>
      </c>
      <c r="E1183" t="inlineStr">
        <is>
          <t>VÄSTERVIK</t>
        </is>
      </c>
      <c r="G1183" t="n">
        <v>1.3</v>
      </c>
      <c r="H1183" t="n">
        <v>0</v>
      </c>
      <c r="I1183" t="n">
        <v>1</v>
      </c>
      <c r="J1183" t="n">
        <v>0</v>
      </c>
      <c r="K1183" t="n">
        <v>0</v>
      </c>
      <c r="L1183" t="n">
        <v>0</v>
      </c>
      <c r="M1183" t="n">
        <v>0</v>
      </c>
      <c r="N1183" t="n">
        <v>0</v>
      </c>
      <c r="O1183" t="n">
        <v>0</v>
      </c>
      <c r="P1183" t="n">
        <v>0</v>
      </c>
      <c r="Q1183" t="n">
        <v>1</v>
      </c>
      <c r="R1183" s="2" t="inlineStr">
        <is>
          <t>Blomkålssvamp</t>
        </is>
      </c>
      <c r="S1183">
        <f>HYPERLINK("https://klasma.github.io/Logging_0883/artfynd/A 35028-2024 artfynd.xlsx", "A 35028-2024")</f>
        <v/>
      </c>
      <c r="T1183">
        <f>HYPERLINK("https://klasma.github.io/Logging_0883/kartor/A 35028-2024 karta.png", "A 35028-2024")</f>
        <v/>
      </c>
      <c r="V1183">
        <f>HYPERLINK("https://klasma.github.io/Logging_0883/klagomål/A 35028-2024 FSC-klagomål.docx", "A 35028-2024")</f>
        <v/>
      </c>
      <c r="W1183">
        <f>HYPERLINK("https://klasma.github.io/Logging_0883/klagomålsmail/A 35028-2024 FSC-klagomål mail.docx", "A 35028-2024")</f>
        <v/>
      </c>
      <c r="X1183">
        <f>HYPERLINK("https://klasma.github.io/Logging_0883/tillsyn/A 35028-2024 tillsynsbegäran.docx", "A 35028-2024")</f>
        <v/>
      </c>
      <c r="Y1183">
        <f>HYPERLINK("https://klasma.github.io/Logging_0883/tillsynsmail/A 35028-2024 tillsynsbegäran mail.docx", "A 35028-2024")</f>
        <v/>
      </c>
    </row>
    <row r="1184" ht="15" customHeight="1">
      <c r="A1184" t="inlineStr">
        <is>
          <t>A 35155-2024</t>
        </is>
      </c>
      <c r="B1184" s="1" t="n">
        <v>45530</v>
      </c>
      <c r="C1184" s="1" t="n">
        <v>45832</v>
      </c>
      <c r="D1184" t="inlineStr">
        <is>
          <t>KALMAR LÄN</t>
        </is>
      </c>
      <c r="E1184" t="inlineStr">
        <is>
          <t>OSKARSHAMN</t>
        </is>
      </c>
      <c r="F1184" t="inlineStr">
        <is>
          <t>Sveaskog</t>
        </is>
      </c>
      <c r="G1184" t="n">
        <v>7</v>
      </c>
      <c r="H1184" t="n">
        <v>0</v>
      </c>
      <c r="I1184" t="n">
        <v>0</v>
      </c>
      <c r="J1184" t="n">
        <v>1</v>
      </c>
      <c r="K1184" t="n">
        <v>0</v>
      </c>
      <c r="L1184" t="n">
        <v>0</v>
      </c>
      <c r="M1184" t="n">
        <v>0</v>
      </c>
      <c r="N1184" t="n">
        <v>0</v>
      </c>
      <c r="O1184" t="n">
        <v>1</v>
      </c>
      <c r="P1184" t="n">
        <v>0</v>
      </c>
      <c r="Q1184" t="n">
        <v>1</v>
      </c>
      <c r="R1184" s="2" t="inlineStr">
        <is>
          <t>Slåtterfibbla</t>
        </is>
      </c>
      <c r="S1184">
        <f>HYPERLINK("https://klasma.github.io/Logging_0882/artfynd/A 35155-2024 artfynd.xlsx", "A 35155-2024")</f>
        <v/>
      </c>
      <c r="T1184">
        <f>HYPERLINK("https://klasma.github.io/Logging_0882/kartor/A 35155-2024 karta.png", "A 35155-2024")</f>
        <v/>
      </c>
      <c r="V1184">
        <f>HYPERLINK("https://klasma.github.io/Logging_0882/klagomål/A 35155-2024 FSC-klagomål.docx", "A 35155-2024")</f>
        <v/>
      </c>
      <c r="W1184">
        <f>HYPERLINK("https://klasma.github.io/Logging_0882/klagomålsmail/A 35155-2024 FSC-klagomål mail.docx", "A 35155-2024")</f>
        <v/>
      </c>
      <c r="X1184">
        <f>HYPERLINK("https://klasma.github.io/Logging_0882/tillsyn/A 35155-2024 tillsynsbegäran.docx", "A 35155-2024")</f>
        <v/>
      </c>
      <c r="Y1184">
        <f>HYPERLINK("https://klasma.github.io/Logging_0882/tillsynsmail/A 35155-2024 tillsynsbegäran mail.docx", "A 35155-2024")</f>
        <v/>
      </c>
    </row>
    <row r="1185" ht="15" customHeight="1">
      <c r="A1185" t="inlineStr">
        <is>
          <t>A 35959-2024</t>
        </is>
      </c>
      <c r="B1185" s="1" t="n">
        <v>45533</v>
      </c>
      <c r="C1185" s="1" t="n">
        <v>45832</v>
      </c>
      <c r="D1185" t="inlineStr">
        <is>
          <t>KALMAR LÄN</t>
        </is>
      </c>
      <c r="E1185" t="inlineStr">
        <is>
          <t>VÄSTERVIK</t>
        </is>
      </c>
      <c r="F1185" t="inlineStr">
        <is>
          <t>Holmen skog AB</t>
        </is>
      </c>
      <c r="G1185" t="n">
        <v>3.2</v>
      </c>
      <c r="H1185" t="n">
        <v>0</v>
      </c>
      <c r="I1185" t="n">
        <v>0</v>
      </c>
      <c r="J1185" t="n">
        <v>1</v>
      </c>
      <c r="K1185" t="n">
        <v>0</v>
      </c>
      <c r="L1185" t="n">
        <v>0</v>
      </c>
      <c r="M1185" t="n">
        <v>0</v>
      </c>
      <c r="N1185" t="n">
        <v>0</v>
      </c>
      <c r="O1185" t="n">
        <v>1</v>
      </c>
      <c r="P1185" t="n">
        <v>0</v>
      </c>
      <c r="Q1185" t="n">
        <v>1</v>
      </c>
      <c r="R1185" s="2" t="inlineStr">
        <is>
          <t>Smalsprötad bastardsvärmare</t>
        </is>
      </c>
      <c r="S1185">
        <f>HYPERLINK("https://klasma.github.io/Logging_0883/artfynd/A 35959-2024 artfynd.xlsx", "A 35959-2024")</f>
        <v/>
      </c>
      <c r="T1185">
        <f>HYPERLINK("https://klasma.github.io/Logging_0883/kartor/A 35959-2024 karta.png", "A 35959-2024")</f>
        <v/>
      </c>
      <c r="V1185">
        <f>HYPERLINK("https://klasma.github.io/Logging_0883/klagomål/A 35959-2024 FSC-klagomål.docx", "A 35959-2024")</f>
        <v/>
      </c>
      <c r="W1185">
        <f>HYPERLINK("https://klasma.github.io/Logging_0883/klagomålsmail/A 35959-2024 FSC-klagomål mail.docx", "A 35959-2024")</f>
        <v/>
      </c>
      <c r="X1185">
        <f>HYPERLINK("https://klasma.github.io/Logging_0883/tillsyn/A 35959-2024 tillsynsbegäran.docx", "A 35959-2024")</f>
        <v/>
      </c>
      <c r="Y1185">
        <f>HYPERLINK("https://klasma.github.io/Logging_0883/tillsynsmail/A 35959-2024 tillsynsbegäran mail.docx", "A 35959-2024")</f>
        <v/>
      </c>
    </row>
    <row r="1186" ht="15" customHeight="1">
      <c r="A1186" t="inlineStr">
        <is>
          <t>A 36886-2024</t>
        </is>
      </c>
      <c r="B1186" s="1" t="n">
        <v>45538</v>
      </c>
      <c r="C1186" s="1" t="n">
        <v>45832</v>
      </c>
      <c r="D1186" t="inlineStr">
        <is>
          <t>KALMAR LÄN</t>
        </is>
      </c>
      <c r="E1186" t="inlineStr">
        <is>
          <t>MÖNSTERÅS</t>
        </is>
      </c>
      <c r="G1186" t="n">
        <v>10.2</v>
      </c>
      <c r="H1186" t="n">
        <v>0</v>
      </c>
      <c r="I1186" t="n">
        <v>1</v>
      </c>
      <c r="J1186" t="n">
        <v>0</v>
      </c>
      <c r="K1186" t="n">
        <v>0</v>
      </c>
      <c r="L1186" t="n">
        <v>0</v>
      </c>
      <c r="M1186" t="n">
        <v>0</v>
      </c>
      <c r="N1186" t="n">
        <v>0</v>
      </c>
      <c r="O1186" t="n">
        <v>0</v>
      </c>
      <c r="P1186" t="n">
        <v>0</v>
      </c>
      <c r="Q1186" t="n">
        <v>1</v>
      </c>
      <c r="R1186" s="2" t="inlineStr">
        <is>
          <t>Underviol</t>
        </is>
      </c>
      <c r="S1186">
        <f>HYPERLINK("https://klasma.github.io/Logging_0861/artfynd/A 36886-2024 artfynd.xlsx", "A 36886-2024")</f>
        <v/>
      </c>
      <c r="T1186">
        <f>HYPERLINK("https://klasma.github.io/Logging_0861/kartor/A 36886-2024 karta.png", "A 36886-2024")</f>
        <v/>
      </c>
      <c r="V1186">
        <f>HYPERLINK("https://klasma.github.io/Logging_0861/klagomål/A 36886-2024 FSC-klagomål.docx", "A 36886-2024")</f>
        <v/>
      </c>
      <c r="W1186">
        <f>HYPERLINK("https://klasma.github.io/Logging_0861/klagomålsmail/A 36886-2024 FSC-klagomål mail.docx", "A 36886-2024")</f>
        <v/>
      </c>
      <c r="X1186">
        <f>HYPERLINK("https://klasma.github.io/Logging_0861/tillsyn/A 36886-2024 tillsynsbegäran.docx", "A 36886-2024")</f>
        <v/>
      </c>
      <c r="Y1186">
        <f>HYPERLINK("https://klasma.github.io/Logging_0861/tillsynsmail/A 36886-2024 tillsynsbegäran mail.docx", "A 36886-2024")</f>
        <v/>
      </c>
    </row>
    <row r="1187" ht="15" customHeight="1">
      <c r="A1187" t="inlineStr">
        <is>
          <t>A 37199-2024</t>
        </is>
      </c>
      <c r="B1187" s="1" t="n">
        <v>45539</v>
      </c>
      <c r="C1187" s="1" t="n">
        <v>45832</v>
      </c>
      <c r="D1187" t="inlineStr">
        <is>
          <t>KALMAR LÄN</t>
        </is>
      </c>
      <c r="E1187" t="inlineStr">
        <is>
          <t>VIMMERBY</t>
        </is>
      </c>
      <c r="G1187" t="n">
        <v>0.6</v>
      </c>
      <c r="H1187" t="n">
        <v>1</v>
      </c>
      <c r="I1187" t="n">
        <v>1</v>
      </c>
      <c r="J1187" t="n">
        <v>0</v>
      </c>
      <c r="K1187" t="n">
        <v>0</v>
      </c>
      <c r="L1187" t="n">
        <v>0</v>
      </c>
      <c r="M1187" t="n">
        <v>0</v>
      </c>
      <c r="N1187" t="n">
        <v>0</v>
      </c>
      <c r="O1187" t="n">
        <v>0</v>
      </c>
      <c r="P1187" t="n">
        <v>0</v>
      </c>
      <c r="Q1187" t="n">
        <v>1</v>
      </c>
      <c r="R1187" s="2" t="inlineStr">
        <is>
          <t>Purpurknipprot</t>
        </is>
      </c>
      <c r="S1187">
        <f>HYPERLINK("https://klasma.github.io/Logging_0884/artfynd/A 37199-2024 artfynd.xlsx", "A 37199-2024")</f>
        <v/>
      </c>
      <c r="T1187">
        <f>HYPERLINK("https://klasma.github.io/Logging_0884/kartor/A 37199-2024 karta.png", "A 37199-2024")</f>
        <v/>
      </c>
      <c r="V1187">
        <f>HYPERLINK("https://klasma.github.io/Logging_0884/klagomål/A 37199-2024 FSC-klagomål.docx", "A 37199-2024")</f>
        <v/>
      </c>
      <c r="W1187">
        <f>HYPERLINK("https://klasma.github.io/Logging_0884/klagomålsmail/A 37199-2024 FSC-klagomål mail.docx", "A 37199-2024")</f>
        <v/>
      </c>
      <c r="X1187">
        <f>HYPERLINK("https://klasma.github.io/Logging_0884/tillsyn/A 37199-2024 tillsynsbegäran.docx", "A 37199-2024")</f>
        <v/>
      </c>
      <c r="Y1187">
        <f>HYPERLINK("https://klasma.github.io/Logging_0884/tillsynsmail/A 37199-2024 tillsynsbegäran mail.docx", "A 37199-2024")</f>
        <v/>
      </c>
    </row>
    <row r="1188" ht="15" customHeight="1">
      <c r="A1188" t="inlineStr">
        <is>
          <t>A 37327-2024</t>
        </is>
      </c>
      <c r="B1188" s="1" t="n">
        <v>45540</v>
      </c>
      <c r="C1188" s="1" t="n">
        <v>45832</v>
      </c>
      <c r="D1188" t="inlineStr">
        <is>
          <t>KALMAR LÄN</t>
        </is>
      </c>
      <c r="E1188" t="inlineStr">
        <is>
          <t>OSKARSHAMN</t>
        </is>
      </c>
      <c r="G1188" t="n">
        <v>5.5</v>
      </c>
      <c r="H1188" t="n">
        <v>0</v>
      </c>
      <c r="I1188" t="n">
        <v>1</v>
      </c>
      <c r="J1188" t="n">
        <v>0</v>
      </c>
      <c r="K1188" t="n">
        <v>0</v>
      </c>
      <c r="L1188" t="n">
        <v>0</v>
      </c>
      <c r="M1188" t="n">
        <v>0</v>
      </c>
      <c r="N1188" t="n">
        <v>0</v>
      </c>
      <c r="O1188" t="n">
        <v>0</v>
      </c>
      <c r="P1188" t="n">
        <v>0</v>
      </c>
      <c r="Q1188" t="n">
        <v>1</v>
      </c>
      <c r="R1188" s="2" t="inlineStr">
        <is>
          <t>Dropptaggsvamp</t>
        </is>
      </c>
      <c r="S1188">
        <f>HYPERLINK("https://klasma.github.io/Logging_0882/artfynd/A 37327-2024 artfynd.xlsx", "A 37327-2024")</f>
        <v/>
      </c>
      <c r="T1188">
        <f>HYPERLINK("https://klasma.github.io/Logging_0882/kartor/A 37327-2024 karta.png", "A 37327-2024")</f>
        <v/>
      </c>
      <c r="V1188">
        <f>HYPERLINK("https://klasma.github.io/Logging_0882/klagomål/A 37327-2024 FSC-klagomål.docx", "A 37327-2024")</f>
        <v/>
      </c>
      <c r="W1188">
        <f>HYPERLINK("https://klasma.github.io/Logging_0882/klagomålsmail/A 37327-2024 FSC-klagomål mail.docx", "A 37327-2024")</f>
        <v/>
      </c>
      <c r="X1188">
        <f>HYPERLINK("https://klasma.github.io/Logging_0882/tillsyn/A 37327-2024 tillsynsbegäran.docx", "A 37327-2024")</f>
        <v/>
      </c>
      <c r="Y1188">
        <f>HYPERLINK("https://klasma.github.io/Logging_0882/tillsynsmail/A 37327-2024 tillsynsbegäran mail.docx", "A 37327-2024")</f>
        <v/>
      </c>
    </row>
    <row r="1189" ht="15" customHeight="1">
      <c r="A1189" t="inlineStr">
        <is>
          <t>A 37621-2024</t>
        </is>
      </c>
      <c r="B1189" s="1" t="n">
        <v>45541</v>
      </c>
      <c r="C1189" s="1" t="n">
        <v>45832</v>
      </c>
      <c r="D1189" t="inlineStr">
        <is>
          <t>KALMAR LÄN</t>
        </is>
      </c>
      <c r="E1189" t="inlineStr">
        <is>
          <t>NYBRO</t>
        </is>
      </c>
      <c r="G1189" t="n">
        <v>4.1</v>
      </c>
      <c r="H1189" t="n">
        <v>0</v>
      </c>
      <c r="I1189" t="n">
        <v>1</v>
      </c>
      <c r="J1189" t="n">
        <v>0</v>
      </c>
      <c r="K1189" t="n">
        <v>0</v>
      </c>
      <c r="L1189" t="n">
        <v>0</v>
      </c>
      <c r="M1189" t="n">
        <v>0</v>
      </c>
      <c r="N1189" t="n">
        <v>0</v>
      </c>
      <c r="O1189" t="n">
        <v>0</v>
      </c>
      <c r="P1189" t="n">
        <v>0</v>
      </c>
      <c r="Q1189" t="n">
        <v>1</v>
      </c>
      <c r="R1189" s="2" t="inlineStr">
        <is>
          <t>Blåmossa</t>
        </is>
      </c>
      <c r="S1189">
        <f>HYPERLINK("https://klasma.github.io/Logging_0881/artfynd/A 37621-2024 artfynd.xlsx", "A 37621-2024")</f>
        <v/>
      </c>
      <c r="T1189">
        <f>HYPERLINK("https://klasma.github.io/Logging_0881/kartor/A 37621-2024 karta.png", "A 37621-2024")</f>
        <v/>
      </c>
      <c r="V1189">
        <f>HYPERLINK("https://klasma.github.io/Logging_0881/klagomål/A 37621-2024 FSC-klagomål.docx", "A 37621-2024")</f>
        <v/>
      </c>
      <c r="W1189">
        <f>HYPERLINK("https://klasma.github.io/Logging_0881/klagomålsmail/A 37621-2024 FSC-klagomål mail.docx", "A 37621-2024")</f>
        <v/>
      </c>
      <c r="X1189">
        <f>HYPERLINK("https://klasma.github.io/Logging_0881/tillsyn/A 37621-2024 tillsynsbegäran.docx", "A 37621-2024")</f>
        <v/>
      </c>
      <c r="Y1189">
        <f>HYPERLINK("https://klasma.github.io/Logging_0881/tillsynsmail/A 37621-2024 tillsynsbegäran mail.docx", "A 37621-2024")</f>
        <v/>
      </c>
    </row>
    <row r="1190" ht="15" customHeight="1">
      <c r="A1190" t="inlineStr">
        <is>
          <t>A 37988-2024</t>
        </is>
      </c>
      <c r="B1190" s="1" t="n">
        <v>45544</v>
      </c>
      <c r="C1190" s="1" t="n">
        <v>45832</v>
      </c>
      <c r="D1190" t="inlineStr">
        <is>
          <t>KALMAR LÄN</t>
        </is>
      </c>
      <c r="E1190" t="inlineStr">
        <is>
          <t>HULTSFRED</t>
        </is>
      </c>
      <c r="F1190" t="inlineStr">
        <is>
          <t>Kommuner</t>
        </is>
      </c>
      <c r="G1190" t="n">
        <v>3.1</v>
      </c>
      <c r="H1190" t="n">
        <v>0</v>
      </c>
      <c r="I1190" t="n">
        <v>0</v>
      </c>
      <c r="J1190" t="n">
        <v>1</v>
      </c>
      <c r="K1190" t="n">
        <v>0</v>
      </c>
      <c r="L1190" t="n">
        <v>0</v>
      </c>
      <c r="M1190" t="n">
        <v>0</v>
      </c>
      <c r="N1190" t="n">
        <v>0</v>
      </c>
      <c r="O1190" t="n">
        <v>1</v>
      </c>
      <c r="P1190" t="n">
        <v>0</v>
      </c>
      <c r="Q1190" t="n">
        <v>1</v>
      </c>
      <c r="R1190" s="2" t="inlineStr">
        <is>
          <t>Vårstarr</t>
        </is>
      </c>
      <c r="S1190">
        <f>HYPERLINK("https://klasma.github.io/Logging_0860/artfynd/A 37988-2024 artfynd.xlsx", "A 37988-2024")</f>
        <v/>
      </c>
      <c r="T1190">
        <f>HYPERLINK("https://klasma.github.io/Logging_0860/kartor/A 37988-2024 karta.png", "A 37988-2024")</f>
        <v/>
      </c>
      <c r="V1190">
        <f>HYPERLINK("https://klasma.github.io/Logging_0860/klagomål/A 37988-2024 FSC-klagomål.docx", "A 37988-2024")</f>
        <v/>
      </c>
      <c r="W1190">
        <f>HYPERLINK("https://klasma.github.io/Logging_0860/klagomålsmail/A 37988-2024 FSC-klagomål mail.docx", "A 37988-2024")</f>
        <v/>
      </c>
      <c r="X1190">
        <f>HYPERLINK("https://klasma.github.io/Logging_0860/tillsyn/A 37988-2024 tillsynsbegäran.docx", "A 37988-2024")</f>
        <v/>
      </c>
      <c r="Y1190">
        <f>HYPERLINK("https://klasma.github.io/Logging_0860/tillsynsmail/A 37988-2024 tillsynsbegäran mail.docx", "A 37988-2024")</f>
        <v/>
      </c>
    </row>
    <row r="1191" ht="15" customHeight="1">
      <c r="A1191" t="inlineStr">
        <is>
          <t>A 37975-2024</t>
        </is>
      </c>
      <c r="B1191" s="1" t="n">
        <v>45544</v>
      </c>
      <c r="C1191" s="1" t="n">
        <v>45832</v>
      </c>
      <c r="D1191" t="inlineStr">
        <is>
          <t>KALMAR LÄN</t>
        </is>
      </c>
      <c r="E1191" t="inlineStr">
        <is>
          <t>KALMAR</t>
        </is>
      </c>
      <c r="G1191" t="n">
        <v>2.4</v>
      </c>
      <c r="H1191" t="n">
        <v>1</v>
      </c>
      <c r="I1191" t="n">
        <v>0</v>
      </c>
      <c r="J1191" t="n">
        <v>1</v>
      </c>
      <c r="K1191" t="n">
        <v>0</v>
      </c>
      <c r="L1191" t="n">
        <v>0</v>
      </c>
      <c r="M1191" t="n">
        <v>0</v>
      </c>
      <c r="N1191" t="n">
        <v>0</v>
      </c>
      <c r="O1191" t="n">
        <v>1</v>
      </c>
      <c r="P1191" t="n">
        <v>0</v>
      </c>
      <c r="Q1191" t="n">
        <v>1</v>
      </c>
      <c r="R1191" s="2" t="inlineStr">
        <is>
          <t>Talltita</t>
        </is>
      </c>
      <c r="S1191">
        <f>HYPERLINK("https://klasma.github.io/Logging_0880/artfynd/A 37975-2024 artfynd.xlsx", "A 37975-2024")</f>
        <v/>
      </c>
      <c r="T1191">
        <f>HYPERLINK("https://klasma.github.io/Logging_0880/kartor/A 37975-2024 karta.png", "A 37975-2024")</f>
        <v/>
      </c>
      <c r="V1191">
        <f>HYPERLINK("https://klasma.github.io/Logging_0880/klagomål/A 37975-2024 FSC-klagomål.docx", "A 37975-2024")</f>
        <v/>
      </c>
      <c r="W1191">
        <f>HYPERLINK("https://klasma.github.io/Logging_0880/klagomålsmail/A 37975-2024 FSC-klagomål mail.docx", "A 37975-2024")</f>
        <v/>
      </c>
      <c r="X1191">
        <f>HYPERLINK("https://klasma.github.io/Logging_0880/tillsyn/A 37975-2024 tillsynsbegäran.docx", "A 37975-2024")</f>
        <v/>
      </c>
      <c r="Y1191">
        <f>HYPERLINK("https://klasma.github.io/Logging_0880/tillsynsmail/A 37975-2024 tillsynsbegäran mail.docx", "A 37975-2024")</f>
        <v/>
      </c>
      <c r="Z1191">
        <f>HYPERLINK("https://klasma.github.io/Logging_0880/fåglar/A 37975-2024 prioriterade fågelarter.docx", "A 37975-2024")</f>
        <v/>
      </c>
    </row>
    <row r="1192" ht="15" customHeight="1">
      <c r="A1192" t="inlineStr">
        <is>
          <t>A 38208-2024</t>
        </is>
      </c>
      <c r="B1192" s="1" t="n">
        <v>45545</v>
      </c>
      <c r="C1192" s="1" t="n">
        <v>45832</v>
      </c>
      <c r="D1192" t="inlineStr">
        <is>
          <t>KALMAR LÄN</t>
        </is>
      </c>
      <c r="E1192" t="inlineStr">
        <is>
          <t>VIMMERBY</t>
        </is>
      </c>
      <c r="G1192" t="n">
        <v>5.2</v>
      </c>
      <c r="H1192" t="n">
        <v>0</v>
      </c>
      <c r="I1192" t="n">
        <v>0</v>
      </c>
      <c r="J1192" t="n">
        <v>1</v>
      </c>
      <c r="K1192" t="n">
        <v>0</v>
      </c>
      <c r="L1192" t="n">
        <v>0</v>
      </c>
      <c r="M1192" t="n">
        <v>0</v>
      </c>
      <c r="N1192" t="n">
        <v>0</v>
      </c>
      <c r="O1192" t="n">
        <v>1</v>
      </c>
      <c r="P1192" t="n">
        <v>0</v>
      </c>
      <c r="Q1192" t="n">
        <v>1</v>
      </c>
      <c r="R1192" s="2" t="inlineStr">
        <is>
          <t>Solvända</t>
        </is>
      </c>
      <c r="S1192">
        <f>HYPERLINK("https://klasma.github.io/Logging_0884/artfynd/A 38208-2024 artfynd.xlsx", "A 38208-2024")</f>
        <v/>
      </c>
      <c r="T1192">
        <f>HYPERLINK("https://klasma.github.io/Logging_0884/kartor/A 38208-2024 karta.png", "A 38208-2024")</f>
        <v/>
      </c>
      <c r="V1192">
        <f>HYPERLINK("https://klasma.github.io/Logging_0884/klagomål/A 38208-2024 FSC-klagomål.docx", "A 38208-2024")</f>
        <v/>
      </c>
      <c r="W1192">
        <f>HYPERLINK("https://klasma.github.io/Logging_0884/klagomålsmail/A 38208-2024 FSC-klagomål mail.docx", "A 38208-2024")</f>
        <v/>
      </c>
      <c r="X1192">
        <f>HYPERLINK("https://klasma.github.io/Logging_0884/tillsyn/A 38208-2024 tillsynsbegäran.docx", "A 38208-2024")</f>
        <v/>
      </c>
      <c r="Y1192">
        <f>HYPERLINK("https://klasma.github.io/Logging_0884/tillsynsmail/A 38208-2024 tillsynsbegäran mail.docx", "A 38208-2024")</f>
        <v/>
      </c>
    </row>
    <row r="1193" ht="15" customHeight="1">
      <c r="A1193" t="inlineStr">
        <is>
          <t>A 39392-2024</t>
        </is>
      </c>
      <c r="B1193" s="1" t="n">
        <v>45551</v>
      </c>
      <c r="C1193" s="1" t="n">
        <v>45832</v>
      </c>
      <c r="D1193" t="inlineStr">
        <is>
          <t>KALMAR LÄN</t>
        </is>
      </c>
      <c r="E1193" t="inlineStr">
        <is>
          <t>HULTSFRED</t>
        </is>
      </c>
      <c r="G1193" t="n">
        <v>1.8</v>
      </c>
      <c r="H1193" t="n">
        <v>1</v>
      </c>
      <c r="I1193" t="n">
        <v>0</v>
      </c>
      <c r="J1193" t="n">
        <v>0</v>
      </c>
      <c r="K1193" t="n">
        <v>1</v>
      </c>
      <c r="L1193" t="n">
        <v>0</v>
      </c>
      <c r="M1193" t="n">
        <v>0</v>
      </c>
      <c r="N1193" t="n">
        <v>0</v>
      </c>
      <c r="O1193" t="n">
        <v>1</v>
      </c>
      <c r="P1193" t="n">
        <v>1</v>
      </c>
      <c r="Q1193" t="n">
        <v>1</v>
      </c>
      <c r="R1193" s="2" t="inlineStr">
        <is>
          <t>Backsippa</t>
        </is>
      </c>
      <c r="S1193">
        <f>HYPERLINK("https://klasma.github.io/Logging_0860/artfynd/A 39392-2024 artfynd.xlsx", "A 39392-2024")</f>
        <v/>
      </c>
      <c r="T1193">
        <f>HYPERLINK("https://klasma.github.io/Logging_0860/kartor/A 39392-2024 karta.png", "A 39392-2024")</f>
        <v/>
      </c>
      <c r="V1193">
        <f>HYPERLINK("https://klasma.github.io/Logging_0860/klagomål/A 39392-2024 FSC-klagomål.docx", "A 39392-2024")</f>
        <v/>
      </c>
      <c r="W1193">
        <f>HYPERLINK("https://klasma.github.io/Logging_0860/klagomålsmail/A 39392-2024 FSC-klagomål mail.docx", "A 39392-2024")</f>
        <v/>
      </c>
      <c r="X1193">
        <f>HYPERLINK("https://klasma.github.io/Logging_0860/tillsyn/A 39392-2024 tillsynsbegäran.docx", "A 39392-2024")</f>
        <v/>
      </c>
      <c r="Y1193">
        <f>HYPERLINK("https://klasma.github.io/Logging_0860/tillsynsmail/A 39392-2024 tillsynsbegäran mail.docx", "A 39392-2024")</f>
        <v/>
      </c>
    </row>
    <row r="1194" ht="15" customHeight="1">
      <c r="A1194" t="inlineStr">
        <is>
          <t>A 39533-2024</t>
        </is>
      </c>
      <c r="B1194" s="1" t="n">
        <v>45551</v>
      </c>
      <c r="C1194" s="1" t="n">
        <v>45832</v>
      </c>
      <c r="D1194" t="inlineStr">
        <is>
          <t>KALMAR LÄN</t>
        </is>
      </c>
      <c r="E1194" t="inlineStr">
        <is>
          <t>HULTSFRED</t>
        </is>
      </c>
      <c r="G1194" t="n">
        <v>2.1</v>
      </c>
      <c r="H1194" t="n">
        <v>1</v>
      </c>
      <c r="I1194" t="n">
        <v>0</v>
      </c>
      <c r="J1194" t="n">
        <v>0</v>
      </c>
      <c r="K1194" t="n">
        <v>0</v>
      </c>
      <c r="L1194" t="n">
        <v>0</v>
      </c>
      <c r="M1194" t="n">
        <v>0</v>
      </c>
      <c r="N1194" t="n">
        <v>0</v>
      </c>
      <c r="O1194" t="n">
        <v>0</v>
      </c>
      <c r="P1194" t="n">
        <v>0</v>
      </c>
      <c r="Q1194" t="n">
        <v>1</v>
      </c>
      <c r="R1194" s="2" t="inlineStr">
        <is>
          <t>Blåsippa</t>
        </is>
      </c>
      <c r="S1194">
        <f>HYPERLINK("https://klasma.github.io/Logging_0860/artfynd/A 39533-2024 artfynd.xlsx", "A 39533-2024")</f>
        <v/>
      </c>
      <c r="T1194">
        <f>HYPERLINK("https://klasma.github.io/Logging_0860/kartor/A 39533-2024 karta.png", "A 39533-2024")</f>
        <v/>
      </c>
      <c r="V1194">
        <f>HYPERLINK("https://klasma.github.io/Logging_0860/klagomål/A 39533-2024 FSC-klagomål.docx", "A 39533-2024")</f>
        <v/>
      </c>
      <c r="W1194">
        <f>HYPERLINK("https://klasma.github.io/Logging_0860/klagomålsmail/A 39533-2024 FSC-klagomål mail.docx", "A 39533-2024")</f>
        <v/>
      </c>
      <c r="X1194">
        <f>HYPERLINK("https://klasma.github.io/Logging_0860/tillsyn/A 39533-2024 tillsynsbegäran.docx", "A 39533-2024")</f>
        <v/>
      </c>
      <c r="Y1194">
        <f>HYPERLINK("https://klasma.github.io/Logging_0860/tillsynsmail/A 39533-2024 tillsynsbegäran mail.docx", "A 39533-2024")</f>
        <v/>
      </c>
    </row>
    <row r="1195" ht="15" customHeight="1">
      <c r="A1195" t="inlineStr">
        <is>
          <t>A 42811-2024</t>
        </is>
      </c>
      <c r="B1195" s="1" t="n">
        <v>45566</v>
      </c>
      <c r="C1195" s="1" t="n">
        <v>45832</v>
      </c>
      <c r="D1195" t="inlineStr">
        <is>
          <t>KALMAR LÄN</t>
        </is>
      </c>
      <c r="E1195" t="inlineStr">
        <is>
          <t>VÄSTERVIK</t>
        </is>
      </c>
      <c r="G1195" t="n">
        <v>4.4</v>
      </c>
      <c r="H1195" t="n">
        <v>0</v>
      </c>
      <c r="I1195" t="n">
        <v>1</v>
      </c>
      <c r="J1195" t="n">
        <v>0</v>
      </c>
      <c r="K1195" t="n">
        <v>0</v>
      </c>
      <c r="L1195" t="n">
        <v>0</v>
      </c>
      <c r="M1195" t="n">
        <v>0</v>
      </c>
      <c r="N1195" t="n">
        <v>0</v>
      </c>
      <c r="O1195" t="n">
        <v>0</v>
      </c>
      <c r="P1195" t="n">
        <v>0</v>
      </c>
      <c r="Q1195" t="n">
        <v>1</v>
      </c>
      <c r="R1195" s="2" t="inlineStr">
        <is>
          <t>Grönpyrola</t>
        </is>
      </c>
      <c r="S1195">
        <f>HYPERLINK("https://klasma.github.io/Logging_0883/artfynd/A 42811-2024 artfynd.xlsx", "A 42811-2024")</f>
        <v/>
      </c>
      <c r="T1195">
        <f>HYPERLINK("https://klasma.github.io/Logging_0883/kartor/A 42811-2024 karta.png", "A 42811-2024")</f>
        <v/>
      </c>
      <c r="V1195">
        <f>HYPERLINK("https://klasma.github.io/Logging_0883/klagomål/A 42811-2024 FSC-klagomål.docx", "A 42811-2024")</f>
        <v/>
      </c>
      <c r="W1195">
        <f>HYPERLINK("https://klasma.github.io/Logging_0883/klagomålsmail/A 42811-2024 FSC-klagomål mail.docx", "A 42811-2024")</f>
        <v/>
      </c>
      <c r="X1195">
        <f>HYPERLINK("https://klasma.github.io/Logging_0883/tillsyn/A 42811-2024 tillsynsbegäran.docx", "A 42811-2024")</f>
        <v/>
      </c>
      <c r="Y1195">
        <f>HYPERLINK("https://klasma.github.io/Logging_0883/tillsynsmail/A 42811-2024 tillsynsbegäran mail.docx", "A 42811-2024")</f>
        <v/>
      </c>
    </row>
    <row r="1196" ht="15" customHeight="1">
      <c r="A1196" t="inlineStr">
        <is>
          <t>A 42773-2024</t>
        </is>
      </c>
      <c r="B1196" s="1" t="n">
        <v>45566</v>
      </c>
      <c r="C1196" s="1" t="n">
        <v>45832</v>
      </c>
      <c r="D1196" t="inlineStr">
        <is>
          <t>KALMAR LÄN</t>
        </is>
      </c>
      <c r="E1196" t="inlineStr">
        <is>
          <t>HULTSFRED</t>
        </is>
      </c>
      <c r="G1196" t="n">
        <v>0.3</v>
      </c>
      <c r="H1196" t="n">
        <v>0</v>
      </c>
      <c r="I1196" t="n">
        <v>0</v>
      </c>
      <c r="J1196" t="n">
        <v>0</v>
      </c>
      <c r="K1196" t="n">
        <v>1</v>
      </c>
      <c r="L1196" t="n">
        <v>0</v>
      </c>
      <c r="M1196" t="n">
        <v>0</v>
      </c>
      <c r="N1196" t="n">
        <v>0</v>
      </c>
      <c r="O1196" t="n">
        <v>1</v>
      </c>
      <c r="P1196" t="n">
        <v>1</v>
      </c>
      <c r="Q1196" t="n">
        <v>1</v>
      </c>
      <c r="R1196" s="2" t="inlineStr">
        <is>
          <t>Lungrot</t>
        </is>
      </c>
      <c r="S1196">
        <f>HYPERLINK("https://klasma.github.io/Logging_0860/artfynd/A 42773-2024 artfynd.xlsx", "A 42773-2024")</f>
        <v/>
      </c>
      <c r="T1196">
        <f>HYPERLINK("https://klasma.github.io/Logging_0860/kartor/A 42773-2024 karta.png", "A 42773-2024")</f>
        <v/>
      </c>
      <c r="V1196">
        <f>HYPERLINK("https://klasma.github.io/Logging_0860/klagomål/A 42773-2024 FSC-klagomål.docx", "A 42773-2024")</f>
        <v/>
      </c>
      <c r="W1196">
        <f>HYPERLINK("https://klasma.github.io/Logging_0860/klagomålsmail/A 42773-2024 FSC-klagomål mail.docx", "A 42773-2024")</f>
        <v/>
      </c>
      <c r="X1196">
        <f>HYPERLINK("https://klasma.github.io/Logging_0860/tillsyn/A 42773-2024 tillsynsbegäran.docx", "A 42773-2024")</f>
        <v/>
      </c>
      <c r="Y1196">
        <f>HYPERLINK("https://klasma.github.io/Logging_0860/tillsynsmail/A 42773-2024 tillsynsbegäran mail.docx", "A 42773-2024")</f>
        <v/>
      </c>
    </row>
    <row r="1197" ht="15" customHeight="1">
      <c r="A1197" t="inlineStr">
        <is>
          <t>A 42740-2024</t>
        </is>
      </c>
      <c r="B1197" s="1" t="n">
        <v>45566</v>
      </c>
      <c r="C1197" s="1" t="n">
        <v>45832</v>
      </c>
      <c r="D1197" t="inlineStr">
        <is>
          <t>KALMAR LÄN</t>
        </is>
      </c>
      <c r="E1197" t="inlineStr">
        <is>
          <t>HULTSFRED</t>
        </is>
      </c>
      <c r="G1197" t="n">
        <v>1.1</v>
      </c>
      <c r="H1197" t="n">
        <v>0</v>
      </c>
      <c r="I1197" t="n">
        <v>1</v>
      </c>
      <c r="J1197" t="n">
        <v>0</v>
      </c>
      <c r="K1197" t="n">
        <v>0</v>
      </c>
      <c r="L1197" t="n">
        <v>0</v>
      </c>
      <c r="M1197" t="n">
        <v>0</v>
      </c>
      <c r="N1197" t="n">
        <v>0</v>
      </c>
      <c r="O1197" t="n">
        <v>0</v>
      </c>
      <c r="P1197" t="n">
        <v>0</v>
      </c>
      <c r="Q1197" t="n">
        <v>1</v>
      </c>
      <c r="R1197" s="2" t="inlineStr">
        <is>
          <t>Grönpyrola</t>
        </is>
      </c>
      <c r="S1197">
        <f>HYPERLINK("https://klasma.github.io/Logging_0860/artfynd/A 42740-2024 artfynd.xlsx", "A 42740-2024")</f>
        <v/>
      </c>
      <c r="T1197">
        <f>HYPERLINK("https://klasma.github.io/Logging_0860/kartor/A 42740-2024 karta.png", "A 42740-2024")</f>
        <v/>
      </c>
      <c r="V1197">
        <f>HYPERLINK("https://klasma.github.io/Logging_0860/klagomål/A 42740-2024 FSC-klagomål.docx", "A 42740-2024")</f>
        <v/>
      </c>
      <c r="W1197">
        <f>HYPERLINK("https://klasma.github.io/Logging_0860/klagomålsmail/A 42740-2024 FSC-klagomål mail.docx", "A 42740-2024")</f>
        <v/>
      </c>
      <c r="X1197">
        <f>HYPERLINK("https://klasma.github.io/Logging_0860/tillsyn/A 42740-2024 tillsynsbegäran.docx", "A 42740-2024")</f>
        <v/>
      </c>
      <c r="Y1197">
        <f>HYPERLINK("https://klasma.github.io/Logging_0860/tillsynsmail/A 42740-2024 tillsynsbegäran mail.docx", "A 42740-2024")</f>
        <v/>
      </c>
    </row>
    <row r="1198" ht="15" customHeight="1">
      <c r="A1198" t="inlineStr">
        <is>
          <t>A 43272-2024</t>
        </is>
      </c>
      <c r="B1198" s="1" t="n">
        <v>45568</v>
      </c>
      <c r="C1198" s="1" t="n">
        <v>45832</v>
      </c>
      <c r="D1198" t="inlineStr">
        <is>
          <t>KALMAR LÄN</t>
        </is>
      </c>
      <c r="E1198" t="inlineStr">
        <is>
          <t>HULTSFRED</t>
        </is>
      </c>
      <c r="G1198" t="n">
        <v>3.1</v>
      </c>
      <c r="H1198" t="n">
        <v>1</v>
      </c>
      <c r="I1198" t="n">
        <v>0</v>
      </c>
      <c r="J1198" t="n">
        <v>0</v>
      </c>
      <c r="K1198" t="n">
        <v>0</v>
      </c>
      <c r="L1198" t="n">
        <v>1</v>
      </c>
      <c r="M1198" t="n">
        <v>0</v>
      </c>
      <c r="N1198" t="n">
        <v>0</v>
      </c>
      <c r="O1198" t="n">
        <v>1</v>
      </c>
      <c r="P1198" t="n">
        <v>1</v>
      </c>
      <c r="Q1198" t="n">
        <v>1</v>
      </c>
      <c r="R1198" s="2" t="inlineStr">
        <is>
          <t>Bredgentiana</t>
        </is>
      </c>
      <c r="S1198">
        <f>HYPERLINK("https://klasma.github.io/Logging_0860/artfynd/A 43272-2024 artfynd.xlsx", "A 43272-2024")</f>
        <v/>
      </c>
      <c r="T1198">
        <f>HYPERLINK("https://klasma.github.io/Logging_0860/kartor/A 43272-2024 karta.png", "A 43272-2024")</f>
        <v/>
      </c>
      <c r="V1198">
        <f>HYPERLINK("https://klasma.github.io/Logging_0860/klagomål/A 43272-2024 FSC-klagomål.docx", "A 43272-2024")</f>
        <v/>
      </c>
      <c r="W1198">
        <f>HYPERLINK("https://klasma.github.io/Logging_0860/klagomålsmail/A 43272-2024 FSC-klagomål mail.docx", "A 43272-2024")</f>
        <v/>
      </c>
      <c r="X1198">
        <f>HYPERLINK("https://klasma.github.io/Logging_0860/tillsyn/A 43272-2024 tillsynsbegäran.docx", "A 43272-2024")</f>
        <v/>
      </c>
      <c r="Y1198">
        <f>HYPERLINK("https://klasma.github.io/Logging_0860/tillsynsmail/A 43272-2024 tillsynsbegäran mail.docx", "A 43272-2024")</f>
        <v/>
      </c>
    </row>
    <row r="1199" ht="15" customHeight="1">
      <c r="A1199" t="inlineStr">
        <is>
          <t>A 43608-2024</t>
        </is>
      </c>
      <c r="B1199" s="1" t="n">
        <v>45569</v>
      </c>
      <c r="C1199" s="1" t="n">
        <v>45832</v>
      </c>
      <c r="D1199" t="inlineStr">
        <is>
          <t>KALMAR LÄN</t>
        </is>
      </c>
      <c r="E1199" t="inlineStr">
        <is>
          <t>NYBRO</t>
        </is>
      </c>
      <c r="G1199" t="n">
        <v>3.9</v>
      </c>
      <c r="H1199" t="n">
        <v>0</v>
      </c>
      <c r="I1199" t="n">
        <v>0</v>
      </c>
      <c r="J1199" t="n">
        <v>1</v>
      </c>
      <c r="K1199" t="n">
        <v>0</v>
      </c>
      <c r="L1199" t="n">
        <v>0</v>
      </c>
      <c r="M1199" t="n">
        <v>0</v>
      </c>
      <c r="N1199" t="n">
        <v>0</v>
      </c>
      <c r="O1199" t="n">
        <v>1</v>
      </c>
      <c r="P1199" t="n">
        <v>0</v>
      </c>
      <c r="Q1199" t="n">
        <v>1</v>
      </c>
      <c r="R1199" s="2" t="inlineStr">
        <is>
          <t>Svinrot</t>
        </is>
      </c>
      <c r="S1199">
        <f>HYPERLINK("https://klasma.github.io/Logging_0881/artfynd/A 43608-2024 artfynd.xlsx", "A 43608-2024")</f>
        <v/>
      </c>
      <c r="T1199">
        <f>HYPERLINK("https://klasma.github.io/Logging_0881/kartor/A 43608-2024 karta.png", "A 43608-2024")</f>
        <v/>
      </c>
      <c r="V1199">
        <f>HYPERLINK("https://klasma.github.io/Logging_0881/klagomål/A 43608-2024 FSC-klagomål.docx", "A 43608-2024")</f>
        <v/>
      </c>
      <c r="W1199">
        <f>HYPERLINK("https://klasma.github.io/Logging_0881/klagomålsmail/A 43608-2024 FSC-klagomål mail.docx", "A 43608-2024")</f>
        <v/>
      </c>
      <c r="X1199">
        <f>HYPERLINK("https://klasma.github.io/Logging_0881/tillsyn/A 43608-2024 tillsynsbegäran.docx", "A 43608-2024")</f>
        <v/>
      </c>
      <c r="Y1199">
        <f>HYPERLINK("https://klasma.github.io/Logging_0881/tillsynsmail/A 43608-2024 tillsynsbegäran mail.docx", "A 43608-2024")</f>
        <v/>
      </c>
    </row>
    <row r="1200" ht="15" customHeight="1">
      <c r="A1200" t="inlineStr">
        <is>
          <t>A 43603-2024</t>
        </is>
      </c>
      <c r="B1200" s="1" t="n">
        <v>45569</v>
      </c>
      <c r="C1200" s="1" t="n">
        <v>45832</v>
      </c>
      <c r="D1200" t="inlineStr">
        <is>
          <t>KALMAR LÄN</t>
        </is>
      </c>
      <c r="E1200" t="inlineStr">
        <is>
          <t>BORGHOLM</t>
        </is>
      </c>
      <c r="G1200" t="n">
        <v>3.8</v>
      </c>
      <c r="H1200" t="n">
        <v>1</v>
      </c>
      <c r="I1200" t="n">
        <v>0</v>
      </c>
      <c r="J1200" t="n">
        <v>0</v>
      </c>
      <c r="K1200" t="n">
        <v>1</v>
      </c>
      <c r="L1200" t="n">
        <v>0</v>
      </c>
      <c r="M1200" t="n">
        <v>0</v>
      </c>
      <c r="N1200" t="n">
        <v>0</v>
      </c>
      <c r="O1200" t="n">
        <v>1</v>
      </c>
      <c r="P1200" t="n">
        <v>1</v>
      </c>
      <c r="Q1200" t="n">
        <v>1</v>
      </c>
      <c r="R1200" s="2" t="inlineStr">
        <is>
          <t>Väddnätfjäril</t>
        </is>
      </c>
      <c r="S1200">
        <f>HYPERLINK("https://klasma.github.io/Logging_0885/artfynd/A 43603-2024 artfynd.xlsx", "A 43603-2024")</f>
        <v/>
      </c>
      <c r="T1200">
        <f>HYPERLINK("https://klasma.github.io/Logging_0885/kartor/A 43603-2024 karta.png", "A 43603-2024")</f>
        <v/>
      </c>
      <c r="V1200">
        <f>HYPERLINK("https://klasma.github.io/Logging_0885/klagomål/A 43603-2024 FSC-klagomål.docx", "A 43603-2024")</f>
        <v/>
      </c>
      <c r="W1200">
        <f>HYPERLINK("https://klasma.github.io/Logging_0885/klagomålsmail/A 43603-2024 FSC-klagomål mail.docx", "A 43603-2024")</f>
        <v/>
      </c>
      <c r="X1200">
        <f>HYPERLINK("https://klasma.github.io/Logging_0885/tillsyn/A 43603-2024 tillsynsbegäran.docx", "A 43603-2024")</f>
        <v/>
      </c>
      <c r="Y1200">
        <f>HYPERLINK("https://klasma.github.io/Logging_0885/tillsynsmail/A 43603-2024 tillsynsbegäran mail.docx", "A 43603-2024")</f>
        <v/>
      </c>
    </row>
    <row r="1201" ht="15" customHeight="1">
      <c r="A1201" t="inlineStr">
        <is>
          <t>A 44333-2024</t>
        </is>
      </c>
      <c r="B1201" s="1" t="n">
        <v>45573</v>
      </c>
      <c r="C1201" s="1" t="n">
        <v>45832</v>
      </c>
      <c r="D1201" t="inlineStr">
        <is>
          <t>KALMAR LÄN</t>
        </is>
      </c>
      <c r="E1201" t="inlineStr">
        <is>
          <t>VÄSTERVIK</t>
        </is>
      </c>
      <c r="F1201" t="inlineStr">
        <is>
          <t>Holmen skog AB</t>
        </is>
      </c>
      <c r="G1201" t="n">
        <v>4.5</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44333-2024 artfynd.xlsx", "A 44333-2024")</f>
        <v/>
      </c>
      <c r="T1201">
        <f>HYPERLINK("https://klasma.github.io/Logging_0883/kartor/A 44333-2024 karta.png", "A 44333-2024")</f>
        <v/>
      </c>
      <c r="V1201">
        <f>HYPERLINK("https://klasma.github.io/Logging_0883/klagomål/A 44333-2024 FSC-klagomål.docx", "A 44333-2024")</f>
        <v/>
      </c>
      <c r="W1201">
        <f>HYPERLINK("https://klasma.github.io/Logging_0883/klagomålsmail/A 44333-2024 FSC-klagomål mail.docx", "A 44333-2024")</f>
        <v/>
      </c>
      <c r="X1201">
        <f>HYPERLINK("https://klasma.github.io/Logging_0883/tillsyn/A 44333-2024 tillsynsbegäran.docx", "A 44333-2024")</f>
        <v/>
      </c>
      <c r="Y1201">
        <f>HYPERLINK("https://klasma.github.io/Logging_0883/tillsynsmail/A 44333-2024 tillsynsbegäran mail.docx", "A 44333-2024")</f>
        <v/>
      </c>
      <c r="Z1201">
        <f>HYPERLINK("https://klasma.github.io/Logging_0883/fåglar/A 44333-2024 prioriterade fågelarter.docx", "A 44333-2024")</f>
        <v/>
      </c>
    </row>
    <row r="1202" ht="15" customHeight="1">
      <c r="A1202" t="inlineStr">
        <is>
          <t>A 44236-2024</t>
        </is>
      </c>
      <c r="B1202" s="1" t="n">
        <v>45573</v>
      </c>
      <c r="C1202" s="1" t="n">
        <v>45832</v>
      </c>
      <c r="D1202" t="inlineStr">
        <is>
          <t>KALMAR LÄN</t>
        </is>
      </c>
      <c r="E1202" t="inlineStr">
        <is>
          <t>TORSÅS</t>
        </is>
      </c>
      <c r="G1202" t="n">
        <v>3.5</v>
      </c>
      <c r="H1202" t="n">
        <v>0</v>
      </c>
      <c r="I1202" t="n">
        <v>0</v>
      </c>
      <c r="J1202" t="n">
        <v>1</v>
      </c>
      <c r="K1202" t="n">
        <v>0</v>
      </c>
      <c r="L1202" t="n">
        <v>0</v>
      </c>
      <c r="M1202" t="n">
        <v>0</v>
      </c>
      <c r="N1202" t="n">
        <v>0</v>
      </c>
      <c r="O1202" t="n">
        <v>1</v>
      </c>
      <c r="P1202" t="n">
        <v>0</v>
      </c>
      <c r="Q1202" t="n">
        <v>1</v>
      </c>
      <c r="R1202" s="2" t="inlineStr">
        <is>
          <t>Druvfingersvamp</t>
        </is>
      </c>
      <c r="S1202">
        <f>HYPERLINK("https://klasma.github.io/Logging_0834/artfynd/A 44236-2024 artfynd.xlsx", "A 44236-2024")</f>
        <v/>
      </c>
      <c r="T1202">
        <f>HYPERLINK("https://klasma.github.io/Logging_0834/kartor/A 44236-2024 karta.png", "A 44236-2024")</f>
        <v/>
      </c>
      <c r="V1202">
        <f>HYPERLINK("https://klasma.github.io/Logging_0834/klagomål/A 44236-2024 FSC-klagomål.docx", "A 44236-2024")</f>
        <v/>
      </c>
      <c r="W1202">
        <f>HYPERLINK("https://klasma.github.io/Logging_0834/klagomålsmail/A 44236-2024 FSC-klagomål mail.docx", "A 44236-2024")</f>
        <v/>
      </c>
      <c r="X1202">
        <f>HYPERLINK("https://klasma.github.io/Logging_0834/tillsyn/A 44236-2024 tillsynsbegäran.docx", "A 44236-2024")</f>
        <v/>
      </c>
      <c r="Y1202">
        <f>HYPERLINK("https://klasma.github.io/Logging_0834/tillsynsmail/A 44236-2024 tillsynsbegäran mail.docx", "A 44236-2024")</f>
        <v/>
      </c>
    </row>
    <row r="1203" ht="15" customHeight="1">
      <c r="A1203" t="inlineStr">
        <is>
          <t>A 44684-2024</t>
        </is>
      </c>
      <c r="B1203" s="1" t="n">
        <v>45574</v>
      </c>
      <c r="C1203" s="1" t="n">
        <v>45832</v>
      </c>
      <c r="D1203" t="inlineStr">
        <is>
          <t>KALMAR LÄN</t>
        </is>
      </c>
      <c r="E1203" t="inlineStr">
        <is>
          <t>VIMMERBY</t>
        </is>
      </c>
      <c r="G1203" t="n">
        <v>2.8</v>
      </c>
      <c r="H1203" t="n">
        <v>0</v>
      </c>
      <c r="I1203" t="n">
        <v>1</v>
      </c>
      <c r="J1203" t="n">
        <v>0</v>
      </c>
      <c r="K1203" t="n">
        <v>0</v>
      </c>
      <c r="L1203" t="n">
        <v>0</v>
      </c>
      <c r="M1203" t="n">
        <v>0</v>
      </c>
      <c r="N1203" t="n">
        <v>0</v>
      </c>
      <c r="O1203" t="n">
        <v>0</v>
      </c>
      <c r="P1203" t="n">
        <v>0</v>
      </c>
      <c r="Q1203" t="n">
        <v>1</v>
      </c>
      <c r="R1203" s="2" t="inlineStr">
        <is>
          <t>Blåmossa</t>
        </is>
      </c>
      <c r="S1203">
        <f>HYPERLINK("https://klasma.github.io/Logging_0884/artfynd/A 44684-2024 artfynd.xlsx", "A 44684-2024")</f>
        <v/>
      </c>
      <c r="T1203">
        <f>HYPERLINK("https://klasma.github.io/Logging_0884/kartor/A 44684-2024 karta.png", "A 44684-2024")</f>
        <v/>
      </c>
      <c r="U1203">
        <f>HYPERLINK("https://klasma.github.io/Logging_0884/knärot/A 44684-2024 karta knärot.png", "A 44684-2024")</f>
        <v/>
      </c>
      <c r="V1203">
        <f>HYPERLINK("https://klasma.github.io/Logging_0884/klagomål/A 44684-2024 FSC-klagomål.docx", "A 44684-2024")</f>
        <v/>
      </c>
      <c r="W1203">
        <f>HYPERLINK("https://klasma.github.io/Logging_0884/klagomålsmail/A 44684-2024 FSC-klagomål mail.docx", "A 44684-2024")</f>
        <v/>
      </c>
      <c r="X1203">
        <f>HYPERLINK("https://klasma.github.io/Logging_0884/tillsyn/A 44684-2024 tillsynsbegäran.docx", "A 44684-2024")</f>
        <v/>
      </c>
      <c r="Y1203">
        <f>HYPERLINK("https://klasma.github.io/Logging_0884/tillsynsmail/A 44684-2024 tillsynsbegäran mail.docx", "A 44684-2024")</f>
        <v/>
      </c>
    </row>
    <row r="1204" ht="15" customHeight="1">
      <c r="A1204" t="inlineStr">
        <is>
          <t>A 44515-2024</t>
        </is>
      </c>
      <c r="B1204" s="1" t="n">
        <v>45574</v>
      </c>
      <c r="C1204" s="1" t="n">
        <v>45832</v>
      </c>
      <c r="D1204" t="inlineStr">
        <is>
          <t>KALMAR LÄN</t>
        </is>
      </c>
      <c r="E1204" t="inlineStr">
        <is>
          <t>VIMMERBY</t>
        </is>
      </c>
      <c r="G1204" t="n">
        <v>1.4</v>
      </c>
      <c r="H1204" t="n">
        <v>1</v>
      </c>
      <c r="I1204" t="n">
        <v>0</v>
      </c>
      <c r="J1204" t="n">
        <v>0</v>
      </c>
      <c r="K1204" t="n">
        <v>1</v>
      </c>
      <c r="L1204" t="n">
        <v>0</v>
      </c>
      <c r="M1204" t="n">
        <v>0</v>
      </c>
      <c r="N1204" t="n">
        <v>0</v>
      </c>
      <c r="O1204" t="n">
        <v>1</v>
      </c>
      <c r="P1204" t="n">
        <v>1</v>
      </c>
      <c r="Q1204" t="n">
        <v>1</v>
      </c>
      <c r="R1204" s="2" t="inlineStr">
        <is>
          <t>Knärot</t>
        </is>
      </c>
      <c r="S1204">
        <f>HYPERLINK("https://klasma.github.io/Logging_0884/artfynd/A 44515-2024 artfynd.xlsx", "A 44515-2024")</f>
        <v/>
      </c>
      <c r="T1204">
        <f>HYPERLINK("https://klasma.github.io/Logging_0884/kartor/A 44515-2024 karta.png", "A 44515-2024")</f>
        <v/>
      </c>
      <c r="U1204">
        <f>HYPERLINK("https://klasma.github.io/Logging_0884/knärot/A 44515-2024 karta knärot.png", "A 44515-2024")</f>
        <v/>
      </c>
      <c r="V1204">
        <f>HYPERLINK("https://klasma.github.io/Logging_0884/klagomål/A 44515-2024 FSC-klagomål.docx", "A 44515-2024")</f>
        <v/>
      </c>
      <c r="W1204">
        <f>HYPERLINK("https://klasma.github.io/Logging_0884/klagomålsmail/A 44515-2024 FSC-klagomål mail.docx", "A 44515-2024")</f>
        <v/>
      </c>
      <c r="X1204">
        <f>HYPERLINK("https://klasma.github.io/Logging_0884/tillsyn/A 44515-2024 tillsynsbegäran.docx", "A 44515-2024")</f>
        <v/>
      </c>
      <c r="Y1204">
        <f>HYPERLINK("https://klasma.github.io/Logging_0884/tillsynsmail/A 44515-2024 tillsynsbegäran mail.docx", "A 44515-2024")</f>
        <v/>
      </c>
    </row>
    <row r="1205" ht="15" customHeight="1">
      <c r="A1205" t="inlineStr">
        <is>
          <t>A 44747-2024</t>
        </is>
      </c>
      <c r="B1205" s="1" t="n">
        <v>45574</v>
      </c>
      <c r="C1205" s="1" t="n">
        <v>45832</v>
      </c>
      <c r="D1205" t="inlineStr">
        <is>
          <t>KALMAR LÄN</t>
        </is>
      </c>
      <c r="E1205" t="inlineStr">
        <is>
          <t>KALMAR</t>
        </is>
      </c>
      <c r="F1205" t="inlineStr">
        <is>
          <t>Kommuner</t>
        </is>
      </c>
      <c r="G1205" t="n">
        <v>1.7</v>
      </c>
      <c r="H1205" t="n">
        <v>0</v>
      </c>
      <c r="I1205" t="n">
        <v>0</v>
      </c>
      <c r="J1205" t="n">
        <v>0</v>
      </c>
      <c r="K1205" t="n">
        <v>1</v>
      </c>
      <c r="L1205" t="n">
        <v>0</v>
      </c>
      <c r="M1205" t="n">
        <v>0</v>
      </c>
      <c r="N1205" t="n">
        <v>0</v>
      </c>
      <c r="O1205" t="n">
        <v>1</v>
      </c>
      <c r="P1205" t="n">
        <v>1</v>
      </c>
      <c r="Q1205" t="n">
        <v>1</v>
      </c>
      <c r="R1205" s="2" t="inlineStr">
        <is>
          <t>Lungrot</t>
        </is>
      </c>
      <c r="S1205">
        <f>HYPERLINK("https://klasma.github.io/Logging_0880/artfynd/A 44747-2024 artfynd.xlsx", "A 44747-2024")</f>
        <v/>
      </c>
      <c r="T1205">
        <f>HYPERLINK("https://klasma.github.io/Logging_0880/kartor/A 44747-2024 karta.png", "A 44747-2024")</f>
        <v/>
      </c>
      <c r="V1205">
        <f>HYPERLINK("https://klasma.github.io/Logging_0880/klagomål/A 44747-2024 FSC-klagomål.docx", "A 44747-2024")</f>
        <v/>
      </c>
      <c r="W1205">
        <f>HYPERLINK("https://klasma.github.io/Logging_0880/klagomålsmail/A 44747-2024 FSC-klagomål mail.docx", "A 44747-2024")</f>
        <v/>
      </c>
      <c r="X1205">
        <f>HYPERLINK("https://klasma.github.io/Logging_0880/tillsyn/A 44747-2024 tillsynsbegäran.docx", "A 44747-2024")</f>
        <v/>
      </c>
      <c r="Y1205">
        <f>HYPERLINK("https://klasma.github.io/Logging_0880/tillsynsmail/A 44747-2024 tillsynsbegäran mail.docx", "A 44747-2024")</f>
        <v/>
      </c>
    </row>
    <row r="1206" ht="15" customHeight="1">
      <c r="A1206" t="inlineStr">
        <is>
          <t>A 44723-2024</t>
        </is>
      </c>
      <c r="B1206" s="1" t="n">
        <v>45574</v>
      </c>
      <c r="C1206" s="1" t="n">
        <v>45832</v>
      </c>
      <c r="D1206" t="inlineStr">
        <is>
          <t>KALMAR LÄN</t>
        </is>
      </c>
      <c r="E1206" t="inlineStr">
        <is>
          <t>VIMMERBY</t>
        </is>
      </c>
      <c r="G1206" t="n">
        <v>6.9</v>
      </c>
      <c r="H1206" t="n">
        <v>0</v>
      </c>
      <c r="I1206" t="n">
        <v>1</v>
      </c>
      <c r="J1206" t="n">
        <v>0</v>
      </c>
      <c r="K1206" t="n">
        <v>0</v>
      </c>
      <c r="L1206" t="n">
        <v>0</v>
      </c>
      <c r="M1206" t="n">
        <v>0</v>
      </c>
      <c r="N1206" t="n">
        <v>0</v>
      </c>
      <c r="O1206" t="n">
        <v>0</v>
      </c>
      <c r="P1206" t="n">
        <v>0</v>
      </c>
      <c r="Q1206" t="n">
        <v>1</v>
      </c>
      <c r="R1206" s="2" t="inlineStr">
        <is>
          <t>Dropptaggsvamp</t>
        </is>
      </c>
      <c r="S1206">
        <f>HYPERLINK("https://klasma.github.io/Logging_0884/artfynd/A 44723-2024 artfynd.xlsx", "A 44723-2024")</f>
        <v/>
      </c>
      <c r="T1206">
        <f>HYPERLINK("https://klasma.github.io/Logging_0884/kartor/A 44723-2024 karta.png", "A 44723-2024")</f>
        <v/>
      </c>
      <c r="V1206">
        <f>HYPERLINK("https://klasma.github.io/Logging_0884/klagomål/A 44723-2024 FSC-klagomål.docx", "A 44723-2024")</f>
        <v/>
      </c>
      <c r="W1206">
        <f>HYPERLINK("https://klasma.github.io/Logging_0884/klagomålsmail/A 44723-2024 FSC-klagomål mail.docx", "A 44723-2024")</f>
        <v/>
      </c>
      <c r="X1206">
        <f>HYPERLINK("https://klasma.github.io/Logging_0884/tillsyn/A 44723-2024 tillsynsbegäran.docx", "A 44723-2024")</f>
        <v/>
      </c>
      <c r="Y1206">
        <f>HYPERLINK("https://klasma.github.io/Logging_0884/tillsynsmail/A 44723-2024 tillsynsbegäran mail.docx", "A 44723-2024")</f>
        <v/>
      </c>
    </row>
    <row r="1207" ht="15" customHeight="1">
      <c r="A1207" t="inlineStr">
        <is>
          <t>A 44954-2024</t>
        </is>
      </c>
      <c r="B1207" s="1" t="n">
        <v>45575</v>
      </c>
      <c r="C1207" s="1" t="n">
        <v>45832</v>
      </c>
      <c r="D1207" t="inlineStr">
        <is>
          <t>KALMAR LÄN</t>
        </is>
      </c>
      <c r="E1207" t="inlineStr">
        <is>
          <t>MÖNSTERÅS</t>
        </is>
      </c>
      <c r="G1207" t="n">
        <v>3.3</v>
      </c>
      <c r="H1207" t="n">
        <v>1</v>
      </c>
      <c r="I1207" t="n">
        <v>0</v>
      </c>
      <c r="J1207" t="n">
        <v>0</v>
      </c>
      <c r="K1207" t="n">
        <v>0</v>
      </c>
      <c r="L1207" t="n">
        <v>0</v>
      </c>
      <c r="M1207" t="n">
        <v>0</v>
      </c>
      <c r="N1207" t="n">
        <v>0</v>
      </c>
      <c r="O1207" t="n">
        <v>0</v>
      </c>
      <c r="P1207" t="n">
        <v>0</v>
      </c>
      <c r="Q1207" t="n">
        <v>1</v>
      </c>
      <c r="R1207" s="2" t="inlineStr">
        <is>
          <t>Revlummer</t>
        </is>
      </c>
      <c r="S1207">
        <f>HYPERLINK("https://klasma.github.io/Logging_0861/artfynd/A 44954-2024 artfynd.xlsx", "A 44954-2024")</f>
        <v/>
      </c>
      <c r="T1207">
        <f>HYPERLINK("https://klasma.github.io/Logging_0861/kartor/A 44954-2024 karta.png", "A 44954-2024")</f>
        <v/>
      </c>
      <c r="V1207">
        <f>HYPERLINK("https://klasma.github.io/Logging_0861/klagomål/A 44954-2024 FSC-klagomål.docx", "A 44954-2024")</f>
        <v/>
      </c>
      <c r="W1207">
        <f>HYPERLINK("https://klasma.github.io/Logging_0861/klagomålsmail/A 44954-2024 FSC-klagomål mail.docx", "A 44954-2024")</f>
        <v/>
      </c>
      <c r="X1207">
        <f>HYPERLINK("https://klasma.github.io/Logging_0861/tillsyn/A 44954-2024 tillsynsbegäran.docx", "A 44954-2024")</f>
        <v/>
      </c>
      <c r="Y1207">
        <f>HYPERLINK("https://klasma.github.io/Logging_0861/tillsynsmail/A 44954-2024 tillsynsbegäran mail.docx", "A 44954-2024")</f>
        <v/>
      </c>
    </row>
    <row r="1208" ht="15" customHeight="1">
      <c r="A1208" t="inlineStr">
        <is>
          <t>A 45462-2024</t>
        </is>
      </c>
      <c r="B1208" s="1" t="n">
        <v>45576</v>
      </c>
      <c r="C1208" s="1" t="n">
        <v>45832</v>
      </c>
      <c r="D1208" t="inlineStr">
        <is>
          <t>KALMAR LÄN</t>
        </is>
      </c>
      <c r="E1208" t="inlineStr">
        <is>
          <t>VÄSTERVIK</t>
        </is>
      </c>
      <c r="G1208" t="n">
        <v>3.5</v>
      </c>
      <c r="H1208" t="n">
        <v>1</v>
      </c>
      <c r="I1208" t="n">
        <v>0</v>
      </c>
      <c r="J1208" t="n">
        <v>1</v>
      </c>
      <c r="K1208" t="n">
        <v>0</v>
      </c>
      <c r="L1208" t="n">
        <v>0</v>
      </c>
      <c r="M1208" t="n">
        <v>0</v>
      </c>
      <c r="N1208" t="n">
        <v>0</v>
      </c>
      <c r="O1208" t="n">
        <v>1</v>
      </c>
      <c r="P1208" t="n">
        <v>0</v>
      </c>
      <c r="Q1208" t="n">
        <v>1</v>
      </c>
      <c r="R1208" s="2" t="inlineStr">
        <is>
          <t>Järpe</t>
        </is>
      </c>
      <c r="S1208">
        <f>HYPERLINK("https://klasma.github.io/Logging_0883/artfynd/A 45462-2024 artfynd.xlsx", "A 45462-2024")</f>
        <v/>
      </c>
      <c r="T1208">
        <f>HYPERLINK("https://klasma.github.io/Logging_0883/kartor/A 45462-2024 karta.png", "A 45462-2024")</f>
        <v/>
      </c>
      <c r="V1208">
        <f>HYPERLINK("https://klasma.github.io/Logging_0883/klagomål/A 45462-2024 FSC-klagomål.docx", "A 45462-2024")</f>
        <v/>
      </c>
      <c r="W1208">
        <f>HYPERLINK("https://klasma.github.io/Logging_0883/klagomålsmail/A 45462-2024 FSC-klagomål mail.docx", "A 45462-2024")</f>
        <v/>
      </c>
      <c r="X1208">
        <f>HYPERLINK("https://klasma.github.io/Logging_0883/tillsyn/A 45462-2024 tillsynsbegäran.docx", "A 45462-2024")</f>
        <v/>
      </c>
      <c r="Y1208">
        <f>HYPERLINK("https://klasma.github.io/Logging_0883/tillsynsmail/A 45462-2024 tillsynsbegäran mail.docx", "A 45462-2024")</f>
        <v/>
      </c>
      <c r="Z1208">
        <f>HYPERLINK("https://klasma.github.io/Logging_0883/fåglar/A 45462-2024 prioriterade fågelarter.docx", "A 45462-2024")</f>
        <v/>
      </c>
    </row>
    <row r="1209" ht="15" customHeight="1">
      <c r="A1209" t="inlineStr">
        <is>
          <t>A 45533-2024</t>
        </is>
      </c>
      <c r="B1209" s="1" t="n">
        <v>45579</v>
      </c>
      <c r="C1209" s="1" t="n">
        <v>45832</v>
      </c>
      <c r="D1209" t="inlineStr">
        <is>
          <t>KALMAR LÄN</t>
        </is>
      </c>
      <c r="E1209" t="inlineStr">
        <is>
          <t>HÖGSBY</t>
        </is>
      </c>
      <c r="G1209" t="n">
        <v>2.3</v>
      </c>
      <c r="H1209" t="n">
        <v>1</v>
      </c>
      <c r="I1209" t="n">
        <v>0</v>
      </c>
      <c r="J1209" t="n">
        <v>0</v>
      </c>
      <c r="K1209" t="n">
        <v>0</v>
      </c>
      <c r="L1209" t="n">
        <v>0</v>
      </c>
      <c r="M1209" t="n">
        <v>0</v>
      </c>
      <c r="N1209" t="n">
        <v>0</v>
      </c>
      <c r="O1209" t="n">
        <v>0</v>
      </c>
      <c r="P1209" t="n">
        <v>0</v>
      </c>
      <c r="Q1209" t="n">
        <v>1</v>
      </c>
      <c r="R1209" s="2" t="inlineStr">
        <is>
          <t>Blåsippa</t>
        </is>
      </c>
      <c r="S1209">
        <f>HYPERLINK("https://klasma.github.io/Logging_0821/artfynd/A 45533-2024 artfynd.xlsx", "A 45533-2024")</f>
        <v/>
      </c>
      <c r="T1209">
        <f>HYPERLINK("https://klasma.github.io/Logging_0821/kartor/A 45533-2024 karta.png", "A 45533-2024")</f>
        <v/>
      </c>
      <c r="V1209">
        <f>HYPERLINK("https://klasma.github.io/Logging_0821/klagomål/A 45533-2024 FSC-klagomål.docx", "A 45533-2024")</f>
        <v/>
      </c>
      <c r="W1209">
        <f>HYPERLINK("https://klasma.github.io/Logging_0821/klagomålsmail/A 45533-2024 FSC-klagomål mail.docx", "A 45533-2024")</f>
        <v/>
      </c>
      <c r="X1209">
        <f>HYPERLINK("https://klasma.github.io/Logging_0821/tillsyn/A 45533-2024 tillsynsbegäran.docx", "A 45533-2024")</f>
        <v/>
      </c>
      <c r="Y1209">
        <f>HYPERLINK("https://klasma.github.io/Logging_0821/tillsynsmail/A 45533-2024 tillsynsbegäran mail.docx", "A 45533-2024")</f>
        <v/>
      </c>
    </row>
    <row r="1210" ht="15" customHeight="1">
      <c r="A1210" t="inlineStr">
        <is>
          <t>A 45679-2024</t>
        </is>
      </c>
      <c r="B1210" s="1" t="n">
        <v>45579</v>
      </c>
      <c r="C1210" s="1" t="n">
        <v>45832</v>
      </c>
      <c r="D1210" t="inlineStr">
        <is>
          <t>KALMAR LÄN</t>
        </is>
      </c>
      <c r="E1210" t="inlineStr">
        <is>
          <t>VÄSTERVIK</t>
        </is>
      </c>
      <c r="F1210" t="inlineStr">
        <is>
          <t>Kyrkan</t>
        </is>
      </c>
      <c r="G1210" t="n">
        <v>2.8</v>
      </c>
      <c r="H1210" t="n">
        <v>1</v>
      </c>
      <c r="I1210" t="n">
        <v>0</v>
      </c>
      <c r="J1210" t="n">
        <v>0</v>
      </c>
      <c r="K1210" t="n">
        <v>1</v>
      </c>
      <c r="L1210" t="n">
        <v>0</v>
      </c>
      <c r="M1210" t="n">
        <v>0</v>
      </c>
      <c r="N1210" t="n">
        <v>0</v>
      </c>
      <c r="O1210" t="n">
        <v>1</v>
      </c>
      <c r="P1210" t="n">
        <v>1</v>
      </c>
      <c r="Q1210" t="n">
        <v>1</v>
      </c>
      <c r="R1210" s="2" t="inlineStr">
        <is>
          <t>Knärot</t>
        </is>
      </c>
      <c r="S1210">
        <f>HYPERLINK("https://klasma.github.io/Logging_0883/artfynd/A 45679-2024 artfynd.xlsx", "A 45679-2024")</f>
        <v/>
      </c>
      <c r="T1210">
        <f>HYPERLINK("https://klasma.github.io/Logging_0883/kartor/A 45679-2024 karta.png", "A 45679-2024")</f>
        <v/>
      </c>
      <c r="U1210">
        <f>HYPERLINK("https://klasma.github.io/Logging_0883/knärot/A 45679-2024 karta knärot.png", "A 45679-2024")</f>
        <v/>
      </c>
      <c r="V1210">
        <f>HYPERLINK("https://klasma.github.io/Logging_0883/klagomål/A 45679-2024 FSC-klagomål.docx", "A 45679-2024")</f>
        <v/>
      </c>
      <c r="W1210">
        <f>HYPERLINK("https://klasma.github.io/Logging_0883/klagomålsmail/A 45679-2024 FSC-klagomål mail.docx", "A 45679-2024")</f>
        <v/>
      </c>
      <c r="X1210">
        <f>HYPERLINK("https://klasma.github.io/Logging_0883/tillsyn/A 45679-2024 tillsynsbegäran.docx", "A 45679-2024")</f>
        <v/>
      </c>
      <c r="Y1210">
        <f>HYPERLINK("https://klasma.github.io/Logging_0883/tillsynsmail/A 45679-2024 tillsynsbegäran mail.docx", "A 45679-2024")</f>
        <v/>
      </c>
    </row>
    <row r="1211" ht="15" customHeight="1">
      <c r="A1211" t="inlineStr">
        <is>
          <t>A 45535-2024</t>
        </is>
      </c>
      <c r="B1211" s="1" t="n">
        <v>45579</v>
      </c>
      <c r="C1211" s="1" t="n">
        <v>45832</v>
      </c>
      <c r="D1211" t="inlineStr">
        <is>
          <t>KALMAR LÄN</t>
        </is>
      </c>
      <c r="E1211" t="inlineStr">
        <is>
          <t>HÖGSBY</t>
        </is>
      </c>
      <c r="G1211" t="n">
        <v>1.7</v>
      </c>
      <c r="H1211" t="n">
        <v>1</v>
      </c>
      <c r="I1211" t="n">
        <v>0</v>
      </c>
      <c r="J1211" t="n">
        <v>0</v>
      </c>
      <c r="K1211" t="n">
        <v>0</v>
      </c>
      <c r="L1211" t="n">
        <v>0</v>
      </c>
      <c r="M1211" t="n">
        <v>0</v>
      </c>
      <c r="N1211" t="n">
        <v>0</v>
      </c>
      <c r="O1211" t="n">
        <v>0</v>
      </c>
      <c r="P1211" t="n">
        <v>0</v>
      </c>
      <c r="Q1211" t="n">
        <v>1</v>
      </c>
      <c r="R1211" s="2" t="inlineStr">
        <is>
          <t>Blåsippa</t>
        </is>
      </c>
      <c r="S1211">
        <f>HYPERLINK("https://klasma.github.io/Logging_0821/artfynd/A 45535-2024 artfynd.xlsx", "A 45535-2024")</f>
        <v/>
      </c>
      <c r="T1211">
        <f>HYPERLINK("https://klasma.github.io/Logging_0821/kartor/A 45535-2024 karta.png", "A 45535-2024")</f>
        <v/>
      </c>
      <c r="V1211">
        <f>HYPERLINK("https://klasma.github.io/Logging_0821/klagomål/A 45535-2024 FSC-klagomål.docx", "A 45535-2024")</f>
        <v/>
      </c>
      <c r="W1211">
        <f>HYPERLINK("https://klasma.github.io/Logging_0821/klagomålsmail/A 45535-2024 FSC-klagomål mail.docx", "A 45535-2024")</f>
        <v/>
      </c>
      <c r="X1211">
        <f>HYPERLINK("https://klasma.github.io/Logging_0821/tillsyn/A 45535-2024 tillsynsbegäran.docx", "A 45535-2024")</f>
        <v/>
      </c>
      <c r="Y1211">
        <f>HYPERLINK("https://klasma.github.io/Logging_0821/tillsynsmail/A 45535-2024 tillsynsbegäran mail.docx", "A 45535-2024")</f>
        <v/>
      </c>
    </row>
    <row r="1212" ht="15" customHeight="1">
      <c r="A1212" t="inlineStr">
        <is>
          <t>A 46276-2024</t>
        </is>
      </c>
      <c r="B1212" s="1" t="n">
        <v>45581</v>
      </c>
      <c r="C1212" s="1" t="n">
        <v>45832</v>
      </c>
      <c r="D1212" t="inlineStr">
        <is>
          <t>KALMAR LÄN</t>
        </is>
      </c>
      <c r="E1212" t="inlineStr">
        <is>
          <t>OSKARSHAMN</t>
        </is>
      </c>
      <c r="G1212" t="n">
        <v>0.9</v>
      </c>
      <c r="H1212" t="n">
        <v>1</v>
      </c>
      <c r="I1212" t="n">
        <v>0</v>
      </c>
      <c r="J1212" t="n">
        <v>0</v>
      </c>
      <c r="K1212" t="n">
        <v>0</v>
      </c>
      <c r="L1212" t="n">
        <v>0</v>
      </c>
      <c r="M1212" t="n">
        <v>0</v>
      </c>
      <c r="N1212" t="n">
        <v>0</v>
      </c>
      <c r="O1212" t="n">
        <v>0</v>
      </c>
      <c r="P1212" t="n">
        <v>0</v>
      </c>
      <c r="Q1212" t="n">
        <v>1</v>
      </c>
      <c r="R1212" s="2" t="inlineStr">
        <is>
          <t>Blåsippa</t>
        </is>
      </c>
      <c r="S1212">
        <f>HYPERLINK("https://klasma.github.io/Logging_0882/artfynd/A 46276-2024 artfynd.xlsx", "A 46276-2024")</f>
        <v/>
      </c>
      <c r="T1212">
        <f>HYPERLINK("https://klasma.github.io/Logging_0882/kartor/A 46276-2024 karta.png", "A 46276-2024")</f>
        <v/>
      </c>
      <c r="V1212">
        <f>HYPERLINK("https://klasma.github.io/Logging_0882/klagomål/A 46276-2024 FSC-klagomål.docx", "A 46276-2024")</f>
        <v/>
      </c>
      <c r="W1212">
        <f>HYPERLINK("https://klasma.github.io/Logging_0882/klagomålsmail/A 46276-2024 FSC-klagomål mail.docx", "A 46276-2024")</f>
        <v/>
      </c>
      <c r="X1212">
        <f>HYPERLINK("https://klasma.github.io/Logging_0882/tillsyn/A 46276-2024 tillsynsbegäran.docx", "A 46276-2024")</f>
        <v/>
      </c>
      <c r="Y1212">
        <f>HYPERLINK("https://klasma.github.io/Logging_0882/tillsynsmail/A 46276-2024 tillsynsbegäran mail.docx", "A 46276-2024")</f>
        <v/>
      </c>
    </row>
    <row r="1213" ht="15" customHeight="1">
      <c r="A1213" t="inlineStr">
        <is>
          <t>A 46223-2024</t>
        </is>
      </c>
      <c r="B1213" s="1" t="n">
        <v>45581</v>
      </c>
      <c r="C1213" s="1" t="n">
        <v>45832</v>
      </c>
      <c r="D1213" t="inlineStr">
        <is>
          <t>KALMAR LÄN</t>
        </is>
      </c>
      <c r="E1213" t="inlineStr">
        <is>
          <t>NYBRO</t>
        </is>
      </c>
      <c r="G1213" t="n">
        <v>2.8</v>
      </c>
      <c r="H1213" t="n">
        <v>0</v>
      </c>
      <c r="I1213" t="n">
        <v>0</v>
      </c>
      <c r="J1213" t="n">
        <v>1</v>
      </c>
      <c r="K1213" t="n">
        <v>0</v>
      </c>
      <c r="L1213" t="n">
        <v>0</v>
      </c>
      <c r="M1213" t="n">
        <v>0</v>
      </c>
      <c r="N1213" t="n">
        <v>0</v>
      </c>
      <c r="O1213" t="n">
        <v>1</v>
      </c>
      <c r="P1213" t="n">
        <v>0</v>
      </c>
      <c r="Q1213" t="n">
        <v>1</v>
      </c>
      <c r="R1213" s="2" t="inlineStr">
        <is>
          <t>Sumpviol</t>
        </is>
      </c>
      <c r="S1213">
        <f>HYPERLINK("https://klasma.github.io/Logging_0881/artfynd/A 46223-2024 artfynd.xlsx", "A 46223-2024")</f>
        <v/>
      </c>
      <c r="T1213">
        <f>HYPERLINK("https://klasma.github.io/Logging_0881/kartor/A 46223-2024 karta.png", "A 46223-2024")</f>
        <v/>
      </c>
      <c r="V1213">
        <f>HYPERLINK("https://klasma.github.io/Logging_0881/klagomål/A 46223-2024 FSC-klagomål.docx", "A 46223-2024")</f>
        <v/>
      </c>
      <c r="W1213">
        <f>HYPERLINK("https://klasma.github.io/Logging_0881/klagomålsmail/A 46223-2024 FSC-klagomål mail.docx", "A 46223-2024")</f>
        <v/>
      </c>
      <c r="X1213">
        <f>HYPERLINK("https://klasma.github.io/Logging_0881/tillsyn/A 46223-2024 tillsynsbegäran.docx", "A 46223-2024")</f>
        <v/>
      </c>
      <c r="Y1213">
        <f>HYPERLINK("https://klasma.github.io/Logging_0881/tillsynsmail/A 46223-2024 tillsynsbegäran mail.docx", "A 46223-2024")</f>
        <v/>
      </c>
    </row>
    <row r="1214" ht="15" customHeight="1">
      <c r="A1214" t="inlineStr">
        <is>
          <t>A 47457-2024</t>
        </is>
      </c>
      <c r="B1214" s="1" t="n">
        <v>45587</v>
      </c>
      <c r="C1214" s="1" t="n">
        <v>45832</v>
      </c>
      <c r="D1214" t="inlineStr">
        <is>
          <t>KALMAR LÄN</t>
        </is>
      </c>
      <c r="E1214" t="inlineStr">
        <is>
          <t>NYBRO</t>
        </is>
      </c>
      <c r="G1214" t="n">
        <v>3</v>
      </c>
      <c r="H1214" t="n">
        <v>0</v>
      </c>
      <c r="I1214" t="n">
        <v>0</v>
      </c>
      <c r="J1214" t="n">
        <v>1</v>
      </c>
      <c r="K1214" t="n">
        <v>0</v>
      </c>
      <c r="L1214" t="n">
        <v>0</v>
      </c>
      <c r="M1214" t="n">
        <v>0</v>
      </c>
      <c r="N1214" t="n">
        <v>0</v>
      </c>
      <c r="O1214" t="n">
        <v>1</v>
      </c>
      <c r="P1214" t="n">
        <v>0</v>
      </c>
      <c r="Q1214" t="n">
        <v>1</v>
      </c>
      <c r="R1214" s="2" t="inlineStr">
        <is>
          <t>Brunag</t>
        </is>
      </c>
      <c r="S1214">
        <f>HYPERLINK("https://klasma.github.io/Logging_0881/artfynd/A 47457-2024 artfynd.xlsx", "A 47457-2024")</f>
        <v/>
      </c>
      <c r="T1214">
        <f>HYPERLINK("https://klasma.github.io/Logging_0881/kartor/A 47457-2024 karta.png", "A 47457-2024")</f>
        <v/>
      </c>
      <c r="V1214">
        <f>HYPERLINK("https://klasma.github.io/Logging_0881/klagomål/A 47457-2024 FSC-klagomål.docx", "A 47457-2024")</f>
        <v/>
      </c>
      <c r="W1214">
        <f>HYPERLINK("https://klasma.github.io/Logging_0881/klagomålsmail/A 47457-2024 FSC-klagomål mail.docx", "A 47457-2024")</f>
        <v/>
      </c>
      <c r="X1214">
        <f>HYPERLINK("https://klasma.github.io/Logging_0881/tillsyn/A 47457-2024 tillsynsbegäran.docx", "A 47457-2024")</f>
        <v/>
      </c>
      <c r="Y1214">
        <f>HYPERLINK("https://klasma.github.io/Logging_0881/tillsynsmail/A 47457-2024 tillsynsbegäran mail.docx", "A 47457-2024")</f>
        <v/>
      </c>
    </row>
    <row r="1215" ht="15" customHeight="1">
      <c r="A1215" t="inlineStr">
        <is>
          <t>A 48938-2024</t>
        </is>
      </c>
      <c r="B1215" s="1" t="n">
        <v>45594</v>
      </c>
      <c r="C1215" s="1" t="n">
        <v>45832</v>
      </c>
      <c r="D1215" t="inlineStr">
        <is>
          <t>KALMAR LÄN</t>
        </is>
      </c>
      <c r="E1215" t="inlineStr">
        <is>
          <t>HULTSFRED</t>
        </is>
      </c>
      <c r="G1215" t="n">
        <v>1.1</v>
      </c>
      <c r="H1215" t="n">
        <v>1</v>
      </c>
      <c r="I1215" t="n">
        <v>0</v>
      </c>
      <c r="J1215" t="n">
        <v>1</v>
      </c>
      <c r="K1215" t="n">
        <v>0</v>
      </c>
      <c r="L1215" t="n">
        <v>0</v>
      </c>
      <c r="M1215" t="n">
        <v>0</v>
      </c>
      <c r="N1215" t="n">
        <v>0</v>
      </c>
      <c r="O1215" t="n">
        <v>1</v>
      </c>
      <c r="P1215" t="n">
        <v>0</v>
      </c>
      <c r="Q1215" t="n">
        <v>1</v>
      </c>
      <c r="R1215" s="2" t="inlineStr">
        <is>
          <t>Järpe</t>
        </is>
      </c>
      <c r="S1215">
        <f>HYPERLINK("https://klasma.github.io/Logging_0860/artfynd/A 48938-2024 artfynd.xlsx", "A 48938-2024")</f>
        <v/>
      </c>
      <c r="T1215">
        <f>HYPERLINK("https://klasma.github.io/Logging_0860/kartor/A 48938-2024 karta.png", "A 48938-2024")</f>
        <v/>
      </c>
      <c r="V1215">
        <f>HYPERLINK("https://klasma.github.io/Logging_0860/klagomål/A 48938-2024 FSC-klagomål.docx", "A 48938-2024")</f>
        <v/>
      </c>
      <c r="W1215">
        <f>HYPERLINK("https://klasma.github.io/Logging_0860/klagomålsmail/A 48938-2024 FSC-klagomål mail.docx", "A 48938-2024")</f>
        <v/>
      </c>
      <c r="X1215">
        <f>HYPERLINK("https://klasma.github.io/Logging_0860/tillsyn/A 48938-2024 tillsynsbegäran.docx", "A 48938-2024")</f>
        <v/>
      </c>
      <c r="Y1215">
        <f>HYPERLINK("https://klasma.github.io/Logging_0860/tillsynsmail/A 48938-2024 tillsynsbegäran mail.docx", "A 48938-2024")</f>
        <v/>
      </c>
      <c r="Z1215">
        <f>HYPERLINK("https://klasma.github.io/Logging_0860/fåglar/A 48938-2024 prioriterade fågelarter.docx", "A 48938-2024")</f>
        <v/>
      </c>
    </row>
    <row r="1216" ht="15" customHeight="1">
      <c r="A1216" t="inlineStr">
        <is>
          <t>A 48980-2024</t>
        </is>
      </c>
      <c r="B1216" s="1" t="n">
        <v>45594</v>
      </c>
      <c r="C1216" s="1" t="n">
        <v>45832</v>
      </c>
      <c r="D1216" t="inlineStr">
        <is>
          <t>KALMAR LÄN</t>
        </is>
      </c>
      <c r="E1216" t="inlineStr">
        <is>
          <t>NYBRO</t>
        </is>
      </c>
      <c r="G1216" t="n">
        <v>41.9</v>
      </c>
      <c r="H1216" t="n">
        <v>0</v>
      </c>
      <c r="I1216" t="n">
        <v>0</v>
      </c>
      <c r="J1216" t="n">
        <v>0</v>
      </c>
      <c r="K1216" t="n">
        <v>1</v>
      </c>
      <c r="L1216" t="n">
        <v>0</v>
      </c>
      <c r="M1216" t="n">
        <v>0</v>
      </c>
      <c r="N1216" t="n">
        <v>0</v>
      </c>
      <c r="O1216" t="n">
        <v>1</v>
      </c>
      <c r="P1216" t="n">
        <v>1</v>
      </c>
      <c r="Q1216" t="n">
        <v>1</v>
      </c>
      <c r="R1216" s="2" t="inlineStr">
        <is>
          <t>Hjärtstilla</t>
        </is>
      </c>
      <c r="S1216">
        <f>HYPERLINK("https://klasma.github.io/Logging_0881/artfynd/A 48980-2024 artfynd.xlsx", "A 48980-2024")</f>
        <v/>
      </c>
      <c r="T1216">
        <f>HYPERLINK("https://klasma.github.io/Logging_0881/kartor/A 48980-2024 karta.png", "A 48980-2024")</f>
        <v/>
      </c>
      <c r="V1216">
        <f>HYPERLINK("https://klasma.github.io/Logging_0881/klagomål/A 48980-2024 FSC-klagomål.docx", "A 48980-2024")</f>
        <v/>
      </c>
      <c r="W1216">
        <f>HYPERLINK("https://klasma.github.io/Logging_0881/klagomålsmail/A 48980-2024 FSC-klagomål mail.docx", "A 48980-2024")</f>
        <v/>
      </c>
      <c r="X1216">
        <f>HYPERLINK("https://klasma.github.io/Logging_0881/tillsyn/A 48980-2024 tillsynsbegäran.docx", "A 48980-2024")</f>
        <v/>
      </c>
      <c r="Y1216">
        <f>HYPERLINK("https://klasma.github.io/Logging_0881/tillsynsmail/A 48980-2024 tillsynsbegäran mail.docx", "A 48980-2024")</f>
        <v/>
      </c>
    </row>
    <row r="1217" ht="15" customHeight="1">
      <c r="A1217" t="inlineStr">
        <is>
          <t>A 49265-2024</t>
        </is>
      </c>
      <c r="B1217" s="1" t="n">
        <v>45595</v>
      </c>
      <c r="C1217" s="1" t="n">
        <v>45832</v>
      </c>
      <c r="D1217" t="inlineStr">
        <is>
          <t>KALMAR LÄN</t>
        </is>
      </c>
      <c r="E1217" t="inlineStr">
        <is>
          <t>HULTSFRED</t>
        </is>
      </c>
      <c r="G1217" t="n">
        <v>4.9</v>
      </c>
      <c r="H1217" t="n">
        <v>0</v>
      </c>
      <c r="I1217" t="n">
        <v>0</v>
      </c>
      <c r="J1217" t="n">
        <v>1</v>
      </c>
      <c r="K1217" t="n">
        <v>0</v>
      </c>
      <c r="L1217" t="n">
        <v>0</v>
      </c>
      <c r="M1217" t="n">
        <v>0</v>
      </c>
      <c r="N1217" t="n">
        <v>0</v>
      </c>
      <c r="O1217" t="n">
        <v>1</v>
      </c>
      <c r="P1217" t="n">
        <v>0</v>
      </c>
      <c r="Q1217" t="n">
        <v>1</v>
      </c>
      <c r="R1217" s="2" t="inlineStr">
        <is>
          <t>Tennfibbla</t>
        </is>
      </c>
      <c r="S1217">
        <f>HYPERLINK("https://klasma.github.io/Logging_0860/artfynd/A 49265-2024 artfynd.xlsx", "A 49265-2024")</f>
        <v/>
      </c>
      <c r="T1217">
        <f>HYPERLINK("https://klasma.github.io/Logging_0860/kartor/A 49265-2024 karta.png", "A 49265-2024")</f>
        <v/>
      </c>
      <c r="V1217">
        <f>HYPERLINK("https://klasma.github.io/Logging_0860/klagomål/A 49265-2024 FSC-klagomål.docx", "A 49265-2024")</f>
        <v/>
      </c>
      <c r="W1217">
        <f>HYPERLINK("https://klasma.github.io/Logging_0860/klagomålsmail/A 49265-2024 FSC-klagomål mail.docx", "A 49265-2024")</f>
        <v/>
      </c>
      <c r="X1217">
        <f>HYPERLINK("https://klasma.github.io/Logging_0860/tillsyn/A 49265-2024 tillsynsbegäran.docx", "A 49265-2024")</f>
        <v/>
      </c>
      <c r="Y1217">
        <f>HYPERLINK("https://klasma.github.io/Logging_0860/tillsynsmail/A 49265-2024 tillsynsbegäran mail.docx", "A 49265-2024")</f>
        <v/>
      </c>
    </row>
    <row r="1218" ht="15" customHeight="1">
      <c r="A1218" t="inlineStr">
        <is>
          <t>A 49579-2024</t>
        </is>
      </c>
      <c r="B1218" s="1" t="n">
        <v>45596</v>
      </c>
      <c r="C1218" s="1" t="n">
        <v>45832</v>
      </c>
      <c r="D1218" t="inlineStr">
        <is>
          <t>KALMAR LÄN</t>
        </is>
      </c>
      <c r="E1218" t="inlineStr">
        <is>
          <t>NYBRO</t>
        </is>
      </c>
      <c r="G1218" t="n">
        <v>5</v>
      </c>
      <c r="H1218" t="n">
        <v>1</v>
      </c>
      <c r="I1218" t="n">
        <v>0</v>
      </c>
      <c r="J1218" t="n">
        <v>0</v>
      </c>
      <c r="K1218" t="n">
        <v>0</v>
      </c>
      <c r="L1218" t="n">
        <v>0</v>
      </c>
      <c r="M1218" t="n">
        <v>0</v>
      </c>
      <c r="N1218" t="n">
        <v>0</v>
      </c>
      <c r="O1218" t="n">
        <v>0</v>
      </c>
      <c r="P1218" t="n">
        <v>0</v>
      </c>
      <c r="Q1218" t="n">
        <v>1</v>
      </c>
      <c r="R1218" s="2" t="inlineStr">
        <is>
          <t>Fläcknycklar</t>
        </is>
      </c>
      <c r="S1218">
        <f>HYPERLINK("https://klasma.github.io/Logging_0881/artfynd/A 49579-2024 artfynd.xlsx", "A 49579-2024")</f>
        <v/>
      </c>
      <c r="T1218">
        <f>HYPERLINK("https://klasma.github.io/Logging_0881/kartor/A 49579-2024 karta.png", "A 49579-2024")</f>
        <v/>
      </c>
      <c r="V1218">
        <f>HYPERLINK("https://klasma.github.io/Logging_0881/klagomål/A 49579-2024 FSC-klagomål.docx", "A 49579-2024")</f>
        <v/>
      </c>
      <c r="W1218">
        <f>HYPERLINK("https://klasma.github.io/Logging_0881/klagomålsmail/A 49579-2024 FSC-klagomål mail.docx", "A 49579-2024")</f>
        <v/>
      </c>
      <c r="X1218">
        <f>HYPERLINK("https://klasma.github.io/Logging_0881/tillsyn/A 49579-2024 tillsynsbegäran.docx", "A 49579-2024")</f>
        <v/>
      </c>
      <c r="Y1218">
        <f>HYPERLINK("https://klasma.github.io/Logging_0881/tillsynsmail/A 49579-2024 tillsynsbegäran mail.docx", "A 49579-2024")</f>
        <v/>
      </c>
    </row>
    <row r="1219" ht="15" customHeight="1">
      <c r="A1219" t="inlineStr">
        <is>
          <t>A 50908-2024</t>
        </is>
      </c>
      <c r="B1219" s="1" t="n">
        <v>45602</v>
      </c>
      <c r="C1219" s="1" t="n">
        <v>45832</v>
      </c>
      <c r="D1219" t="inlineStr">
        <is>
          <t>KALMAR LÄN</t>
        </is>
      </c>
      <c r="E1219" t="inlineStr">
        <is>
          <t>NYBRO</t>
        </is>
      </c>
      <c r="G1219" t="n">
        <v>2.5</v>
      </c>
      <c r="H1219" t="n">
        <v>0</v>
      </c>
      <c r="I1219" t="n">
        <v>0</v>
      </c>
      <c r="J1219" t="n">
        <v>1</v>
      </c>
      <c r="K1219" t="n">
        <v>0</v>
      </c>
      <c r="L1219" t="n">
        <v>0</v>
      </c>
      <c r="M1219" t="n">
        <v>0</v>
      </c>
      <c r="N1219" t="n">
        <v>0</v>
      </c>
      <c r="O1219" t="n">
        <v>1</v>
      </c>
      <c r="P1219" t="n">
        <v>0</v>
      </c>
      <c r="Q1219" t="n">
        <v>1</v>
      </c>
      <c r="R1219" s="2" t="inlineStr">
        <is>
          <t>Asppraktbagge</t>
        </is>
      </c>
      <c r="S1219">
        <f>HYPERLINK("https://klasma.github.io/Logging_0881/artfynd/A 50908-2024 artfynd.xlsx", "A 50908-2024")</f>
        <v/>
      </c>
      <c r="T1219">
        <f>HYPERLINK("https://klasma.github.io/Logging_0881/kartor/A 50908-2024 karta.png", "A 50908-2024")</f>
        <v/>
      </c>
      <c r="V1219">
        <f>HYPERLINK("https://klasma.github.io/Logging_0881/klagomål/A 50908-2024 FSC-klagomål.docx", "A 50908-2024")</f>
        <v/>
      </c>
      <c r="W1219">
        <f>HYPERLINK("https://klasma.github.io/Logging_0881/klagomålsmail/A 50908-2024 FSC-klagomål mail.docx", "A 50908-2024")</f>
        <v/>
      </c>
      <c r="X1219">
        <f>HYPERLINK("https://klasma.github.io/Logging_0881/tillsyn/A 50908-2024 tillsynsbegäran.docx", "A 50908-2024")</f>
        <v/>
      </c>
      <c r="Y1219">
        <f>HYPERLINK("https://klasma.github.io/Logging_0881/tillsynsmail/A 50908-2024 tillsynsbegäran mail.docx", "A 50908-2024")</f>
        <v/>
      </c>
    </row>
    <row r="1220" ht="15" customHeight="1">
      <c r="A1220" t="inlineStr">
        <is>
          <t>A 51488-2024</t>
        </is>
      </c>
      <c r="B1220" s="1" t="n">
        <v>45604</v>
      </c>
      <c r="C1220" s="1" t="n">
        <v>45832</v>
      </c>
      <c r="D1220" t="inlineStr">
        <is>
          <t>KALMAR LÄN</t>
        </is>
      </c>
      <c r="E1220" t="inlineStr">
        <is>
          <t>VÄSTERVIK</t>
        </is>
      </c>
      <c r="F1220" t="inlineStr">
        <is>
          <t>Övriga Aktiebolag</t>
        </is>
      </c>
      <c r="G1220" t="n">
        <v>2.9</v>
      </c>
      <c r="H1220" t="n">
        <v>1</v>
      </c>
      <c r="I1220" t="n">
        <v>0</v>
      </c>
      <c r="J1220" t="n">
        <v>1</v>
      </c>
      <c r="K1220" t="n">
        <v>0</v>
      </c>
      <c r="L1220" t="n">
        <v>0</v>
      </c>
      <c r="M1220" t="n">
        <v>0</v>
      </c>
      <c r="N1220" t="n">
        <v>0</v>
      </c>
      <c r="O1220" t="n">
        <v>1</v>
      </c>
      <c r="P1220" t="n">
        <v>0</v>
      </c>
      <c r="Q1220" t="n">
        <v>1</v>
      </c>
      <c r="R1220" s="2" t="inlineStr">
        <is>
          <t>Entita</t>
        </is>
      </c>
      <c r="S1220">
        <f>HYPERLINK("https://klasma.github.io/Logging_0883/artfynd/A 51488-2024 artfynd.xlsx", "A 51488-2024")</f>
        <v/>
      </c>
      <c r="T1220">
        <f>HYPERLINK("https://klasma.github.io/Logging_0883/kartor/A 51488-2024 karta.png", "A 51488-2024")</f>
        <v/>
      </c>
      <c r="V1220">
        <f>HYPERLINK("https://klasma.github.io/Logging_0883/klagomål/A 51488-2024 FSC-klagomål.docx", "A 51488-2024")</f>
        <v/>
      </c>
      <c r="W1220">
        <f>HYPERLINK("https://klasma.github.io/Logging_0883/klagomålsmail/A 51488-2024 FSC-klagomål mail.docx", "A 51488-2024")</f>
        <v/>
      </c>
      <c r="X1220">
        <f>HYPERLINK("https://klasma.github.io/Logging_0883/tillsyn/A 51488-2024 tillsynsbegäran.docx", "A 51488-2024")</f>
        <v/>
      </c>
      <c r="Y1220">
        <f>HYPERLINK("https://klasma.github.io/Logging_0883/tillsynsmail/A 51488-2024 tillsynsbegäran mail.docx", "A 51488-2024")</f>
        <v/>
      </c>
      <c r="Z1220">
        <f>HYPERLINK("https://klasma.github.io/Logging_0883/fåglar/A 51488-2024 prioriterade fågelarter.docx", "A 51488-2024")</f>
        <v/>
      </c>
    </row>
    <row r="1221" ht="15" customHeight="1">
      <c r="A1221" t="inlineStr">
        <is>
          <t>A 51514-2024</t>
        </is>
      </c>
      <c r="B1221" s="1" t="n">
        <v>45604</v>
      </c>
      <c r="C1221" s="1" t="n">
        <v>45832</v>
      </c>
      <c r="D1221" t="inlineStr">
        <is>
          <t>KALMAR LÄN</t>
        </is>
      </c>
      <c r="E1221" t="inlineStr">
        <is>
          <t>VÄSTERVIK</t>
        </is>
      </c>
      <c r="F1221" t="inlineStr">
        <is>
          <t>Övriga Aktiebolag</t>
        </is>
      </c>
      <c r="G1221" t="n">
        <v>2.4</v>
      </c>
      <c r="H1221" t="n">
        <v>1</v>
      </c>
      <c r="I1221" t="n">
        <v>0</v>
      </c>
      <c r="J1221" t="n">
        <v>1</v>
      </c>
      <c r="K1221" t="n">
        <v>0</v>
      </c>
      <c r="L1221" t="n">
        <v>0</v>
      </c>
      <c r="M1221" t="n">
        <v>0</v>
      </c>
      <c r="N1221" t="n">
        <v>0</v>
      </c>
      <c r="O1221" t="n">
        <v>1</v>
      </c>
      <c r="P1221" t="n">
        <v>0</v>
      </c>
      <c r="Q1221" t="n">
        <v>1</v>
      </c>
      <c r="R1221" s="2" t="inlineStr">
        <is>
          <t>Havsörn</t>
        </is>
      </c>
      <c r="S1221">
        <f>HYPERLINK("https://klasma.github.io/Logging_0883/artfynd/A 51514-2024 artfynd.xlsx", "A 51514-2024")</f>
        <v/>
      </c>
      <c r="T1221">
        <f>HYPERLINK("https://klasma.github.io/Logging_0883/kartor/A 51514-2024 karta.png", "A 51514-2024")</f>
        <v/>
      </c>
      <c r="V1221">
        <f>HYPERLINK("https://klasma.github.io/Logging_0883/klagomål/A 51514-2024 FSC-klagomål.docx", "A 51514-2024")</f>
        <v/>
      </c>
      <c r="W1221">
        <f>HYPERLINK("https://klasma.github.io/Logging_0883/klagomålsmail/A 51514-2024 FSC-klagomål mail.docx", "A 51514-2024")</f>
        <v/>
      </c>
      <c r="X1221">
        <f>HYPERLINK("https://klasma.github.io/Logging_0883/tillsyn/A 51514-2024 tillsynsbegäran.docx", "A 51514-2024")</f>
        <v/>
      </c>
      <c r="Y1221">
        <f>HYPERLINK("https://klasma.github.io/Logging_0883/tillsynsmail/A 51514-2024 tillsynsbegäran mail.docx", "A 51514-2024")</f>
        <v/>
      </c>
      <c r="Z1221">
        <f>HYPERLINK("https://klasma.github.io/Logging_0883/fåglar/A 51514-2024 prioriterade fågelarter.docx", "A 51514-2024")</f>
        <v/>
      </c>
    </row>
    <row r="1222" ht="15" customHeight="1">
      <c r="A1222" t="inlineStr">
        <is>
          <t>A 51473-2024</t>
        </is>
      </c>
      <c r="B1222" s="1" t="n">
        <v>45604</v>
      </c>
      <c r="C1222" s="1" t="n">
        <v>45832</v>
      </c>
      <c r="D1222" t="inlineStr">
        <is>
          <t>KALMAR LÄN</t>
        </is>
      </c>
      <c r="E1222" t="inlineStr">
        <is>
          <t>NYBRO</t>
        </is>
      </c>
      <c r="G1222" t="n">
        <v>3.4</v>
      </c>
      <c r="H1222" t="n">
        <v>1</v>
      </c>
      <c r="I1222" t="n">
        <v>0</v>
      </c>
      <c r="J1222" t="n">
        <v>0</v>
      </c>
      <c r="K1222" t="n">
        <v>0</v>
      </c>
      <c r="L1222" t="n">
        <v>0</v>
      </c>
      <c r="M1222" t="n">
        <v>0</v>
      </c>
      <c r="N1222" t="n">
        <v>0</v>
      </c>
      <c r="O1222" t="n">
        <v>0</v>
      </c>
      <c r="P1222" t="n">
        <v>0</v>
      </c>
      <c r="Q1222" t="n">
        <v>1</v>
      </c>
      <c r="R1222" s="2" t="inlineStr">
        <is>
          <t>Orre</t>
        </is>
      </c>
      <c r="S1222">
        <f>HYPERLINK("https://klasma.github.io/Logging_0881/artfynd/A 51473-2024 artfynd.xlsx", "A 51473-2024")</f>
        <v/>
      </c>
      <c r="T1222">
        <f>HYPERLINK("https://klasma.github.io/Logging_0881/kartor/A 51473-2024 karta.png", "A 51473-2024")</f>
        <v/>
      </c>
      <c r="V1222">
        <f>HYPERLINK("https://klasma.github.io/Logging_0881/klagomål/A 51473-2024 FSC-klagomål.docx", "A 51473-2024")</f>
        <v/>
      </c>
      <c r="W1222">
        <f>HYPERLINK("https://klasma.github.io/Logging_0881/klagomålsmail/A 51473-2024 FSC-klagomål mail.docx", "A 51473-2024")</f>
        <v/>
      </c>
      <c r="X1222">
        <f>HYPERLINK("https://klasma.github.io/Logging_0881/tillsyn/A 51473-2024 tillsynsbegäran.docx", "A 51473-2024")</f>
        <v/>
      </c>
      <c r="Y1222">
        <f>HYPERLINK("https://klasma.github.io/Logging_0881/tillsynsmail/A 51473-2024 tillsynsbegäran mail.docx", "A 51473-2024")</f>
        <v/>
      </c>
      <c r="Z1222">
        <f>HYPERLINK("https://klasma.github.io/Logging_0881/fåglar/A 51473-2024 prioriterade fågelarter.docx", "A 51473-2024")</f>
        <v/>
      </c>
    </row>
    <row r="1223" ht="15" customHeight="1">
      <c r="A1223" t="inlineStr">
        <is>
          <t>A 51587-2024</t>
        </is>
      </c>
      <c r="B1223" s="1" t="n">
        <v>45604</v>
      </c>
      <c r="C1223" s="1" t="n">
        <v>45832</v>
      </c>
      <c r="D1223" t="inlineStr">
        <is>
          <t>KALMAR LÄN</t>
        </is>
      </c>
      <c r="E1223" t="inlineStr">
        <is>
          <t>HULTSFRED</t>
        </is>
      </c>
      <c r="G1223" t="n">
        <v>4</v>
      </c>
      <c r="H1223" t="n">
        <v>0</v>
      </c>
      <c r="I1223" t="n">
        <v>0</v>
      </c>
      <c r="J1223" t="n">
        <v>0</v>
      </c>
      <c r="K1223" t="n">
        <v>0</v>
      </c>
      <c r="L1223" t="n">
        <v>1</v>
      </c>
      <c r="M1223" t="n">
        <v>0</v>
      </c>
      <c r="N1223" t="n">
        <v>0</v>
      </c>
      <c r="O1223" t="n">
        <v>1</v>
      </c>
      <c r="P1223" t="n">
        <v>1</v>
      </c>
      <c r="Q1223" t="n">
        <v>1</v>
      </c>
      <c r="R1223" s="2" t="inlineStr">
        <is>
          <t>Ryl</t>
        </is>
      </c>
      <c r="S1223">
        <f>HYPERLINK("https://klasma.github.io/Logging_0860/artfynd/A 51587-2024 artfynd.xlsx", "A 51587-2024")</f>
        <v/>
      </c>
      <c r="T1223">
        <f>HYPERLINK("https://klasma.github.io/Logging_0860/kartor/A 51587-2024 karta.png", "A 51587-2024")</f>
        <v/>
      </c>
      <c r="V1223">
        <f>HYPERLINK("https://klasma.github.io/Logging_0860/klagomål/A 51587-2024 FSC-klagomål.docx", "A 51587-2024")</f>
        <v/>
      </c>
      <c r="W1223">
        <f>HYPERLINK("https://klasma.github.io/Logging_0860/klagomålsmail/A 51587-2024 FSC-klagomål mail.docx", "A 51587-2024")</f>
        <v/>
      </c>
      <c r="X1223">
        <f>HYPERLINK("https://klasma.github.io/Logging_0860/tillsyn/A 51587-2024 tillsynsbegäran.docx", "A 51587-2024")</f>
        <v/>
      </c>
      <c r="Y1223">
        <f>HYPERLINK("https://klasma.github.io/Logging_0860/tillsynsmail/A 51587-2024 tillsynsbegäran mail.docx", "A 51587-2024")</f>
        <v/>
      </c>
    </row>
    <row r="1224" ht="15" customHeight="1">
      <c r="A1224" t="inlineStr">
        <is>
          <t>A 53061-2024</t>
        </is>
      </c>
      <c r="B1224" s="1" t="n">
        <v>45611</v>
      </c>
      <c r="C1224" s="1" t="n">
        <v>45832</v>
      </c>
      <c r="D1224" t="inlineStr">
        <is>
          <t>KALMAR LÄN</t>
        </is>
      </c>
      <c r="E1224" t="inlineStr">
        <is>
          <t>KALMAR</t>
        </is>
      </c>
      <c r="G1224" t="n">
        <v>1.9</v>
      </c>
      <c r="H1224" t="n">
        <v>0</v>
      </c>
      <c r="I1224" t="n">
        <v>1</v>
      </c>
      <c r="J1224" t="n">
        <v>0</v>
      </c>
      <c r="K1224" t="n">
        <v>0</v>
      </c>
      <c r="L1224" t="n">
        <v>0</v>
      </c>
      <c r="M1224" t="n">
        <v>0</v>
      </c>
      <c r="N1224" t="n">
        <v>0</v>
      </c>
      <c r="O1224" t="n">
        <v>0</v>
      </c>
      <c r="P1224" t="n">
        <v>0</v>
      </c>
      <c r="Q1224" t="n">
        <v>1</v>
      </c>
      <c r="R1224" s="2" t="inlineStr">
        <is>
          <t>Blomkålssvamp</t>
        </is>
      </c>
      <c r="S1224">
        <f>HYPERLINK("https://klasma.github.io/Logging_0880/artfynd/A 53061-2024 artfynd.xlsx", "A 53061-2024")</f>
        <v/>
      </c>
      <c r="T1224">
        <f>HYPERLINK("https://klasma.github.io/Logging_0880/kartor/A 53061-2024 karta.png", "A 53061-2024")</f>
        <v/>
      </c>
      <c r="V1224">
        <f>HYPERLINK("https://klasma.github.io/Logging_0880/klagomål/A 53061-2024 FSC-klagomål.docx", "A 53061-2024")</f>
        <v/>
      </c>
      <c r="W1224">
        <f>HYPERLINK("https://klasma.github.io/Logging_0880/klagomålsmail/A 53061-2024 FSC-klagomål mail.docx", "A 53061-2024")</f>
        <v/>
      </c>
      <c r="X1224">
        <f>HYPERLINK("https://klasma.github.io/Logging_0880/tillsyn/A 53061-2024 tillsynsbegäran.docx", "A 53061-2024")</f>
        <v/>
      </c>
      <c r="Y1224">
        <f>HYPERLINK("https://klasma.github.io/Logging_0880/tillsynsmail/A 53061-2024 tillsynsbegäran mail.docx", "A 53061-2024")</f>
        <v/>
      </c>
    </row>
    <row r="1225" ht="15" customHeight="1">
      <c r="A1225" t="inlineStr">
        <is>
          <t>A 53075-2024</t>
        </is>
      </c>
      <c r="B1225" s="1" t="n">
        <v>45611</v>
      </c>
      <c r="C1225" s="1" t="n">
        <v>45832</v>
      </c>
      <c r="D1225" t="inlineStr">
        <is>
          <t>KALMAR LÄN</t>
        </is>
      </c>
      <c r="E1225" t="inlineStr">
        <is>
          <t>VÄSTERVIK</t>
        </is>
      </c>
      <c r="F1225" t="inlineStr">
        <is>
          <t>Holmen skog AB</t>
        </is>
      </c>
      <c r="G1225" t="n">
        <v>8.5</v>
      </c>
      <c r="H1225" t="n">
        <v>1</v>
      </c>
      <c r="I1225" t="n">
        <v>0</v>
      </c>
      <c r="J1225" t="n">
        <v>1</v>
      </c>
      <c r="K1225" t="n">
        <v>0</v>
      </c>
      <c r="L1225" t="n">
        <v>0</v>
      </c>
      <c r="M1225" t="n">
        <v>0</v>
      </c>
      <c r="N1225" t="n">
        <v>0</v>
      </c>
      <c r="O1225" t="n">
        <v>1</v>
      </c>
      <c r="P1225" t="n">
        <v>0</v>
      </c>
      <c r="Q1225" t="n">
        <v>1</v>
      </c>
      <c r="R1225" s="2" t="inlineStr">
        <is>
          <t>Talltita</t>
        </is>
      </c>
      <c r="S1225">
        <f>HYPERLINK("https://klasma.github.io/Logging_0883/artfynd/A 53075-2024 artfynd.xlsx", "A 53075-2024")</f>
        <v/>
      </c>
      <c r="T1225">
        <f>HYPERLINK("https://klasma.github.io/Logging_0883/kartor/A 53075-2024 karta.png", "A 53075-2024")</f>
        <v/>
      </c>
      <c r="V1225">
        <f>HYPERLINK("https://klasma.github.io/Logging_0883/klagomål/A 53075-2024 FSC-klagomål.docx", "A 53075-2024")</f>
        <v/>
      </c>
      <c r="W1225">
        <f>HYPERLINK("https://klasma.github.io/Logging_0883/klagomålsmail/A 53075-2024 FSC-klagomål mail.docx", "A 53075-2024")</f>
        <v/>
      </c>
      <c r="X1225">
        <f>HYPERLINK("https://klasma.github.io/Logging_0883/tillsyn/A 53075-2024 tillsynsbegäran.docx", "A 53075-2024")</f>
        <v/>
      </c>
      <c r="Y1225">
        <f>HYPERLINK("https://klasma.github.io/Logging_0883/tillsynsmail/A 53075-2024 tillsynsbegäran mail.docx", "A 53075-2024")</f>
        <v/>
      </c>
      <c r="Z1225">
        <f>HYPERLINK("https://klasma.github.io/Logging_0883/fåglar/A 53075-2024 prioriterade fågelarter.docx", "A 53075-2024")</f>
        <v/>
      </c>
    </row>
    <row r="1226" ht="15" customHeight="1">
      <c r="A1226" t="inlineStr">
        <is>
          <t>A 53841-2024</t>
        </is>
      </c>
      <c r="B1226" s="1" t="n">
        <v>45615</v>
      </c>
      <c r="C1226" s="1" t="n">
        <v>45832</v>
      </c>
      <c r="D1226" t="inlineStr">
        <is>
          <t>KALMAR LÄN</t>
        </is>
      </c>
      <c r="E1226" t="inlineStr">
        <is>
          <t>NYBRO</t>
        </is>
      </c>
      <c r="G1226" t="n">
        <v>1.8</v>
      </c>
      <c r="H1226" t="n">
        <v>1</v>
      </c>
      <c r="I1226" t="n">
        <v>0</v>
      </c>
      <c r="J1226" t="n">
        <v>0</v>
      </c>
      <c r="K1226" t="n">
        <v>0</v>
      </c>
      <c r="L1226" t="n">
        <v>0</v>
      </c>
      <c r="M1226" t="n">
        <v>0</v>
      </c>
      <c r="N1226" t="n">
        <v>0</v>
      </c>
      <c r="O1226" t="n">
        <v>0</v>
      </c>
      <c r="P1226" t="n">
        <v>0</v>
      </c>
      <c r="Q1226" t="n">
        <v>1</v>
      </c>
      <c r="R1226" s="2" t="inlineStr">
        <is>
          <t>Mattlummer</t>
        </is>
      </c>
      <c r="S1226">
        <f>HYPERLINK("https://klasma.github.io/Logging_0881/artfynd/A 53841-2024 artfynd.xlsx", "A 53841-2024")</f>
        <v/>
      </c>
      <c r="T1226">
        <f>HYPERLINK("https://klasma.github.io/Logging_0881/kartor/A 53841-2024 karta.png", "A 53841-2024")</f>
        <v/>
      </c>
      <c r="V1226">
        <f>HYPERLINK("https://klasma.github.io/Logging_0881/klagomål/A 53841-2024 FSC-klagomål.docx", "A 53841-2024")</f>
        <v/>
      </c>
      <c r="W1226">
        <f>HYPERLINK("https://klasma.github.io/Logging_0881/klagomålsmail/A 53841-2024 FSC-klagomål mail.docx", "A 53841-2024")</f>
        <v/>
      </c>
      <c r="X1226">
        <f>HYPERLINK("https://klasma.github.io/Logging_0881/tillsyn/A 53841-2024 tillsynsbegäran.docx", "A 53841-2024")</f>
        <v/>
      </c>
      <c r="Y1226">
        <f>HYPERLINK("https://klasma.github.io/Logging_0881/tillsynsmail/A 53841-2024 tillsynsbegäran mail.docx", "A 53841-2024")</f>
        <v/>
      </c>
    </row>
    <row r="1227" ht="15" customHeight="1">
      <c r="A1227" t="inlineStr">
        <is>
          <t>A 55290-2024</t>
        </is>
      </c>
      <c r="B1227" s="1" t="n">
        <v>45621</v>
      </c>
      <c r="C1227" s="1" t="n">
        <v>45832</v>
      </c>
      <c r="D1227" t="inlineStr">
        <is>
          <t>KALMAR LÄN</t>
        </is>
      </c>
      <c r="E1227" t="inlineStr">
        <is>
          <t>NYBRO</t>
        </is>
      </c>
      <c r="F1227" t="inlineStr">
        <is>
          <t>Sveaskog</t>
        </is>
      </c>
      <c r="G1227" t="n">
        <v>5.9</v>
      </c>
      <c r="H1227" t="n">
        <v>1</v>
      </c>
      <c r="I1227" t="n">
        <v>0</v>
      </c>
      <c r="J1227" t="n">
        <v>1</v>
      </c>
      <c r="K1227" t="n">
        <v>0</v>
      </c>
      <c r="L1227" t="n">
        <v>0</v>
      </c>
      <c r="M1227" t="n">
        <v>0</v>
      </c>
      <c r="N1227" t="n">
        <v>0</v>
      </c>
      <c r="O1227" t="n">
        <v>1</v>
      </c>
      <c r="P1227" t="n">
        <v>0</v>
      </c>
      <c r="Q1227" t="n">
        <v>1</v>
      </c>
      <c r="R1227" s="2" t="inlineStr">
        <is>
          <t>Utter</t>
        </is>
      </c>
      <c r="S1227">
        <f>HYPERLINK("https://klasma.github.io/Logging_0881/artfynd/A 55290-2024 artfynd.xlsx", "A 55290-2024")</f>
        <v/>
      </c>
      <c r="T1227">
        <f>HYPERLINK("https://klasma.github.io/Logging_0881/kartor/A 55290-2024 karta.png", "A 55290-2024")</f>
        <v/>
      </c>
      <c r="V1227">
        <f>HYPERLINK("https://klasma.github.io/Logging_0881/klagomål/A 55290-2024 FSC-klagomål.docx", "A 55290-2024")</f>
        <v/>
      </c>
      <c r="W1227">
        <f>HYPERLINK("https://klasma.github.io/Logging_0881/klagomålsmail/A 55290-2024 FSC-klagomål mail.docx", "A 55290-2024")</f>
        <v/>
      </c>
      <c r="X1227">
        <f>HYPERLINK("https://klasma.github.io/Logging_0881/tillsyn/A 55290-2024 tillsynsbegäran.docx", "A 55290-2024")</f>
        <v/>
      </c>
      <c r="Y1227">
        <f>HYPERLINK("https://klasma.github.io/Logging_0881/tillsynsmail/A 55290-2024 tillsynsbegäran mail.docx", "A 55290-2024")</f>
        <v/>
      </c>
    </row>
    <row r="1228" ht="15" customHeight="1">
      <c r="A1228" t="inlineStr">
        <is>
          <t>A 55299-2024</t>
        </is>
      </c>
      <c r="B1228" s="1" t="n">
        <v>45621</v>
      </c>
      <c r="C1228" s="1" t="n">
        <v>45832</v>
      </c>
      <c r="D1228" t="inlineStr">
        <is>
          <t>KALMAR LÄN</t>
        </is>
      </c>
      <c r="E1228" t="inlineStr">
        <is>
          <t>NYBRO</t>
        </is>
      </c>
      <c r="F1228" t="inlineStr">
        <is>
          <t>Sveaskog</t>
        </is>
      </c>
      <c r="G1228" t="n">
        <v>2.1</v>
      </c>
      <c r="H1228" t="n">
        <v>1</v>
      </c>
      <c r="I1228" t="n">
        <v>0</v>
      </c>
      <c r="J1228" t="n">
        <v>0</v>
      </c>
      <c r="K1228" t="n">
        <v>0</v>
      </c>
      <c r="L1228" t="n">
        <v>0</v>
      </c>
      <c r="M1228" t="n">
        <v>0</v>
      </c>
      <c r="N1228" t="n">
        <v>0</v>
      </c>
      <c r="O1228" t="n">
        <v>0</v>
      </c>
      <c r="P1228" t="n">
        <v>0</v>
      </c>
      <c r="Q1228" t="n">
        <v>1</v>
      </c>
      <c r="R1228" s="2" t="inlineStr">
        <is>
          <t>Sparvuggla</t>
        </is>
      </c>
      <c r="S1228">
        <f>HYPERLINK("https://klasma.github.io/Logging_0881/artfynd/A 55299-2024 artfynd.xlsx", "A 55299-2024")</f>
        <v/>
      </c>
      <c r="T1228">
        <f>HYPERLINK("https://klasma.github.io/Logging_0881/kartor/A 55299-2024 karta.png", "A 55299-2024")</f>
        <v/>
      </c>
      <c r="V1228">
        <f>HYPERLINK("https://klasma.github.io/Logging_0881/klagomål/A 55299-2024 FSC-klagomål.docx", "A 55299-2024")</f>
        <v/>
      </c>
      <c r="W1228">
        <f>HYPERLINK("https://klasma.github.io/Logging_0881/klagomålsmail/A 55299-2024 FSC-klagomål mail.docx", "A 55299-2024")</f>
        <v/>
      </c>
      <c r="X1228">
        <f>HYPERLINK("https://klasma.github.io/Logging_0881/tillsyn/A 55299-2024 tillsynsbegäran.docx", "A 55299-2024")</f>
        <v/>
      </c>
      <c r="Y1228">
        <f>HYPERLINK("https://klasma.github.io/Logging_0881/tillsynsmail/A 55299-2024 tillsynsbegäran mail.docx", "A 55299-2024")</f>
        <v/>
      </c>
      <c r="Z1228">
        <f>HYPERLINK("https://klasma.github.io/Logging_0881/fåglar/A 55299-2024 prioriterade fågelarter.docx", "A 55299-2024")</f>
        <v/>
      </c>
    </row>
    <row r="1229" ht="15" customHeight="1">
      <c r="A1229" t="inlineStr">
        <is>
          <t>A 55366-2024</t>
        </is>
      </c>
      <c r="B1229" s="1" t="n">
        <v>45621</v>
      </c>
      <c r="C1229" s="1" t="n">
        <v>45832</v>
      </c>
      <c r="D1229" t="inlineStr">
        <is>
          <t>KALMAR LÄN</t>
        </is>
      </c>
      <c r="E1229" t="inlineStr">
        <is>
          <t>BORGHOLM</t>
        </is>
      </c>
      <c r="G1229" t="n">
        <v>2.1</v>
      </c>
      <c r="H1229" t="n">
        <v>0</v>
      </c>
      <c r="I1229" t="n">
        <v>0</v>
      </c>
      <c r="J1229" t="n">
        <v>1</v>
      </c>
      <c r="K1229" t="n">
        <v>0</v>
      </c>
      <c r="L1229" t="n">
        <v>0</v>
      </c>
      <c r="M1229" t="n">
        <v>0</v>
      </c>
      <c r="N1229" t="n">
        <v>0</v>
      </c>
      <c r="O1229" t="n">
        <v>1</v>
      </c>
      <c r="P1229" t="n">
        <v>0</v>
      </c>
      <c r="Q1229" t="n">
        <v>1</v>
      </c>
      <c r="R1229" s="2" t="inlineStr">
        <is>
          <t>Koralltaggsvamp</t>
        </is>
      </c>
      <c r="S1229">
        <f>HYPERLINK("https://klasma.github.io/Logging_0885/artfynd/A 55366-2024 artfynd.xlsx", "A 55366-2024")</f>
        <v/>
      </c>
      <c r="T1229">
        <f>HYPERLINK("https://klasma.github.io/Logging_0885/kartor/A 55366-2024 karta.png", "A 55366-2024")</f>
        <v/>
      </c>
      <c r="V1229">
        <f>HYPERLINK("https://klasma.github.io/Logging_0885/klagomål/A 55366-2024 FSC-klagomål.docx", "A 55366-2024")</f>
        <v/>
      </c>
      <c r="W1229">
        <f>HYPERLINK("https://klasma.github.io/Logging_0885/klagomålsmail/A 55366-2024 FSC-klagomål mail.docx", "A 55366-2024")</f>
        <v/>
      </c>
      <c r="X1229">
        <f>HYPERLINK("https://klasma.github.io/Logging_0885/tillsyn/A 55366-2024 tillsynsbegäran.docx", "A 55366-2024")</f>
        <v/>
      </c>
      <c r="Y1229">
        <f>HYPERLINK("https://klasma.github.io/Logging_0885/tillsynsmail/A 55366-2024 tillsynsbegäran mail.docx", "A 55366-2024")</f>
        <v/>
      </c>
    </row>
    <row r="1230" ht="15" customHeight="1">
      <c r="A1230" t="inlineStr">
        <is>
          <t>A 55304-2024</t>
        </is>
      </c>
      <c r="B1230" s="1" t="n">
        <v>45621</v>
      </c>
      <c r="C1230" s="1" t="n">
        <v>45832</v>
      </c>
      <c r="D1230" t="inlineStr">
        <is>
          <t>KALMAR LÄN</t>
        </is>
      </c>
      <c r="E1230" t="inlineStr">
        <is>
          <t>NYBRO</t>
        </is>
      </c>
      <c r="F1230" t="inlineStr">
        <is>
          <t>Sveaskog</t>
        </is>
      </c>
      <c r="G1230" t="n">
        <v>0.9</v>
      </c>
      <c r="H1230" t="n">
        <v>1</v>
      </c>
      <c r="I1230" t="n">
        <v>0</v>
      </c>
      <c r="J1230" t="n">
        <v>0</v>
      </c>
      <c r="K1230" t="n">
        <v>0</v>
      </c>
      <c r="L1230" t="n">
        <v>0</v>
      </c>
      <c r="M1230" t="n">
        <v>0</v>
      </c>
      <c r="N1230" t="n">
        <v>0</v>
      </c>
      <c r="O1230" t="n">
        <v>0</v>
      </c>
      <c r="P1230" t="n">
        <v>0</v>
      </c>
      <c r="Q1230" t="n">
        <v>1</v>
      </c>
      <c r="R1230" s="2" t="inlineStr">
        <is>
          <t>Tjäder</t>
        </is>
      </c>
      <c r="S1230">
        <f>HYPERLINK("https://klasma.github.io/Logging_0881/artfynd/A 55304-2024 artfynd.xlsx", "A 55304-2024")</f>
        <v/>
      </c>
      <c r="T1230">
        <f>HYPERLINK("https://klasma.github.io/Logging_0881/kartor/A 55304-2024 karta.png", "A 55304-2024")</f>
        <v/>
      </c>
      <c r="V1230">
        <f>HYPERLINK("https://klasma.github.io/Logging_0881/klagomål/A 55304-2024 FSC-klagomål.docx", "A 55304-2024")</f>
        <v/>
      </c>
      <c r="W1230">
        <f>HYPERLINK("https://klasma.github.io/Logging_0881/klagomålsmail/A 55304-2024 FSC-klagomål mail.docx", "A 55304-2024")</f>
        <v/>
      </c>
      <c r="X1230">
        <f>HYPERLINK("https://klasma.github.io/Logging_0881/tillsyn/A 55304-2024 tillsynsbegäran.docx", "A 55304-2024")</f>
        <v/>
      </c>
      <c r="Y1230">
        <f>HYPERLINK("https://klasma.github.io/Logging_0881/tillsynsmail/A 55304-2024 tillsynsbegäran mail.docx", "A 55304-2024")</f>
        <v/>
      </c>
      <c r="Z1230">
        <f>HYPERLINK("https://klasma.github.io/Logging_0881/fåglar/A 55304-2024 prioriterade fågelarter.docx", "A 55304-2024")</f>
        <v/>
      </c>
    </row>
    <row r="1231" ht="15" customHeight="1">
      <c r="A1231" t="inlineStr">
        <is>
          <t>A 55360-2024</t>
        </is>
      </c>
      <c r="B1231" s="1" t="n">
        <v>45621</v>
      </c>
      <c r="C1231" s="1" t="n">
        <v>45832</v>
      </c>
      <c r="D1231" t="inlineStr">
        <is>
          <t>KALMAR LÄN</t>
        </is>
      </c>
      <c r="E1231" t="inlineStr">
        <is>
          <t>VÄSTERVIK</t>
        </is>
      </c>
      <c r="F1231" t="inlineStr">
        <is>
          <t>Sveaskog</t>
        </is>
      </c>
      <c r="G1231" t="n">
        <v>11.1</v>
      </c>
      <c r="H1231" t="n">
        <v>0</v>
      </c>
      <c r="I1231" t="n">
        <v>0</v>
      </c>
      <c r="J1231" t="n">
        <v>1</v>
      </c>
      <c r="K1231" t="n">
        <v>0</v>
      </c>
      <c r="L1231" t="n">
        <v>0</v>
      </c>
      <c r="M1231" t="n">
        <v>0</v>
      </c>
      <c r="N1231" t="n">
        <v>0</v>
      </c>
      <c r="O1231" t="n">
        <v>1</v>
      </c>
      <c r="P1231" t="n">
        <v>0</v>
      </c>
      <c r="Q1231" t="n">
        <v>1</v>
      </c>
      <c r="R1231" s="2" t="inlineStr">
        <is>
          <t>Vårstarr</t>
        </is>
      </c>
      <c r="S1231">
        <f>HYPERLINK("https://klasma.github.io/Logging_0883/artfynd/A 55360-2024 artfynd.xlsx", "A 55360-2024")</f>
        <v/>
      </c>
      <c r="T1231">
        <f>HYPERLINK("https://klasma.github.io/Logging_0883/kartor/A 55360-2024 karta.png", "A 55360-2024")</f>
        <v/>
      </c>
      <c r="V1231">
        <f>HYPERLINK("https://klasma.github.io/Logging_0883/klagomål/A 55360-2024 FSC-klagomål.docx", "A 55360-2024")</f>
        <v/>
      </c>
      <c r="W1231">
        <f>HYPERLINK("https://klasma.github.io/Logging_0883/klagomålsmail/A 55360-2024 FSC-klagomål mail.docx", "A 55360-2024")</f>
        <v/>
      </c>
      <c r="X1231">
        <f>HYPERLINK("https://klasma.github.io/Logging_0883/tillsyn/A 55360-2024 tillsynsbegäran.docx", "A 55360-2024")</f>
        <v/>
      </c>
      <c r="Y1231">
        <f>HYPERLINK("https://klasma.github.io/Logging_0883/tillsynsmail/A 55360-2024 tillsynsbegäran mail.docx", "A 55360-2024")</f>
        <v/>
      </c>
    </row>
    <row r="1232" ht="15" customHeight="1">
      <c r="A1232" t="inlineStr">
        <is>
          <t>A 55616-2024</t>
        </is>
      </c>
      <c r="B1232" s="1" t="n">
        <v>45622</v>
      </c>
      <c r="C1232" s="1" t="n">
        <v>45832</v>
      </c>
      <c r="D1232" t="inlineStr">
        <is>
          <t>KALMAR LÄN</t>
        </is>
      </c>
      <c r="E1232" t="inlineStr">
        <is>
          <t>VÄSTERVIK</t>
        </is>
      </c>
      <c r="G1232" t="n">
        <v>0.5</v>
      </c>
      <c r="H1232" t="n">
        <v>1</v>
      </c>
      <c r="I1232" t="n">
        <v>0</v>
      </c>
      <c r="J1232" t="n">
        <v>1</v>
      </c>
      <c r="K1232" t="n">
        <v>0</v>
      </c>
      <c r="L1232" t="n">
        <v>0</v>
      </c>
      <c r="M1232" t="n">
        <v>0</v>
      </c>
      <c r="N1232" t="n">
        <v>0</v>
      </c>
      <c r="O1232" t="n">
        <v>1</v>
      </c>
      <c r="P1232" t="n">
        <v>0</v>
      </c>
      <c r="Q1232" t="n">
        <v>1</v>
      </c>
      <c r="R1232" s="2" t="inlineStr">
        <is>
          <t>Entita</t>
        </is>
      </c>
      <c r="S1232">
        <f>HYPERLINK("https://klasma.github.io/Logging_0883/artfynd/A 55616-2024 artfynd.xlsx", "A 55616-2024")</f>
        <v/>
      </c>
      <c r="T1232">
        <f>HYPERLINK("https://klasma.github.io/Logging_0883/kartor/A 55616-2024 karta.png", "A 55616-2024")</f>
        <v/>
      </c>
      <c r="V1232">
        <f>HYPERLINK("https://klasma.github.io/Logging_0883/klagomål/A 55616-2024 FSC-klagomål.docx", "A 55616-2024")</f>
        <v/>
      </c>
      <c r="W1232">
        <f>HYPERLINK("https://klasma.github.io/Logging_0883/klagomålsmail/A 55616-2024 FSC-klagomål mail.docx", "A 55616-2024")</f>
        <v/>
      </c>
      <c r="X1232">
        <f>HYPERLINK("https://klasma.github.io/Logging_0883/tillsyn/A 55616-2024 tillsynsbegäran.docx", "A 55616-2024")</f>
        <v/>
      </c>
      <c r="Y1232">
        <f>HYPERLINK("https://klasma.github.io/Logging_0883/tillsynsmail/A 55616-2024 tillsynsbegäran mail.docx", "A 55616-2024")</f>
        <v/>
      </c>
      <c r="Z1232">
        <f>HYPERLINK("https://klasma.github.io/Logging_0883/fåglar/A 55616-2024 prioriterade fågelarter.docx", "A 55616-2024")</f>
        <v/>
      </c>
    </row>
    <row r="1233" ht="15" customHeight="1">
      <c r="A1233" t="inlineStr">
        <is>
          <t>A 56026-2024</t>
        </is>
      </c>
      <c r="B1233" s="1" t="n">
        <v>45624</v>
      </c>
      <c r="C1233" s="1" t="n">
        <v>45832</v>
      </c>
      <c r="D1233" t="inlineStr">
        <is>
          <t>KALMAR LÄN</t>
        </is>
      </c>
      <c r="E1233" t="inlineStr">
        <is>
          <t>HULTSFRED</t>
        </is>
      </c>
      <c r="F1233" t="inlineStr">
        <is>
          <t>Sveaskog</t>
        </is>
      </c>
      <c r="G1233" t="n">
        <v>4.5</v>
      </c>
      <c r="H1233" t="n">
        <v>0</v>
      </c>
      <c r="I1233" t="n">
        <v>1</v>
      </c>
      <c r="J1233" t="n">
        <v>0</v>
      </c>
      <c r="K1233" t="n">
        <v>0</v>
      </c>
      <c r="L1233" t="n">
        <v>0</v>
      </c>
      <c r="M1233" t="n">
        <v>0</v>
      </c>
      <c r="N1233" t="n">
        <v>0</v>
      </c>
      <c r="O1233" t="n">
        <v>0</v>
      </c>
      <c r="P1233" t="n">
        <v>0</v>
      </c>
      <c r="Q1233" t="n">
        <v>1</v>
      </c>
      <c r="R1233" s="2" t="inlineStr">
        <is>
          <t>Vårärt</t>
        </is>
      </c>
      <c r="S1233">
        <f>HYPERLINK("https://klasma.github.io/Logging_0860/artfynd/A 56026-2024 artfynd.xlsx", "A 56026-2024")</f>
        <v/>
      </c>
      <c r="T1233">
        <f>HYPERLINK("https://klasma.github.io/Logging_0860/kartor/A 56026-2024 karta.png", "A 56026-2024")</f>
        <v/>
      </c>
      <c r="V1233">
        <f>HYPERLINK("https://klasma.github.io/Logging_0860/klagomål/A 56026-2024 FSC-klagomål.docx", "A 56026-2024")</f>
        <v/>
      </c>
      <c r="W1233">
        <f>HYPERLINK("https://klasma.github.io/Logging_0860/klagomålsmail/A 56026-2024 FSC-klagomål mail.docx", "A 56026-2024")</f>
        <v/>
      </c>
      <c r="X1233">
        <f>HYPERLINK("https://klasma.github.io/Logging_0860/tillsyn/A 56026-2024 tillsynsbegäran.docx", "A 56026-2024")</f>
        <v/>
      </c>
      <c r="Y1233">
        <f>HYPERLINK("https://klasma.github.io/Logging_0860/tillsynsmail/A 56026-2024 tillsynsbegäran mail.docx", "A 56026-2024")</f>
        <v/>
      </c>
    </row>
    <row r="1234" ht="15" customHeight="1">
      <c r="A1234" t="inlineStr">
        <is>
          <t>A 56439-2024</t>
        </is>
      </c>
      <c r="B1234" s="1" t="n">
        <v>45625</v>
      </c>
      <c r="C1234" s="1" t="n">
        <v>45832</v>
      </c>
      <c r="D1234" t="inlineStr">
        <is>
          <t>KALMAR LÄN</t>
        </is>
      </c>
      <c r="E1234" t="inlineStr">
        <is>
          <t>VÄSTERVIK</t>
        </is>
      </c>
      <c r="F1234" t="inlineStr">
        <is>
          <t>Övriga Aktiebolag</t>
        </is>
      </c>
      <c r="G1234" t="n">
        <v>3.3</v>
      </c>
      <c r="H1234" t="n">
        <v>0</v>
      </c>
      <c r="I1234" t="n">
        <v>1</v>
      </c>
      <c r="J1234" t="n">
        <v>0</v>
      </c>
      <c r="K1234" t="n">
        <v>0</v>
      </c>
      <c r="L1234" t="n">
        <v>0</v>
      </c>
      <c r="M1234" t="n">
        <v>0</v>
      </c>
      <c r="N1234" t="n">
        <v>0</v>
      </c>
      <c r="O1234" t="n">
        <v>0</v>
      </c>
      <c r="P1234" t="n">
        <v>0</v>
      </c>
      <c r="Q1234" t="n">
        <v>1</v>
      </c>
      <c r="R1234" s="2" t="inlineStr">
        <is>
          <t>Hasselticka</t>
        </is>
      </c>
      <c r="S1234">
        <f>HYPERLINK("https://klasma.github.io/Logging_0883/artfynd/A 56439-2024 artfynd.xlsx", "A 56439-2024")</f>
        <v/>
      </c>
      <c r="T1234">
        <f>HYPERLINK("https://klasma.github.io/Logging_0883/kartor/A 56439-2024 karta.png", "A 56439-2024")</f>
        <v/>
      </c>
      <c r="V1234">
        <f>HYPERLINK("https://klasma.github.io/Logging_0883/klagomål/A 56439-2024 FSC-klagomål.docx", "A 56439-2024")</f>
        <v/>
      </c>
      <c r="W1234">
        <f>HYPERLINK("https://klasma.github.io/Logging_0883/klagomålsmail/A 56439-2024 FSC-klagomål mail.docx", "A 56439-2024")</f>
        <v/>
      </c>
      <c r="X1234">
        <f>HYPERLINK("https://klasma.github.io/Logging_0883/tillsyn/A 56439-2024 tillsynsbegäran.docx", "A 56439-2024")</f>
        <v/>
      </c>
      <c r="Y1234">
        <f>HYPERLINK("https://klasma.github.io/Logging_0883/tillsynsmail/A 56439-2024 tillsynsbegäran mail.docx", "A 56439-2024")</f>
        <v/>
      </c>
    </row>
    <row r="1235" ht="15" customHeight="1">
      <c r="A1235" t="inlineStr">
        <is>
          <t>A 57052-2024</t>
        </is>
      </c>
      <c r="B1235" s="1" t="n">
        <v>45629</v>
      </c>
      <c r="C1235" s="1" t="n">
        <v>45832</v>
      </c>
      <c r="D1235" t="inlineStr">
        <is>
          <t>KALMAR LÄN</t>
        </is>
      </c>
      <c r="E1235" t="inlineStr">
        <is>
          <t>HULTSFRED</t>
        </is>
      </c>
      <c r="G1235" t="n">
        <v>0.6</v>
      </c>
      <c r="H1235" t="n">
        <v>1</v>
      </c>
      <c r="I1235" t="n">
        <v>1</v>
      </c>
      <c r="J1235" t="n">
        <v>0</v>
      </c>
      <c r="K1235" t="n">
        <v>0</v>
      </c>
      <c r="L1235" t="n">
        <v>0</v>
      </c>
      <c r="M1235" t="n">
        <v>0</v>
      </c>
      <c r="N1235" t="n">
        <v>0</v>
      </c>
      <c r="O1235" t="n">
        <v>0</v>
      </c>
      <c r="P1235" t="n">
        <v>0</v>
      </c>
      <c r="Q1235" t="n">
        <v>1</v>
      </c>
      <c r="R1235" s="2" t="inlineStr">
        <is>
          <t>Plattlummer</t>
        </is>
      </c>
      <c r="S1235">
        <f>HYPERLINK("https://klasma.github.io/Logging_0860/artfynd/A 57052-2024 artfynd.xlsx", "A 57052-2024")</f>
        <v/>
      </c>
      <c r="T1235">
        <f>HYPERLINK("https://klasma.github.io/Logging_0860/kartor/A 57052-2024 karta.png", "A 57052-2024")</f>
        <v/>
      </c>
      <c r="U1235">
        <f>HYPERLINK("https://klasma.github.io/Logging_0860/knärot/A 57052-2024 karta knärot.png", "A 57052-2024")</f>
        <v/>
      </c>
      <c r="V1235">
        <f>HYPERLINK("https://klasma.github.io/Logging_0860/klagomål/A 57052-2024 FSC-klagomål.docx", "A 57052-2024")</f>
        <v/>
      </c>
      <c r="W1235">
        <f>HYPERLINK("https://klasma.github.io/Logging_0860/klagomålsmail/A 57052-2024 FSC-klagomål mail.docx", "A 57052-2024")</f>
        <v/>
      </c>
      <c r="X1235">
        <f>HYPERLINK("https://klasma.github.io/Logging_0860/tillsyn/A 57052-2024 tillsynsbegäran.docx", "A 57052-2024")</f>
        <v/>
      </c>
      <c r="Y1235">
        <f>HYPERLINK("https://klasma.github.io/Logging_0860/tillsynsmail/A 57052-2024 tillsynsbegäran mail.docx", "A 57052-2024")</f>
        <v/>
      </c>
    </row>
    <row r="1236" ht="15" customHeight="1">
      <c r="A1236" t="inlineStr">
        <is>
          <t>A 57852-2024</t>
        </is>
      </c>
      <c r="B1236" s="1" t="n">
        <v>45631</v>
      </c>
      <c r="C1236" s="1" t="n">
        <v>45832</v>
      </c>
      <c r="D1236" t="inlineStr">
        <is>
          <t>KALMAR LÄN</t>
        </is>
      </c>
      <c r="E1236" t="inlineStr">
        <is>
          <t>NYBRO</t>
        </is>
      </c>
      <c r="G1236" t="n">
        <v>2.3</v>
      </c>
      <c r="H1236" t="n">
        <v>0</v>
      </c>
      <c r="I1236" t="n">
        <v>0</v>
      </c>
      <c r="J1236" t="n">
        <v>1</v>
      </c>
      <c r="K1236" t="n">
        <v>0</v>
      </c>
      <c r="L1236" t="n">
        <v>0</v>
      </c>
      <c r="M1236" t="n">
        <v>0</v>
      </c>
      <c r="N1236" t="n">
        <v>0</v>
      </c>
      <c r="O1236" t="n">
        <v>1</v>
      </c>
      <c r="P1236" t="n">
        <v>0</v>
      </c>
      <c r="Q1236" t="n">
        <v>1</v>
      </c>
      <c r="R1236" s="2" t="inlineStr">
        <is>
          <t>Tallticka</t>
        </is>
      </c>
      <c r="S1236">
        <f>HYPERLINK("https://klasma.github.io/Logging_0881/artfynd/A 57852-2024 artfynd.xlsx", "A 57852-2024")</f>
        <v/>
      </c>
      <c r="T1236">
        <f>HYPERLINK("https://klasma.github.io/Logging_0881/kartor/A 57852-2024 karta.png", "A 57852-2024")</f>
        <v/>
      </c>
      <c r="V1236">
        <f>HYPERLINK("https://klasma.github.io/Logging_0881/klagomål/A 57852-2024 FSC-klagomål.docx", "A 57852-2024")</f>
        <v/>
      </c>
      <c r="W1236">
        <f>HYPERLINK("https://klasma.github.io/Logging_0881/klagomålsmail/A 57852-2024 FSC-klagomål mail.docx", "A 57852-2024")</f>
        <v/>
      </c>
      <c r="X1236">
        <f>HYPERLINK("https://klasma.github.io/Logging_0881/tillsyn/A 57852-2024 tillsynsbegäran.docx", "A 57852-2024")</f>
        <v/>
      </c>
      <c r="Y1236">
        <f>HYPERLINK("https://klasma.github.io/Logging_0881/tillsynsmail/A 57852-2024 tillsynsbegäran mail.docx", "A 57852-2024")</f>
        <v/>
      </c>
    </row>
    <row r="1237" ht="15" customHeight="1">
      <c r="A1237" t="inlineStr">
        <is>
          <t>A 58470-2024</t>
        </is>
      </c>
      <c r="B1237" s="1" t="n">
        <v>45635</v>
      </c>
      <c r="C1237" s="1" t="n">
        <v>45832</v>
      </c>
      <c r="D1237" t="inlineStr">
        <is>
          <t>KALMAR LÄN</t>
        </is>
      </c>
      <c r="E1237" t="inlineStr">
        <is>
          <t>HULTSFRED</t>
        </is>
      </c>
      <c r="G1237" t="n">
        <v>1</v>
      </c>
      <c r="H1237" t="n">
        <v>0</v>
      </c>
      <c r="I1237" t="n">
        <v>1</v>
      </c>
      <c r="J1237" t="n">
        <v>0</v>
      </c>
      <c r="K1237" t="n">
        <v>0</v>
      </c>
      <c r="L1237" t="n">
        <v>0</v>
      </c>
      <c r="M1237" t="n">
        <v>0</v>
      </c>
      <c r="N1237" t="n">
        <v>0</v>
      </c>
      <c r="O1237" t="n">
        <v>0</v>
      </c>
      <c r="P1237" t="n">
        <v>0</v>
      </c>
      <c r="Q1237" t="n">
        <v>1</v>
      </c>
      <c r="R1237" s="2" t="inlineStr">
        <is>
          <t>Guldlockmossa</t>
        </is>
      </c>
      <c r="S1237">
        <f>HYPERLINK("https://klasma.github.io/Logging_0860/artfynd/A 58470-2024 artfynd.xlsx", "A 58470-2024")</f>
        <v/>
      </c>
      <c r="T1237">
        <f>HYPERLINK("https://klasma.github.io/Logging_0860/kartor/A 58470-2024 karta.png", "A 58470-2024")</f>
        <v/>
      </c>
      <c r="V1237">
        <f>HYPERLINK("https://klasma.github.io/Logging_0860/klagomål/A 58470-2024 FSC-klagomål.docx", "A 58470-2024")</f>
        <v/>
      </c>
      <c r="W1237">
        <f>HYPERLINK("https://klasma.github.io/Logging_0860/klagomålsmail/A 58470-2024 FSC-klagomål mail.docx", "A 58470-2024")</f>
        <v/>
      </c>
      <c r="X1237">
        <f>HYPERLINK("https://klasma.github.io/Logging_0860/tillsyn/A 58470-2024 tillsynsbegäran.docx", "A 58470-2024")</f>
        <v/>
      </c>
      <c r="Y1237">
        <f>HYPERLINK("https://klasma.github.io/Logging_0860/tillsynsmail/A 58470-2024 tillsynsbegäran mail.docx", "A 58470-2024")</f>
        <v/>
      </c>
    </row>
    <row r="1238" ht="15" customHeight="1">
      <c r="A1238" t="inlineStr">
        <is>
          <t>A 59343-2024</t>
        </is>
      </c>
      <c r="B1238" s="1" t="n">
        <v>45637</v>
      </c>
      <c r="C1238" s="1" t="n">
        <v>45832</v>
      </c>
      <c r="D1238" t="inlineStr">
        <is>
          <t>KALMAR LÄN</t>
        </is>
      </c>
      <c r="E1238" t="inlineStr">
        <is>
          <t>VIMMERBY</t>
        </is>
      </c>
      <c r="G1238" t="n">
        <v>3.5</v>
      </c>
      <c r="H1238" t="n">
        <v>0</v>
      </c>
      <c r="I1238" t="n">
        <v>1</v>
      </c>
      <c r="J1238" t="n">
        <v>0</v>
      </c>
      <c r="K1238" t="n">
        <v>0</v>
      </c>
      <c r="L1238" t="n">
        <v>0</v>
      </c>
      <c r="M1238" t="n">
        <v>0</v>
      </c>
      <c r="N1238" t="n">
        <v>0</v>
      </c>
      <c r="O1238" t="n">
        <v>0</v>
      </c>
      <c r="P1238" t="n">
        <v>0</v>
      </c>
      <c r="Q1238" t="n">
        <v>1</v>
      </c>
      <c r="R1238" s="2" t="inlineStr">
        <is>
          <t>Vårärt</t>
        </is>
      </c>
      <c r="S1238">
        <f>HYPERLINK("https://klasma.github.io/Logging_0884/artfynd/A 59343-2024 artfynd.xlsx", "A 59343-2024")</f>
        <v/>
      </c>
      <c r="T1238">
        <f>HYPERLINK("https://klasma.github.io/Logging_0884/kartor/A 59343-2024 karta.png", "A 59343-2024")</f>
        <v/>
      </c>
      <c r="V1238">
        <f>HYPERLINK("https://klasma.github.io/Logging_0884/klagomål/A 59343-2024 FSC-klagomål.docx", "A 59343-2024")</f>
        <v/>
      </c>
      <c r="W1238">
        <f>HYPERLINK("https://klasma.github.io/Logging_0884/klagomålsmail/A 59343-2024 FSC-klagomål mail.docx", "A 59343-2024")</f>
        <v/>
      </c>
      <c r="X1238">
        <f>HYPERLINK("https://klasma.github.io/Logging_0884/tillsyn/A 59343-2024 tillsynsbegäran.docx", "A 59343-2024")</f>
        <v/>
      </c>
      <c r="Y1238">
        <f>HYPERLINK("https://klasma.github.io/Logging_0884/tillsynsmail/A 59343-2024 tillsynsbegäran mail.docx", "A 59343-2024")</f>
        <v/>
      </c>
    </row>
    <row r="1239" ht="15" customHeight="1">
      <c r="A1239" t="inlineStr">
        <is>
          <t>A 59616-2024</t>
        </is>
      </c>
      <c r="B1239" s="1" t="n">
        <v>45638</v>
      </c>
      <c r="C1239" s="1" t="n">
        <v>45832</v>
      </c>
      <c r="D1239" t="inlineStr">
        <is>
          <t>KALMAR LÄN</t>
        </is>
      </c>
      <c r="E1239" t="inlineStr">
        <is>
          <t>VÄSTERVIK</t>
        </is>
      </c>
      <c r="G1239" t="n">
        <v>2.3</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59616-2024 artfynd.xlsx", "A 59616-2024")</f>
        <v/>
      </c>
      <c r="T1239">
        <f>HYPERLINK("https://klasma.github.io/Logging_0883/kartor/A 59616-2024 karta.png", "A 59616-2024")</f>
        <v/>
      </c>
      <c r="U1239">
        <f>HYPERLINK("https://klasma.github.io/Logging_0883/knärot/A 59616-2024 karta knärot.png", "A 59616-2024")</f>
        <v/>
      </c>
      <c r="V1239">
        <f>HYPERLINK("https://klasma.github.io/Logging_0883/klagomål/A 59616-2024 FSC-klagomål.docx", "A 59616-2024")</f>
        <v/>
      </c>
      <c r="W1239">
        <f>HYPERLINK("https://klasma.github.io/Logging_0883/klagomålsmail/A 59616-2024 FSC-klagomål mail.docx", "A 59616-2024")</f>
        <v/>
      </c>
      <c r="X1239">
        <f>HYPERLINK("https://klasma.github.io/Logging_0883/tillsyn/A 59616-2024 tillsynsbegäran.docx", "A 59616-2024")</f>
        <v/>
      </c>
      <c r="Y1239">
        <f>HYPERLINK("https://klasma.github.io/Logging_0883/tillsynsmail/A 59616-2024 tillsynsbegäran mail.docx", "A 59616-2024")</f>
        <v/>
      </c>
    </row>
    <row r="1240" ht="15" customHeight="1">
      <c r="A1240" t="inlineStr">
        <is>
          <t>A 59351-2024</t>
        </is>
      </c>
      <c r="B1240" s="1" t="n">
        <v>45638</v>
      </c>
      <c r="C1240" s="1" t="n">
        <v>45832</v>
      </c>
      <c r="D1240" t="inlineStr">
        <is>
          <t>KALMAR LÄN</t>
        </is>
      </c>
      <c r="E1240" t="inlineStr">
        <is>
          <t>VÄSTERVIK</t>
        </is>
      </c>
      <c r="G1240" t="n">
        <v>4</v>
      </c>
      <c r="H1240" t="n">
        <v>0</v>
      </c>
      <c r="I1240" t="n">
        <v>0</v>
      </c>
      <c r="J1240" t="n">
        <v>1</v>
      </c>
      <c r="K1240" t="n">
        <v>0</v>
      </c>
      <c r="L1240" t="n">
        <v>0</v>
      </c>
      <c r="M1240" t="n">
        <v>0</v>
      </c>
      <c r="N1240" t="n">
        <v>0</v>
      </c>
      <c r="O1240" t="n">
        <v>1</v>
      </c>
      <c r="P1240" t="n">
        <v>0</v>
      </c>
      <c r="Q1240" t="n">
        <v>1</v>
      </c>
      <c r="R1240" s="2" t="inlineStr">
        <is>
          <t>Nubbfibbla</t>
        </is>
      </c>
      <c r="S1240">
        <f>HYPERLINK("https://klasma.github.io/Logging_0883/artfynd/A 59351-2024 artfynd.xlsx", "A 59351-2024")</f>
        <v/>
      </c>
      <c r="T1240">
        <f>HYPERLINK("https://klasma.github.io/Logging_0883/kartor/A 59351-2024 karta.png", "A 59351-2024")</f>
        <v/>
      </c>
      <c r="V1240">
        <f>HYPERLINK("https://klasma.github.io/Logging_0883/klagomål/A 59351-2024 FSC-klagomål.docx", "A 59351-2024")</f>
        <v/>
      </c>
      <c r="W1240">
        <f>HYPERLINK("https://klasma.github.io/Logging_0883/klagomålsmail/A 59351-2024 FSC-klagomål mail.docx", "A 59351-2024")</f>
        <v/>
      </c>
      <c r="X1240">
        <f>HYPERLINK("https://klasma.github.io/Logging_0883/tillsyn/A 59351-2024 tillsynsbegäran.docx", "A 59351-2024")</f>
        <v/>
      </c>
      <c r="Y1240">
        <f>HYPERLINK("https://klasma.github.io/Logging_0883/tillsynsmail/A 59351-2024 tillsynsbegäran mail.docx", "A 59351-2024")</f>
        <v/>
      </c>
    </row>
    <row r="1241" ht="15" customHeight="1">
      <c r="A1241" t="inlineStr">
        <is>
          <t>A 61505-2024</t>
        </is>
      </c>
      <c r="B1241" s="1" t="n">
        <v>45646</v>
      </c>
      <c r="C1241" s="1" t="n">
        <v>45832</v>
      </c>
      <c r="D1241" t="inlineStr">
        <is>
          <t>KALMAR LÄN</t>
        </is>
      </c>
      <c r="E1241" t="inlineStr">
        <is>
          <t>MÖNSTERÅS</t>
        </is>
      </c>
      <c r="F1241" t="inlineStr">
        <is>
          <t>Kommuner</t>
        </is>
      </c>
      <c r="G1241" t="n">
        <v>1.1</v>
      </c>
      <c r="H1241" t="n">
        <v>0</v>
      </c>
      <c r="I1241" t="n">
        <v>0</v>
      </c>
      <c r="J1241" t="n">
        <v>1</v>
      </c>
      <c r="K1241" t="n">
        <v>0</v>
      </c>
      <c r="L1241" t="n">
        <v>0</v>
      </c>
      <c r="M1241" t="n">
        <v>0</v>
      </c>
      <c r="N1241" t="n">
        <v>0</v>
      </c>
      <c r="O1241" t="n">
        <v>1</v>
      </c>
      <c r="P1241" t="n">
        <v>0</v>
      </c>
      <c r="Q1241" t="n">
        <v>1</v>
      </c>
      <c r="R1241" s="2" t="inlineStr">
        <is>
          <t>Tallticka</t>
        </is>
      </c>
      <c r="S1241">
        <f>HYPERLINK("https://klasma.github.io/Logging_0861/artfynd/A 61505-2024 artfynd.xlsx", "A 61505-2024")</f>
        <v/>
      </c>
      <c r="T1241">
        <f>HYPERLINK("https://klasma.github.io/Logging_0861/kartor/A 61505-2024 karta.png", "A 61505-2024")</f>
        <v/>
      </c>
      <c r="V1241">
        <f>HYPERLINK("https://klasma.github.io/Logging_0861/klagomål/A 61505-2024 FSC-klagomål.docx", "A 61505-2024")</f>
        <v/>
      </c>
      <c r="W1241">
        <f>HYPERLINK("https://klasma.github.io/Logging_0861/klagomålsmail/A 61505-2024 FSC-klagomål mail.docx", "A 61505-2024")</f>
        <v/>
      </c>
      <c r="X1241">
        <f>HYPERLINK("https://klasma.github.io/Logging_0861/tillsyn/A 61505-2024 tillsynsbegäran.docx", "A 61505-2024")</f>
        <v/>
      </c>
      <c r="Y1241">
        <f>HYPERLINK("https://klasma.github.io/Logging_0861/tillsynsmail/A 61505-2024 tillsynsbegäran mail.docx", "A 61505-2024")</f>
        <v/>
      </c>
    </row>
    <row r="1242" ht="15" customHeight="1">
      <c r="A1242" t="inlineStr">
        <is>
          <t>A 61490-2024</t>
        </is>
      </c>
      <c r="B1242" s="1" t="n">
        <v>45646</v>
      </c>
      <c r="C1242" s="1" t="n">
        <v>45832</v>
      </c>
      <c r="D1242" t="inlineStr">
        <is>
          <t>KALMAR LÄN</t>
        </is>
      </c>
      <c r="E1242" t="inlineStr">
        <is>
          <t>MÖNSTERÅS</t>
        </is>
      </c>
      <c r="F1242" t="inlineStr">
        <is>
          <t>Kommuner</t>
        </is>
      </c>
      <c r="G1242" t="n">
        <v>8</v>
      </c>
      <c r="H1242" t="n">
        <v>0</v>
      </c>
      <c r="I1242" t="n">
        <v>0</v>
      </c>
      <c r="J1242" t="n">
        <v>1</v>
      </c>
      <c r="K1242" t="n">
        <v>0</v>
      </c>
      <c r="L1242" t="n">
        <v>0</v>
      </c>
      <c r="M1242" t="n">
        <v>0</v>
      </c>
      <c r="N1242" t="n">
        <v>0</v>
      </c>
      <c r="O1242" t="n">
        <v>1</v>
      </c>
      <c r="P1242" t="n">
        <v>0</v>
      </c>
      <c r="Q1242" t="n">
        <v>1</v>
      </c>
      <c r="R1242" s="2" t="inlineStr">
        <is>
          <t>Taggbock</t>
        </is>
      </c>
      <c r="S1242">
        <f>HYPERLINK("https://klasma.github.io/Logging_0861/artfynd/A 61490-2024 artfynd.xlsx", "A 61490-2024")</f>
        <v/>
      </c>
      <c r="T1242">
        <f>HYPERLINK("https://klasma.github.io/Logging_0861/kartor/A 61490-2024 karta.png", "A 61490-2024")</f>
        <v/>
      </c>
      <c r="V1242">
        <f>HYPERLINK("https://klasma.github.io/Logging_0861/klagomål/A 61490-2024 FSC-klagomål.docx", "A 61490-2024")</f>
        <v/>
      </c>
      <c r="W1242">
        <f>HYPERLINK("https://klasma.github.io/Logging_0861/klagomålsmail/A 61490-2024 FSC-klagomål mail.docx", "A 61490-2024")</f>
        <v/>
      </c>
      <c r="X1242">
        <f>HYPERLINK("https://klasma.github.io/Logging_0861/tillsyn/A 61490-2024 tillsynsbegäran.docx", "A 61490-2024")</f>
        <v/>
      </c>
      <c r="Y1242">
        <f>HYPERLINK("https://klasma.github.io/Logging_0861/tillsynsmail/A 61490-2024 tillsynsbegäran mail.docx", "A 61490-2024")</f>
        <v/>
      </c>
    </row>
    <row r="1243" ht="15" customHeight="1">
      <c r="A1243" t="inlineStr">
        <is>
          <t>A 61860-2024</t>
        </is>
      </c>
      <c r="B1243" s="1" t="n">
        <v>45649</v>
      </c>
      <c r="C1243" s="1" t="n">
        <v>45832</v>
      </c>
      <c r="D1243" t="inlineStr">
        <is>
          <t>KALMAR LÄN</t>
        </is>
      </c>
      <c r="E1243" t="inlineStr">
        <is>
          <t>VIMMERBY</t>
        </is>
      </c>
      <c r="G1243" t="n">
        <v>4.4</v>
      </c>
      <c r="H1243" t="n">
        <v>1</v>
      </c>
      <c r="I1243" t="n">
        <v>0</v>
      </c>
      <c r="J1243" t="n">
        <v>0</v>
      </c>
      <c r="K1243" t="n">
        <v>1</v>
      </c>
      <c r="L1243" t="n">
        <v>0</v>
      </c>
      <c r="M1243" t="n">
        <v>0</v>
      </c>
      <c r="N1243" t="n">
        <v>0</v>
      </c>
      <c r="O1243" t="n">
        <v>1</v>
      </c>
      <c r="P1243" t="n">
        <v>1</v>
      </c>
      <c r="Q1243" t="n">
        <v>1</v>
      </c>
      <c r="R1243" s="2" t="inlineStr">
        <is>
          <t>Knärot</t>
        </is>
      </c>
      <c r="S1243">
        <f>HYPERLINK("https://klasma.github.io/Logging_0884/artfynd/A 61860-2024 artfynd.xlsx", "A 61860-2024")</f>
        <v/>
      </c>
      <c r="T1243">
        <f>HYPERLINK("https://klasma.github.io/Logging_0884/kartor/A 61860-2024 karta.png", "A 61860-2024")</f>
        <v/>
      </c>
      <c r="U1243">
        <f>HYPERLINK("https://klasma.github.io/Logging_0884/knärot/A 61860-2024 karta knärot.png", "A 61860-2024")</f>
        <v/>
      </c>
      <c r="V1243">
        <f>HYPERLINK("https://klasma.github.io/Logging_0884/klagomål/A 61860-2024 FSC-klagomål.docx", "A 61860-2024")</f>
        <v/>
      </c>
      <c r="W1243">
        <f>HYPERLINK("https://klasma.github.io/Logging_0884/klagomålsmail/A 61860-2024 FSC-klagomål mail.docx", "A 61860-2024")</f>
        <v/>
      </c>
      <c r="X1243">
        <f>HYPERLINK("https://klasma.github.io/Logging_0884/tillsyn/A 61860-2024 tillsynsbegäran.docx", "A 61860-2024")</f>
        <v/>
      </c>
      <c r="Y1243">
        <f>HYPERLINK("https://klasma.github.io/Logging_0884/tillsynsmail/A 61860-2024 tillsynsbegäran mail.docx", "A 61860-2024")</f>
        <v/>
      </c>
    </row>
    <row r="1244" ht="15" customHeight="1">
      <c r="A1244" t="inlineStr">
        <is>
          <t>A 591-2025</t>
        </is>
      </c>
      <c r="B1244" s="1" t="n">
        <v>45664</v>
      </c>
      <c r="C1244" s="1" t="n">
        <v>45832</v>
      </c>
      <c r="D1244" t="inlineStr">
        <is>
          <t>KALMAR LÄN</t>
        </is>
      </c>
      <c r="E1244" t="inlineStr">
        <is>
          <t>KALMAR</t>
        </is>
      </c>
      <c r="G1244" t="n">
        <v>8</v>
      </c>
      <c r="H1244" t="n">
        <v>0</v>
      </c>
      <c r="I1244" t="n">
        <v>1</v>
      </c>
      <c r="J1244" t="n">
        <v>0</v>
      </c>
      <c r="K1244" t="n">
        <v>0</v>
      </c>
      <c r="L1244" t="n">
        <v>0</v>
      </c>
      <c r="M1244" t="n">
        <v>0</v>
      </c>
      <c r="N1244" t="n">
        <v>0</v>
      </c>
      <c r="O1244" t="n">
        <v>0</v>
      </c>
      <c r="P1244" t="n">
        <v>0</v>
      </c>
      <c r="Q1244" t="n">
        <v>1</v>
      </c>
      <c r="R1244" s="2" t="inlineStr">
        <is>
          <t>Murgröna</t>
        </is>
      </c>
      <c r="S1244">
        <f>HYPERLINK("https://klasma.github.io/Logging_0880/artfynd/A 591-2025 artfynd.xlsx", "A 591-2025")</f>
        <v/>
      </c>
      <c r="T1244">
        <f>HYPERLINK("https://klasma.github.io/Logging_0880/kartor/A 591-2025 karta.png", "A 591-2025")</f>
        <v/>
      </c>
      <c r="V1244">
        <f>HYPERLINK("https://klasma.github.io/Logging_0880/klagomål/A 591-2025 FSC-klagomål.docx", "A 591-2025")</f>
        <v/>
      </c>
      <c r="W1244">
        <f>HYPERLINK("https://klasma.github.io/Logging_0880/klagomålsmail/A 591-2025 FSC-klagomål mail.docx", "A 591-2025")</f>
        <v/>
      </c>
      <c r="X1244">
        <f>HYPERLINK("https://klasma.github.io/Logging_0880/tillsyn/A 591-2025 tillsynsbegäran.docx", "A 591-2025")</f>
        <v/>
      </c>
      <c r="Y1244">
        <f>HYPERLINK("https://klasma.github.io/Logging_0880/tillsynsmail/A 591-2025 tillsynsbegäran mail.docx", "A 591-2025")</f>
        <v/>
      </c>
    </row>
    <row r="1245" ht="15" customHeight="1">
      <c r="A1245" t="inlineStr">
        <is>
          <t>A 667-2025</t>
        </is>
      </c>
      <c r="B1245" s="1" t="n">
        <v>45664</v>
      </c>
      <c r="C1245" s="1" t="n">
        <v>45832</v>
      </c>
      <c r="D1245" t="inlineStr">
        <is>
          <t>KALMAR LÄN</t>
        </is>
      </c>
      <c r="E1245" t="inlineStr">
        <is>
          <t>VIMMERBY</t>
        </is>
      </c>
      <c r="G1245" t="n">
        <v>4.4</v>
      </c>
      <c r="H1245" t="n">
        <v>0</v>
      </c>
      <c r="I1245" t="n">
        <v>0</v>
      </c>
      <c r="J1245" t="n">
        <v>1</v>
      </c>
      <c r="K1245" t="n">
        <v>0</v>
      </c>
      <c r="L1245" t="n">
        <v>0</v>
      </c>
      <c r="M1245" t="n">
        <v>0</v>
      </c>
      <c r="N1245" t="n">
        <v>0</v>
      </c>
      <c r="O1245" t="n">
        <v>1</v>
      </c>
      <c r="P1245" t="n">
        <v>0</v>
      </c>
      <c r="Q1245" t="n">
        <v>1</v>
      </c>
      <c r="R1245" s="2" t="inlineStr">
        <is>
          <t>Tallticka</t>
        </is>
      </c>
      <c r="S1245">
        <f>HYPERLINK("https://klasma.github.io/Logging_0884/artfynd/A 667-2025 artfynd.xlsx", "A 667-2025")</f>
        <v/>
      </c>
      <c r="T1245">
        <f>HYPERLINK("https://klasma.github.io/Logging_0884/kartor/A 667-2025 karta.png", "A 667-2025")</f>
        <v/>
      </c>
      <c r="V1245">
        <f>HYPERLINK("https://klasma.github.io/Logging_0884/klagomål/A 667-2025 FSC-klagomål.docx", "A 667-2025")</f>
        <v/>
      </c>
      <c r="W1245">
        <f>HYPERLINK("https://klasma.github.io/Logging_0884/klagomålsmail/A 667-2025 FSC-klagomål mail.docx", "A 667-2025")</f>
        <v/>
      </c>
      <c r="X1245">
        <f>HYPERLINK("https://klasma.github.io/Logging_0884/tillsyn/A 667-2025 tillsynsbegäran.docx", "A 667-2025")</f>
        <v/>
      </c>
      <c r="Y1245">
        <f>HYPERLINK("https://klasma.github.io/Logging_0884/tillsynsmail/A 667-2025 tillsynsbegäran mail.docx", "A 667-2025")</f>
        <v/>
      </c>
    </row>
    <row r="1246" ht="15" customHeight="1">
      <c r="A1246" t="inlineStr">
        <is>
          <t>A 961-2025</t>
        </is>
      </c>
      <c r="B1246" s="1" t="n">
        <v>45666</v>
      </c>
      <c r="C1246" s="1" t="n">
        <v>45832</v>
      </c>
      <c r="D1246" t="inlineStr">
        <is>
          <t>KALMAR LÄN</t>
        </is>
      </c>
      <c r="E1246" t="inlineStr">
        <is>
          <t>VÄSTERVIK</t>
        </is>
      </c>
      <c r="G1246" t="n">
        <v>1.3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961-2025 artfynd.xlsx", "A 961-2025")</f>
        <v/>
      </c>
      <c r="T1246">
        <f>HYPERLINK("https://klasma.github.io/Logging_0883/kartor/A 961-2025 karta.png", "A 961-2025")</f>
        <v/>
      </c>
      <c r="U1246">
        <f>HYPERLINK("https://klasma.github.io/Logging_0883/knärot/A 961-2025 karta knärot.png", "A 961-2025")</f>
        <v/>
      </c>
      <c r="V1246">
        <f>HYPERLINK("https://klasma.github.io/Logging_0883/klagomål/A 961-2025 FSC-klagomål.docx", "A 961-2025")</f>
        <v/>
      </c>
      <c r="W1246">
        <f>HYPERLINK("https://klasma.github.io/Logging_0883/klagomålsmail/A 961-2025 FSC-klagomål mail.docx", "A 961-2025")</f>
        <v/>
      </c>
      <c r="X1246">
        <f>HYPERLINK("https://klasma.github.io/Logging_0883/tillsyn/A 961-2025 tillsynsbegäran.docx", "A 961-2025")</f>
        <v/>
      </c>
      <c r="Y1246">
        <f>HYPERLINK("https://klasma.github.io/Logging_0883/tillsynsmail/A 961-2025 tillsynsbegäran mail.docx", "A 961-2025")</f>
        <v/>
      </c>
    </row>
    <row r="1247" ht="15" customHeight="1">
      <c r="A1247" t="inlineStr">
        <is>
          <t>A 1201-2025</t>
        </is>
      </c>
      <c r="B1247" s="1" t="n">
        <v>45667</v>
      </c>
      <c r="C1247" s="1" t="n">
        <v>45832</v>
      </c>
      <c r="D1247" t="inlineStr">
        <is>
          <t>KALMAR LÄN</t>
        </is>
      </c>
      <c r="E1247" t="inlineStr">
        <is>
          <t>VIMMERBY</t>
        </is>
      </c>
      <c r="G1247" t="n">
        <v>6.4</v>
      </c>
      <c r="H1247" t="n">
        <v>1</v>
      </c>
      <c r="I1247" t="n">
        <v>0</v>
      </c>
      <c r="J1247" t="n">
        <v>0</v>
      </c>
      <c r="K1247" t="n">
        <v>1</v>
      </c>
      <c r="L1247" t="n">
        <v>0</v>
      </c>
      <c r="M1247" t="n">
        <v>0</v>
      </c>
      <c r="N1247" t="n">
        <v>0</v>
      </c>
      <c r="O1247" t="n">
        <v>1</v>
      </c>
      <c r="P1247" t="n">
        <v>1</v>
      </c>
      <c r="Q1247" t="n">
        <v>1</v>
      </c>
      <c r="R1247" s="2" t="inlineStr">
        <is>
          <t>Knärot</t>
        </is>
      </c>
      <c r="S1247">
        <f>HYPERLINK("https://klasma.github.io/Logging_0884/artfynd/A 1201-2025 artfynd.xlsx", "A 1201-2025")</f>
        <v/>
      </c>
      <c r="T1247">
        <f>HYPERLINK("https://klasma.github.io/Logging_0884/kartor/A 1201-2025 karta.png", "A 1201-2025")</f>
        <v/>
      </c>
      <c r="U1247">
        <f>HYPERLINK("https://klasma.github.io/Logging_0884/knärot/A 1201-2025 karta knärot.png", "A 1201-2025")</f>
        <v/>
      </c>
      <c r="V1247">
        <f>HYPERLINK("https://klasma.github.io/Logging_0884/klagomål/A 1201-2025 FSC-klagomål.docx", "A 1201-2025")</f>
        <v/>
      </c>
      <c r="W1247">
        <f>HYPERLINK("https://klasma.github.io/Logging_0884/klagomålsmail/A 1201-2025 FSC-klagomål mail.docx", "A 1201-2025")</f>
        <v/>
      </c>
      <c r="X1247">
        <f>HYPERLINK("https://klasma.github.io/Logging_0884/tillsyn/A 1201-2025 tillsynsbegäran.docx", "A 1201-2025")</f>
        <v/>
      </c>
      <c r="Y1247">
        <f>HYPERLINK("https://klasma.github.io/Logging_0884/tillsynsmail/A 1201-2025 tillsynsbegäran mail.docx", "A 1201-2025")</f>
        <v/>
      </c>
    </row>
    <row r="1248" ht="15" customHeight="1">
      <c r="A1248" t="inlineStr">
        <is>
          <t>A 1613-2025</t>
        </is>
      </c>
      <c r="B1248" s="1" t="n">
        <v>45670</v>
      </c>
      <c r="C1248" s="1" t="n">
        <v>45832</v>
      </c>
      <c r="D1248" t="inlineStr">
        <is>
          <t>KALMAR LÄN</t>
        </is>
      </c>
      <c r="E1248" t="inlineStr">
        <is>
          <t>MÖNSTERÅS</t>
        </is>
      </c>
      <c r="G1248" t="n">
        <v>7.9</v>
      </c>
      <c r="H1248" t="n">
        <v>1</v>
      </c>
      <c r="I1248" t="n">
        <v>0</v>
      </c>
      <c r="J1248" t="n">
        <v>1</v>
      </c>
      <c r="K1248" t="n">
        <v>0</v>
      </c>
      <c r="L1248" t="n">
        <v>0</v>
      </c>
      <c r="M1248" t="n">
        <v>0</v>
      </c>
      <c r="N1248" t="n">
        <v>0</v>
      </c>
      <c r="O1248" t="n">
        <v>1</v>
      </c>
      <c r="P1248" t="n">
        <v>0</v>
      </c>
      <c r="Q1248" t="n">
        <v>1</v>
      </c>
      <c r="R1248" s="2" t="inlineStr">
        <is>
          <t>Talltita</t>
        </is>
      </c>
      <c r="S1248">
        <f>HYPERLINK("https://klasma.github.io/Logging_0861/artfynd/A 1613-2025 artfynd.xlsx", "A 1613-2025")</f>
        <v/>
      </c>
      <c r="T1248">
        <f>HYPERLINK("https://klasma.github.io/Logging_0861/kartor/A 1613-2025 karta.png", "A 1613-2025")</f>
        <v/>
      </c>
      <c r="V1248">
        <f>HYPERLINK("https://klasma.github.io/Logging_0861/klagomål/A 1613-2025 FSC-klagomål.docx", "A 1613-2025")</f>
        <v/>
      </c>
      <c r="W1248">
        <f>HYPERLINK("https://klasma.github.io/Logging_0861/klagomålsmail/A 1613-2025 FSC-klagomål mail.docx", "A 1613-2025")</f>
        <v/>
      </c>
      <c r="X1248">
        <f>HYPERLINK("https://klasma.github.io/Logging_0861/tillsyn/A 1613-2025 tillsynsbegäran.docx", "A 1613-2025")</f>
        <v/>
      </c>
      <c r="Y1248">
        <f>HYPERLINK("https://klasma.github.io/Logging_0861/tillsynsmail/A 1613-2025 tillsynsbegäran mail.docx", "A 1613-2025")</f>
        <v/>
      </c>
      <c r="Z1248">
        <f>HYPERLINK("https://klasma.github.io/Logging_0861/fåglar/A 1613-2025 prioriterade fågelarter.docx", "A 1613-2025")</f>
        <v/>
      </c>
    </row>
    <row r="1249" ht="15" customHeight="1">
      <c r="A1249" t="inlineStr">
        <is>
          <t>A 1771-2025</t>
        </is>
      </c>
      <c r="B1249" s="1" t="n">
        <v>45671</v>
      </c>
      <c r="C1249" s="1" t="n">
        <v>45832</v>
      </c>
      <c r="D1249" t="inlineStr">
        <is>
          <t>KALMAR LÄN</t>
        </is>
      </c>
      <c r="E1249" t="inlineStr">
        <is>
          <t>HÖGSBY</t>
        </is>
      </c>
      <c r="G1249" t="n">
        <v>4.5</v>
      </c>
      <c r="H1249" t="n">
        <v>0</v>
      </c>
      <c r="I1249" t="n">
        <v>0</v>
      </c>
      <c r="J1249" t="n">
        <v>0</v>
      </c>
      <c r="K1249" t="n">
        <v>1</v>
      </c>
      <c r="L1249" t="n">
        <v>0</v>
      </c>
      <c r="M1249" t="n">
        <v>0</v>
      </c>
      <c r="N1249" t="n">
        <v>0</v>
      </c>
      <c r="O1249" t="n">
        <v>1</v>
      </c>
      <c r="P1249" t="n">
        <v>1</v>
      </c>
      <c r="Q1249" t="n">
        <v>1</v>
      </c>
      <c r="R1249" s="2" t="inlineStr">
        <is>
          <t>Mörkstiftig hällfibbla</t>
        </is>
      </c>
      <c r="S1249">
        <f>HYPERLINK("https://klasma.github.io/Logging_0821/artfynd/A 1771-2025 artfynd.xlsx", "A 1771-2025")</f>
        <v/>
      </c>
      <c r="T1249">
        <f>HYPERLINK("https://klasma.github.io/Logging_0821/kartor/A 1771-2025 karta.png", "A 1771-2025")</f>
        <v/>
      </c>
      <c r="V1249">
        <f>HYPERLINK("https://klasma.github.io/Logging_0821/klagomål/A 1771-2025 FSC-klagomål.docx", "A 1771-2025")</f>
        <v/>
      </c>
      <c r="W1249">
        <f>HYPERLINK("https://klasma.github.io/Logging_0821/klagomålsmail/A 1771-2025 FSC-klagomål mail.docx", "A 1771-2025")</f>
        <v/>
      </c>
      <c r="X1249">
        <f>HYPERLINK("https://klasma.github.io/Logging_0821/tillsyn/A 1771-2025 tillsynsbegäran.docx", "A 1771-2025")</f>
        <v/>
      </c>
      <c r="Y1249">
        <f>HYPERLINK("https://klasma.github.io/Logging_0821/tillsynsmail/A 1771-2025 tillsynsbegäran mail.docx", "A 1771-2025")</f>
        <v/>
      </c>
    </row>
    <row r="1250" ht="15" customHeight="1">
      <c r="A1250" t="inlineStr">
        <is>
          <t>A 1775-2025</t>
        </is>
      </c>
      <c r="B1250" s="1" t="n">
        <v>45671</v>
      </c>
      <c r="C1250" s="1" t="n">
        <v>45832</v>
      </c>
      <c r="D1250" t="inlineStr">
        <is>
          <t>KALMAR LÄN</t>
        </is>
      </c>
      <c r="E1250" t="inlineStr">
        <is>
          <t>VÄSTERVIK</t>
        </is>
      </c>
      <c r="G1250" t="n">
        <v>0.9</v>
      </c>
      <c r="H1250" t="n">
        <v>1</v>
      </c>
      <c r="I1250" t="n">
        <v>0</v>
      </c>
      <c r="J1250" t="n">
        <v>0</v>
      </c>
      <c r="K1250" t="n">
        <v>0</v>
      </c>
      <c r="L1250" t="n">
        <v>0</v>
      </c>
      <c r="M1250" t="n">
        <v>0</v>
      </c>
      <c r="N1250" t="n">
        <v>0</v>
      </c>
      <c r="O1250" t="n">
        <v>0</v>
      </c>
      <c r="P1250" t="n">
        <v>0</v>
      </c>
      <c r="Q1250" t="n">
        <v>1</v>
      </c>
      <c r="R1250" s="2" t="inlineStr">
        <is>
          <t>Kungsfågel</t>
        </is>
      </c>
      <c r="S1250">
        <f>HYPERLINK("https://klasma.github.io/Logging_0883/artfynd/A 1775-2025 artfynd.xlsx", "A 1775-2025")</f>
        <v/>
      </c>
      <c r="T1250">
        <f>HYPERLINK("https://klasma.github.io/Logging_0883/kartor/A 1775-2025 karta.png", "A 1775-2025")</f>
        <v/>
      </c>
      <c r="V1250">
        <f>HYPERLINK("https://klasma.github.io/Logging_0883/klagomål/A 1775-2025 FSC-klagomål.docx", "A 1775-2025")</f>
        <v/>
      </c>
      <c r="W1250">
        <f>HYPERLINK("https://klasma.github.io/Logging_0883/klagomålsmail/A 1775-2025 FSC-klagomål mail.docx", "A 1775-2025")</f>
        <v/>
      </c>
      <c r="X1250">
        <f>HYPERLINK("https://klasma.github.io/Logging_0883/tillsyn/A 1775-2025 tillsynsbegäran.docx", "A 1775-2025")</f>
        <v/>
      </c>
      <c r="Y1250">
        <f>HYPERLINK("https://klasma.github.io/Logging_0883/tillsynsmail/A 1775-2025 tillsynsbegäran mail.docx", "A 1775-2025")</f>
        <v/>
      </c>
      <c r="Z1250">
        <f>HYPERLINK("https://klasma.github.io/Logging_0883/fåglar/A 1775-2025 prioriterade fågelarter.docx", "A 1775-2025")</f>
        <v/>
      </c>
    </row>
    <row r="1251" ht="15" customHeight="1">
      <c r="A1251" t="inlineStr">
        <is>
          <t>A 2328-2025</t>
        </is>
      </c>
      <c r="B1251" s="1" t="n">
        <v>45673</v>
      </c>
      <c r="C1251" s="1" t="n">
        <v>45832</v>
      </c>
      <c r="D1251" t="inlineStr">
        <is>
          <t>KALMAR LÄN</t>
        </is>
      </c>
      <c r="E1251" t="inlineStr">
        <is>
          <t>VÄSTERVIK</t>
        </is>
      </c>
      <c r="F1251" t="inlineStr">
        <is>
          <t>Sveaskog</t>
        </is>
      </c>
      <c r="G1251" t="n">
        <v>1.4</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2328-2025 artfynd.xlsx", "A 2328-2025")</f>
        <v/>
      </c>
      <c r="T1251">
        <f>HYPERLINK("https://klasma.github.io/Logging_0883/kartor/A 2328-2025 karta.png", "A 2328-2025")</f>
        <v/>
      </c>
      <c r="V1251">
        <f>HYPERLINK("https://klasma.github.io/Logging_0883/klagomål/A 2328-2025 FSC-klagomål.docx", "A 2328-2025")</f>
        <v/>
      </c>
      <c r="W1251">
        <f>HYPERLINK("https://klasma.github.io/Logging_0883/klagomålsmail/A 2328-2025 FSC-klagomål mail.docx", "A 2328-2025")</f>
        <v/>
      </c>
      <c r="X1251">
        <f>HYPERLINK("https://klasma.github.io/Logging_0883/tillsyn/A 2328-2025 tillsynsbegäran.docx", "A 2328-2025")</f>
        <v/>
      </c>
      <c r="Y1251">
        <f>HYPERLINK("https://klasma.github.io/Logging_0883/tillsynsmail/A 2328-2025 tillsynsbegäran mail.docx", "A 2328-2025")</f>
        <v/>
      </c>
    </row>
    <row r="1252" ht="15" customHeight="1">
      <c r="A1252" t="inlineStr">
        <is>
          <t>A 3112-2025</t>
        </is>
      </c>
      <c r="B1252" s="1" t="n">
        <v>45678</v>
      </c>
      <c r="C1252" s="1" t="n">
        <v>45832</v>
      </c>
      <c r="D1252" t="inlineStr">
        <is>
          <t>KALMAR LÄN</t>
        </is>
      </c>
      <c r="E1252" t="inlineStr">
        <is>
          <t>VÄSTERVIK</t>
        </is>
      </c>
      <c r="G1252" t="n">
        <v>1.5</v>
      </c>
      <c r="H1252" t="n">
        <v>1</v>
      </c>
      <c r="I1252" t="n">
        <v>0</v>
      </c>
      <c r="J1252" t="n">
        <v>0</v>
      </c>
      <c r="K1252" t="n">
        <v>0</v>
      </c>
      <c r="L1252" t="n">
        <v>0</v>
      </c>
      <c r="M1252" t="n">
        <v>0</v>
      </c>
      <c r="N1252" t="n">
        <v>0</v>
      </c>
      <c r="O1252" t="n">
        <v>0</v>
      </c>
      <c r="P1252" t="n">
        <v>0</v>
      </c>
      <c r="Q1252" t="n">
        <v>1</v>
      </c>
      <c r="R1252" s="2" t="inlineStr">
        <is>
          <t>Mattlummer</t>
        </is>
      </c>
      <c r="S1252">
        <f>HYPERLINK("https://klasma.github.io/Logging_0883/artfynd/A 3112-2025 artfynd.xlsx", "A 3112-2025")</f>
        <v/>
      </c>
      <c r="T1252">
        <f>HYPERLINK("https://klasma.github.io/Logging_0883/kartor/A 3112-2025 karta.png", "A 3112-2025")</f>
        <v/>
      </c>
      <c r="V1252">
        <f>HYPERLINK("https://klasma.github.io/Logging_0883/klagomål/A 3112-2025 FSC-klagomål.docx", "A 3112-2025")</f>
        <v/>
      </c>
      <c r="W1252">
        <f>HYPERLINK("https://klasma.github.io/Logging_0883/klagomålsmail/A 3112-2025 FSC-klagomål mail.docx", "A 3112-2025")</f>
        <v/>
      </c>
      <c r="X1252">
        <f>HYPERLINK("https://klasma.github.io/Logging_0883/tillsyn/A 3112-2025 tillsynsbegäran.docx", "A 3112-2025")</f>
        <v/>
      </c>
      <c r="Y1252">
        <f>HYPERLINK("https://klasma.github.io/Logging_0883/tillsynsmail/A 3112-2025 tillsynsbegäran mail.docx", "A 3112-2025")</f>
        <v/>
      </c>
    </row>
    <row r="1253" ht="15" customHeight="1">
      <c r="A1253" t="inlineStr">
        <is>
          <t>A 3057-2025</t>
        </is>
      </c>
      <c r="B1253" s="1" t="n">
        <v>45678</v>
      </c>
      <c r="C1253" s="1" t="n">
        <v>45832</v>
      </c>
      <c r="D1253" t="inlineStr">
        <is>
          <t>KALMAR LÄN</t>
        </is>
      </c>
      <c r="E1253" t="inlineStr">
        <is>
          <t>VÄSTERVIK</t>
        </is>
      </c>
      <c r="G1253" t="n">
        <v>1</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3057-2025 artfynd.xlsx", "A 3057-2025")</f>
        <v/>
      </c>
      <c r="T1253">
        <f>HYPERLINK("https://klasma.github.io/Logging_0883/kartor/A 3057-2025 karta.png", "A 3057-2025")</f>
        <v/>
      </c>
      <c r="U1253">
        <f>HYPERLINK("https://klasma.github.io/Logging_0883/knärot/A 3057-2025 karta knärot.png", "A 3057-2025")</f>
        <v/>
      </c>
      <c r="V1253">
        <f>HYPERLINK("https://klasma.github.io/Logging_0883/klagomål/A 3057-2025 FSC-klagomål.docx", "A 3057-2025")</f>
        <v/>
      </c>
      <c r="W1253">
        <f>HYPERLINK("https://klasma.github.io/Logging_0883/klagomålsmail/A 3057-2025 FSC-klagomål mail.docx", "A 3057-2025")</f>
        <v/>
      </c>
      <c r="X1253">
        <f>HYPERLINK("https://klasma.github.io/Logging_0883/tillsyn/A 3057-2025 tillsynsbegäran.docx", "A 3057-2025")</f>
        <v/>
      </c>
      <c r="Y1253">
        <f>HYPERLINK("https://klasma.github.io/Logging_0883/tillsynsmail/A 3057-2025 tillsynsbegäran mail.docx", "A 3057-2025")</f>
        <v/>
      </c>
    </row>
    <row r="1254" ht="15" customHeight="1">
      <c r="A1254" t="inlineStr">
        <is>
          <t>A 3673-2025</t>
        </is>
      </c>
      <c r="B1254" s="1" t="n">
        <v>45681</v>
      </c>
      <c r="C1254" s="1" t="n">
        <v>45832</v>
      </c>
      <c r="D1254" t="inlineStr">
        <is>
          <t>KALMAR LÄN</t>
        </is>
      </c>
      <c r="E1254" t="inlineStr">
        <is>
          <t>VÄSTERVIK</t>
        </is>
      </c>
      <c r="G1254" t="n">
        <v>1.1</v>
      </c>
      <c r="H1254" t="n">
        <v>0</v>
      </c>
      <c r="I1254" t="n">
        <v>1</v>
      </c>
      <c r="J1254" t="n">
        <v>0</v>
      </c>
      <c r="K1254" t="n">
        <v>0</v>
      </c>
      <c r="L1254" t="n">
        <v>0</v>
      </c>
      <c r="M1254" t="n">
        <v>0</v>
      </c>
      <c r="N1254" t="n">
        <v>0</v>
      </c>
      <c r="O1254" t="n">
        <v>0</v>
      </c>
      <c r="P1254" t="n">
        <v>0</v>
      </c>
      <c r="Q1254" t="n">
        <v>1</v>
      </c>
      <c r="R1254" s="2" t="inlineStr">
        <is>
          <t>Blodticka</t>
        </is>
      </c>
      <c r="S1254">
        <f>HYPERLINK("https://klasma.github.io/Logging_0883/artfynd/A 3673-2025 artfynd.xlsx", "A 3673-2025")</f>
        <v/>
      </c>
      <c r="T1254">
        <f>HYPERLINK("https://klasma.github.io/Logging_0883/kartor/A 3673-2025 karta.png", "A 3673-2025")</f>
        <v/>
      </c>
      <c r="V1254">
        <f>HYPERLINK("https://klasma.github.io/Logging_0883/klagomål/A 3673-2025 FSC-klagomål.docx", "A 3673-2025")</f>
        <v/>
      </c>
      <c r="W1254">
        <f>HYPERLINK("https://klasma.github.io/Logging_0883/klagomålsmail/A 3673-2025 FSC-klagomål mail.docx", "A 3673-2025")</f>
        <v/>
      </c>
      <c r="X1254">
        <f>HYPERLINK("https://klasma.github.io/Logging_0883/tillsyn/A 3673-2025 tillsynsbegäran.docx", "A 3673-2025")</f>
        <v/>
      </c>
      <c r="Y1254">
        <f>HYPERLINK("https://klasma.github.io/Logging_0883/tillsynsmail/A 3673-2025 tillsynsbegäran mail.docx", "A 3673-2025")</f>
        <v/>
      </c>
    </row>
    <row r="1255" ht="15" customHeight="1">
      <c r="A1255" t="inlineStr">
        <is>
          <t>A 3600-2025</t>
        </is>
      </c>
      <c r="B1255" s="1" t="n">
        <v>45681</v>
      </c>
      <c r="C1255" s="1" t="n">
        <v>45832</v>
      </c>
      <c r="D1255" t="inlineStr">
        <is>
          <t>KALMAR LÄN</t>
        </is>
      </c>
      <c r="E1255" t="inlineStr">
        <is>
          <t>VÄSTERVIK</t>
        </is>
      </c>
      <c r="G1255" t="n">
        <v>1</v>
      </c>
      <c r="H1255" t="n">
        <v>1</v>
      </c>
      <c r="I1255" t="n">
        <v>0</v>
      </c>
      <c r="J1255" t="n">
        <v>1</v>
      </c>
      <c r="K1255" t="n">
        <v>0</v>
      </c>
      <c r="L1255" t="n">
        <v>0</v>
      </c>
      <c r="M1255" t="n">
        <v>0</v>
      </c>
      <c r="N1255" t="n">
        <v>0</v>
      </c>
      <c r="O1255" t="n">
        <v>1</v>
      </c>
      <c r="P1255" t="n">
        <v>0</v>
      </c>
      <c r="Q1255" t="n">
        <v>1</v>
      </c>
      <c r="R1255" s="2" t="inlineStr">
        <is>
          <t>Spillkråka</t>
        </is>
      </c>
      <c r="S1255">
        <f>HYPERLINK("https://klasma.github.io/Logging_0883/artfynd/A 3600-2025 artfynd.xlsx", "A 3600-2025")</f>
        <v/>
      </c>
      <c r="T1255">
        <f>HYPERLINK("https://klasma.github.io/Logging_0883/kartor/A 3600-2025 karta.png", "A 3600-2025")</f>
        <v/>
      </c>
      <c r="V1255">
        <f>HYPERLINK("https://klasma.github.io/Logging_0883/klagomål/A 3600-2025 FSC-klagomål.docx", "A 3600-2025")</f>
        <v/>
      </c>
      <c r="W1255">
        <f>HYPERLINK("https://klasma.github.io/Logging_0883/klagomålsmail/A 3600-2025 FSC-klagomål mail.docx", "A 3600-2025")</f>
        <v/>
      </c>
      <c r="X1255">
        <f>HYPERLINK("https://klasma.github.io/Logging_0883/tillsyn/A 3600-2025 tillsynsbegäran.docx", "A 3600-2025")</f>
        <v/>
      </c>
      <c r="Y1255">
        <f>HYPERLINK("https://klasma.github.io/Logging_0883/tillsynsmail/A 3600-2025 tillsynsbegäran mail.docx", "A 3600-2025")</f>
        <v/>
      </c>
      <c r="Z1255">
        <f>HYPERLINK("https://klasma.github.io/Logging_0883/fåglar/A 3600-2025 prioriterade fågelarter.docx", "A 3600-2025")</f>
        <v/>
      </c>
    </row>
    <row r="1256" ht="15" customHeight="1">
      <c r="A1256" t="inlineStr">
        <is>
          <t>A 3631-2025</t>
        </is>
      </c>
      <c r="B1256" s="1" t="n">
        <v>45681</v>
      </c>
      <c r="C1256" s="1" t="n">
        <v>45832</v>
      </c>
      <c r="D1256" t="inlineStr">
        <is>
          <t>KALMAR LÄN</t>
        </is>
      </c>
      <c r="E1256" t="inlineStr">
        <is>
          <t>NYBRO</t>
        </is>
      </c>
      <c r="F1256" t="inlineStr">
        <is>
          <t>Kyrkan</t>
        </is>
      </c>
      <c r="G1256" t="n">
        <v>2.3</v>
      </c>
      <c r="H1256" t="n">
        <v>0</v>
      </c>
      <c r="I1256" t="n">
        <v>0</v>
      </c>
      <c r="J1256" t="n">
        <v>0</v>
      </c>
      <c r="K1256" t="n">
        <v>1</v>
      </c>
      <c r="L1256" t="n">
        <v>0</v>
      </c>
      <c r="M1256" t="n">
        <v>0</v>
      </c>
      <c r="N1256" t="n">
        <v>0</v>
      </c>
      <c r="O1256" t="n">
        <v>1</v>
      </c>
      <c r="P1256" t="n">
        <v>1</v>
      </c>
      <c r="Q1256" t="n">
        <v>1</v>
      </c>
      <c r="R1256" s="2" t="inlineStr">
        <is>
          <t>Åkerrättika</t>
        </is>
      </c>
      <c r="S1256">
        <f>HYPERLINK("https://klasma.github.io/Logging_0881/artfynd/A 3631-2025 artfynd.xlsx", "A 3631-2025")</f>
        <v/>
      </c>
      <c r="T1256">
        <f>HYPERLINK("https://klasma.github.io/Logging_0881/kartor/A 3631-2025 karta.png", "A 3631-2025")</f>
        <v/>
      </c>
      <c r="V1256">
        <f>HYPERLINK("https://klasma.github.io/Logging_0881/klagomål/A 3631-2025 FSC-klagomål.docx", "A 3631-2025")</f>
        <v/>
      </c>
      <c r="W1256">
        <f>HYPERLINK("https://klasma.github.io/Logging_0881/klagomålsmail/A 3631-2025 FSC-klagomål mail.docx", "A 3631-2025")</f>
        <v/>
      </c>
      <c r="X1256">
        <f>HYPERLINK("https://klasma.github.io/Logging_0881/tillsyn/A 3631-2025 tillsynsbegäran.docx", "A 3631-2025")</f>
        <v/>
      </c>
      <c r="Y1256">
        <f>HYPERLINK("https://klasma.github.io/Logging_0881/tillsynsmail/A 3631-2025 tillsynsbegäran mail.docx", "A 3631-2025")</f>
        <v/>
      </c>
    </row>
    <row r="1257" ht="15" customHeight="1">
      <c r="A1257" t="inlineStr">
        <is>
          <t>A 3920-2025</t>
        </is>
      </c>
      <c r="B1257" s="1" t="n">
        <v>45684</v>
      </c>
      <c r="C1257" s="1" t="n">
        <v>45832</v>
      </c>
      <c r="D1257" t="inlineStr">
        <is>
          <t>KALMAR LÄN</t>
        </is>
      </c>
      <c r="E1257" t="inlineStr">
        <is>
          <t>KALMAR</t>
        </is>
      </c>
      <c r="G1257" t="n">
        <v>44</v>
      </c>
      <c r="H1257" t="n">
        <v>0</v>
      </c>
      <c r="I1257" t="n">
        <v>0</v>
      </c>
      <c r="J1257" t="n">
        <v>1</v>
      </c>
      <c r="K1257" t="n">
        <v>0</v>
      </c>
      <c r="L1257" t="n">
        <v>0</v>
      </c>
      <c r="M1257" t="n">
        <v>0</v>
      </c>
      <c r="N1257" t="n">
        <v>0</v>
      </c>
      <c r="O1257" t="n">
        <v>1</v>
      </c>
      <c r="P1257" t="n">
        <v>0</v>
      </c>
      <c r="Q1257" t="n">
        <v>1</v>
      </c>
      <c r="R1257" s="2" t="inlineStr">
        <is>
          <t>Sumpviol</t>
        </is>
      </c>
      <c r="S1257">
        <f>HYPERLINK("https://klasma.github.io/Logging_0880/artfynd/A 3920-2025 artfynd.xlsx", "A 3920-2025")</f>
        <v/>
      </c>
      <c r="T1257">
        <f>HYPERLINK("https://klasma.github.io/Logging_0880/kartor/A 3920-2025 karta.png", "A 3920-2025")</f>
        <v/>
      </c>
      <c r="V1257">
        <f>HYPERLINK("https://klasma.github.io/Logging_0880/klagomål/A 3920-2025 FSC-klagomål.docx", "A 3920-2025")</f>
        <v/>
      </c>
      <c r="W1257">
        <f>HYPERLINK("https://klasma.github.io/Logging_0880/klagomålsmail/A 3920-2025 FSC-klagomål mail.docx", "A 3920-2025")</f>
        <v/>
      </c>
      <c r="X1257">
        <f>HYPERLINK("https://klasma.github.io/Logging_0880/tillsyn/A 3920-2025 tillsynsbegäran.docx", "A 3920-2025")</f>
        <v/>
      </c>
      <c r="Y1257">
        <f>HYPERLINK("https://klasma.github.io/Logging_0880/tillsynsmail/A 3920-2025 tillsynsbegäran mail.docx", "A 3920-2025")</f>
        <v/>
      </c>
    </row>
    <row r="1258" ht="15" customHeight="1">
      <c r="A1258" t="inlineStr">
        <is>
          <t>A 4750-2025</t>
        </is>
      </c>
      <c r="B1258" s="1" t="n">
        <v>45688</v>
      </c>
      <c r="C1258" s="1" t="n">
        <v>45832</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45832</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45832</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45832</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45832</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45832</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45832</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45832</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45832</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45832</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45832</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45832</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45832</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45832</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45832</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45832</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45832</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45832</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45832</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45832</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45832</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45832</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45832</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45832</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45832</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45832</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45832</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45832</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45832</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45832</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45832</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45832</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45832</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45832</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45832</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45832</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45832</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45832</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45832</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45832</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45832</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45832</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45832</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45832</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45832</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45832</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45832</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45832</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45832</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45832</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45832</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45832</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45832</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45832</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45832</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45832</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45832</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45832</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45832</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45832</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45832</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45832</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45832</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45832</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45832</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45832</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45832</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45832</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45832</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45832</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45832</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45832</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45832</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45832</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45832</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45832</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45832</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45832</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45832</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45832</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45832</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45832</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45832</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45832</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45832</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45832</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45832</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45832</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45832</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45832</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45832</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45832</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45832</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45832</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45832</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45832</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45832</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45832</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45832</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45832</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45832</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45832</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45832</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45832</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45832</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45832</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45832</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45832</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45832</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45832</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45832</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45832</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45832</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45832</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45832</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45832</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45832</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45832</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45832</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45832</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45832</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45832</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45832</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45832</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45832</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45832</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45832</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45832</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45832</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45832</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45832</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45832</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45832</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45832</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45832</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45832</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45832</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45832</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45832</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45832</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45832</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45832</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45832</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45832</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45832</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45832</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45832</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45832</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45832</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45832</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45832</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45832</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45832</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45832</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45832</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45832</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45832</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45832</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45832</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45832</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45832</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45832</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45832</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45832</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45832</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45832</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45832</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45832</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45832</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45832</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45832</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45832</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45832</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45832</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45832</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45832</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45832</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45832</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45832</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45832</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45832</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45832</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45832</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45832</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45832</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45832</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45832</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45832</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45832</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45832</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45832</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45832</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45832</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45832</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45832</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45832</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45832</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45832</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45832</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45832</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45832</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45832</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45832</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45832</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45832</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45832</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45832</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45832</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45832</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45832</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45832</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45832</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45832</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45832</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45832</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45832</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45832</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45832</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45832</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45832</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45832</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45832</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45832</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45832</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45832</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45832</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45832</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45832</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45832</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45832</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45832</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45832</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45832</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45832</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45832</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45832</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45832</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45832</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45832</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45832</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45832</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45832</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45832</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45832</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45832</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45832</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45832</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45832</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45832</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45832</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45832</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45832</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45832</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45832</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45832</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45832</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45832</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45832</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45832</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45832</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45832</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45832</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45832</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45832</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45832</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45832</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45832</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45832</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45832</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45832</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45832</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45832</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45832</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45832</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45832</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45832</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45832</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45832</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45832</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45832</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45832</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45832</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45832</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45832</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45832</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45832</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45832</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45832</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45832</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45832</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45832</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45832</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45832</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45832</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45832</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45832</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45832</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45832</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45832</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45832</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45832</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45832</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45832</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45832</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45832</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45832</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45832</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45832</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45832</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45832</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45832</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45832</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45832</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45832</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45832</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45832</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45832</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45832</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45832</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45832</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45832</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45832</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45832</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45832</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45832</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45832</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45832</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45832</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45832</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45832</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45832</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45832</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45832</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45832</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45832</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45832</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45832</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45832</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45832</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45832</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45832</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45832</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45832</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45832</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45832</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45832</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45832</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45832</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45832</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45832</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45832</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45832</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45832</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45832</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45832</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45832</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45832</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45832</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45832</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45832</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45832</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45832</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45832</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45832</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45832</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45832</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45832</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45832</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45832</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45832</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45832</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45832</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45832</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45832</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45832</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45832</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45832</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45832</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45832</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45832</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45832</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45832</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45832</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45832</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45832</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45832</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45832</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45832</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45832</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45832</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45832</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45832</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45832</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45832</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45832</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45832</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45832</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45832</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45832</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45832</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45832</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45832</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45832</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45832</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45832</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45832</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45832</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45832</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45832</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45832</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45832</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45832</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45832</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45832</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45832</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45832</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45832</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45832</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45832</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45832</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45832</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45832</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45832</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45832</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45832</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45832</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45832</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45832</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45832</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45832</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45832</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45832</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45832</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45832</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45832</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45832</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45832</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45832</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45832</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45832</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45832</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45832</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45832</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45832</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45832</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45832</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45832</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45832</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45832</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45832</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45832</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45832</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45832</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45832</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45832</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45832</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45832</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45832</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45832</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45832</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45832</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45832</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45832</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45832</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45832</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45832</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45832</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45832</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45832</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45832</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45832</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45832</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45832</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45832</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45832</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45832</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45832</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45832</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45832</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45832</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45832</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45832</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45832</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45832</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45832</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45832</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45832</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45832</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45832</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45832</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45832</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45832</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45832</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45832</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45832</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45832</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45832</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45832</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45832</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45832</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45832</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45832</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45832</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45832</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45832</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45832</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45832</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45832</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45832</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45832</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45832</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45832</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45832</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45832</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45832</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45832</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45832</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45832</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45832</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45832</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45832</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45832</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45832</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45832</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45832</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45832</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45832</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45832</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45832</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45832</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45832</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45832</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45832</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45832</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45832</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45832</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45832</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45832</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45832</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45832</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45832</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45832</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45832</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45832</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45832</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45832</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45832</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45832</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45832</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45832</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45832</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45832</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45832</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45832</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45832</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45832</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45832</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45832</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45832</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45832</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45832</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45832</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45832</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45832</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45832</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45832</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45832</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45832</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45832</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45832</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45832</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45832</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45832</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45832</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45832</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45832</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45832</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45832</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45832</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45832</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45832</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45832</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45832</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45832</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45832</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45832</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45832</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45832</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45832</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45832</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45832</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45832</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45832</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45832</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45832</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45832</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45832</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45832</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45832</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45832</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45832</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45832</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45832</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45832</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45832</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45832</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45832</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45832</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45832</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45832</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45832</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45832</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45832</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45832</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45832</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45832</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45832</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45832</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45832</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45832</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45832</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45832</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45832</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45832</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45832</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45832</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45832</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45832</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45832</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45832</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45832</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45832</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45832</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45832</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45832</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45832</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45832</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45832</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45832</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45832</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45832</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45832</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45832</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45832</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45832</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45832</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45832</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45832</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45832</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45832</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45832</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45832</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45832</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45832</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45832</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45832</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45832</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45832</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45832</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45832</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45832</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45832</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45832</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45832</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45832</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45832</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45832</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45832</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45832</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45832</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45832</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45832</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45832</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45832</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45832</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45832</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45832</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45832</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45832</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45832</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45832</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45832</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45832</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45832</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45832</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45832</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45832</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45832</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45832</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45832</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45832</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45832</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45832</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45832</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45832</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45832</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45832</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45832</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45832</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45832</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45832</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45832</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45832</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45832</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45832</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45832</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45832</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45832</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45832</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45832</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45832</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45832</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45832</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45832</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45832</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45832</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45832</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45832</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45832</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45832</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45832</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45832</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45832</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45832</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45832</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45832</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45832</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45832</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45832</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45832</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45832</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45832</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45832</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45832</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45832</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45832</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45832</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45832</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45832</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45832</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45832</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45832</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45832</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45832</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45832</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45832</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45832</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45832</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45832</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45832</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45832</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45832</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45832</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45832</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45832</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45832</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45832</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45832</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45832</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45832</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45832</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45832</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45832</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45832</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45832</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45832</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45832</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45832</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45832</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45832</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45832</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45832</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45832</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45832</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45832</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45832</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45832</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45832</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45832</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45832</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45832</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45832</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45832</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45832</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45832</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45832</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45832</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45832</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45832</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45832</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45832</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45832</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45832</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45832</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45832</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45832</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45832</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45832</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45832</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45832</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45832</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45832</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45832</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45832</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45832</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45832</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45832</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45832</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45832</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45832</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45832</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45832</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45832</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45832</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45832</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45832</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45832</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45832</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45832</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45832</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45832</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45832</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45832</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45832</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45832</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45832</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45832</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45832</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45832</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45832</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45832</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45832</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45832</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45832</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45832</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45832</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45832</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45832</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45832</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45832</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45832</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45832</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45832</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45832</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45832</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45832</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45832</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45832</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45832</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45832</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45832</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45832</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45832</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45832</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45832</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45832</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45832</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45832</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45832</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45832</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45832</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45832</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45832</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45832</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45832</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45832</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45832</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45832</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45832</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45832</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45832</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45832</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45832</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45832</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45832</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45832</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45832</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45832</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45832</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45832</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45832</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45832</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45832</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45832</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45832</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45832</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45832</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45832</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45832</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45832</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45832</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45832</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45832</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45832</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45832</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45832</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45832</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45832</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45832</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45832</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45832</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45832</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45832</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45832</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45832</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45832</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45832</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45832</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45832</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45832</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45832</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45832</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45832</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45832</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45832</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45832</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45832</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45832</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45832</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45832</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45832</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45832</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45832</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45832</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45832</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45832</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45832</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45832</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45832</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45832</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45832</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45832</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45832</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45832</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45832</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45832</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45832</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45832</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45832</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45832</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45832</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45832</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45832</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45832</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45832</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45832</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45832</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45832</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45832</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45832</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45832</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45832</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45832</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45832</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45832</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45832</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45832</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45832</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45832</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45832</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45832</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45832</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45832</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45832</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45832</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45832</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45832</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45832</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45832</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45832</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45832</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45832</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45832</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45832</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45832</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45832</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45832</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45832</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45832</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45832</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45832</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45832</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45832</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45832</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45832</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45832</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45832</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45832</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45832</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45832</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45832</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45832</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45832</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45832</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45832</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45832</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45832</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45832</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45832</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45832</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45832</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45832</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45832</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45832</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45832</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45832</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45832</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45832</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45832</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45832</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45832</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45832</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45832</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45832</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45832</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45832</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45832</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45832</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45832</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45832</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45832</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45832</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45832</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45832</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45832</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45832</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45832</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45832</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45832</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45832</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45832</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45832</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45832</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45832</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45832</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45832</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45832</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45832</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45832</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45832</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45832</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45832</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45832</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45832</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45832</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45832</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45832</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45832</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45832</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45832</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45832</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45832</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45832</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45832</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45832</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45832</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45832</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45832</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45832</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45832</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45832</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45832</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45832</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45832</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45832</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45832</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45832</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45832</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45832</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45832</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45832</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45832</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45832</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45832</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45832</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45832</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45832</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45832</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45832</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45832</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45832</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45832</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45832</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45832</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45832</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45832</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45832</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45832</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45832</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45832</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45832</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45832</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45832</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45832</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45832</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45832</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45832</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45832</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45832</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45832</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45832</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45832</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45832</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45832</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45832</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45832</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45832</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45832</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45832</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45832</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45832</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45832</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45832</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45832</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45832</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45832</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45832</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45832</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45832</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45832</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45832</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45832</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45832</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45832</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45832</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45832</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45832</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45832</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45832</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45832</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45832</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45832</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45832</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45832</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45832</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45832</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45832</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45832</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45832</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45832</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45832</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45832</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45832</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45832</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45832</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45832</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45832</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45832</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45832</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45832</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45832</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45832</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45832</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45832</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45832</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45832</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45832</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45832</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45832</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45832</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45832</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45832</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45832</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45832</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45832</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45832</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45832</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45832</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45832</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45832</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45832</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45832</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45832</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45832</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45832</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45832</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45832</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45832</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45832</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45832</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45832</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45832</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45832</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45832</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45832</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45832</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45832</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45832</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45832</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45832</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45832</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45832</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45832</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45832</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45832</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45832</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45832</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45832</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45832</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45832</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45832</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45832</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45832</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45832</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45832</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45832</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45832</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45832</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45832</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45832</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45832</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45832</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45832</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45832</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45832</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45832</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45832</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45832</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45832</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45832</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45832</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45832</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45832</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45832</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45832</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45832</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45832</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45832</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45832</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45832</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45832</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45832</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45832</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45832</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45832</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45832</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45832</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45832</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45832</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45832</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45832</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45832</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45832</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45832</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45832</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45832</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45832</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45832</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45832</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45832</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45832</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45832</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45832</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45832</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45832</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45832</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45832</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45832</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45832</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45832</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45832</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45832</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45832</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45832</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45832</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45832</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45832</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45832</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45832</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45832</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45832</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45832</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45832</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45832</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45832</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45832</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45832</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45832</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45832</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45832</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45832</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45832</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45832</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45832</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45832</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45832</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45832</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45832</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45832</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45832</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45832</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45832</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45832</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45832</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45832</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45832</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45832</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45832</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45832</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45832</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45832</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45832</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45832</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45832</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45832</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45832</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45832</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45832</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45832</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45832</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45832</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45832</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45832</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45832</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45832</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45832</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45832</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45832</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45832</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45832</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45832</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45832</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45832</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45832</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45832</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45832</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45832</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45832</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45832</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45832</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45832</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45832</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45832</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45832</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45832</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45832</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45832</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45832</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45832</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45832</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45832</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45832</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45832</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45832</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45832</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45832</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45832</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45832</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45832</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45832</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45832</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45832</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45832</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45832</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45832</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45832</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45832</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45832</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45832</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45832</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45832</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45832</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45832</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45832</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45832</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45832</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45832</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45832</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45832</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45832</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45832</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45832</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45832</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45832</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45832</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45832</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45832</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45832</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45832</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45832</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45832</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45832</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45832</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45832</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45832</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45832</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45832</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45832</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45832</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45832</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45832</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45832</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45832</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45832</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45832</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45832</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45832</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45832</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45832</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45832</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45832</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45832</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45832</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45832</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45832</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45832</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45832</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45832</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45832</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45832</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45832</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45832</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45832</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45832</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45832</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45832</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45832</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45832</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45832</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45832</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45832</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45832</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45832</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45832</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45832</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45832</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45832</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45832</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45832</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45832</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45832</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45832</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45832</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45832</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45832</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45832</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45832</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45832</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45832</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45832</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45832</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45832</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45832</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45832</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45832</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45832</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45832</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45832</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45832</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45832</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45832</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45832</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45832</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45832</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45832</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45832</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45832</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45832</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45832</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45832</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45832</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45832</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45832</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45832</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45832</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45832</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45832</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45832</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45832</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45832</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45832</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45832</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45832</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45832</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45832</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45832</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45832</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45832</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45832</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45832</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45832</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45832</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45832</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45832</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45832</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45832</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45832</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45832</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45832</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45832</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45832</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45832</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45832</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45832</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45832</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45832</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45832</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45832</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45832</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45832</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45832</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45832</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45832</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45832</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45832</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45832</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45832</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45832</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45832</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45832</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45832</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45832</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45832</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45832</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45832</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45832</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45832</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45832</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45832</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45832</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45832</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45832</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45832</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45832</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45832</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45832</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45832</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45832</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45832</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45832</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45832</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45832</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45832</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45832</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45832</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45832</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45832</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45832</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45832</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45832</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45832</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45832</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45832</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45832</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45832</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45832</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45832</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45832</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45832</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45832</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45832</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45832</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45832</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45832</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45832</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45832</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45832</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45832</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45832</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45832</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45832</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45832</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45832</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45832</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45832</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45832</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45832</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45832</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45832</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45832</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45832</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45832</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45832</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45832</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45832</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45832</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45832</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45832</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45832</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45832</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45832</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45832</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45832</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45832</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45832</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45832</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45832</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45832</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45832</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45832</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45832</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45832</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45832</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45832</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45832</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45832</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45832</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45832</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45832</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45832</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45832</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45832</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45832</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45832</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45832</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45832</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45832</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45832</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45832</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45832</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45832</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45832</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45832</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45832</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45832</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45832</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45832</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45832</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45832</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45832</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45832</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45832</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45832</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45832</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45832</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45832</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45832</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45832</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45832</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45832</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45832</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45832</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45832</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45832</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45832</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45832</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45832</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45832</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45832</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45832</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45832</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45832</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45832</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45832</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45832</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45832</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45832</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45832</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45832</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45832</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45832</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45832</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45832</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45832</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45832</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45832</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45832</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45832</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45832</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45832</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45832</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45832</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45832</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45832</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45832</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45832</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45832</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45832</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45832</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45832</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45832</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45832</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45832</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45832</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45832</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45832</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45832</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45832</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45832</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45832</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45832</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45832</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45832</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45832</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45832</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45832</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45832</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45832</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45832</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45832</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45832</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45832</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45832</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45832</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45832</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45832</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45832</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45832</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45832</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45832</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45832</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45832</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45832</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45832</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45832</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45832</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45832</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45832</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45832</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45832</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45832</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45832</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45832</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45832</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45832</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45832</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45832</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45832</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45832</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45832</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45832</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45832</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45832</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45832</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45832</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45832</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45832</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45832</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45832</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45832</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45832</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45832</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45832</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45832</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45832</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45832</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45832</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45832</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45832</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45832</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45832</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45832</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45832</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45832</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45832</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45832</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45832</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45832</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45832</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45832</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45832</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45832</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45832</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45832</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45832</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45832</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45832</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45832</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45832</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45832</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45832</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45832</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45832</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45832</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45832</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45832</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45832</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45832</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45832</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45832</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45832</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45832</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45832</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45832</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45832</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45832</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45832</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45832</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45832</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45832</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45832</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45832</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45832</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45832</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45832</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45832</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45832</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45832</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45832</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45832</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45832</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45832</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45832</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45832</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45832</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45832</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45832</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45832</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45832</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45832</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45832</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45832</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45832</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45832</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45832</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45832</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45832</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45832</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45832</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45832</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45832</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45832</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45832</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45832</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45832</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45832</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45832</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45832</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45832</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45832</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45832</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45832</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45832</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45832</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45832</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45832</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45832</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45832</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45832</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45832</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45832</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45832</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45832</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45832</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45832</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45832</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45832</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45832</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45832</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45832</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45832</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45832</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45832</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45832</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45832</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45832</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45832</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45832</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45832</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45832</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45832</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45832</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45832</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45832</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45832</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45832</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45832</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45832</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45832</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45832</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45832</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45832</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45832</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45832</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45832</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45832</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45832</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45832</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45832</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45832</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45832</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45832</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45832</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45832</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45832</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45832</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45832</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45832</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45832</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45832</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45832</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45832</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45832</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45832</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45832</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45832</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45832</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45832</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45832</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45832</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45832</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45832</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45832</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45832</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45832</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45832</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45832</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45832</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45832</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45832</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45832</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45832</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45832</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45832</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45832</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45832</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45832</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45832</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45832</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45832</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45832</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45832</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45832</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45832</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45832</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45832</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45832</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45832</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45832</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45832</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45832</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45832</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45832</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45832</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45832</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45832</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45832</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45832</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45832</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45832</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45832</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45832</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45832</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45832</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45832</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45832</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45832</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45832</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45832</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45832</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45832</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45832</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45832</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45832</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45832</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45832</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45832</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45832</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45832</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45832</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45832</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45832</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45832</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45832</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45832</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45832</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45832</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45832</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45832</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45832</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45832</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45832</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45832</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45832</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45832</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45832</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45832</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45832</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45832</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45832</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45832</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45832</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45832</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45832</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45832</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45832</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45832</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45832</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45832</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45832</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45832</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45832</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45832</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45832</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45832</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45832</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45832</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45832</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45832</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45832</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45832</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45832</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45832</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45832</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45832</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45832</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45832</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45832</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45832</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45832</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45832</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45832</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45832</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45832</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45832</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45832</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45832</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45832</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45832</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45832</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45832</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45832</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45832</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45832</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45832</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45832</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45832</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45832</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45832</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45832</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45832</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45832</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45832</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45832</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45832</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45832</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45832</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45832</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45832</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45832</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45832</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45832</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45832</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45832</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45832</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45832</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45832</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45832</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45832</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45832</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45832</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45832</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45832</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45832</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45832</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45832</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45832</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45832</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45832</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45832</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45832</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45832</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45832</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45832</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45832</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45832</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45832</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45832</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45832</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45832</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45832</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45832</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45832</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45832</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45832</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45832</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45832</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45832</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45832</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45832</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45832</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45832</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45832</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45832</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45832</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45832</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45832</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45832</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45832</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45832</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45832</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45832</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45832</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45832</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45832</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45832</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45832</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45832</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45832</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45832</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45832</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45832</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45832</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45832</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45832</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45832</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45832</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45832</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45832</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45832</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45832</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45832</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45832</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45832</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45832</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45832</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45832</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45832</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45832</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45832</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45832</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45832</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45832</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45832</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45832</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45832</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45832</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45832</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45832</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45832</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45832</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45832</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45832</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45832</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45832</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45832</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45832</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45832</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45832</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45832</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45832</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45832</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45832</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45832</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45832</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45832</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45832</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45832</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45832</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45832</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45832</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45832</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45832</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45832</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45832</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45832</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45832</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45832</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45832</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45832</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45832</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45832</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45832</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45832</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45832</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45832</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45832</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45832</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45832</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45832</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45832</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45832</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45832</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45832</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45832</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45832</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45832</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45832</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45832</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45832</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45832</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45832</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45832</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45832</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45832</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45832</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45832</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45832</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45832</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45832</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45832</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45832</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45832</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45832</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45832</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45832</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45832</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45832</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45832</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45832</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45832</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45832</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45832</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45832</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45832</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45832</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45832</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45832</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45832</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45832</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45832</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45832</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45832</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45832</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45832</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45832</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45832</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45832</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45832</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45832</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45832</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45832</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45832</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45832</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45832</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45832</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45832</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45832</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45832</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45832</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45832</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45832</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45832</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45832</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45832</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45832</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45832</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45832</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45832</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45832</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45832</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45832</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45832</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45832</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45832</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45832</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45832</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45832</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45832</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45832</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45832</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45832</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45832</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45832</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45832</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45832</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45832</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45832</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45832</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45832</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45832</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45832</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45832</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45832</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45832</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45832</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45832</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45832</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45832</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45832</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45832</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45832</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45832</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45832</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45832</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45832</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45832</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45832</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45832</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45832</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45832</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45832</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45832</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45832</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45832</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45832</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45832</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45832</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45832</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45832</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45832</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45832</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45832</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45832</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45832</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45832</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45832</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45832</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45832</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45832</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45832</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45832</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45832</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45832</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45832</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45832</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45832</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45832</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45832</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45832</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45832</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45832</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45832</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45832</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45832</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45832</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45832</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45832</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45832</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45832</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45832</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45832</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45832</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45832</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45832</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45832</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45832</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45832</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45832</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45832</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45832</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45832</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45832</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45832</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45832</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45832</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45832</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45832</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45832</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45832</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45832</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45832</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45832</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45832</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45832</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45832</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45832</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45832</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45832</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45832</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45832</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45832</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45832</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45832</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45832</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45832</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45832</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45832</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45832</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45832</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45832</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45832</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45832</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45832</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45832</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45832</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45832</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45832</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45832</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45832</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45832</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45832</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45832</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45832</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45832</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45832</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45832</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45832</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45832</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45832</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45832</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45832</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45832</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45832</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45832</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45832</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45832</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45832</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45832</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45832</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45832</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45832</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45832</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45832</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45832</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45832</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45832</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45832</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45832</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45832</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45832</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45832</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45832</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45832</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45832</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45832</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45832</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45832</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45832</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45832</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45832</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45832</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45832</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45832</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45832</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45832</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45832</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45832</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45832</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45832</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45832</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45832</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45832</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45832</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45832</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45832</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45832</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45832</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45832</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45832</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45832</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45832</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45832</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45832</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45832</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45832</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45832</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45832</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45832</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45832</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45832</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45832</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45832</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45832</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45832</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45832</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45832</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45832</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45832</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45832</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45832</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45832</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45832</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45832</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45832</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45832</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45832</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45832</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45832</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45832</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45832</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45832</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45832</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45832</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45832</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45832</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45832</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45832</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45832</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45832</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45832</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45832</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45832</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45832</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45832</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45832</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45832</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45832</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45832</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45832</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45832</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45832</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45832</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45832</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45832</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45832</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45832</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45832</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45832</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45832</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45832</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45832</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45832</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45832</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45832</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45832</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45832</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45832</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45832</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45832</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45832</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45832</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45832</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45832</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45832</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45832</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45832</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45832</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45832</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45832</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45832</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45832</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45832</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45832</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45832</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45832</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45832</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45832</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45832</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45832</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45832</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45832</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45832</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45832</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45832</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45832</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45832</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45832</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45832</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45832</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45832</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45832</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45832</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45832</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45832</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45832</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45832</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45832</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45832</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45832</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45832</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45832</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45832</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45832</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45832</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45832</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45832</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45832</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45832</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45832</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45832</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45832</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45832</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45832</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45832</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45832</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45832</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45832</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45832</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45832</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45832</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45832</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45832</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45832</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45832</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45832</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45832</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45832</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45832</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45832</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45832</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45832</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45832</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45832</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45832</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45832</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45832</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45832</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45832</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45832</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45832</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45832</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45832</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45832</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45832</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45832</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45832</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45832</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45832</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45832</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45832</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45832</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45832</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45832</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45832</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45832</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45832</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45832</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45832</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45832</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45832</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45832</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45832</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45832</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45832</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45832</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45832</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45832</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45832</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45832</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45832</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45832</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45832</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45832</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45832</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45832</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45832</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45832</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45832</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45832</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45832</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45832</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45832</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45832</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45832</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45832</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45832</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45832</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45832</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45832</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45832</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45832</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45832</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45832</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45832</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45832</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45832</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45832</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45832</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45832</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45832</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45832</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45832</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45832</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45832</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45832</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45832</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45832</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45832</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45832</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45832</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45832</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45832</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45832</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45832</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45832</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45832</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45832</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45832</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45832</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45832</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45832</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45832</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45832</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45832</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45832</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45832</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45832</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45832</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45832</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45832</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45832</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45832</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45832</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45832</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45832</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45832</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45832</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45832</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45832</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45832</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45832</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45832</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45832</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45832</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45832</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45832</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45832</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45832</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45832</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45832</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45832</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45832</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45832</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45832</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45832</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45832</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45832</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45832</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45832</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45832</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45832</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45832</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45832</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45832</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45832</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45832</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45832</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45832</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45832</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45832</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45832</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45832</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45832</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45832</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45832</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45832</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45832</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45832</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45832</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45832</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45832</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45832</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45832</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45832</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45832</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45832</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45832</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45832</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45832</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45832</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45832</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45832</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45832</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45832</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45832</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45832</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45832</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45832</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45832</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45832</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45832</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45832</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45832</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45832</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45832</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45832</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45832</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45832</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45832</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45832</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45832</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45832</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45832</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45832</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45832</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45832</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45832</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45832</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45832</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45832</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45832</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45832</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45832</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45832</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45832</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45832</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45832</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45832</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45832</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45832</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45832</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45832</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45832</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45832</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45832</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45832</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45832</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45832</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45832</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45832</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45832</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45832</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45832</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45832</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45832</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45832</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45832</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45832</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45832</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45832</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45832</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45832</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45832</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45832</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45832</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45832</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45832</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45832</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45832</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45832</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45832</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45832</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45832</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45832</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45832</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45832</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45832</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45832</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45832</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45832</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45832</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45832</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45832</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45832</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45832</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45832</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45832</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45832</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45832</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45832</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45832</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45832</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45832</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45832</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45832</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45832</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45832</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45832</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45832</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45832</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45832</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45832</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45832</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45832</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45832</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45832</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45832</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45832</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45832</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45832</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45832</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45832</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45832</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45832</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45832</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45832</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45832</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45832</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45832</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45832</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45832</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45832</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45832</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45832</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45832</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45832</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45832</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45832</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45832</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45832</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45832</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45832</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45832</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45832</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45832</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45832</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45832</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45832</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45832</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45832</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45832</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45832</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45832</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45832</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45832</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45832</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45832</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45832</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45832</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45832</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45832</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45832</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45832</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45832</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45832</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45832</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45832</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45832</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45832</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45832</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45832</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45832</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45832</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45832</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45832</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45832</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45832</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45832</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45832</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45832</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45832</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45832</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45832</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45832</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45832</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45832</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45832</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45832</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45832</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45832</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45832</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45832</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45832</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45832</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45832</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45832</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45832</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45832</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45832</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45832</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45832</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45832</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45832</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45832</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45832</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45832</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45832</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45832</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45832</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45832</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45832</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45832</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45832</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45832</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45832</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45832</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45832</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45832</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45832</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45832</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45832</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45832</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45832</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45832</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45832</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45832</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45832</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45832</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45832</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45832</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45832</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45832</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45832</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45832</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45832</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45832</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45832</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45832</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45832</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45832</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45832</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45832</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45832</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45832</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45832</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45832</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45832</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45832</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45832</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45832</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45832</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45832</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45832</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45832</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45832</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45832</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45832</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45832</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45832</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45832</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45832</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45832</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45832</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45832</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45832</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45832</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45832</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45832</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45832</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45832</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45832</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45832</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45832</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45832</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45832</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45832</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45832</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45832</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45832</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45832</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45832</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45832</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45832</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45832</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45832</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45832</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45832</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45832</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45832</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45832</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45832</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45832</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45832</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45832</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45832</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45832</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45832</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45832</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45832</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45832</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45832</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45832</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45832</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45832</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45832</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45832</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45832</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45832</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45832</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45832</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45832</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45832</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45832</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45832</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45832</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45832</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45832</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45832</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45832</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45832</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45832</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45832</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45832</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45832</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45832</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45832</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45832</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45832</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45832</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45832</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45832</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45832</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45832</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45832</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45832</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45832</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45832</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45832</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45832</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45832</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45832</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45832</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45832</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45832</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45832</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45832</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45832</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45832</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45832</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45832</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45832</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45832</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45832</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45832</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45832</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45832</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45832</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45832</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45832</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45832</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45832</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45832</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45832</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45832</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45832</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45832</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45832</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45832</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45832</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45832</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45832</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45832</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45832</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45832</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45832</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45832</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45832</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45832</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45832</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45832</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45832</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45832</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45832</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45832</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45832</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45832</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45832</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45832</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45832</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45832</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45832</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45832</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45832</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45832</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45832</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45832</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45832</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45832</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45832</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45832</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45832</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45832</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45832</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45832</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45832</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45832</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45832</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45832</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45832</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45832</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45832</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45832</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45832</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45832</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45832</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45832</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45832</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45832</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45832</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45832</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45832</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45832</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45832</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45832</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45832</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45832</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45832</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45832</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45832</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45832</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45832</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45832</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45832</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45832</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45832</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45832</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45832</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45832</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45832</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45832</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45832</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45832</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45832</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45832</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45832</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45832</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45832</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45832</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45832</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45832</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45832</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45832</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45832</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45832</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45832</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45832</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45832</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45832</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45832</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45832</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45832</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45832</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45832</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45832</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45832</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45832</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45832</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45832</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45832</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45832</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45832</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45832</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45832</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45832</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45832</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45832</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45832</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45832</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45832</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45832</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45832</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45832</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45832</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45832</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45832</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45832</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45832</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45832</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45832</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45832</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45832</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45832</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45832</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45832</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45832</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45832</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45832</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45832</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45832</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45832</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45832</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45832</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45832</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45832</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45832</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45832</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45832</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45832</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45832</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45832</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45832</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45832</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45832</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45832</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45832</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45832</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45832</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45832</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45832</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45832</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45832</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45832</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45832</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45832</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45832</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45832</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45832</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45832</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45832</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45832</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45832</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45832</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45832</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45832</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45832</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45832</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45832</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45832</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45832</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45832</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45832</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45832</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45832</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45832</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45832</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45832</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45832</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45832</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45832</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45832</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45832</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45832</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45832</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45832</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45832</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45832</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45832</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45832</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45832</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45832</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45832</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45832</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45832</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45832</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45832</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45832</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45832</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45832</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45832</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45832</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45832</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45832</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45832</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45832</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45832</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45832</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45832</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45832</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45832</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45832</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45832</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45832</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45832</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45832</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45832</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45832</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45832</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45832</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45832</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45832</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45832</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45832</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45832</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45832</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45832</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45832</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45832</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45832</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45832</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45832</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45832</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45832</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45832</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45832</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45832</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45832</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45832</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45832</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45832</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45832</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45832</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45832</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45832</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45832</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45832</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45832</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45832</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45832</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45832</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45832</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45832</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45832</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45832</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45832</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45832</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45832</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45832</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45832</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45832</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45832</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45832</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45832</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45832</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45832</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45832</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45832</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45832</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45832</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45832</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45832</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45832</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45832</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45832</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45832</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45832</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45832</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45832</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45832</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45832</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45832</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45832</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45832</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45832</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45832</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45832</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45832</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45832</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45832</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45832</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45832</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45832</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45832</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45832</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45832</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45832</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45832</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45832</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45832</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45832</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45832</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45832</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45832</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45832</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45832</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45832</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45832</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45832</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45832</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45832</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45832</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45832</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45832</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45832</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45832</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45832</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45832</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45832</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45832</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45832</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45832</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45832</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45832</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45832</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45832</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45832</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45832</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45832</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45832</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45832</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45832</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45832</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45832</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45832</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45832</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45832</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45832</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45832</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45832</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45832</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45832</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45832</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45832</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45832</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45832</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45832</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45832</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45832</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45832</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45832</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45832</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45832</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45832</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45832</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45832</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45832</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45832</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45832</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45832</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45832</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45832</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45832</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45832</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45832</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45832</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45832</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45832</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45832</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45832</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45832</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45832</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45832</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45832</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45832</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45832</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45832</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45832</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45832</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45832</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45832</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45832</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45832</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45832</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45832</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45832</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45832</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45832</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45832</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45832</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45832</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45832</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45832</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45832</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45832</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45832</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45832</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45832</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45832</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45832</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45832</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45832</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45832</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45832</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45832</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45832</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45832</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45832</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45832</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45832</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45832</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45832</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45832</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45832</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45832</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45832</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45832</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45832</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45832</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45832</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45832</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45832</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45832</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45832</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45832</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45832</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45832</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45832</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45832</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45832</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45832</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45832</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45832</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45832</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45832</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45832</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45832</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45832</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45832</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45832</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45832</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45832</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45832</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45832</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45832</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45832</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45832</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45832</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45832</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45832</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45832</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45832</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45832</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45832</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45832</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45832</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45832</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45832</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45832</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45832</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45832</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45832</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45832</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45832</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45832</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45832</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45832</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45832</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45832</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45832</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45832</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45832</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45832</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45832</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45832</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45832</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45832</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45832</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45832</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45832</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45832</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45832</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45832</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45832</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45832</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45832</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45832</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45832</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45832</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45832</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45832</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45832</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45832</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45832</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45832</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45832</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45832</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45832</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45832</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45832</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45832</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45832</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45832</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45832</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45832</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45832</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45832</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45832</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45832</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45832</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45832</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45832</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45832</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45832</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45832</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45832</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45832</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45832</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45832</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45832</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45832</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45832</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45832</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45832</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45832</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45832</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45832</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45832</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45832</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45832</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45832</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45832</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45832</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45832</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45832</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45832</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45832</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45832</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45832</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45832</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45832</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45832</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45832</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45832</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45832</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45832</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45832</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45832</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45832</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45832</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45832</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45832</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45832</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45832</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45832</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45832</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45832</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45832</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45832</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45832</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45832</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45832</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45832</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45832</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45832</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45832</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45832</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45832</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45832</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45832</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45832</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45832</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45832</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45832</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45832</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45832</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45832</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45832</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45832</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45832</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45832</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45832</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45832</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45832</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45832</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45832</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45832</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45832</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45832</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45832</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45832</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45832</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45832</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45832</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45832</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45832</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45832</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45832</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45832</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45832</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45832</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45832</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45832</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45832</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45832</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45832</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45832</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45832</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45832</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45832</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45832</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45832</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45832</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45832</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45832</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45832</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45832</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45832</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45832</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45832</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45832</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45832</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45832</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45832</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45832</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45832</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45832</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45832</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45832</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45832</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45832</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45832</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45832</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45832</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45832</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45832</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45832</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45832</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45832</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45832</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45832</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45832</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45832</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45832</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45832</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45832</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45832</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45832</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45832</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45832</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45832</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45832</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45832</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45832</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45832</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45832</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45832</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45832</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45832</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45832</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45832</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45832</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45832</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45832</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45832</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45832</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45832</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45832</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45832</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45832</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45832</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45832</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45832</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45832</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45832</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45832</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45832</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45832</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45832</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45832</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45832</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45832</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45832</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45832</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45832</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45832</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45832</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45832</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45832</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45832</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45832</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45832</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45832</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45832</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45832</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45832</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45832</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45832</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45832</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45832</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45832</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45832</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45832</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45832</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45832</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45832</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45832</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45832</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45832</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45832</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45832</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45832</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45832</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45832</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45832</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45832</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45832</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45832</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45832</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45832</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45832</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45832</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45832</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45832</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45832</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45832</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45832</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45832</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45832</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45832</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45832</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45832</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45832</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45832</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45832</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45832</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45832</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45832</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45832</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45832</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45832</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45832</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45832</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45832</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45832</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45832</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45832</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45832</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45832</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45832</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45832</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45832</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45832</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45832</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45832</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45832</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45832</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45832</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45832</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45832</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45832</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45832</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45832</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45832</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45832</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45832</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45832</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45832</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45832</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45832</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45832</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45832</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45832</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45832</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45832</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45832</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45832</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45832</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45832</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45832</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45832</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45832</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45832</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45832</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45832</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45832</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45832</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45832</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45832</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45832</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45832</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45832</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45832</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45832</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45832</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45832</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45832</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45832</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45832</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45832</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45832</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45832</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45832</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45832</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45832</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45832</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45832</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45832</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45832</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45832</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45832</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45832</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45832</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45832</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45832</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45832</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45832</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45832</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45832</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45832</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45832</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45832</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45832</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45832</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45832</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45832</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45832</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45832</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45832</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45832</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45832</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45832</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45832</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45832</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45832</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45832</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45832</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45832</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45832</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45832</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45832</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45832</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45832</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45832</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45832</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45832</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45832</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45832</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45832</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45832</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45832</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45832</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45832</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45832</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45832</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45832</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45832</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45832</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45832</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45832</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45832</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45832</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45832</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45832</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45832</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45832</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45832</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45832</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45832</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45832</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45832</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45832</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45832</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45832</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45832</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45832</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45832</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45832</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45832</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45832</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45832</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45832</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45832</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45832</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45832</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45832</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45832</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45832</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45832</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45832</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45832</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45832</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45832</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45832</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45832</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45832</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45832</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45832</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45832</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45832</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45832</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45832</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45832</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45832</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45832</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45832</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45832</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45832</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45832</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45832</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45832</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45832</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45832</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45832</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45832</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45832</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45832</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45832</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45832</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45832</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45832</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45832</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45832</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45832</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45832</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45832</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45832</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45832</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45832</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45832</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45832</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45832</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45832</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45832</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45832</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45832</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45832</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45832</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45832</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45832</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45832</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45832</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45832</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45832</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45832</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45832</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45832</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45832</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45832</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45832</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45832</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45832</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45832</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45832</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45832</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45832</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45832</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45832</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45832</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45832</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45832</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45832</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45832</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45832</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45832</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45832</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45832</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45832</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45832</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45832</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45832</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45832</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45832</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45832</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45832</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45832</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45832</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45832</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45832</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45832</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45832</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45832</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45832</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45832</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45832</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45832</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45832</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45832</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45832</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45832</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45832</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45832</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45832</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45832</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45832</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45832</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45832</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45832</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45832</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45832</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45832</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45832</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45832</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45832</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45832</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45832</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45832</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45832</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45832</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45832</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45832</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45832</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45832</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45832</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45832</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45832</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45832</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45832</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45832</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45832</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45832</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45832</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45832</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45832</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45832</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45832</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45832</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45832</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45832</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45832</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45832</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45832</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45832</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45832</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45832</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45832</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45832</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45832</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45832</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45832</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45832</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45832</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45832</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45832</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45832</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45832</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45832</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45832</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45832</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45832</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45832</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45832</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45832</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45832</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45832</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45832</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45832</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45832</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45832</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45832</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45832</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45832</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45832</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45832</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45832</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45832</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45832</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45832</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45832</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45832</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45832</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45832</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45832</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45832</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45832</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45832</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45832</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45832</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45832</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45832</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45832</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45832</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45832</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45832</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45832</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45832</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45832</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45832</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45832</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45832</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45832</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45832</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45832</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45832</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45832</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45832</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45832</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45832</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45832</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45832</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45832</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45832</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45832</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45832</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45832</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45832</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45832</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45832</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45832</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45832</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45832</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45832</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45832</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45832</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45832</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45832</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45832</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45832</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45832</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45832</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45832</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45832</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45832</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45832</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45832</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45832</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45832</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45832</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45832</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45832</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45832</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45832</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45832</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45832</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45832</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45832</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45832</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45832</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45832</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45832</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45832</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45832</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45832</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45832</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45832</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45832</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45832</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45832</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45832</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45832</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45832</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45832</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45832</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45832</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45832</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45832</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45832</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45832</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45832</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45832</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45832</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45832</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45832</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45832</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45832</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45832</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45832</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45832</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45832</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45832</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45832</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45832</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45832</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45832</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45832</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45832</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45832</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45832</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45832</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45832</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45832</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45832</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45832</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45832</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45832</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45832</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45832</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45832</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45832</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45832</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45832</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45832</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45832</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45832</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45832</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45832</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45832</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45832</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45832</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45832</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45832</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45832</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45832</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45832</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45832</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45832</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45832</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45832</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45832</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45832</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45832</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45832</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45832</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45832</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45832</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45832</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45832</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45832</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45832</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45832</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45832</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45832</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45832</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45832</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45832</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45832</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45832</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45832</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45832</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45832</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45832</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45832</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45832</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45832</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45832</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45832</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45832</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45832</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45832</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45832</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45832</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45832</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45832</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45832</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45832</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45832</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45832</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45832</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45832</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45832</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45832</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45832</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45832</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45832</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45832</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45832</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45832</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45832</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45832</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45832</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45832</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45832</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45832</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45832</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45832</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45832</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45832</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45832</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45832</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45832</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45832</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45832</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45832</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45832</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45832</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45832</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45832</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45832</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45832</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45832</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45832</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45832</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45832</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45832</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45832</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45832</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45832</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45832</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45832</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45832</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45832</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45832</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45832</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45832</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45832</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45832</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45832</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45832</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45832</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45832</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45832</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45832</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45832</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45832</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45832</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45832</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45832</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45832</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45832</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45832</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45832</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45832</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45832</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45832</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45832</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45832</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45832</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45832</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45832</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45832</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45832</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45832</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45832</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45832</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45832</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45832</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45832</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45832</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45832</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45832</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45832</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45832</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45832</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45832</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45832</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45832</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45832</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45832</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45832</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45832</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45832</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45832</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45832</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45832</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45832</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45832</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45832</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45832</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45832</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45832</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45832</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45832</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45832</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45832</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45832</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45832</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45832</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45832</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45832</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45832</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45832</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45832</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45832</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45832</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45832</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45832</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45832</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45832</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45832</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45832</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45832</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45832</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45832</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45832</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45832</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45832</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45832</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45832</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45832</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45832</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45832</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45832</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45832</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45832</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45832</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45832</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45832</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45832</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45832</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45832</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45832</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45832</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45832</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45832</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45832</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45832</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45832</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45832</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45832</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45832</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45832</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45832</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45832</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45832</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45832</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45832</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45832</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45832</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45832</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45832</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45832</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45832</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45832</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45832</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45832</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45832</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45832</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45832</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45832</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45832</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45832</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45832</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45832</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45832</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45832</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45832</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45832</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45832</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45832</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45832</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45832</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45832</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45832</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45832</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45832</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45832</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45832</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45832</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45832</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45832</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45832</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45832</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45832</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45832</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45832</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45832</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45832</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45832</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45832</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45832</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45832</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45832</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45832</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45832</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45832</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45832</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45832</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45832</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45832</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45832</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45832</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45832</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45832</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45832</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45832</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45832</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45832</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45832</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45832</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45832</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45832</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45832</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45832</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45832</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45832</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45832</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45832</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45832</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45832</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45832</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45832</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45832</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45832</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45832</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45832</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45832</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45832</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45832</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45832</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45832</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45832</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45832</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45832</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45832</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45832</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45832</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45832</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45832</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45832</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45832</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45832</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45832</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45832</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45832</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45832</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45832</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45832</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45832</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45832</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45832</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45832</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45832</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45832</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45832</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45832</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45832</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45832</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45832</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45832</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45832</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45832</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45832</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45832</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45832</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45832</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45832</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45832</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45832</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45832</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45832</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45832</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45832</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45832</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45832</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45832</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45832</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45832</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45832</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45832</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45832</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45832</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45832</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45832</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45832</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45832</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45832</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45832</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45832</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45832</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45832</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45832</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45832</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45832</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45832</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45832</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45832</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45832</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45832</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45832</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45832</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45832</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45832</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45832</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45832</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45832</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45832</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45832</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45832</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45832</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45832</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45832</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45832</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45832</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45832</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45832</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45832</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45832</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45832</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45832</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45832</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45832</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45832</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45832</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45832</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45832</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45832</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45832</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45832</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45832</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45832</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45832</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45832</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45832</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45832</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45832</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45832</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45832</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45832</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45832</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45832</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45832</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45832</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45832</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45832</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45832</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45832</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45832</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45832</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45832</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45832</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45832</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45832</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45832</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45832</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45832</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45832</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45832</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45832</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45832</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45832</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45832</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45832</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45832</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45832</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45832</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45832</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45832</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45832</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45832</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45832</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45832</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45832</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45832</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45832</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45832</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45832</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45832</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45832</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45832</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45832</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45832</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45832</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45832</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45832</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45832</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45832</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45832</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45832</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45832</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45832</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45832</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45832</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45832</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45832</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45832</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45832</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45832</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45832</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45832</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45832</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45832</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45832</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45832</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45832</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45832</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45832</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45832</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45832</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45832</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45832</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45832</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45832</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45832</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45832</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45832</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45832</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45832</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45832</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45832</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45832</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45832</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45832</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45832</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45832</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45832</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45832</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45832</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45832</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45832</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45832</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45832</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45832</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45832</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45832</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45832</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45832</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45832</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45832</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45832</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45832</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45832</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45832</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45832</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45832</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45832</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45832</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45832</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45832</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45832</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45832</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45832</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45832</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45832</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45832</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45832</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45832</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45832</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45832</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45832</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45832</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45832</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45832</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45832</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45832</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45832</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45832</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45832</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45832</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45832</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45832</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45832</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45832</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45832</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45832</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45832</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45832</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45832</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45832</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45832</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45832</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45832</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45832</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45832</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45832</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45832</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45832</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45832</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45832</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45832</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45832</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45832</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45832</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45832</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45832</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45832</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45832</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45832</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45832</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45832</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45832</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45832</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45832</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45832</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45832</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45832</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45832</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45832</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45832</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45832</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45832</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45832</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45832</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45832</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45832</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45832</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45832</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45832</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45832</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45832</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45832</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45832</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45832</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45832</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45832</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45832</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45832</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45832</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45832</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45832</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45832</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45832</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45832</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45832</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45832</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45832</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45832</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45832</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45832</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45832</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45832</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45832</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45832</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45832</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45832</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45832</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45832</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45832</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45832</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45832</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45832</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45832</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45832</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45832</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45832</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45832</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45832</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45832</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45832</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45832</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45832</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45832</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45832</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45832</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45832</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45832</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45832</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45832</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45832</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45832</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45832</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45832</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45832</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45832</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45832</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45832</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45832</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45832</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45832</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45832</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45832</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45832</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45832</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45832</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45832</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45832</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45832</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45832</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45832</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45832</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45832</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45832</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45832</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45832</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45832</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45832</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45832</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45832</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45832</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45832</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45832</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45832</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45832</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45832</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45832</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45832</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45832</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45832</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45832</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45832</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45832</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45832</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45832</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45832</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45832</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45832</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45832</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45832</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45832</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45832</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45832</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45832</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45832</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45832</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45832</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45832</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45832</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45832</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45832</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45832</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45832</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45832</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45832</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45832</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45832</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45832</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45832</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45832</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45832</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45832</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45832</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45832</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45832</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45832</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45832</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45832</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45832</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45832</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45832</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45832</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45832</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45832</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45832</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45832</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45832</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45832</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45832</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45832</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45832</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45832</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45832</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45832</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45832</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45832</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45832</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45832</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45832</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45832</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45832</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45832</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45832</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45832</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45832</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45832</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45832</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45832</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45832</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45832</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45832</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45832</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45832</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45832</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45832</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45832</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45832</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45832</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45832</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45832</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45832</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45832</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45832</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45832</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45832</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45832</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45832</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45832</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45832</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45832</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45832</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45832</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45832</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45832</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45832</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45832</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45832</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45832</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45832</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45832</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45832</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45832</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45832</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45832</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45832</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45832</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45832</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45832</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45832</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45832</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45832</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45832</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45832</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45832</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45832</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45832</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45832</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45832</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45832</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45832</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45832</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45832</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45832</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45832</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45832</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45832</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45832</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45832</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45832</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45832</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45832</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45832</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45832</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45832</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45832</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45832</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45832</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45832</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45832</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45832</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45832</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45832</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45832</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45832</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45832</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45832</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45832</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45832</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45832</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45832</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45832</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45832</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45832</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45832</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45832</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45832</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45832</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45832</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45832</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45832</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45832</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45832</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45832</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45832</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45832</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45832</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45832</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45832</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45832</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45832</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45832</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45832</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45832</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45832</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45832</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45832</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45832</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45832</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45832</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45832</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45832</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45832</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45832</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45832</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45832</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45832</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45832</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45832</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45832</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45832</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45832</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45832</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45832</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45832</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45832</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45832</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45832</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45832</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45832</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45832</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45832</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45832</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45832</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45832</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45832</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45832</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45832</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45832</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45832</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45832</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45832</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45832</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45832</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45832</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45832</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45832</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45832</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45832</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45832</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45832</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45832</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45832</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45832</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45832</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45832</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45832</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45832</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45832</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45832</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45832</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45832</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45832</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45832</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45832</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45832</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45832</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45832</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45832</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45832</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45832</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45832</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45832</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45832</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45832</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45832</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45832</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45832</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45832</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45832</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45832</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45832</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45832</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45832</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45832</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45832</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45832</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45832</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45832</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45832</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45832</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45832</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45832</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45832</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45832</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45832</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45832</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45832</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45832</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45832</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45832</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45832</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45832</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45832</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45832</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45832</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45832</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45832</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45832</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45832</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45832</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45832</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45832</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45832</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45832</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45832</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45832</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45832</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45832</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45832</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45832</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45832</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45832</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45832</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45832</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45832</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45832</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45832</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45832</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45832</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45832</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45832</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45832</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45832</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45832</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45832</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45832</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45832</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45832</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45832</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45832</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45832</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45832</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45832</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45832</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45832</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45832</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45832</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45832</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45832</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45832</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45832</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45832</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45832</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45832</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45832</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45832</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45832</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45832</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45832</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45832</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45832</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45832</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45832</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45832</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45832</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45832</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45832</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45832</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45832</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45832</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45832</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45832</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45832</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45832</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45832</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45832</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45832</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45832</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45832</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45832</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45832</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45832</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45832</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45832</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45832</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45832</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45832</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45832</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45832</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45832</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45832</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45832</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45832</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45832</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45832</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45832</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45832</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45832</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45832</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45832</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45832</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45832</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45832</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45832</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45832</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45832</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45832</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45832</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45832</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45832</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45832</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45832</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45832</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45832</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45832</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45832</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45832</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45832</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45832</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45832</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45832</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45832</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45832</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45832</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45832</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45832</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45832</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45832</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45832</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45832</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45832</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45832</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45832</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45832</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45832</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45832</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45832</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45832</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45832</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45832</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45832</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45832</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45832</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45832</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45832</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45832</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45832</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45832</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45832</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45832</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45832</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45832</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45832</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45832</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45832</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45832</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45832</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45832</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45832</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45832</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45832</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45832</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45832</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45832</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45832</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45832</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45832</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45832</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45832</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45832</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45832</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45832</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45832</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45832</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45832</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45832</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45832</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45832</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45832</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45832</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45832</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45832</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45832</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45832</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45832</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45832</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45832</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45832</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45832</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45832</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45832</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45832</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45832</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45832</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45832</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45832</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45832</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45832</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45832</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45832</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45832</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45832</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45832</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45832</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45832</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45832</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45832</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45832</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45832</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45832</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45832</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45832</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45832</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45832</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45832</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45832</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45832</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45832</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45832</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45832</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45832</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45832</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45832</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45832</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45832</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45832</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45832</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45832</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45832</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45832</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45832</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45832</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45832</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45832</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45832</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45832</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45832</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45832</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45832</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45832</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45832</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45832</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45832</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45832</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45832</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45832</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45832</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45832</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45832</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45832</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45832</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45832</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45832</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45832</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45832</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45832</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45832</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45832</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45832</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45832</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45832</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45832</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45832</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45832</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45832</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45832</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45832</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45832</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45832</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45832</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45832</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45832</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45832</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45832</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45832</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45832</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45832</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45832</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45832</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45832</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45832</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45832</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45832</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45832</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45832</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45832</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45832</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45832</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45832</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45832</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45832</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45832</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45832</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45832</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45832</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45832</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45832</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45832</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45832</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45832</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45832</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45832</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45832</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45832</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45832</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45832</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45832</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45832</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45832</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45832</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45832</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45832</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45832</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45832</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45832</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45832</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45832</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45832</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45832</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45832</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45832</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45832</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45832</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45832</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45832</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45832</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45832</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45832</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45832</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45832</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45832</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45832</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45832</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45832</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45832</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45832</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45832</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45832</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45832</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45832</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45832</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45832</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45832</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45832</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45832</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45832</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45832</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45832</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45832</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45832</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45832</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45832</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45832</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45832</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45832</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45832</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45832</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45832</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45832</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45832</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45832</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45832</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45832</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45832</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45832</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45832</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45832</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45832</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45832</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45832</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45832</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45832</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45832</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45832</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45832</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45832</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45832</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45832</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45832</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45832</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45832</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45832</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45832</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45832</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45832</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45832</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45832</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45832</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45832</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45832</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45832</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45832</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45832</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45832</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45832</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45832</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45832</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45832</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45832</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45832</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45832</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45832</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45832</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45832</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45832</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45832</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45832</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45832</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45832</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45832</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45832</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45832</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45832</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45832</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45832</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45832</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45832</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45832</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45832</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45832</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45832</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45832</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45832</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45832</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45832</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45832</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45832</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45832</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45832</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45832</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45832</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45832</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45832</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45832</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45832</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45832</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45832</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45832</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45832</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45832</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45832</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45832</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45832</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45832</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45832</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45832</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45832</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45832</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45832</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45832</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45832</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45832</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45832</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45832</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45832</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45832</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45832</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45832</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45832</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45832</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45832</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45832</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45832</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45832</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45832</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45832</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45832</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45832</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45832</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45832</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45832</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45832</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45832</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45832</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45832</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45832</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45832</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45832</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45832</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45832</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45832</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45832</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45832</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45832</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45832</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45832</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45832</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45832</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45832</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45832</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45832</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45832</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45832</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45832</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45832</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45832</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45832</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45832</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45832</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45832</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45832</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45832</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45832</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45832</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45832</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45832</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45832</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45832</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45832</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45832</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45832</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45832</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45832</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45832</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45832</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45832</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45832</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45832</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45832</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45832</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45832</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45832</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45832</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45832</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45832</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45832</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45832</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45832</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45832</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45832</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45832</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45832</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45832</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45832</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45832</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45832</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45832</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45832</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45832</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45832</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45832</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45832</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45832</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45832</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45832</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45832</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45832</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45832</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45832</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45832</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45832</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45832</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45832</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45832</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45832</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45832</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45832</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45832</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45832</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45832</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45832</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45832</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45832</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45832</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45832</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45832</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45832</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45832</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45832</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45832</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45832</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45832</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45832</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45832</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45832</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45832</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45832</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45832</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45832</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45832</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45832</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45832</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45832</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45832</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45832</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45832</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45832</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45832</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45832</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45832</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45832</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45832</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45832</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45832</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45832</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45832</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45832</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45832</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45832</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45832</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45832</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45832</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45832</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45832</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45832</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45832</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45832</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45832</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45832</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45832</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45832</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45832</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45832</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45832</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45832</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45832</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45832</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45832</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45832</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45832</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45832</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45832</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45832</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45832</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45832</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45832</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45832</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45832</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45832</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45832</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45832</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45832</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45832</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45832</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45832</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45832</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45832</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45832</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45832</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45832</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45832</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45832</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45832</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45832</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45832</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45832</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45832</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45832</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45832</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45832</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45832</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45832</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45832</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45832</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45832</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45832</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45832</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45832</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45832</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45832</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45832</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45832</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45832</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45832</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45832</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45832</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45832</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45832</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45832</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45832</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45832</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45832</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45832</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45832</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45832</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45832</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45832</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45832</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45832</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45832</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45832</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45832</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45832</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45832</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45832</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45832</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45832</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45832</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45832</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45832</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45832</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45832</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45832</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45832</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45832</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45832</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45832</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45832</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45832</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45832</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45832</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45832</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45832</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45832</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45832</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45832</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45832</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45832</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45832</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45832</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45832</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45832</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45832</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45832</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45832</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45832</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45832</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45832</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45832</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45832</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45832</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45832</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45832</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45832</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45832</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45832</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45832</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45832</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45832</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45832</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45832</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45832</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45832</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45832</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45832</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45832</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45832</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45832</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45832</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45832</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45832</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45832</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45832</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45832</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45832</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45832</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45832</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45832</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45832</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45832</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45832</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45832</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45832</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45832</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45832</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45832</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45832</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45832</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45832</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45832</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45832</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45832</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45832</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45832</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45832</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45832</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45832</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45832</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45832</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45832</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45832</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45832</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45832</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45832</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45832</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45832</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45832</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45832</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45832</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45832</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45832</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45832</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45832</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45832</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45832</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45832</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45832</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45832</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45832</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45832</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45832</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45832</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45832</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45832</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45832</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45832</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45832</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45832</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45832</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45832</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45832</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45832</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45832</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45832</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45832</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45832</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45832</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45832</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45832</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45832</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45832</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45832</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45832</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45832</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45832</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45832</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45832</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45832</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45832</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45832</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45832</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45832</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45832</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45832</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45832</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45832</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45832</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45832</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45832</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45832</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45832</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45832</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45832</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45832</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45832</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45832</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45832</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45832</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45832</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45832</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45832</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45832</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45832</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45832</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45832</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45832</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45832</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45832</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45832</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45832</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45832</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45832</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45832</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45832</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45832</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45832</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45832</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45832</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45832</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45832</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45832</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45832</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45832</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45832</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45832</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45832</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45832</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45832</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45832</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45832</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45832</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45832</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45832</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45832</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45832</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45832</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45832</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45832</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45832</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45832</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45832</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45832</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45832</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45832</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45832</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45832</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45832</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45832</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45832</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45832</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45832</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45832</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45832</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45832</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45832</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45832</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45832</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45832</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45832</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45832</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45832</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45832</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45832</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45832</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45832</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45832</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45832</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45832</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45832</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45832</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45832</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45832</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45832</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45832</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45832</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45832</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45832</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45832</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45832</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45832</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45832</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45832</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45832</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45832</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45832</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45832</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45832</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45832</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45832</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45832</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45832</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45832</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45832</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45832</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45832</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45832</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45832</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45832</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45832</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45832</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45832</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45832</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45832</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45832</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45832</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45832</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45832</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45832</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45832</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45832</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45832</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45832</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45832</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45832</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45832</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45832</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45832</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45832</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45832</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45832</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45832</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45832</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45832</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45832</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45832</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45832</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45832</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45832</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45832</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45832</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45832</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45832</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45832</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45832</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45832</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45832</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45832</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45832</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45832</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45832</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45832</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45832</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45832</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45832</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45832</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45832</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45832</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45832</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45832</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45832</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45832</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45832</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45832</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45832</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45832</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45832</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45832</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45832</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45832</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45832</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45832</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45832</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45832</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45832</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45832</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45832</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45832</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45832</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45832</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45832</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45832</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45832</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45832</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45832</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45832</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45832</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45832</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45832</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45832</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45832</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45832</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45832</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45832</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45832</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45832</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45832</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45832</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45832</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45832</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45832</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45832</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45832</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45832</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45832</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45832</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45832</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45832</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45832</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45832</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45832</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45832</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45832</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45832</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45832</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45832</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45832</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45832</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45832</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45832</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45832</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45832</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45832</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45832</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45832</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45832</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45832</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45832</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45832</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45832</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45832</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45832</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45832</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45832</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45832</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45832</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45832</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45832</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45832</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45832</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45832</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45832</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45832</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45832</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45832</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45832</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45832</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45832</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45832</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45832</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45832</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45832</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45832</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45832</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45832</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45832</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45832</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45832</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45832</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45832</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45832</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45832</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45832</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45832</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45832</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45832</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45832</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45832</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45832</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45832</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45832</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45832</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45832</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45832</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45832</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45832</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45832</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45832</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45832</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45832</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45832</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45832</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45832</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45832</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45832</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45832</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45832</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45832</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45832</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45832</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45832</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45832</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45832</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45832</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45832</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45832</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45832</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45832</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45832</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45832</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45832</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45832</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45832</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45832</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45832</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45832</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45832</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45832</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45832</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45832</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45832</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45832</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45832</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45832</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45832</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45832</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45832</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45832</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45832</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45832</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45832</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45832</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45832</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45832</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45832</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45832</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45832</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45832</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45832</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45832</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45832</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45832</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45832</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45832</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45832</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45832</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45832</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45832</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45832</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45832</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45832</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45832</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45832</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45832</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45832</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45832</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45832</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45832</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45832</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45832</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45832</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45832</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45832</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45832</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45832</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45832</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45832</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45832</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45832</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45832</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45832</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45832</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45832</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45832</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45832</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45832</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45832</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45832</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45832</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45832</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45832</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45832</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45832</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45832</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45832</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45832</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45832</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45832</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45832</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45832</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45832</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45832</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45832</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45832</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45832</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45832</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45832</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45832</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45832</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45832</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45832</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45832</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45832</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45832</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45832</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45832</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45832</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45832</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45832</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45832</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45832</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45832</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45832</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45832</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45832</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45832</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45832</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45832</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45832</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45832</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45832</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45832</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45832</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45832</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45832</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45832</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45832</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45832</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45832</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45832</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45832</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45832</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45832</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45832</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45832</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45832</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45832</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45832</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45832</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45832</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45832</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45832</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45832</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45832</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45832</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45832</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45832</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45832</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45832</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45832</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45832</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45832</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45832</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45832</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45832</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45832</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45832</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45832</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45832</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45832</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45832</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45832</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45832</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45832</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45832</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45832</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45832</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45832</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45832</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45832</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45832</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45832</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45832</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45832</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45832</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45832</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45832</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45832</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45832</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45832</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45832</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45832</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45832</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45832</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45832</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45832</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45832</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45832</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45832</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45832</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45832</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45832</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45832</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45832</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45832</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45832</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45832</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45832</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45832</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45832</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45832</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45832</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45832</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45832</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45832</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45832</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45832</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45832</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45832</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45832</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45832</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45832</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45832</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45832</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45832</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45832</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45832</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45832</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45832</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45832</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45832</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45832</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45832</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45832</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45832</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45832</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45832</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45832</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45832</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45832</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45832</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45832</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45832</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45832</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45832</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45832</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45832</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45832</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45832</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45832</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45832</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45832</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45832</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45832</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45832</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45832</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45832</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45832</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45832</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45832</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45832</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45832</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45832</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45832</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45832</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45832</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45832</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45832</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45832</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45832</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45832</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45832</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45832</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45832</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45832</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45832</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45832</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45832</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45832</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45832</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45832</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45832</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45832</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45832</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45832</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45832</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45832</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45832</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45832</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45832</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45832</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45832</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45832</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45832</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45832</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45832</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45832</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45832</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45832</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45832</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45832</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45832</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45832</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45832</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45832</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45832</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45832</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45832</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45832</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45832</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45832</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45832</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45832</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45832</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45832</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45832</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45832</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45832</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45832</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45832</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45832</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45832</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45832</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45832</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45832</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45832</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45832</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45832</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45832</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45832</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45832</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45832</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45832</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45832</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45832</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45832</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45832</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45832</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45832</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45832</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45832</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45832</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45832</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45832</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45832</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45832</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45832</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45832</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45832</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45832</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45832</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45832</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45832</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45832</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45832</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45832</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45832</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45832</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45832</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45832</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45832</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45832</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45832</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45832</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45832</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45832</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45832</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45832</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45832</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45832</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45832</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45832</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45832</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45832</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45832</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45832</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45832</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45832</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45832</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45832</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45832</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45832</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45832</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45832</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45832</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45832</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45832</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45832</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45832</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45832</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45832</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45832</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45832</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45832</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45832</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45832</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45832</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45832</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45832</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45832</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45832</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45832</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45832</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45832</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45832</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45832</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45832</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45832</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45832</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45832</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45832</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45832</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45832</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45832</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45832</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45832</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45832</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45832</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45832</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45832</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45832</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45832</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45832</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45832</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45832</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45832</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45832</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45832</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45832</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45832</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45832</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45832</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45832</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45832</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45832</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45832</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45832</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45832</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45832</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45832</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45832</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45832</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45832</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45832</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45832</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45832</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45832</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45832</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45832</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45832</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45832</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45832</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45832</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45832</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45832</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45832</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45832</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45832</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45832</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45832</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45832</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45832</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45832</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45832</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45832</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45832</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45832</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45832</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45832</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45832</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45832</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45832</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45832</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45832</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45832</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45832</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45832</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45832</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45832</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45832</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45832</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45832</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45832</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45832</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45832</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45832</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45832</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45832</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45832</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45832</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45832</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45832</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45832</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45832</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45832</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45832</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45832</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45832</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45832</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45832</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45832</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45832</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45832</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45832</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45832</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45832</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45832</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45832</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45832</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45832</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45832</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45832</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45832</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45832</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45832</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45832</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45832</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45832</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45832</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45832</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45832</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45832</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45832</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45832</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45832</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45832</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45832</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45832</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45832</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45832</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45832</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45832</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45832</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45832</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45832</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45832</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45832</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45832</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45832</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45832</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45832</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45832</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45832</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45832</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45832</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45832</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45832</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45832</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45832</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45832</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45832</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45832</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45832</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45832</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45832</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45832</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45832</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45832</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45832</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45832</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45832</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45832</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45832</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45832</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45832</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45832</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45832</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45832</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45832</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45832</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45832</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45832</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45832</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45832</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45832</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45832</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45832</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45832</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45832</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45832</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45832</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45832</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45832</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45832</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45832</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45832</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45832</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45832</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45832</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45832</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45832</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45832</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45832</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45832</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45832</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45832</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45832</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45832</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45832</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45832</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45832</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45832</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45832</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45832</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45832</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45832</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45832</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45832</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45832</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45832</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45832</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45832</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45832</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45832</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45832</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45832</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45832</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45832</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45832</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45832</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45832</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45832</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45832</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45832</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45832</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45832</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45832</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45832</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45832</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45832</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45832</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45832</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45832</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45832</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45832</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45832</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45832</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45832</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45832</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45832</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45832</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45832</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45832</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45832</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45832</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45832</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45832</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45832</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45832</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45832</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45832</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45832</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45832</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45832</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45832</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45832</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45832</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45832</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45832</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45832</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45832</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45832</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45832</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45832</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45832</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45832</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45832</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45832</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45832</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45832</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45832</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45832</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45832</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45832</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45832</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45832</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45832</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45832</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45832</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45832</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45832</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45832</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45832</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45832</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45832</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45832</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45832</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45832</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45832</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45832</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45832</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45832</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45832</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45832</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45832</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45832</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45832</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45832</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45832</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45832</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45832</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45832</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45832</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45832</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45832</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45832</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45832</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45832</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45832</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45832</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45832</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45832</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45832</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45832</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45832</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45832</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45832</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45832</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45832</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45832</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45832</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45832</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45832</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45832</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45832</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45832</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45832</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45832</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45832</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45832</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45832</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45832</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45832</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45832</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45832</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45832</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45832</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45832</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45832</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45832</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45832</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45832</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45832</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45832</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45832</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45832</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45832</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45832</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45832</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45832</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45832</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45832</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45832</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45832</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45832</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45832</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45832</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45832</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45832</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45832</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45832</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45832</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45832</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45832</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45832</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45832</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45832</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45832</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45832</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45832</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45832</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45832</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45832</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45832</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45832</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45832</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45832</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45832</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45832</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45832</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45832</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45832</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45832</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45832</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45832</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45832</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45832</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45832</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45832</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45832</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45832</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45832</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45832</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45832</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45832</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45832</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45832</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45832</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45832</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45832</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45832</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45832</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45832</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45832</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45832</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45832</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45832</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45832</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45832</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45832</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45832</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45832</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45832</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45832</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45832</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45832</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45832</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45832</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45832</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45832</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45832</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45832</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45832</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45832</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45832</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45832</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45832</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45832</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45832</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45832</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45832</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45832</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45832</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45832</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45832</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45832</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45832</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45832</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45832</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45832</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45832</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45832</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45832</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45832</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45832</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45832</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45832</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45832</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45832</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45832</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45832</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45832</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45832</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45832</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45832</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45832</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45832</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45832</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45832</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45832</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45832</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45832</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45832</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45832</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45832</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45832</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45832</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45832</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45832</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45832</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45832</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45832</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45832</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45832</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45832</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45832</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45832</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45832</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45832</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45832</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45832</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45832</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45832</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45832</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45832</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45832</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45832</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45832</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45832</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45832</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45832</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45832</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45832</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45832</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45832</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45832</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45832</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45832</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45832</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45832</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45832</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45832</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45832</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45832</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45832</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45832</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45832</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45832</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45832</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45832</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45832</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45832</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45832</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45832</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45832</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45832</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45832</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45832</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45832</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45832</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45832</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45832</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45832</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45832</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45832</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45832</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45832</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45832</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45832</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45832</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45832</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45832</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45832</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45832</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45832</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45832</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45832</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45832</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45832</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45832</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45832</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45832</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45832</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45832</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45832</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45832</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45832</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45832</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45832</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45832</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45832</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45832</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45832</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45832</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45832</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45832</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45832</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45832</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45832</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45832</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45832</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45832</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45832</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45832</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45832</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45832</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45832</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45832</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45832</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45832</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45832</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45832</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45832</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45832</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45832</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45832</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45832</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45832</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45832</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45832</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45832</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45832</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45832</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45832</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45832</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45832</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45832</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45832</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45832</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45832</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45832</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45832</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45832</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45832</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45832</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45832</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45832</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45832</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45832</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45832</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45832</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45832</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45832</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45832</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45832</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45832</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45832</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45832</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45832</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45832</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45832</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45832</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45832</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45832</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45832</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45832</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45832</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45832</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45832</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45832</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45832</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45832</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45832</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45832</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45832</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45832</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45832</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45832</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45832</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45832</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45832</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45832</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45832</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45832</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45832</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45832</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45832</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45832</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45832</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45832</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45832</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45832</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45832</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45832</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45832</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45832</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45832</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45832</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45832</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45832</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45832</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45832</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45832</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45832</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45832</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45832</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45832</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45832</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45832</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45832</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45832</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45832</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45832</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45832</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45832</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45832</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45832</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45832</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45832</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45832</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45832</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45832</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45832</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45832</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45832</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45832</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45832</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45832</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45832</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45832</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45832</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45832</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45832</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45832</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45832</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45832</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45832</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45832</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45832</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45832</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45832</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45832</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45832</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45832</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45832</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45832</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45832</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45832</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45832</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45832</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45832</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45832</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45832</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45832</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45832</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45832</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45832</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45832</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45832</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45832</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45832</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45832</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45832</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45832</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45832</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45832</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45832</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45832</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45832</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45832</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45832</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45832</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45832</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45832</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45832</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45832</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45832</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45832</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45832</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45832</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45832</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45832</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45832</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45832</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45832</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45832</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45832</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45832</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45832</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45832</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45832</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45832</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45832</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45832</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45832</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45832</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45832</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45832</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45832</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45832</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45832</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45832</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45832</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45832</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45832</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45832</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45832</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45832</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45832</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45832</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45832</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45832</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45832</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45832</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45832</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45832</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45832</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45832</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45832</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45832</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45832</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45832</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45832</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45832</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45832</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45832</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45832</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45832</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45832</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45832</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45832</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45832</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45832</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45832</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45832</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45832</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45832</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45832</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45832</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45832</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45832</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45832</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45832</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45832</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45832</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45832</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45832</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45832</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45832</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45832</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45832</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45832</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45832</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45832</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45832</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45832</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45832</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45832</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45832</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45832</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45832</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45832</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45832</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45832</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45832</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45832</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45832</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45832</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45832</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45832</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45832</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45832</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45832</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45832</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45832</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45832</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45832</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45832</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45832</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45832</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45832</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45832</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45832</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45832</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45832</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45832</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45832</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45832</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45832</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45832</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45832</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45832</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45832</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45832</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45832</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45832</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45832</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45832</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45832</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45832</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45832</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45832</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45832</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45832</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45832</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45832</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45832</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45832</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45832</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45832</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45832</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45832</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45832</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45832</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45832</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45832</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45832</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45832</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45832</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45832</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45832</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45832</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45832</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45832</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45832</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45832</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45832</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45832</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45832</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45832</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45832</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45832</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45832</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45832</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45832</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45832</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45832</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45832</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45832</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45832</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45832</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45832</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45832</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45832</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45832</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45832</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45832</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45832</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45832</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45832</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45832</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45832</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45832</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45832</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45832</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45832</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45832</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45832</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45832</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45832</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45832</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45832</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45832</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45832</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45832</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45832</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45832</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45832</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45832</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45832</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45832</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45832</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45832</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45832</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45832</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45832</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45832</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45832</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45832</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45832</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45832</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45832</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45832</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45832</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45832</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45832</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45832</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45832</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45832</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45832</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45832</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45832</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45832</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45832</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45832</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45832</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45832</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45832</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45832</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45832</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45832</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45832</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45832</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45832</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45832</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45832</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45832</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45832</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45832</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45832</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45832</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45832</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45832</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45832</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45832</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45832</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45832</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45832</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45832</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45832</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45832</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45832</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45832</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45832</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45832</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45832</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45832</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45832</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45832</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45832</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45832</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45832</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45832</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45832</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45832</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45832</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45832</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45832</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45832</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45832</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45832</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45832</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45832</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45832</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45832</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45832</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45832</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45832</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45832</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45832</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45832</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45832</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45832</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45832</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45832</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45832</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45832</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45832</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45832</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45832</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45832</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45832</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45832</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45832</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45832</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45832</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45832</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45832</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45832</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45832</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45832</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45832</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45832</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45832</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45832</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45832</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45832</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45832</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45832</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45832</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45832</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45832</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45832</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45832</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45832</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45832</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45832</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45832</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45832</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45832</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45832</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45832</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45832</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45832</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45832</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45832</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45832</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45832</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45832</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45832</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45832</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45832</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45832</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45832</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45832</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45832</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45832</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45832</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45832</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45832</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45832</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45832</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45832</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45832</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45832</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45832</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45832</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45832</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45832</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45832</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45832</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45832</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45832</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45832</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45832</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45832</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45832</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45832</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45832</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45832</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45832</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45832</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45832</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45832</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45832</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45832</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45832</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45832</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45832</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45832</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45832</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45832</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45832</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45832</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45832</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45832</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45832</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45832</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45832</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45832</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45832</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45832</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45832</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45832</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45832</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45832</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45832</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45832</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45832</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45832</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45832</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45832</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45832</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45832</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45832</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45832</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45832</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45832</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45832</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45832</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45832</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45832</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45832</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45832</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45832</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45832</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45832</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45832</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45832</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45832</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45832</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45832</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45832</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45832</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45832</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45832</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45832</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45832</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45832</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45832</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45832</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45832</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45832</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45832</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45832</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45832</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45832</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45832</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45832</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45832</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45832</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45832</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45832</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45832</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45832</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45832</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45832</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45832</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45832</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45832</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45832</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45832</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45832</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45832</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45832</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45832</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45832</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45832</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45832</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45832</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45832</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45832</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45832</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45832</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45832</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45832</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45832</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45832</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45832</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45832</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45832</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45832</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45832</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45832</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45832</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45832</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45832</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45832</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45832</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45832</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45832</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45832</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45832</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45832</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45832</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45832</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45832</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45832</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45832</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45832</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45832</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45832</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45832</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45832</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45832</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45832</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45832</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45832</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45832</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45832</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45832</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45832</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45832</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45832</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45832</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45832</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45832</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45832</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45832</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45832</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45832</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45832</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45832</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45832</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45832</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45832</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45832</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45832</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45832</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45832</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45832</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45832</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45832</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45832</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45832</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45832</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45832</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45832</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45832</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45832</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45832</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45832</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45832</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45832</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45832</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45832</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45832</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45832</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45832</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45832</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45832</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45832</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45832</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45832</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45832</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45832</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45832</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45832</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45832</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45832</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45832</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45832</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45832</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45832</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45832</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45832</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45832</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45832</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45832</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45832</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45832</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45832</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45832</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45832</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45832</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45832</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45832</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45832</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45832</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45832</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45832</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45832</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45832</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45832</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45832</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45832</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45832</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45832</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45832</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45832</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45832</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45832</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45832</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45832</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45832</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45832</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45832</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45832</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45832</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45832</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45832</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45832</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45832</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45832</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45832</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45832</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45832</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45832</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45832</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45832</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45832</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45832</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45832</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45832</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45832</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45832</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45832</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45832</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45832</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45832</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45832</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45832</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45832</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45832</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45832</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45832</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45832</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45832</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45832</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45832</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45832</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45832</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45832</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45832</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45832</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45832</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45832</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45832</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45832</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45832</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45832</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45832</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45832</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45832</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45832</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45832</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45832</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45832</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45832</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45832</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45832</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45832</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45832</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45832</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45832</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45832</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45832</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45832</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45832</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45832</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45832</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45832</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45832</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45832</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45832</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45832</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45832</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45832</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45832</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45832</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45832</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45832</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45832</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45832</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45832</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45832</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45832</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45832</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45832</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45832</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45832</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45832</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45832</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45832</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45832</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45832</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45832</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45832</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45832</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45832</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45832</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45832</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45832</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45832</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45832</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45832</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45832</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45832</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45832</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45832</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45832</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45832</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45832</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45832</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45832</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45832</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45832</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45832</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45832</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45832</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45832</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45832</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45832</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45832</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45832</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45832</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45832</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45832</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45832</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45832</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45832</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45832</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45832</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45832</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45832</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45832</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45832</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45832</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45832</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45832</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45832</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45832</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45832</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45832</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45832</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45832</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45832</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45832</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45832</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45832</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45832</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45832</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45832</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45832</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45832</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45832</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45832</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45832</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45832</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45832</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45832</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45832</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45832</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45832</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45832</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45832</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45832</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45832</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45832</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45832</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45832</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45832</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45832</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45832</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45832</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45832</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45832</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45832</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45832</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45832</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45832</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45832</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45832</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45832</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45832</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45832</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45832</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45832</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45832</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45832</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45832</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45832</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45832</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45832</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45832</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45832</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45832</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45832</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45832</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45832</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45832</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45832</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45832</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45832</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45832</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45832</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45832</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45832</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45832</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45832</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45832</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45832</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45832</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45832</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45832</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45832</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45832</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45832</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45832</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45832</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45832</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45832</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45832</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45832</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45832</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45832</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45832</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45832</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45832</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45832</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45832</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45832</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45832</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45832</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45832</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45832</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45832</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45832</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45832</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45832</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45832</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45832</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45832</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45832</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45832</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45832</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45832</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45832</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45832</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45832</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45832</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45832</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45832</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45832</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45832</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45832</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45832</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45832</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45832</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45832</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45832</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45832</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45832</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45832</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45832</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45832</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45832</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45832</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45832</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45832</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45832</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45832</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45832</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45832</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45832</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45832</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45832</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45832</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45832</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45832</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45832</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45832</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45832</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45832</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45832</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45832</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45832</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45832</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45832</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45832</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45832</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45832</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45832</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45832</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45832</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45832</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45832</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45832</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45832</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45832</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45832</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45832</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45832</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45832</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45832</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45832</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45832</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45832</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45832</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45832</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45832</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45832</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45832</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45832</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45832</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45832</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45832</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45832</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45832</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45832</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45832</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45832</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45832</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45832</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45832</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45832</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45832</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45832</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45832</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45832</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45832</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45832</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45832</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45832</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45832</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45832</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45832</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45832</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45832</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45832</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45832</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45832</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45832</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45832</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45832</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45832</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45832</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45832</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45832</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45832</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45832</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45832</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45832</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45832</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45832</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45832</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45832</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45832</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45832</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45832</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45832</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45832</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45832</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45832</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45832</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45832</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45832</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45832</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45832</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45832</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45832</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45832</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45832</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45832</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45832</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45832</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45832</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45832</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45832</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45832</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45832</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45832</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45832</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45832</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45832</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45832</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45832</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45832</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45832</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45832</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45832</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45832</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45832</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45832</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45832</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45832</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45832</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45832</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45832</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45832</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45832</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45832</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45832</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45832</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45832</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45832</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45832</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45832</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45832</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45832</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45832</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45832</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45832</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45832</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45832</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45832</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45832</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45832</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45832</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45832</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45832</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45832</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45832</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45832</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45832</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45832</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45832</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45832</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45832</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45832</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45832</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45832</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45832</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45832</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45832</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45832</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45832</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45832</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45832</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45832</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45832</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45832</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45832</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45832</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45832</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45832</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45832</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45832</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45832</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45832</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45832</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45832</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45832</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45832</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45832</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45832</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45832</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45832</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45832</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45832</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45832</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45832</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45832</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45832</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45832</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45832</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45832</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45832</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45832</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45832</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45832</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45832</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45832</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45832</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45832</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45832</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45832</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45832</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45832</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45832</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45832</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45832</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45832</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45832</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45832</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45832</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45832</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45832</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45832</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45832</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45832</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45832</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45832</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45832</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45832</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45832</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45832</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45832</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45832</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45832</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45832</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45832</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45832</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45832</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45832</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45832</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45832</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45832</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45832</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45832</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45832</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45832</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45832</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45832</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45832</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45832</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45832</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45832</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45832</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45832</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45832</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45832</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45832</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45832</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45832</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45832</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45832</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45832</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45832</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45832</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45832</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45832</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45832</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45832</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45832</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45832</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45832</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45832</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45832</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45832</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45832</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45832</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45832</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45832</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45832</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45832</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45832</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45832</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45832</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45832</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45832</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45832</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45832</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45832</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45832</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45832</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45832</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45832</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45832</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45832</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45832</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45832</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45832</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45832</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45832</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45832</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45832</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45832</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45832</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45832</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45832</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45832</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45832</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45832</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45832</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45832</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45832</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45832</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45832</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45832</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45832</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45832</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45832</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45832</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45832</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45832</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45832</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45832</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45832</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45832</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45832</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45832</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45832</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45832</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45832</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45832</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45832</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45832</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45832</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45832</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45832</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45832</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45832</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45832</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45832</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45832</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45832</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45832</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45832</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45832</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45832</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45832</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45832</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45832</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45832</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45832</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45832</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45832</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45832</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45832</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45832</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45832</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45832</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45832</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45832</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45832</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45832</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45832</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45832</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45832</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45832</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45832</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45832</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45832</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45832</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45832</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45832</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45832</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45832</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45832</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45832</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45832</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45832</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45832</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45832</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45832</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45832</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45832</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45832</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45832</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45832</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45832</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45832</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45832</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45832</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45832</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45832</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45832</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45832</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45832</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45832</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45832</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45832</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45832</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45832</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45832</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45832</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45832</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45832</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45832</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45832</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45832</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45832</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45832</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45832</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45832</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45832</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45832</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45832</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45832</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45832</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45832</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45832</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45832</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45832</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45832</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45832</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45832</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45832</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45832</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45832</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45832</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45832</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45832</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45832</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45832</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45832</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45832</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45832</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45832</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45832</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45832</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45832</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45832</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45832</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45832</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45832</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45832</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45832</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45832</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45832</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45832</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45832</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45832</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45832</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45832</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45832</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45832</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45832</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45832</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45832</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45832</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45832</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45832</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45832</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45832</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45832</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45832</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45832</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45832</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45832</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45832</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45832</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45832</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45832</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45832</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45832</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45832</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45832</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45832</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45832</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45832</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45832</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45832</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45832</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45832</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45832</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45832</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45832</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45832</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45832</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45832</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45832</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45832</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45832</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45832</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45832</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45832</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45832</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45832</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45832</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45832</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45832</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45832</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45832</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45832</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45832</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45832</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45832</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45832</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45832</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45832</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45832</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45832</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45832</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45832</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45832</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45832</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45832</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45832</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45832</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45832</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45832</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45832</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45832</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45832</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45832</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45832</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45832</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45832</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45832</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45832</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45832</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45832</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45832</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45832</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45832</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45832</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45832</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45832</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45832</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45832</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45832</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45832</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45832</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45832</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45832</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45832</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45832</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45832</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45832</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45832</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45832</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45832</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45832</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45832</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45832</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45832</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45832</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45832</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45832</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45832</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45832</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45832</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45832</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45832</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45832</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45832</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45832</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45832</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45832</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45832</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45832</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45832</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45832</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45832</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45832</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45832</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45832</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45832</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45832</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45832</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45832</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45832</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45832</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45832</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45832</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45832</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45832</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45832</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45832</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45832</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45832</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45832</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45832</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45832</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45832</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45832</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45832</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45832</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45832</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45832</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45832</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45832</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45832</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45832</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45832</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45832</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45832</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45832</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45832</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45832</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45832</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45832</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45832</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45832</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45832</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45832</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45832</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45832</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45832</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45832</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45832</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45832</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45832</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45832</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45832</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45832</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45832</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45832</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45832</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45832</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45832</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45832</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45832</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45832</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45832</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45832</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45832</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45832</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45832</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45832</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45832</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45832</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45832</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45832</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45832</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45832</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45832</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45832</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45832</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45832</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45832</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45832</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45832</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45832</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45832</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45832</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45832</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45832</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45832</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45832</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45832</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45832</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45832</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45832</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45832</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45832</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45832</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45832</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45832</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45832</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45832</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45832</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45832</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45832</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45832</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45832</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45832</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45832</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45832</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45832</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45832</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45832</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45832</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45832</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45832</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45832</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45832</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45832</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45832</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45832</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45832</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45832</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45832</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45832</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45832</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45832</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45832</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45832</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45832</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45832</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45832</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45832</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45832</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45832</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45832</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45832</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45832</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45832</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45832</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45832</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45832</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45832</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45832</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45832</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45832</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45832</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45832</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45832</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45832</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45832</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45832</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45832</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45832</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45832</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45832</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45832</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45832</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45832</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45832</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45832</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45832</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45832</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45832</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45832</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45832</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45832</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45832</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45832</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45832</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45832</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45832</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45832</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45832</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45832</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45832</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45832</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45832</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45832</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45832</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45832</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45832</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45832</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45832</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45832</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45832</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45832</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45832</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45832</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45832</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45832</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45832</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45832</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45832</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45832</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45832</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45832</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45832</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45832</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45832</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45832</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45832</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45832</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45832</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45832</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45832</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45832</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45832</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45832</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45832</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45832</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45832</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45832</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45832</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45832</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45832</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45832</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45832</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45832</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45832</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45832</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45832</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45832</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45832</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45832</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45832</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45832</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45832</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45832</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45832</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45832</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45832</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45832</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45832</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45832</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45832</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45832</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45832</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45832</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45832</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45832</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45832</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45832</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45832</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45832</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45832</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45832</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45832</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45832</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45832</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45832</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45832</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45832</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45832</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45832</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45832</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45832</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45832</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45832</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45832</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45832</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45832</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45832</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45832</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45832</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45832</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45832</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45832</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45832</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45832</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45832</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45832</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45832</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45832</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45832</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45832</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45832</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45832</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45832</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45832</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45832</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45832</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45832</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45832</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45832</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45832</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45832</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45832</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45832</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45832</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45832</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45832</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45832</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45832</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45832</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45832</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45832</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45832</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45832</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45832</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45832</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45832</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45832</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45832</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45832</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45832</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45832</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45832</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45832</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45832</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45832</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45832</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45832</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45832</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45832</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45832</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45832</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45832</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45832</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45832</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45832</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45832</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45832</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45832</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45832</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45832</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45832</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45832</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45832</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45832</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45832</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45832</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45832</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45832</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45832</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45832</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45832</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45832</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45832</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45832</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45832</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45832</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45832</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45832</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45832</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45832</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45832</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45832</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45832</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45832</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45832</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45832</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45832</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45832</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45832</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45832</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45832</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45832</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45832</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45832</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45832</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45832</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45832</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45832</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45832</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45832</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45832</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45832</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45832</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45832</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45832</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45832</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45832</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45832</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45832</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45832</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45832</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45832</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45832</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45832</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45832</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45832</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45832</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45832</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45832</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45832</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45832</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45832</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45832</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45832</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45832</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45832</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45832</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45832</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45832</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45832</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45832</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45832</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45832</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45832</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45832</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45832</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45832</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45832</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45832</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45832</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45832</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45832</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45832</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45832</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45832</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45832</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45832</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45832</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45832</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45832</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45832</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45832</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45832</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45832</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45832</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45832</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45832</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45832</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45832</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45832</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45832</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45832</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45832</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45832</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45832</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45832</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45832</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45832</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45832</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45832</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45832</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45832</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45832</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45832</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45832</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45832</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45832</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45832</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45832</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45832</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45832</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45832</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45832</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45832</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45832</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45832</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45832</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45832</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45832</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45832</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45832</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45832</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45832</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45832</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45832</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45832</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45832</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45832</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45832</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45832</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45832</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45832</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45832</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45832</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45832</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45832</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45832</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45832</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45832</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45832</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45832</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45832</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45832</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45832</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45832</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45832</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45832</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45832</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45832</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45832</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45832</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45832</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45832</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45832</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45832</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45832</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45832</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45832</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45832</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45832</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45832</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45832</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45832</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45832</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45832</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45832</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45832</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45832</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45832</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45832</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45832</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45832</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45832</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45832</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45832</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45832</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45832</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45832</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45832</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45832</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45832</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45832</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45832</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45832</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45832</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45832</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45832</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45832</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45832</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45832</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45832</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45832</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45832</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45832</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45832</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45832</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45832</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45832</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45832</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45832</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45832</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45832</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45832</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45832</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45832</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45832</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45832</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45832</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45832</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45832</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45832</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45832</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45832</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45832</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45832</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45832</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45832</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45832</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45832</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45832</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45832</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45832</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45832</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45832</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45832</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45832</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45832</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45832</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45832</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45832</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45832</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45832</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45832</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45832</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45832</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45832</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45832</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45832</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45832</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45832</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45832</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45832</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45832</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45832</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45832</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45832</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45832</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45832</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45832</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45832</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45832</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45832</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45832</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45832</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45832</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45832</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45832</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45832</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45832</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45832</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45832</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45832</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45832</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45832</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45832</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45832</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45832</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45832</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45832</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45832</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45832</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45832</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45832</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45832</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45832</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45832</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45832</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45832</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45832</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45832</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45832</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45832</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45832</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45832</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45832</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45832</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45832</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45832</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45832</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45832</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45832</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45832</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45832</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45832</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45832</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45832</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45832</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45832</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45832</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45832</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45832</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45832</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45832</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45832</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45832</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45832</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45832</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45832</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45832</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45832</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45832</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45832</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45832</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45832</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45832</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45832</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45832</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45832</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45832</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45832</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45832</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45832</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45832</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45832</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45832</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45832</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45832</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45832</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45832</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45832</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45832</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45832</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45832</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45832</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45832</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45832</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45832</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45832</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45832</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45832</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45832</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45832</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45832</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45832</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45832</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45832</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45832</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45832</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45832</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45832</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45832</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45832</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45832</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45832</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45832</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45832</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45832</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45832</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45832</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45832</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45832</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45832</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45832</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45832</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45832</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45832</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45832</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45832</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45832</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45832</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45832</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45832</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45832</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45832</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45832</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45832</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45832</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45832</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45832</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45832</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45832</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45832</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45832</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45832</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45832</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45832</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45832</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45832</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45832</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45832</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45832</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45832</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45832</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45832</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45832</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45832</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45832</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45832</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45832</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45832</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45832</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45832</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45832</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45832</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45832</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45832</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45832</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45832</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45832</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45832</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45832</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45832</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45832</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45832</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45832</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45832</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45832</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45832</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45832</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45832</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45832</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45832</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45832</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45832</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45832</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45832</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45832</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45832</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45832</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45832</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45832</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45832</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45832</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45832</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45832</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45832</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45832</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45832</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45832</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45832</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45832</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45832</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45832</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45832</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45832</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45832</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45832</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45832</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45832</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45832</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45832</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45832</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45832</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45832</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45832</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45832</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45832</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45832</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45832</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45832</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45832</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45832</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45832</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45832</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45832</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45832</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45832</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45832</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45832</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45832</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45832</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45832</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45832</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45832</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45832</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45832</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45832</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45832</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45832</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45832</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45832</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45832</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45832</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45832</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45832</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45832</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45832</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45832</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45832</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45832</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45832</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45832</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45832</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45832</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45832</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45832</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45832</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45832</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45832</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45832</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45832</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45832</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45832</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45832</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45832</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45832</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45832</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45832</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45832</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45832</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45832</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45832</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45832</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45832</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45832</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45832</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45832</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45832</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45832</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45832</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45832</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45832</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45832</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45832</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45832</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45832</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45832</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45832</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45832</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45832</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45832</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45832</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45832</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45832</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45832</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45832</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45832</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45832</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45832</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45832</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45832</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45832</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45832</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45832</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45832</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45832</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45832</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45832</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45832</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45832</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45832</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45832</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45832</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45832</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45832</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45832</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45832</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45832</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45832</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45832</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45832</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45832</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45832</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45832</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45832</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45832</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45832</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45832</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45832</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45832</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45832</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45832</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45832</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45832</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45832</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45832</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45832</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45832</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45832</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45832</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45832</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45832</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45832</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45832</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45832</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45832</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45832</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45832</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45832</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45832</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45832</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45832</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45832</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45832</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45832</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45832</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45832</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45832</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45832</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45832</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45832</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45832</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45832</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45832</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45832</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45832</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45832</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45832</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45832</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45832</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45832</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45832</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45832</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45832</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45832</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45832</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45832</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45832</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45832</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45832</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45832</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45832</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45832</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45832</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45832</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45832</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45832</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45832</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45832</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45832</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45832</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45832</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45832</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45832</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45832</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45832</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45832</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45832</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45832</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45832</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45832</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45832</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45832</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45832</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45832</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45832</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45832</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45832</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45832</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45832</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45832</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45832</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45832</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45832</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45832</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45832</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45832</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45832</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45832</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45832</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45832</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45832</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45832</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45832</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45832</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45832</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45832</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45832</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45832</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45832</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45832</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45832</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45832</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45832</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45832</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45832</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45832</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45832</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45832</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45832</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45832</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45832</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45832</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45832</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45832</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45832</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45832</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45832</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45832</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45832</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45832</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45832</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45832</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45832</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45832</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45832</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45832</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45832</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45832</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45832</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45832</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45832</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45832</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45832</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45832</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45832</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45832</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45832</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45832</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45832</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45832</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45832</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45832</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45832</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45832</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45832</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45832</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45832</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45832</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45832</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45832</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45832</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45832</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45832</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45832</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45832</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45832</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45832</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45832</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45832</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45832</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45832</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45832</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45832</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45832</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45832</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45832</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45832</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45832</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45832</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45832</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45832</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45832</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45832</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45832</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45832</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45832</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45832</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45832</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45832</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45832</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45832</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45832</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45832</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45832</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45832</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45832</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45832</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45832</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45832</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45832</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45832</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45832</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45832</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45832</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45832</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45832</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45832</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45832</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45832</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45832</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45832</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45832</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45832</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45832</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45832</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45832</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45832</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45832</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45832</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45832</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45832</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45832</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45832</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45832</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45832</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45832</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45832</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45832</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45832</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45832</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45832</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45832</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45832</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45832</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45832</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45832</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45832</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45832</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45832</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45832</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45832</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45832</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45832</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45832</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45832</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45832</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45832</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45832</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45832</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45832</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45832</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45832</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45832</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45832</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45832</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45832</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45832</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45832</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45832</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45832</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45832</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45832</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45832</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45832</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45832</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45832</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45832</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45832</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45832</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45832</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45832</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45832</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45832</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45832</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45832</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45832</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45832</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45832</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45832</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45832</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45832</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45832</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45832</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45832</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45832</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45832</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45832</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45832</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45832</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45832</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45832</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45832</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45832</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45832</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45832</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45832</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45832</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45832</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45832</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45832</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45832</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45832</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45832</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45832</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45832</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45832</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45832</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45832</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45832</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45832</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45832</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45832</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45832</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45832</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45832</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45832</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45832</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45832</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45832</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45832</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45832</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45832</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45832</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45832</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45832</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45832</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45832</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45832</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45832</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45832</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45832</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45832</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45832</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45832</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45832</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45832</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45832</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45832</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45832</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45832</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45832</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45832</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45832</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45832</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45832</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45832</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45832</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45832</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45832</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45832</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45832</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45832</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45832</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45832</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45832</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45832</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45832</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45832</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45832</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45832</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45832</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45832</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45832</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45832</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45832</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45832</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45832</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45832</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45832</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45832</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45832</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45832</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45832</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45832</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45832</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45832</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45832</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45832</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45832</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45832</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45832</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45832</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45832</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45832</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45832</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45832</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45832</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45832</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45832</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45832</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45832</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45832</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45832</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45832</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45832</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45832</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45832</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45832</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45832</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45832</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45832</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45832</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45832</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45832</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45832</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45832</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45832</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45832</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45832</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45832</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45832</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45832</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45832</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45832</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45832</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45832</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45832</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45832</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45832</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45832</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45832</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45832</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45832</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45832</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45832</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45832</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45832</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45832</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45832</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45832</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45832</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45832</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45832</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45832</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45832</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45832</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45832</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45832</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45832</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45832</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45832</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45832</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45832</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45832</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45832</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45832</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45832</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45832</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45832</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45832</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45832</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45832</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45832</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45832</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45832</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45832</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45832</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45832</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45832</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45832</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45832</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45832</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45832</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45832</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45832</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45832</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45832</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45832</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45832</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45832</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45832</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45832</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45832</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45832</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45832</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45832</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45832</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45832</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45832</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45832</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45832</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45832</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45832</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45832</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45832</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45832</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45832</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45832</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45832</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45832</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45832</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45832</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45832</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45832</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45832</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45832</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45832</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45832</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45832</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45832</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45832</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45832</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45832</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45832</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45832</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45832</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45832</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45832</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45832</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45832</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45832</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45832</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45832</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45832</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45832</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45832</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45832</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45832</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45832</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45832</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45832</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45832</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45832</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45832</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45832</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45832</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45832</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45832</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45832</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45832</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45832</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45832</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45832</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45832</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45832</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45832</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45832</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45832</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45832</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45832</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45832</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45832</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45832</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45832</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45832</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45832</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45832</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45832</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45832</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45832</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45832</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45832</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45832</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45832</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45832</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45832</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45832</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45832</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45832</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45832</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45832</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45832</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45832</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45832</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45832</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45832</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45832</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45832</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45832</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45832</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45832</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45832</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45832</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45832</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45832</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45832</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45832</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45832</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45832</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45832</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45832</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45832</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45832</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45832</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45832</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45832</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45832</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45832</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45832</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45832</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45832</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45832</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45832</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45832</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45832</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45832</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45832</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45832</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45832</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45832</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45832</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45832</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45832</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45832</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45832</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45832</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45832</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45832</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45832</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45832</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45832</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45832</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45832</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45832</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45832</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45832</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45832</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45832</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45832</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45832</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45832</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45832</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45832</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45832</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45832</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45832</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45832</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45832</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45832</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45832</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45832</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45832</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45832</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45832</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45832</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45832</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45832</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45832</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45832</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45832</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45832</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45832</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45832</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45832</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45832</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45832</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45832</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45832</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45832</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45832</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45832</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45832</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45832</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45832</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45832</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45832</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45832</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45832</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45832</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45832</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45832</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45832</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45832</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45832</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45832</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45832</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45832</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45832</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45832</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45832</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45832</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45832</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45832</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45832</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45832</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45832</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45832</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45832</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45832</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45832</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45832</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45832</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45832</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45832</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45832</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45832</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45832</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45832</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45832</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45832</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45832</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45832</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45832</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45832</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45832</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45832</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45832</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45832</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45832</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45832</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45832</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45832</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45832</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45832</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45832</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45832</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45832</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45832</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45832</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45832</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45832</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45832</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45832</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45832</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45832</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45832</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45832</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45832</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45832</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45832</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45832</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45832</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45832</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45832</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45832</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45832</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45832</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45832</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45832</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45832</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45832</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45832</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45832</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45832</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45832</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45832</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45832</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45832</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45832</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45832</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45832</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45832</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45832</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45832</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45832</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45832</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45832</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45832</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45832</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45832</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45832</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45832</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45832</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45832</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45832</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45832</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45832</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45832</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45832</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45832</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45832</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45832</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45832</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45832</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45832</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45832</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45832</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45832</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45832</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45832</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45832</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45832</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45832</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45832</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45832</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45832</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45832</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45832</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45832</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45832</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45832</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45832</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45832</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45832</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45832</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45832</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45832</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45832</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45832</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45832</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45832</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45832</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45832</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45832</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45832</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45832</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45832</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45832</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45832</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45832</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45832</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45832</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45832</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45832</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45832</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45832</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45832</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45832</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45832</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45832</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45832</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45832</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45832</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45832</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45832</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45832</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45832</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45832</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45832</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45832</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45832</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45832</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45832</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45832</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45832</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45832</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45832</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45832</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45832</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45832</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45832</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45832</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45832</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45832</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45832</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45832</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45832</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45832</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45832</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45832</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45832</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45832</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45832</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45832</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45832</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45832</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45832</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45832</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45832</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45832</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45832</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45832</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45832</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45832</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45832</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45832</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45832</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45832</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45832</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45832</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45832</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45832</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45832</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45832</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45832</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45832</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45832</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45832</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45832</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45832</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45832</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45832</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45832</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45832</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45832</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45832</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45832</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45832</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45832</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45832</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45832</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45832</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45832</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45832</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45832</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45832</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45832</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45832</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45832</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45832</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45832</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45832</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45832</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45832</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45832</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45832</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45832</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45832</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45832</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45832</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45832</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45832</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45832</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45832</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45832</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45832</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45832</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45832</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45832</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45832</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45832</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45832</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45832</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45832</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45832</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45832</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45832</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45832</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45832</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45832</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45832</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45832</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45832</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45832</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45832</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45832</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45832</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45832</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45832</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45832</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45832</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45832</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45832</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45832</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45832</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45832</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45832</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45832</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45832</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45832</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45832</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45832</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45832</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45832</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45832</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45832</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45832</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45832</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45832</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45832</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45832</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45832</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45832</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45832</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45832</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45832</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45832</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45832</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45832</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45832</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45832</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45832</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45832</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45832</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45832</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45832</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45832</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45832</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45832</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45832</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45832</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45832</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45832</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45832</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45832</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45832</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45832</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45832</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45832</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45832</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45832</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45832</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45832</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45832</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45832</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45832</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45832</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45832</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45832</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45832</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45832</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45832</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45832</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45832</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45832</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45832</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45832</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45832</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45832</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45832</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45832</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45832</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45832</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45832</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45832</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45832</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45832</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45832</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45832</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45832</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45832</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45832</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45832</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45832</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45832</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45832</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45832</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45832</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45832</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45832</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45832</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45832</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45832</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45832</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45832</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45832</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45832</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45832</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45832</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45832</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45832</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45832</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45832</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45832</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45832</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45832</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45832</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45832</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45832</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45832</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45832</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45832</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45832</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45832</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45832</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45832</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45832</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45832</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45832</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45832</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45832</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45832</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45832</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45832</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45832</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45832</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45832</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45832</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45832</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45832</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45832</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45832</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45832</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45832</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45832</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45832</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45832</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45832</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45832</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45832</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45832</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45832</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45832</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45832</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45832</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45832</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45832</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45832</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45832</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45832</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45832</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45832</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45832</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45832</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45832</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45832</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45832</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45832</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45832</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45832</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45832</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45832</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45832</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45832</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45832</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45832</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45832</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45832</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45832</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45832</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45832</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45832</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45832</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45832</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45832</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45832</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45832</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45832</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45832</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45832</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45832</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45832</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45832</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45832</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45832</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45832</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45832</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45832</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45832</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45832</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45832</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45832</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45832</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45832</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45832</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45832</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45832</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45832</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45832</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45832</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45832</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45832</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45832</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45832</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45832</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45832</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45832</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45832</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45832</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45832</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45832</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45832</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45832</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45832</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45832</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45832</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45832</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45832</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45832</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45832</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45832</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45832</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45832</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45832</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45832</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45832</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45832</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45832</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45832</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45832</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45832</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45832</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45832</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45832</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45832</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45832</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45832</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45832</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45832</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45832</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45832</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45832</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45832</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45832</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45832</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45832</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45832</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45832</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45832</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45832</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45832</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45832</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45832</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45832</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45832</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45832</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45832</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45832</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45832</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45832</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45832</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45832</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45832</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45832</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45832</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45832</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45832</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45832</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45832</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45832</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45832</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45832</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45832</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45832</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45832</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45832</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45832</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45832</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45832</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45832</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45832</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45832</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45832</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45832</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45832</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45832</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45832</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45832</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45832</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45832</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45832</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45832</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45832</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45832</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45832</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45832</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45832</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45832</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45832</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45832</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45832</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45832</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45832</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45832</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45832</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45832</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45832</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45832</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45832</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45832</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45832</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45832</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45832</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45832</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45832</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45832</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45832</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45832</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45832</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45832</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45832</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45832</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45832</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45832</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45832</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45832</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45832</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45832</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45832</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45832</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45832</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45832</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45832</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45832</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45832</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45832</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45832</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45832</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45832</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45832</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45832</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45832</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45832</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45832</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45832</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45832</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45832</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45832</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45832</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45832</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45832</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45832</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45832</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45832</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45832</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45832</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45832</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45832</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45832</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45832</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45832</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45832</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45832</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45832</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45832</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45832</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45832</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45832</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45832</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45832</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45832</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45832</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45832</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45832</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45832</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45832</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45832</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45832</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45832</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45832</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45832</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45832</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45832</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45832</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45832</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45832</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45832</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45832</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45832</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45832</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45832</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45832</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45832</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45832</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45832</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45832</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45832</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45832</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45832</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45832</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45832</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45832</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45832</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45832</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45832</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45832</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45832</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45832</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45832</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45832</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45832</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45832</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45832</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45832</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45832</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45832</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45832</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45832</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45832</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45832</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45832</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45832</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45832</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45832</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45832</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45832</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45832</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45832</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45832</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45832</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45832</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45832</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45832</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45832</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45832</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45832</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45832</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45832</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45832</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45832</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45832</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45832</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45832</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45832</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45832</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45832</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45832</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45832</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45832</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45832</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45832</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45832</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45832</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45832</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45832</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45832</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45832</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45832</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45832</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45832</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45832</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45832</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45832</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45832</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45832</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45832</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45832</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45832</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45832</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45832</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45832</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45832</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45832</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45832</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45832</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45832</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45832</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45832</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45832</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45832</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45832</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45832</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45832</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45832</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45832</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45832</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45832</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45832</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45832</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45832</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45832</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45832</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45832</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45832</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45832</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45832</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45832</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45832</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45832</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45832</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45832</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45832</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45832</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45832</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45832</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45832</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45832</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45832</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45832</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45832</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45832</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45832</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45832</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45832</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45832</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45832</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45832</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45832</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45832</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45832</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45832</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45832</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45832</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45832</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45832</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45832</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45832</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45832</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45832</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45832</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45832</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45832</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45832</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45832</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45832</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45832</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45832</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45832</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45832</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45832</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45832</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45832</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45832</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45832</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45832</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45832</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45832</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45832</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45832</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45832</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45832</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45832</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45832</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45832</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45832</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45832</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45832</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45832</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45832</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45832</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45832</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45832</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45832</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45832</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45832</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45832</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45832</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45832</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45832</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45832</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45832</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45832</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45832</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45832</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45832</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45832</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45832</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45832</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45832</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45832</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45832</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45832</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45832</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45832</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45832</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45832</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45832</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45832</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45832</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45832</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45832</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45832</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45832</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45832</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45832</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45832</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45832</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45832</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45832</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45832</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45832</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45832</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45832</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45832</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45832</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45832</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45832</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45832</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45832</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45832</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45832</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45832</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45832</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45832</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45832</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45832</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45832</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45832</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45832</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45832</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45832</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45832</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45832</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45832</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45832</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45832</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45832</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45832</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45832</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45832</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45832</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45832</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45832</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45832</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45832</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45832</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45832</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45832</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45832</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45832</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45832</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45832</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45832</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45832</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45832</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45832</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45832</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45832</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45832</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45832</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45832</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45832</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45832</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45832</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45832</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45832</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45832</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45832</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45832</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45832</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45832</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45832</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45832</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45832</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45832</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45832</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45832</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45832</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45832</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45832</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45832</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45832</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45832</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45832</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45832</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45832</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45832</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45832</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45832</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45832</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45832</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45832</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45832</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45832</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45832</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45832</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45832</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45832</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45832</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45832</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45832</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45832</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45832</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45832</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45832</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45832</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45832</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45832</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45832</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45832</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45832</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45832</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45832</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45832</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45832</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45832</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45832</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45832</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45832</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45832</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45832</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45832</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45832</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45832</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45832</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45832</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45832</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45832</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45832</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45832</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45832</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45832</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45832</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45832</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45832</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45832</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45832</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45832</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45832</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45832</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45832</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45832</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45832</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45832</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45832</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45832</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45832</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45832</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45832</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45832</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45832</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45832</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45832</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45832</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45832</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45832</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45832</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45832</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45832</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45832</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45832</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45832</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45832</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45832</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45832</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45832</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45832</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45832</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45832</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45832</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45832</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45832</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45832</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45832</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45832</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45832</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45832</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45832</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45832</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45832</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45832</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45832</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45832</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45832</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45832</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45832</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45832</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45832</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45832</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45832</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45832</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45832</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45832</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45832</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45832</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45832</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45832</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45832</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45832</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45832</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45832</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45832</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45832</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45832</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45832</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45832</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45832</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45832</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45832</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45832</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45832</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45832</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45832</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45832</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45832</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45832</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45832</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45832</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45832</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45832</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45832</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45832</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45832</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45832</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45832</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45832</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45832</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45832</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45832</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45832</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45832</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45832</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45832</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45832</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45832</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45832</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45832</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45832</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45832</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45832</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45832</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45832</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45832</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45832</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45832</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45832</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45832</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45832</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45832</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45832</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45832</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45832</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45832</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45832</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45832</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45832</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45832</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45832</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45832</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45832</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45832</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45832</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45832</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45832</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45832</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45832</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45832</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45832</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45832</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45832</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45832</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45832</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45832</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45832</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45832</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45832</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45832</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45832</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45832</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45832</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45832</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45832</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45832</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45832</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45832</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45832</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45832</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45832</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45832</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45832</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45832</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45832</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45832</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45832</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45832</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45832</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45832</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45832</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45832</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45832</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45832</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45832</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45832</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45832</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45832</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45832</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45832</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45832</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45832</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45832</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45832</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45832</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45832</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45832</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45832</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45832</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45832</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45832</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45832</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45832</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45832</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45832</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45832</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45832</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45832</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45832</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45832</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45832</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45832</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45832</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45832</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45832</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45832</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45832</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45832</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45832</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45832</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45832</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45832</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45832</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45832</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45832</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45832</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45832</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45832</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45832</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45832</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45832</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45832</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45832</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45832</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45832</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45832</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45832</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45832</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45832</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45832</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45832</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45832</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45832</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45832</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45832</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45832</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45832</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45832</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45832</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45832</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45832</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45832</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45832</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45832</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45832</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45832</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45832</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45832</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45832</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45832</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45832</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45832</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45832</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45832</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45832</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45832</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45832</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45832</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45832</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45832</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45832</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45832</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45832</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45832</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45832</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45832</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45832</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45832</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45832</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45832</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45832</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45832</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45832</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45832</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45832</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45832</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45832</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45832</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45832</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45832</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45832</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45832</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45832</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45832</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45832</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45832</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45832</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45832</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45832</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45832</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45832</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45832</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45832</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45832</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45832</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45832</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45832</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45832</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45832</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45832</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45832</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45832</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45832</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45832</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45832</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45832</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45832</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45832</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45832</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45832</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45832</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45832</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45832</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45832</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45832</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45832</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45832</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45832</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45832</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45832</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45832</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45832</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45832</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45832</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45832</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45832</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45832</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45832</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45832</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45832</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45832</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45832</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45832</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45832</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45832</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45832</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45832</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45832</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45832</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45832</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45832</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45832</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45832</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45832</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45832</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45832</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45832</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45832</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45832</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45832</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45832</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45832</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45832</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45832</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45832</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45832</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45832</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45832</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45832</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45832</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45832</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45832</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45832</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45832</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45832</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45832</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45832</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45832</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45832</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45832</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45832</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45832</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45832</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45832</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45832</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45832</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45832</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45832</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45832</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45832</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45832</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45832</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45832</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45832</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45832</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45832</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45832</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45832</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45832</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45832</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45832</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45832</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45832</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45832</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45832</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45832</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45832</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45832</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45832</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45832</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45832</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45832</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45832</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45832</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45832</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45832</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45832</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45832</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45832</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45832</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45832</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45832</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45832</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45832</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45832</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45832</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45832</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45832</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45832</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45832</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45832</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45832</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45832</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45832</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45832</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45832</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45832</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45832</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45832</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45832</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45832</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45832</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45832</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45832</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45832</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45832</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45832</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45832</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45832</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45832</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45832</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45832</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45832</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45832</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45832</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45832</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45832</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45832</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45832</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45832</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45832</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45832</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45832</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45832</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45832</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45832</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45832</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45832</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45832</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45832</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45832</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45832</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45832</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45832</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45832</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45832</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45832</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45832</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45832</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45832</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45832</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45832</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45832</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45832</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45832</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45832</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45832</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45832</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45832</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45832</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45832</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45832</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45832</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45832</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45832</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45832</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45832</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45832</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45832</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45832</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45832</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45832</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45832</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45832</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45832</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45832</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45832</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45832</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45832</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45832</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45832</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45832</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45832</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45832</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45832</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45832</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45832</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45832</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45832</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45832</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45832</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45832</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45832</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45832</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45832</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45832</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45832</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45832</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45832</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45832</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45832</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45832</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45832</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45832</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45832</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45832</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45832</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45832</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45832</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45832</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45832</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45832</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45832</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45832</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45832</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45832</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45832</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45832</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45832</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45832</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45832</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45832</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45832</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45832</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45832</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45832</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45832</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45832</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45832</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45832</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45832</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45832</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45832</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45832</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45832</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45832</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45832</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45832</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45832</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45832</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45832</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45832</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45832</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45832</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45832</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45832</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45832</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45832</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45832</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45832</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45832</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45832</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45832</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45832</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45832</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45832</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45832</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45832</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45832</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45832</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45832</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45832</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45832</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45832</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45832</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45832</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45832</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45832</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45832</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45832</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45832</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45832</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45832</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45832</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45832</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45832</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45832</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45832</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45832</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45832</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45832</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45832</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45832</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45832</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45832</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45832</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45832</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45832</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45832</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45832</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45832</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45832</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45832</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45832</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45832</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45832</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45832</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45832</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45832</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45832</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45832</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45832</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45832</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45832</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45832</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45832</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45832</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45832</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45832</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45832</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45832</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45832</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45832</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45832</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45832</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45832</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45832</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45832</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45832</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45832</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45832</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45832</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45832</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45832</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45832</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45832</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45832</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45832</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45832</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45832</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45832</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45832</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45832</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45832</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45832</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45832</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45832</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45832</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45832</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45832</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45832</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45832</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45832</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45832</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45832</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45832</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45832</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45832</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45832</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45832</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45832</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45832</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45832</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45832</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45832</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45832</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45832</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45832</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45832</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45832</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45832</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45832</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45832</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45832</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45832</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45832</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45832</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45832</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45832</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45832</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45832</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45832</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45832</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45832</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45832</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45832</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45832</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45832</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45832</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45832</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45832</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45832</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45832</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45832</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45832</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45832</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45832</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45832</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45832</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45832</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45832</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45832</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45832</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45832</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45832</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45832</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45832</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45832</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45832</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45832</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45832</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45832</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45832</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45832</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45832</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45832</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45832</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45832</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45832</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45832</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45832</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45832</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45832</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45832</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45832</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45832</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45832</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45832</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45832</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45832</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45832</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45832</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45832</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45832</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45832</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45832</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45832</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45832</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45832</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45832</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45832</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45832</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45832</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45832</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45832</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45832</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45832</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45832</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45832</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45832</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45832</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45832</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45832</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45832</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45832</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45832</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45832</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45832</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45832</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45832</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45832</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45832</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45832</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45832</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45832</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45832</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45832</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45832</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45832</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45832</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45832</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45832</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45832</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45832</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45832</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45832</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45832</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45832</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45832</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45832</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45832</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45832</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45832</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45832</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45832</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45832</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45832</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45832</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45832</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45832</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45832</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45832</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45832</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45832</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45832</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45832</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45832</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45832</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45832</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45832</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45832</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45832</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45832</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45832</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45832</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45832</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45832</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45832</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45832</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45832</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45832</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45832</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45832</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45832</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45832</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45832</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45832</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45832</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45832</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45832</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45832</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45832</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45832</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45832</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45832</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45832</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45832</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45832</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45832</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45832</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45832</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45832</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45832</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45832</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45832</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45832</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45832</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45832</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45832</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45832</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45832</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45832</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45832</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45832</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45832</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45832</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45832</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45832</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45832</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45832</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45832</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45832</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45832</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45832</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45832</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45832</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45832</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45832</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45832</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45832</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45832</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45832</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45832</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45832</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45832</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45832</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45832</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45832</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45832</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45832</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45832</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45832</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45832</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45832</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45832</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45832</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45832</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45832</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45832</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45832</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45832</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45832</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45832</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45832</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45832</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45832</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45832</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45832</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45832</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45832</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45832</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45832</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45832</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45832</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45832</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45832</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45832</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45832</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45832</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45832</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45832</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45832</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45832</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45832</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45832</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45832</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45832</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45832</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45832</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45832</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45832</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45832</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45832</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45832</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45832</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45832</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45832</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45832</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45832</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45832</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45832</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45832</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45832</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45832</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45832</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45832</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45832</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45832</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45832</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45832</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45832</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45832</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45832</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45832</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45832</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45832</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45832</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45832</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45832</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45832</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45832</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45832</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45832</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45832</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45832</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45832</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45832</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45832</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45832</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45832</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45832</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45832</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45832</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45832</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45832</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45832</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45832</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45832</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45832</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45832</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45832</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45832</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45832</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45832</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45832</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45832</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45832</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45832</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45832</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45832</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45832</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45832</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45832</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45832</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45832</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45832</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45832</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45832</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45832</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45832</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45832</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45832</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45832</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45832</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45832</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45832</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45832</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45832</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45832</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45832</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45832</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45832</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45832</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45832</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45832</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45832</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45832</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45832</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45832</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45832</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45832</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45832</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45832</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45832</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45832</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45832</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45832</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45832</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45832</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45832</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45832</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45832</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45832</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45832</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45832</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45832</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45832</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45832</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45832</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45832</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45832</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45832</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45832</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45832</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45832</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45832</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45832</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45832</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45832</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45832</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45832</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45832</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45832</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45832</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45832</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45832</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45832</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45832</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45832</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45832</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45832</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45832</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45832</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45832</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45832</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45832</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45832</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45832</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45832</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45832</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45832</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45832</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45832</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45832</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45832</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45832</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45832</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45832</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45832</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45832</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45832</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45832</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45832</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45832</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45832</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45832</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45832</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45832</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45832</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45832</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45832</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45832</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45832</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45832</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45832</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45832</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45832</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45832</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45832</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45832</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45832</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45832</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45832</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45832</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45832</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45832</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45832</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45832</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45832</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45832</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45832</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45832</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45832</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45832</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45832</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45832</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45832</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45832</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45832</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45832</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45832</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45832</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45832</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45832</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45832</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45832</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45832</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45832</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45832</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45832</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45832</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45832</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45832</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45832</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45832</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45832</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45832</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45832</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45832</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45832</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45832</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45832</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45832</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45832</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45832</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45832</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45832</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45832</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45832</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45832</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45832</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45832</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45832</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45832</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45832</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45832</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45832</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45832</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45832</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45832</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45832</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45832</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45832</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45832</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45832</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45832</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45832</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45832</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45832</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45832</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45832</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45832</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45832</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45832</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45832</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45832</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45832</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45832</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45832</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45832</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45832</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45832</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45832</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45832</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45832</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45832</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45832</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45832</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45832</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45832</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45832</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45832</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45832</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45832</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45832</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45832</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45832</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45832</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45832</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45832</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45832</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45832</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45832</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45832</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45832</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45832</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45832</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45832</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45832</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45832</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45832</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45832</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45832</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45832</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45832</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45832</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45832</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45832</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45832</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45832</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45832</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45832</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45832</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45832</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45832</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45832</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45832</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45832</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45832</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45832</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45832</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45832</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45832</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45832</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45832</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45832</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45832</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45832</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45832</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45832</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45832</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45832</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45832</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45832</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45832</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45832</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45832</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45832</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45832</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45832</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45832</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45832</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45832</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45832</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45832</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45832</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45832</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45832</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45832</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45832</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45832</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45832</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45832</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45832</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45832</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45832</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45832</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45832</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45832</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45832</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45832</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45832</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45832</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45832</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45832</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45832</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45832</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45832</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45832</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45832</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45832</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45832</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45832</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45832</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45832</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45832</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45832</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45832</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45832</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45832</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45832</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45832</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45832</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45832</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45832</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45832</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45832</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45832</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45832</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45832</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45832</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45832</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45832</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45832</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45832</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45832</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45832</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45832</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45832</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45832</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45832</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45832</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45832</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45832</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45832</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45832</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45832</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45832</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45832</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45832</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45832</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45832</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45832</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45832</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45832</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45832</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45832</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45832</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45832</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45832</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45832</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45832</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45832</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45832</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45832</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45832</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45832</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45832</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45832</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45832</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45832</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45832</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45832</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45832</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45832</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45832</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45832</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45832</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45832</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45832</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45832</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45832</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45832</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45832</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45832</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45832</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45832</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45832</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45832</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45832</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45832</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45832</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45832</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45832</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45832</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45832</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45832</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45832</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45832</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45832</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45832</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45832</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45832</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45832</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45832</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45832</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45832</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45832</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45832</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45832</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45832</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45832</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45832</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45832</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45832</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45832</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45832</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45832</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45832</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45832</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45832</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45832</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45832</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45832</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45832</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45832</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45832</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45832</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45832</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45832</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45832</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45832</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45832</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45832</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45832</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45832</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45832</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45832</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45832</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45832</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45832</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45832</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45832</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45832</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45832</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45832</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45832</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45832</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45832</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45832</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45832</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45832</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45832</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45832</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45832</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45832</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45832</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45832</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45832</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45832</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45832</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45832</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45832</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45832</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45832</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45832</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45832</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45832</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45832</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45832</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45832</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45832</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45832</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45832</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45832</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45832</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45832</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45832</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45832</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45832</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45832</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45832</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45832</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45832</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45832</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45832</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45832</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45832</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45832</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45832</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45832</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45832</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45832</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45832</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45832</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45832</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45832</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45832</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45832</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45832</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45832</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45832</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45832</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45832</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45832</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45832</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45832</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45832</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45832</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45832</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45832</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45832</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45832</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45832</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45832</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45832</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45832</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45832</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45832</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45832</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45832</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45832</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45832</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45832</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45832</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45832</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45832</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45832</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45832</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45832</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45832</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45832</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45832</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45832</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45832</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45832</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45832</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45832</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45832</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45832</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45832</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45832</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45832</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45832</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45832</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45832</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45832</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45832</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45832</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45832</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45832</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45832</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45832</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45832</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45832</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45832</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45832</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45832</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45832</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45832</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45832</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45832</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45832</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45832</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45832</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45832</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45832</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45832</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45832</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45832</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45832</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45832</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45832</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45832</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45832</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45832</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45832</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45832</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45832</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45832</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45832</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45832</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45832</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45832</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45832</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45832</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45832</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45832</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45832</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45832</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45832</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45832</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45832</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45832</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45832</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45832</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45832</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45832</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45832</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45832</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45832</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45832</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45832</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45832</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45832</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45832</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45832</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24666-2025</t>
        </is>
      </c>
      <c r="B14215" s="1" t="n">
        <v>45798</v>
      </c>
      <c r="C14215" s="1" t="n">
        <v>45832</v>
      </c>
      <c r="D14215" t="inlineStr">
        <is>
          <t>KALMAR LÄN</t>
        </is>
      </c>
      <c r="E14215" t="inlineStr">
        <is>
          <t>TORSÅS</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24933-2025</t>
        </is>
      </c>
      <c r="B14216" s="1" t="n">
        <v>45799</v>
      </c>
      <c r="C14216" s="1" t="n">
        <v>45832</v>
      </c>
      <c r="D14216" t="inlineStr">
        <is>
          <t>KALMAR LÄN</t>
        </is>
      </c>
      <c r="E14216" t="inlineStr">
        <is>
          <t>EMMABODA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45832</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45832</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45832</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24779-2025</t>
        </is>
      </c>
      <c r="B14220" s="1" t="n">
        <v>45799</v>
      </c>
      <c r="C14220" s="1" t="n">
        <v>45832</v>
      </c>
      <c r="D14220" t="inlineStr">
        <is>
          <t>KALMAR LÄN</t>
        </is>
      </c>
      <c r="E14220" t="inlineStr">
        <is>
          <t>HULTSFRED</t>
        </is>
      </c>
      <c r="F14220" t="inlineStr">
        <is>
          <t>Sveaskog</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25299-2025</t>
        </is>
      </c>
      <c r="B14221" s="1" t="n">
        <v>45800</v>
      </c>
      <c r="C14221" s="1" t="n">
        <v>45832</v>
      </c>
      <c r="D14221" t="inlineStr">
        <is>
          <t>KALMAR LÄN</t>
        </is>
      </c>
      <c r="E14221" t="inlineStr">
        <is>
          <t>MÖNSTERÅS</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25316-2025</t>
        </is>
      </c>
      <c r="B14222" s="1" t="n">
        <v>45800</v>
      </c>
      <c r="C14222" s="1" t="n">
        <v>45832</v>
      </c>
      <c r="D14222" t="inlineStr">
        <is>
          <t>KALMAR LÄN</t>
        </is>
      </c>
      <c r="E14222" t="inlineStr">
        <is>
          <t>EMMABODA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25255-2025</t>
        </is>
      </c>
      <c r="B14223" s="1" t="n">
        <v>45800</v>
      </c>
      <c r="C14223" s="1" t="n">
        <v>45832</v>
      </c>
      <c r="D14223" t="inlineStr">
        <is>
          <t>KALMAR LÄN</t>
        </is>
      </c>
      <c r="E14223" t="inlineStr">
        <is>
          <t>HULTSFRED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45832</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45832</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25321-2025</t>
        </is>
      </c>
      <c r="B14226" s="1" t="n">
        <v>45800</v>
      </c>
      <c r="C14226" s="1" t="n">
        <v>45832</v>
      </c>
      <c r="D14226" t="inlineStr">
        <is>
          <t>KALMAR LÄN</t>
        </is>
      </c>
      <c r="E14226" t="inlineStr">
        <is>
          <t>EMMABODA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25549-2025</t>
        </is>
      </c>
      <c r="B14227" s="1" t="n">
        <v>45803</v>
      </c>
      <c r="C14227" s="1" t="n">
        <v>45832</v>
      </c>
      <c r="D14227" t="inlineStr">
        <is>
          <t>KALMAR LÄN</t>
        </is>
      </c>
      <c r="E14227" t="inlineStr">
        <is>
          <t>HULTSFRED</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25550-2025</t>
        </is>
      </c>
      <c r="B14228" s="1" t="n">
        <v>45803</v>
      </c>
      <c r="C14228" s="1" t="n">
        <v>45832</v>
      </c>
      <c r="D14228" t="inlineStr">
        <is>
          <t>KALMAR LÄN</t>
        </is>
      </c>
      <c r="E14228" t="inlineStr">
        <is>
          <t>HULTSFRED</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25540-2025</t>
        </is>
      </c>
      <c r="B14229" s="1" t="n">
        <v>45803</v>
      </c>
      <c r="C14229" s="1" t="n">
        <v>45832</v>
      </c>
      <c r="D14229" t="inlineStr">
        <is>
          <t>KALMAR LÄN</t>
        </is>
      </c>
      <c r="E14229" t="inlineStr">
        <is>
          <t>TORSÅS</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25612-2025</t>
        </is>
      </c>
      <c r="B14230" s="1" t="n">
        <v>45803</v>
      </c>
      <c r="C14230" s="1" t="n">
        <v>45832</v>
      </c>
      <c r="D14230" t="inlineStr">
        <is>
          <t>KALMAR LÄN</t>
        </is>
      </c>
      <c r="E14230" t="inlineStr">
        <is>
          <t>EMMABODA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25899-2025</t>
        </is>
      </c>
      <c r="B14231" s="1" t="n">
        <v>45804</v>
      </c>
      <c r="C14231" s="1" t="n">
        <v>45832</v>
      </c>
      <c r="D14231" t="inlineStr">
        <is>
          <t>KALMAR LÄN</t>
        </is>
      </c>
      <c r="E14231" t="inlineStr">
        <is>
          <t>HÖGSBY</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25827-2025</t>
        </is>
      </c>
      <c r="B14232" s="1" t="n">
        <v>45804</v>
      </c>
      <c r="C14232" s="1" t="n">
        <v>45832</v>
      </c>
      <c r="D14232" t="inlineStr">
        <is>
          <t>KALMAR LÄN</t>
        </is>
      </c>
      <c r="E14232" t="inlineStr">
        <is>
          <t>VÄSTERVIK</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25830-2025</t>
        </is>
      </c>
      <c r="B14233" s="1" t="n">
        <v>45804</v>
      </c>
      <c r="C14233" s="1" t="n">
        <v>45832</v>
      </c>
      <c r="D14233" t="inlineStr">
        <is>
          <t>KALMAR LÄN</t>
        </is>
      </c>
      <c r="E14233" t="inlineStr">
        <is>
          <t>VIMMERBY</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25811-2025</t>
        </is>
      </c>
      <c r="B14234" s="1" t="n">
        <v>45804</v>
      </c>
      <c r="C14234" s="1" t="n">
        <v>45832</v>
      </c>
      <c r="D14234" t="inlineStr">
        <is>
          <t>KALMAR LÄN</t>
        </is>
      </c>
      <c r="E14234" t="inlineStr">
        <is>
          <t>MÖNSTERÅS</t>
        </is>
      </c>
      <c r="F14234" t="inlineStr">
        <is>
          <t>Övriga Aktiebolag</t>
        </is>
      </c>
      <c r="G14234" t="n">
        <v>7.6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25948-2025</t>
        </is>
      </c>
      <c r="B14235" s="1" t="n">
        <v>45804</v>
      </c>
      <c r="C14235" s="1" t="n">
        <v>45832</v>
      </c>
      <c r="D14235" t="inlineStr">
        <is>
          <t>KALMAR LÄN</t>
        </is>
      </c>
      <c r="E14235" t="inlineStr">
        <is>
          <t>HÖGSBY</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25905-2025</t>
        </is>
      </c>
      <c r="B14236" s="1" t="n">
        <v>45804</v>
      </c>
      <c r="C14236" s="1" t="n">
        <v>45832</v>
      </c>
      <c r="D14236" t="inlineStr">
        <is>
          <t>KALMAR LÄN</t>
        </is>
      </c>
      <c r="E14236" t="inlineStr">
        <is>
          <t>HÖGSBY</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25776-2025</t>
        </is>
      </c>
      <c r="B14237" s="1" t="n">
        <v>45804</v>
      </c>
      <c r="C14237" s="1" t="n">
        <v>45832</v>
      </c>
      <c r="D14237" t="inlineStr">
        <is>
          <t>KALMAR LÄN</t>
        </is>
      </c>
      <c r="E14237" t="inlineStr">
        <is>
          <t>EMMABODA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25778-2025</t>
        </is>
      </c>
      <c r="B14238" s="1" t="n">
        <v>45804</v>
      </c>
      <c r="C14238" s="1" t="n">
        <v>45832</v>
      </c>
      <c r="D14238" t="inlineStr">
        <is>
          <t>KALMAR LÄN</t>
        </is>
      </c>
      <c r="E14238" t="inlineStr">
        <is>
          <t>HULTSFRED</t>
        </is>
      </c>
      <c r="F14238" t="inlineStr">
        <is>
          <t>Sveaskog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25792-2025</t>
        </is>
      </c>
      <c r="B14239" s="1" t="n">
        <v>45804</v>
      </c>
      <c r="C14239" s="1" t="n">
        <v>45832</v>
      </c>
      <c r="D14239" t="inlineStr">
        <is>
          <t>KALMAR LÄN</t>
        </is>
      </c>
      <c r="E14239" t="inlineStr">
        <is>
          <t>VIMMERBY</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25875-2025</t>
        </is>
      </c>
      <c r="B14240" s="1" t="n">
        <v>45804</v>
      </c>
      <c r="C14240" s="1" t="n">
        <v>45832</v>
      </c>
      <c r="D14240" t="inlineStr">
        <is>
          <t>KALMAR LÄN</t>
        </is>
      </c>
      <c r="E14240" t="inlineStr">
        <is>
          <t>HÖGSBY</t>
        </is>
      </c>
      <c r="G14240" t="n">
        <v>5.6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25877-2025</t>
        </is>
      </c>
      <c r="B14241" s="1" t="n">
        <v>45804</v>
      </c>
      <c r="C14241" s="1" t="n">
        <v>45832</v>
      </c>
      <c r="D14241" t="inlineStr">
        <is>
          <t>KALMAR LÄN</t>
        </is>
      </c>
      <c r="E14241" t="inlineStr">
        <is>
          <t>KALMAR</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25914-2025</t>
        </is>
      </c>
      <c r="B14242" s="1" t="n">
        <v>45804</v>
      </c>
      <c r="C14242" s="1" t="n">
        <v>45832</v>
      </c>
      <c r="D14242" t="inlineStr">
        <is>
          <t>KALMAR LÄN</t>
        </is>
      </c>
      <c r="E14242" t="inlineStr">
        <is>
          <t>EMMABODA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25819-2025</t>
        </is>
      </c>
      <c r="B14243" s="1" t="n">
        <v>45804</v>
      </c>
      <c r="C14243" s="1" t="n">
        <v>45832</v>
      </c>
      <c r="D14243" t="inlineStr">
        <is>
          <t>KALMAR LÄN</t>
        </is>
      </c>
      <c r="E14243" t="inlineStr">
        <is>
          <t>VÄSTERVIK</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26006-2025</t>
        </is>
      </c>
      <c r="B14244" s="1" t="n">
        <v>45804</v>
      </c>
      <c r="C14244" s="1" t="n">
        <v>45832</v>
      </c>
      <c r="D14244" t="inlineStr">
        <is>
          <t>KALMAR LÄN</t>
        </is>
      </c>
      <c r="E14244" t="inlineStr">
        <is>
          <t>VIMMERBY</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26039-2025</t>
        </is>
      </c>
      <c r="B14245" s="1" t="n">
        <v>45804</v>
      </c>
      <c r="C14245" s="1" t="n">
        <v>45832</v>
      </c>
      <c r="D14245" t="inlineStr">
        <is>
          <t>KALMAR LÄN</t>
        </is>
      </c>
      <c r="E14245" t="inlineStr">
        <is>
          <t>VIMMERBY</t>
        </is>
      </c>
      <c r="F14245" t="inlineStr">
        <is>
          <t>Sveaskog</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26046-2025</t>
        </is>
      </c>
      <c r="B14246" s="1" t="n">
        <v>45804</v>
      </c>
      <c r="C14246" s="1" t="n">
        <v>45832</v>
      </c>
      <c r="D14246" t="inlineStr">
        <is>
          <t>KALMAR LÄN</t>
        </is>
      </c>
      <c r="E14246" t="inlineStr">
        <is>
          <t>VIMMERBY</t>
        </is>
      </c>
      <c r="F14246" t="inlineStr">
        <is>
          <t>Sveaskog</t>
        </is>
      </c>
      <c r="G14246" t="n">
        <v>5.1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26052-2025</t>
        </is>
      </c>
      <c r="B14247" s="1" t="n">
        <v>45804</v>
      </c>
      <c r="C14247" s="1" t="n">
        <v>45832</v>
      </c>
      <c r="D14247" t="inlineStr">
        <is>
          <t>KALMAR LÄN</t>
        </is>
      </c>
      <c r="E14247" t="inlineStr">
        <is>
          <t>HÖGSBY</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26331-2025</t>
        </is>
      </c>
      <c r="B14248" s="1" t="n">
        <v>45805</v>
      </c>
      <c r="C14248" s="1" t="n">
        <v>45832</v>
      </c>
      <c r="D14248" t="inlineStr">
        <is>
          <t>KALMAR LÄN</t>
        </is>
      </c>
      <c r="E14248" t="inlineStr">
        <is>
          <t>HÖGSBY</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26322-2025</t>
        </is>
      </c>
      <c r="B14249" s="1" t="n">
        <v>45805</v>
      </c>
      <c r="C14249" s="1" t="n">
        <v>45832</v>
      </c>
      <c r="D14249" t="inlineStr">
        <is>
          <t>KALMAR LÄN</t>
        </is>
      </c>
      <c r="E14249" t="inlineStr">
        <is>
          <t>KALMAR</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26207-2025</t>
        </is>
      </c>
      <c r="B14250" s="1" t="n">
        <v>45805</v>
      </c>
      <c r="C14250" s="1" t="n">
        <v>45832</v>
      </c>
      <c r="D14250" t="inlineStr">
        <is>
          <t>KALMAR LÄN</t>
        </is>
      </c>
      <c r="E14250" t="inlineStr">
        <is>
          <t>VIMMERBY</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26254-2025</t>
        </is>
      </c>
      <c r="B14251" s="1" t="n">
        <v>45805</v>
      </c>
      <c r="C14251" s="1" t="n">
        <v>45832</v>
      </c>
      <c r="D14251" t="inlineStr">
        <is>
          <t>KALMAR LÄN</t>
        </is>
      </c>
      <c r="E14251" t="inlineStr">
        <is>
          <t>VIMMERBY</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26335-2025</t>
        </is>
      </c>
      <c r="B14252" s="1" t="n">
        <v>45805</v>
      </c>
      <c r="C14252" s="1" t="n">
        <v>45832</v>
      </c>
      <c r="D14252" t="inlineStr">
        <is>
          <t>KALMAR LÄN</t>
        </is>
      </c>
      <c r="E14252" t="inlineStr">
        <is>
          <t>HÖGSBY</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26162-2025</t>
        </is>
      </c>
      <c r="B14253" s="1" t="n">
        <v>45805</v>
      </c>
      <c r="C14253" s="1" t="n">
        <v>45832</v>
      </c>
      <c r="D14253" t="inlineStr">
        <is>
          <t>KALMAR LÄN</t>
        </is>
      </c>
      <c r="E14253" t="inlineStr">
        <is>
          <t>MÖNSTERÅS</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26349-2025</t>
        </is>
      </c>
      <c r="B14254" s="1" t="n">
        <v>45805</v>
      </c>
      <c r="C14254" s="1" t="n">
        <v>45832</v>
      </c>
      <c r="D14254" t="inlineStr">
        <is>
          <t>KALMAR LÄN</t>
        </is>
      </c>
      <c r="E14254" t="inlineStr">
        <is>
          <t>MÖNSTERÅS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26157-2025</t>
        </is>
      </c>
      <c r="B14255" s="1" t="n">
        <v>45805</v>
      </c>
      <c r="C14255" s="1" t="n">
        <v>45832</v>
      </c>
      <c r="D14255" t="inlineStr">
        <is>
          <t>KALMAR LÄN</t>
        </is>
      </c>
      <c r="E14255" t="inlineStr">
        <is>
          <t>MÖNSTERÅS</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26124-2025</t>
        </is>
      </c>
      <c r="B14256" s="1" t="n">
        <v>45805</v>
      </c>
      <c r="C14256" s="1" t="n">
        <v>45832</v>
      </c>
      <c r="D14256" t="inlineStr">
        <is>
          <t>KALMAR LÄN</t>
        </is>
      </c>
      <c r="E14256" t="inlineStr">
        <is>
          <t>VIMMERBY</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26145-2025</t>
        </is>
      </c>
      <c r="B14257" s="1" t="n">
        <v>45805</v>
      </c>
      <c r="C14257" s="1" t="n">
        <v>45832</v>
      </c>
      <c r="D14257" t="inlineStr">
        <is>
          <t>KALMAR LÄN</t>
        </is>
      </c>
      <c r="E14257" t="inlineStr">
        <is>
          <t>MÖNSTERÅS</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45832</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26336-2025</t>
        </is>
      </c>
      <c r="B14259" s="1" t="n">
        <v>45805</v>
      </c>
      <c r="C14259" s="1" t="n">
        <v>45832</v>
      </c>
      <c r="D14259" t="inlineStr">
        <is>
          <t>KALMAR LÄN</t>
        </is>
      </c>
      <c r="E14259" t="inlineStr">
        <is>
          <t>OSKARSHAMN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26190-2025</t>
        </is>
      </c>
      <c r="B14260" s="1" t="n">
        <v>45805</v>
      </c>
      <c r="C14260" s="1" t="n">
        <v>45832</v>
      </c>
      <c r="D14260" t="inlineStr">
        <is>
          <t>KALMAR LÄN</t>
        </is>
      </c>
      <c r="E14260" t="inlineStr">
        <is>
          <t>BORGHOLM</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26260-2025</t>
        </is>
      </c>
      <c r="B14261" s="1" t="n">
        <v>45805</v>
      </c>
      <c r="C14261" s="1" t="n">
        <v>45832</v>
      </c>
      <c r="D14261" t="inlineStr">
        <is>
          <t>KALMAR LÄN</t>
        </is>
      </c>
      <c r="E14261" t="inlineStr">
        <is>
          <t>OSKARSHAMN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26132-2025</t>
        </is>
      </c>
      <c r="B14262" s="1" t="n">
        <v>45805</v>
      </c>
      <c r="C14262" s="1" t="n">
        <v>45832</v>
      </c>
      <c r="D14262" t="inlineStr">
        <is>
          <t>KALMAR LÄN</t>
        </is>
      </c>
      <c r="E14262" t="inlineStr">
        <is>
          <t>HULTSFRED</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26171-2025</t>
        </is>
      </c>
      <c r="B14263" s="1" t="n">
        <v>45805</v>
      </c>
      <c r="C14263" s="1" t="n">
        <v>45832</v>
      </c>
      <c r="D14263" t="inlineStr">
        <is>
          <t>KALMAR LÄN</t>
        </is>
      </c>
      <c r="E14263" t="inlineStr">
        <is>
          <t>MÖNSTERÅS</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26127-2025</t>
        </is>
      </c>
      <c r="B14264" s="1" t="n">
        <v>45805</v>
      </c>
      <c r="C14264" s="1" t="n">
        <v>45832</v>
      </c>
      <c r="D14264" t="inlineStr">
        <is>
          <t>KALMAR LÄN</t>
        </is>
      </c>
      <c r="E14264" t="inlineStr">
        <is>
          <t>OSKARSHAMN</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26101-2025</t>
        </is>
      </c>
      <c r="B14265" s="1" t="n">
        <v>45805</v>
      </c>
      <c r="C14265" s="1" t="n">
        <v>45832</v>
      </c>
      <c r="D14265" t="inlineStr">
        <is>
          <t>KALMAR LÄN</t>
        </is>
      </c>
      <c r="E14265" t="inlineStr">
        <is>
          <t>NYBRO</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26401-2025</t>
        </is>
      </c>
      <c r="B14266" s="1" t="n">
        <v>45807</v>
      </c>
      <c r="C14266" s="1" t="n">
        <v>45832</v>
      </c>
      <c r="D14266" t="inlineStr">
        <is>
          <t>KALMAR LÄN</t>
        </is>
      </c>
      <c r="E14266" t="inlineStr">
        <is>
          <t>KALMAR</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26571-2025</t>
        </is>
      </c>
      <c r="B14267" s="1" t="n">
        <v>45807</v>
      </c>
      <c r="C14267" s="1" t="n">
        <v>45832</v>
      </c>
      <c r="D14267" t="inlineStr">
        <is>
          <t>KALMAR LÄN</t>
        </is>
      </c>
      <c r="E14267" t="inlineStr">
        <is>
          <t>VÄSTERVIK</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26566-2025</t>
        </is>
      </c>
      <c r="B14268" s="1" t="n">
        <v>45807</v>
      </c>
      <c r="C14268" s="1" t="n">
        <v>45832</v>
      </c>
      <c r="D14268" t="inlineStr">
        <is>
          <t>KALMAR LÄN</t>
        </is>
      </c>
      <c r="E14268" t="inlineStr">
        <is>
          <t>VÄSTERVIK</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26569-2025</t>
        </is>
      </c>
      <c r="B14269" s="1" t="n">
        <v>45807</v>
      </c>
      <c r="C14269" s="1" t="n">
        <v>45832</v>
      </c>
      <c r="D14269" t="inlineStr">
        <is>
          <t>KALMAR LÄN</t>
        </is>
      </c>
      <c r="E14269" t="inlineStr">
        <is>
          <t>VÄSTERVIK</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26572-2025</t>
        </is>
      </c>
      <c r="B14270" s="1" t="n">
        <v>45807</v>
      </c>
      <c r="C14270" s="1" t="n">
        <v>45832</v>
      </c>
      <c r="D14270" t="inlineStr">
        <is>
          <t>KALMAR LÄN</t>
        </is>
      </c>
      <c r="E14270" t="inlineStr">
        <is>
          <t>VÄSTERVIK</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26568-2025</t>
        </is>
      </c>
      <c r="B14271" s="1" t="n">
        <v>45807</v>
      </c>
      <c r="C14271" s="1" t="n">
        <v>45832</v>
      </c>
      <c r="D14271" t="inlineStr">
        <is>
          <t>KALMAR LÄN</t>
        </is>
      </c>
      <c r="E14271" t="inlineStr">
        <is>
          <t>VÄSTERVIK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26633-2025</t>
        </is>
      </c>
      <c r="B14272" s="1" t="n">
        <v>45810</v>
      </c>
      <c r="C14272" s="1" t="n">
        <v>45832</v>
      </c>
      <c r="D14272" t="inlineStr">
        <is>
          <t>KALMAR LÄN</t>
        </is>
      </c>
      <c r="E14272" t="inlineStr">
        <is>
          <t>VÄSTERVIK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26777-2025</t>
        </is>
      </c>
      <c r="B14273" s="1" t="n">
        <v>45810</v>
      </c>
      <c r="C14273" s="1" t="n">
        <v>45832</v>
      </c>
      <c r="D14273" t="inlineStr">
        <is>
          <t>KALMAR LÄN</t>
        </is>
      </c>
      <c r="E14273" t="inlineStr">
        <is>
          <t>HULTSFRED</t>
        </is>
      </c>
      <c r="F14273" t="inlineStr">
        <is>
          <t>Sveaskog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26700-2025</t>
        </is>
      </c>
      <c r="B14274" s="1" t="n">
        <v>45810</v>
      </c>
      <c r="C14274" s="1" t="n">
        <v>45832</v>
      </c>
      <c r="D14274" t="inlineStr">
        <is>
          <t>KALMAR LÄN</t>
        </is>
      </c>
      <c r="E14274" t="inlineStr">
        <is>
          <t>HULTSFRED</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26710-2025</t>
        </is>
      </c>
      <c r="B14275" s="1" t="n">
        <v>45810</v>
      </c>
      <c r="C14275" s="1" t="n">
        <v>45832</v>
      </c>
      <c r="D14275" t="inlineStr">
        <is>
          <t>KALMAR LÄN</t>
        </is>
      </c>
      <c r="E14275" t="inlineStr">
        <is>
          <t>HULTSFRED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26706-2025</t>
        </is>
      </c>
      <c r="B14276" s="1" t="n">
        <v>45810</v>
      </c>
      <c r="C14276" s="1" t="n">
        <v>45832</v>
      </c>
      <c r="D14276" t="inlineStr">
        <is>
          <t>KALMAR LÄN</t>
        </is>
      </c>
      <c r="E14276" t="inlineStr">
        <is>
          <t>HULTSFRED</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26795-2025</t>
        </is>
      </c>
      <c r="B14277" s="1" t="n">
        <v>45810</v>
      </c>
      <c r="C14277" s="1" t="n">
        <v>45832</v>
      </c>
      <c r="D14277" t="inlineStr">
        <is>
          <t>KALMAR LÄN</t>
        </is>
      </c>
      <c r="E14277" t="inlineStr">
        <is>
          <t>MÖNSTERÅS</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26610-2025</t>
        </is>
      </c>
      <c r="B14278" s="1" t="n">
        <v>45810</v>
      </c>
      <c r="C14278" s="1" t="n">
        <v>45832</v>
      </c>
      <c r="D14278" t="inlineStr">
        <is>
          <t>KALMAR LÄN</t>
        </is>
      </c>
      <c r="E14278" t="inlineStr">
        <is>
          <t>VIMMERBY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26609-2025</t>
        </is>
      </c>
      <c r="B14279" s="1" t="n">
        <v>45810</v>
      </c>
      <c r="C14279" s="1" t="n">
        <v>45832</v>
      </c>
      <c r="D14279" t="inlineStr">
        <is>
          <t>KALMAR LÄN</t>
        </is>
      </c>
      <c r="E14279" t="inlineStr">
        <is>
          <t>VIMMERBY</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26730-2025</t>
        </is>
      </c>
      <c r="B14280" s="1" t="n">
        <v>45810</v>
      </c>
      <c r="C14280" s="1" t="n">
        <v>45832</v>
      </c>
      <c r="D14280" t="inlineStr">
        <is>
          <t>KALMAR LÄN</t>
        </is>
      </c>
      <c r="E14280" t="inlineStr">
        <is>
          <t>NYBRO</t>
        </is>
      </c>
      <c r="F14280" t="inlineStr">
        <is>
          <t>Sveaskog</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27085-2025</t>
        </is>
      </c>
      <c r="B14281" s="1" t="n">
        <v>45811</v>
      </c>
      <c r="C14281" s="1" t="n">
        <v>45832</v>
      </c>
      <c r="D14281" t="inlineStr">
        <is>
          <t>KALMAR LÄN</t>
        </is>
      </c>
      <c r="E14281" t="inlineStr">
        <is>
          <t>VIMMERBY</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27075-2025</t>
        </is>
      </c>
      <c r="B14282" s="1" t="n">
        <v>45811</v>
      </c>
      <c r="C14282" s="1" t="n">
        <v>45832</v>
      </c>
      <c r="D14282" t="inlineStr">
        <is>
          <t>KALMAR LÄN</t>
        </is>
      </c>
      <c r="E14282" t="inlineStr">
        <is>
          <t>OSKARSHAMN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26996-2025</t>
        </is>
      </c>
      <c r="B14283" s="1" t="n">
        <v>45811</v>
      </c>
      <c r="C14283" s="1" t="n">
        <v>45832</v>
      </c>
      <c r="D14283" t="inlineStr">
        <is>
          <t>KALMAR LÄN</t>
        </is>
      </c>
      <c r="E14283" t="inlineStr">
        <is>
          <t>OSKARSHAMN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27084-2025</t>
        </is>
      </c>
      <c r="B14284" s="1" t="n">
        <v>45811</v>
      </c>
      <c r="C14284" s="1" t="n">
        <v>45832</v>
      </c>
      <c r="D14284" t="inlineStr">
        <is>
          <t>KALMAR LÄN</t>
        </is>
      </c>
      <c r="E14284" t="inlineStr">
        <is>
          <t>VIMMERBY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26956-2025</t>
        </is>
      </c>
      <c r="B14285" s="1" t="n">
        <v>45811</v>
      </c>
      <c r="C14285" s="1" t="n">
        <v>45832</v>
      </c>
      <c r="D14285" t="inlineStr">
        <is>
          <t>KALMAR LÄN</t>
        </is>
      </c>
      <c r="E14285" t="inlineStr">
        <is>
          <t>VIMMERBY</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27188-2025</t>
        </is>
      </c>
      <c r="B14286" s="1" t="n">
        <v>45812</v>
      </c>
      <c r="C14286" s="1" t="n">
        <v>45832</v>
      </c>
      <c r="D14286" t="inlineStr">
        <is>
          <t>KALMAR LÄN</t>
        </is>
      </c>
      <c r="E14286" t="inlineStr">
        <is>
          <t>OSKARSHAMN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27357-2025</t>
        </is>
      </c>
      <c r="B14287" s="1" t="n">
        <v>45812</v>
      </c>
      <c r="C14287" s="1" t="n">
        <v>45832</v>
      </c>
      <c r="D14287" t="inlineStr">
        <is>
          <t>KALMAR LÄN</t>
        </is>
      </c>
      <c r="E14287" t="inlineStr">
        <is>
          <t>BORGHOLM</t>
        </is>
      </c>
      <c r="F14287" t="inlineStr">
        <is>
          <t>Sveaskog</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27250-2025</t>
        </is>
      </c>
      <c r="B14288" s="1" t="n">
        <v>45812</v>
      </c>
      <c r="C14288" s="1" t="n">
        <v>45832</v>
      </c>
      <c r="D14288" t="inlineStr">
        <is>
          <t>KALMAR LÄN</t>
        </is>
      </c>
      <c r="E14288" t="inlineStr">
        <is>
          <t>KALMAR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27292-2025</t>
        </is>
      </c>
      <c r="B14289" s="1" t="n">
        <v>45812</v>
      </c>
      <c r="C14289" s="1" t="n">
        <v>45832</v>
      </c>
      <c r="D14289" t="inlineStr">
        <is>
          <t>KALMAR LÄN</t>
        </is>
      </c>
      <c r="E14289" t="inlineStr">
        <is>
          <t>HULTSFRED</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27316-2025</t>
        </is>
      </c>
      <c r="B14290" s="1" t="n">
        <v>45812</v>
      </c>
      <c r="C14290" s="1" t="n">
        <v>45832</v>
      </c>
      <c r="D14290" t="inlineStr">
        <is>
          <t>KALMAR LÄN</t>
        </is>
      </c>
      <c r="E14290" t="inlineStr">
        <is>
          <t>NYBRO</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27320-2025</t>
        </is>
      </c>
      <c r="B14291" s="1" t="n">
        <v>45812</v>
      </c>
      <c r="C14291" s="1" t="n">
        <v>45832</v>
      </c>
      <c r="D14291" t="inlineStr">
        <is>
          <t>KALMAR LÄN</t>
        </is>
      </c>
      <c r="E14291" t="inlineStr">
        <is>
          <t>NYBRO</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27366-2025</t>
        </is>
      </c>
      <c r="B14292" s="1" t="n">
        <v>45812</v>
      </c>
      <c r="C14292" s="1" t="n">
        <v>45832</v>
      </c>
      <c r="D14292" t="inlineStr">
        <is>
          <t>KALMAR LÄN</t>
        </is>
      </c>
      <c r="E14292" t="inlineStr">
        <is>
          <t>BORGHOLM</t>
        </is>
      </c>
      <c r="F14292" t="inlineStr">
        <is>
          <t>Sveaskog</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27189-2025</t>
        </is>
      </c>
      <c r="B14293" s="1" t="n">
        <v>45812</v>
      </c>
      <c r="C14293" s="1" t="n">
        <v>45832</v>
      </c>
      <c r="D14293" t="inlineStr">
        <is>
          <t>KALMAR LÄN</t>
        </is>
      </c>
      <c r="E14293" t="inlineStr">
        <is>
          <t>OSKARSHAMN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27150-2025</t>
        </is>
      </c>
      <c r="B14294" s="1" t="n">
        <v>45812</v>
      </c>
      <c r="C14294" s="1" t="n">
        <v>45832</v>
      </c>
      <c r="D14294" t="inlineStr">
        <is>
          <t>KALMAR LÄN</t>
        </is>
      </c>
      <c r="E14294" t="inlineStr">
        <is>
          <t>NYBRO</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27298-2025</t>
        </is>
      </c>
      <c r="B14295" s="1" t="n">
        <v>45812</v>
      </c>
      <c r="C14295" s="1" t="n">
        <v>45832</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27304-2025</t>
        </is>
      </c>
      <c r="B14296" s="1" t="n">
        <v>45812</v>
      </c>
      <c r="C14296" s="1" t="n">
        <v>45832</v>
      </c>
      <c r="D14296" t="inlineStr">
        <is>
          <t>KALMAR LÄN</t>
        </is>
      </c>
      <c r="E14296" t="inlineStr">
        <is>
          <t>HULTSFRED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27310-2025</t>
        </is>
      </c>
      <c r="B14297" s="1" t="n">
        <v>45812</v>
      </c>
      <c r="C14297" s="1" t="n">
        <v>45832</v>
      </c>
      <c r="D14297" t="inlineStr">
        <is>
          <t>KALMAR LÄN</t>
        </is>
      </c>
      <c r="E14297" t="inlineStr">
        <is>
          <t>HULTSFRED</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45832</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27527-2025</t>
        </is>
      </c>
      <c r="B14299" s="1" t="n">
        <v>45813</v>
      </c>
      <c r="C14299" s="1" t="n">
        <v>45832</v>
      </c>
      <c r="D14299" t="inlineStr">
        <is>
          <t>KALMAR LÄN</t>
        </is>
      </c>
      <c r="E14299" t="inlineStr">
        <is>
          <t>HULTSFRED</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27531-2025</t>
        </is>
      </c>
      <c r="B14300" s="1" t="n">
        <v>45813</v>
      </c>
      <c r="C14300" s="1" t="n">
        <v>45832</v>
      </c>
      <c r="D14300" t="inlineStr">
        <is>
          <t>KALMAR LÄN</t>
        </is>
      </c>
      <c r="E14300" t="inlineStr">
        <is>
          <t>HULTSFRED</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27537-2025</t>
        </is>
      </c>
      <c r="B14301" s="1" t="n">
        <v>45813</v>
      </c>
      <c r="C14301" s="1" t="n">
        <v>45832</v>
      </c>
      <c r="D14301" t="inlineStr">
        <is>
          <t>KALMAR LÄN</t>
        </is>
      </c>
      <c r="E14301" t="inlineStr">
        <is>
          <t>HULTSFRED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27559-2025</t>
        </is>
      </c>
      <c r="B14302" s="1" t="n">
        <v>45813</v>
      </c>
      <c r="C14302" s="1" t="n">
        <v>45832</v>
      </c>
      <c r="D14302" t="inlineStr">
        <is>
          <t>KALMAR LÄN</t>
        </is>
      </c>
      <c r="E14302" t="inlineStr">
        <is>
          <t>HULTSFRED</t>
        </is>
      </c>
      <c r="G14302" t="n">
        <v>15.9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27446-2025</t>
        </is>
      </c>
      <c r="B14303" s="1" t="n">
        <v>45813</v>
      </c>
      <c r="C14303" s="1" t="n">
        <v>45832</v>
      </c>
      <c r="D14303" t="inlineStr">
        <is>
          <t>KALMAR LÄN</t>
        </is>
      </c>
      <c r="E14303" t="inlineStr">
        <is>
          <t>VÄSTERVIK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27474-2025</t>
        </is>
      </c>
      <c r="B14304" s="1" t="n">
        <v>45813</v>
      </c>
      <c r="C14304" s="1" t="n">
        <v>45832</v>
      </c>
      <c r="D14304" t="inlineStr">
        <is>
          <t>KALMAR LÄN</t>
        </is>
      </c>
      <c r="E14304" t="inlineStr">
        <is>
          <t>TORSÅS</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27658-2025</t>
        </is>
      </c>
      <c r="B14305" s="1" t="n">
        <v>45813</v>
      </c>
      <c r="C14305" s="1" t="n">
        <v>45832</v>
      </c>
      <c r="D14305" t="inlineStr">
        <is>
          <t>KALMAR LÄN</t>
        </is>
      </c>
      <c r="E14305" t="inlineStr">
        <is>
          <t>NYBRO</t>
        </is>
      </c>
      <c r="F14305" t="inlineStr">
        <is>
          <t>Sveaskog</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27663-2025</t>
        </is>
      </c>
      <c r="B14306" s="1" t="n">
        <v>45813</v>
      </c>
      <c r="C14306" s="1" t="n">
        <v>45832</v>
      </c>
      <c r="D14306" t="inlineStr">
        <is>
          <t>KALMAR LÄN</t>
        </is>
      </c>
      <c r="E14306" t="inlineStr">
        <is>
          <t>NYBRO</t>
        </is>
      </c>
      <c r="F14306" t="inlineStr">
        <is>
          <t>Sveaskog</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27664-2025</t>
        </is>
      </c>
      <c r="B14307" s="1" t="n">
        <v>45813</v>
      </c>
      <c r="C14307" s="1" t="n">
        <v>45832</v>
      </c>
      <c r="D14307" t="inlineStr">
        <is>
          <t>KALMAR LÄN</t>
        </is>
      </c>
      <c r="E14307" t="inlineStr">
        <is>
          <t>NYBRO</t>
        </is>
      </c>
      <c r="F14307" t="inlineStr">
        <is>
          <t>Sveaskog</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27530-2025</t>
        </is>
      </c>
      <c r="B14308" s="1" t="n">
        <v>45813</v>
      </c>
      <c r="C14308" s="1" t="n">
        <v>45832</v>
      </c>
      <c r="D14308" t="inlineStr">
        <is>
          <t>KALMAR LÄN</t>
        </is>
      </c>
      <c r="E14308" t="inlineStr">
        <is>
          <t>HULTSFRED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27533-2025</t>
        </is>
      </c>
      <c r="B14309" s="1" t="n">
        <v>45813</v>
      </c>
      <c r="C14309" s="1" t="n">
        <v>45832</v>
      </c>
      <c r="D14309" t="inlineStr">
        <is>
          <t>KALMAR LÄN</t>
        </is>
      </c>
      <c r="E14309" t="inlineStr">
        <is>
          <t>EMMABODA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45832</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45832</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45832</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45832</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27930-2025</t>
        </is>
      </c>
      <c r="B14314" s="1" t="n">
        <v>45817</v>
      </c>
      <c r="C14314" s="1" t="n">
        <v>45832</v>
      </c>
      <c r="D14314" t="inlineStr">
        <is>
          <t>KALMAR LÄN</t>
        </is>
      </c>
      <c r="E14314" t="inlineStr">
        <is>
          <t>NYBRO</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27978-2025</t>
        </is>
      </c>
      <c r="B14315" s="1" t="n">
        <v>45817</v>
      </c>
      <c r="C14315" s="1" t="n">
        <v>45832</v>
      </c>
      <c r="D14315" t="inlineStr">
        <is>
          <t>KALMAR LÄN</t>
        </is>
      </c>
      <c r="E14315" t="inlineStr">
        <is>
          <t>VÄSTERVIK</t>
        </is>
      </c>
      <c r="F14315" t="inlineStr">
        <is>
          <t>Sveaskog</t>
        </is>
      </c>
      <c r="G14315" t="n">
        <v>10.8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27980-2025</t>
        </is>
      </c>
      <c r="B14316" s="1" t="n">
        <v>45817</v>
      </c>
      <c r="C14316" s="1" t="n">
        <v>45832</v>
      </c>
      <c r="D14316" t="inlineStr">
        <is>
          <t>KALMAR LÄN</t>
        </is>
      </c>
      <c r="E14316" t="inlineStr">
        <is>
          <t>VÄSTERVIK</t>
        </is>
      </c>
      <c r="F14316" t="inlineStr">
        <is>
          <t>Sveaskog</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27935-2025</t>
        </is>
      </c>
      <c r="B14317" s="1" t="n">
        <v>45817</v>
      </c>
      <c r="C14317" s="1" t="n">
        <v>45832</v>
      </c>
      <c r="D14317" t="inlineStr">
        <is>
          <t>KALMAR LÄN</t>
        </is>
      </c>
      <c r="E14317" t="inlineStr">
        <is>
          <t>NYBRO</t>
        </is>
      </c>
      <c r="G14317" t="n">
        <v>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27831-2025</t>
        </is>
      </c>
      <c r="B14318" s="1" t="n">
        <v>45817</v>
      </c>
      <c r="C14318" s="1" t="n">
        <v>45832</v>
      </c>
      <c r="D14318" t="inlineStr">
        <is>
          <t>KALMAR LÄN</t>
        </is>
      </c>
      <c r="E14318" t="inlineStr">
        <is>
          <t>KALMAR</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27974-2025</t>
        </is>
      </c>
      <c r="B14319" s="1" t="n">
        <v>45817</v>
      </c>
      <c r="C14319" s="1" t="n">
        <v>45832</v>
      </c>
      <c r="D14319" t="inlineStr">
        <is>
          <t>KALMAR LÄN</t>
        </is>
      </c>
      <c r="E14319" t="inlineStr">
        <is>
          <t>VÄSTERVIK</t>
        </is>
      </c>
      <c r="F14319" t="inlineStr">
        <is>
          <t>Sveaskog</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27982-2025</t>
        </is>
      </c>
      <c r="B14320" s="1" t="n">
        <v>45817</v>
      </c>
      <c r="C14320" s="1" t="n">
        <v>45832</v>
      </c>
      <c r="D14320" t="inlineStr">
        <is>
          <t>KALMAR LÄN</t>
        </is>
      </c>
      <c r="E14320" t="inlineStr">
        <is>
          <t>VÄSTERVIK</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28096-2025</t>
        </is>
      </c>
      <c r="B14321" s="1" t="n">
        <v>45817</v>
      </c>
      <c r="C14321" s="1" t="n">
        <v>45832</v>
      </c>
      <c r="D14321" t="inlineStr">
        <is>
          <t>KALMAR LÄN</t>
        </is>
      </c>
      <c r="E14321" t="inlineStr">
        <is>
          <t>VÄSTERVIK</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27991-2025</t>
        </is>
      </c>
      <c r="B14322" s="1" t="n">
        <v>45817</v>
      </c>
      <c r="C14322" s="1" t="n">
        <v>45832</v>
      </c>
      <c r="D14322" t="inlineStr">
        <is>
          <t>KALMAR LÄN</t>
        </is>
      </c>
      <c r="E14322" t="inlineStr">
        <is>
          <t>VÄSTERVIK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27936-2025</t>
        </is>
      </c>
      <c r="B14323" s="1" t="n">
        <v>45817</v>
      </c>
      <c r="C14323" s="1" t="n">
        <v>45832</v>
      </c>
      <c r="D14323" t="inlineStr">
        <is>
          <t>KALMAR LÄN</t>
        </is>
      </c>
      <c r="E14323" t="inlineStr">
        <is>
          <t>HULTSFRED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28086-2025</t>
        </is>
      </c>
      <c r="B14324" s="1" t="n">
        <v>45817</v>
      </c>
      <c r="C14324" s="1" t="n">
        <v>45832</v>
      </c>
      <c r="D14324" t="inlineStr">
        <is>
          <t>KALMAR LÄN</t>
        </is>
      </c>
      <c r="E14324" t="inlineStr">
        <is>
          <t>HÖGSBY</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28102-2025</t>
        </is>
      </c>
      <c r="B14325" s="1" t="n">
        <v>45817</v>
      </c>
      <c r="C14325" s="1" t="n">
        <v>45832</v>
      </c>
      <c r="D14325" t="inlineStr">
        <is>
          <t>KALMAR LÄN</t>
        </is>
      </c>
      <c r="E14325" t="inlineStr">
        <is>
          <t>HULTSFRED</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28112-2025</t>
        </is>
      </c>
      <c r="B14326" s="1" t="n">
        <v>45817</v>
      </c>
      <c r="C14326" s="1" t="n">
        <v>45832</v>
      </c>
      <c r="D14326" t="inlineStr">
        <is>
          <t>KALMAR LÄN</t>
        </is>
      </c>
      <c r="E14326" t="inlineStr">
        <is>
          <t>VIMMERBY</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45832</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28254-2025</t>
        </is>
      </c>
      <c r="B14328" s="1" t="n">
        <v>45818</v>
      </c>
      <c r="C14328" s="1" t="n">
        <v>45832</v>
      </c>
      <c r="D14328" t="inlineStr">
        <is>
          <t>KALMAR LÄN</t>
        </is>
      </c>
      <c r="E14328" t="inlineStr">
        <is>
          <t>OSKARSHAMN</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28286-2025</t>
        </is>
      </c>
      <c r="B14329" s="1" t="n">
        <v>45818</v>
      </c>
      <c r="C14329" s="1" t="n">
        <v>45832</v>
      </c>
      <c r="D14329" t="inlineStr">
        <is>
          <t>KALMAR LÄN</t>
        </is>
      </c>
      <c r="E14329" t="inlineStr">
        <is>
          <t>VIMMERBY</t>
        </is>
      </c>
      <c r="F14329" t="inlineStr">
        <is>
          <t>Sveaskog</t>
        </is>
      </c>
      <c r="G14329" t="n">
        <v>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28131-2025</t>
        </is>
      </c>
      <c r="B14330" s="1" t="n">
        <v>45818</v>
      </c>
      <c r="C14330" s="1" t="n">
        <v>45832</v>
      </c>
      <c r="D14330" t="inlineStr">
        <is>
          <t>KALMAR LÄN</t>
        </is>
      </c>
      <c r="E14330" t="inlineStr">
        <is>
          <t>NYBRO</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28280-2025</t>
        </is>
      </c>
      <c r="B14331" s="1" t="n">
        <v>45818</v>
      </c>
      <c r="C14331" s="1" t="n">
        <v>45832</v>
      </c>
      <c r="D14331" t="inlineStr">
        <is>
          <t>KALMAR LÄN</t>
        </is>
      </c>
      <c r="E14331" t="inlineStr">
        <is>
          <t>VIMMERBY</t>
        </is>
      </c>
      <c r="F14331" t="inlineStr">
        <is>
          <t>Sveaskog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28260-2025</t>
        </is>
      </c>
      <c r="B14332" s="1" t="n">
        <v>45818</v>
      </c>
      <c r="C14332" s="1" t="n">
        <v>45832</v>
      </c>
      <c r="D14332" t="inlineStr">
        <is>
          <t>KALMAR LÄN</t>
        </is>
      </c>
      <c r="E14332" t="inlineStr">
        <is>
          <t>VÄSTERVIK</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28242-2025</t>
        </is>
      </c>
      <c r="B14333" s="1" t="n">
        <v>45818</v>
      </c>
      <c r="C14333" s="1" t="n">
        <v>45832</v>
      </c>
      <c r="D14333" t="inlineStr">
        <is>
          <t>KALMAR LÄN</t>
        </is>
      </c>
      <c r="E14333" t="inlineStr">
        <is>
          <t>HULTSFRED</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28206-2025</t>
        </is>
      </c>
      <c r="B14334" s="1" t="n">
        <v>45818</v>
      </c>
      <c r="C14334" s="1" t="n">
        <v>45832</v>
      </c>
      <c r="D14334" t="inlineStr">
        <is>
          <t>KALMAR LÄN</t>
        </is>
      </c>
      <c r="E14334" t="inlineStr">
        <is>
          <t>EMMABODA</t>
        </is>
      </c>
      <c r="G14334" t="n">
        <v>16.7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28282-2025</t>
        </is>
      </c>
      <c r="B14335" s="1" t="n">
        <v>45818</v>
      </c>
      <c r="C14335" s="1" t="n">
        <v>45832</v>
      </c>
      <c r="D14335" t="inlineStr">
        <is>
          <t>KALMAR LÄN</t>
        </is>
      </c>
      <c r="E14335" t="inlineStr">
        <is>
          <t>VIMMERBY</t>
        </is>
      </c>
      <c r="F14335" t="inlineStr">
        <is>
          <t>Sveaskog</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28294-2025</t>
        </is>
      </c>
      <c r="B14336" s="1" t="n">
        <v>45818</v>
      </c>
      <c r="C14336" s="1" t="n">
        <v>45832</v>
      </c>
      <c r="D14336" t="inlineStr">
        <is>
          <t>KALMAR LÄN</t>
        </is>
      </c>
      <c r="E14336" t="inlineStr">
        <is>
          <t>VIMMERBY</t>
        </is>
      </c>
      <c r="F14336" t="inlineStr">
        <is>
          <t>Sveaskog</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28212-2025</t>
        </is>
      </c>
      <c r="B14337" s="1" t="n">
        <v>45818</v>
      </c>
      <c r="C14337" s="1" t="n">
        <v>45832</v>
      </c>
      <c r="D14337" t="inlineStr">
        <is>
          <t>KALMAR LÄN</t>
        </is>
      </c>
      <c r="E14337" t="inlineStr">
        <is>
          <t>EMMABODA</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28362-2025</t>
        </is>
      </c>
      <c r="B14338" s="1" t="n">
        <v>45818</v>
      </c>
      <c r="C14338" s="1" t="n">
        <v>45832</v>
      </c>
      <c r="D14338" t="inlineStr">
        <is>
          <t>KALMAR LÄN</t>
        </is>
      </c>
      <c r="E14338" t="inlineStr">
        <is>
          <t>NYBRO</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28217-2025</t>
        </is>
      </c>
      <c r="B14339" s="1" t="n">
        <v>45818</v>
      </c>
      <c r="C14339" s="1" t="n">
        <v>45832</v>
      </c>
      <c r="D14339" t="inlineStr">
        <is>
          <t>KALMAR LÄN</t>
        </is>
      </c>
      <c r="E14339" t="inlineStr">
        <is>
          <t>EMMABODA</t>
        </is>
      </c>
      <c r="G14339" t="n">
        <v>7.1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28349-2025</t>
        </is>
      </c>
      <c r="B14340" s="1" t="n">
        <v>45818</v>
      </c>
      <c r="C14340" s="1" t="n">
        <v>45832</v>
      </c>
      <c r="D14340" t="inlineStr">
        <is>
          <t>KALMAR LÄN</t>
        </is>
      </c>
      <c r="E14340" t="inlineStr">
        <is>
          <t>HÖGSBY</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28340-2025</t>
        </is>
      </c>
      <c r="B14341" s="1" t="n">
        <v>45818</v>
      </c>
      <c r="C14341" s="1" t="n">
        <v>45832</v>
      </c>
      <c r="D14341" t="inlineStr">
        <is>
          <t>KALMAR LÄN</t>
        </is>
      </c>
      <c r="E14341" t="inlineStr">
        <is>
          <t>OSKARSHAMN</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28363-2025</t>
        </is>
      </c>
      <c r="B14342" s="1" t="n">
        <v>45818</v>
      </c>
      <c r="C14342" s="1" t="n">
        <v>45832</v>
      </c>
      <c r="D14342" t="inlineStr">
        <is>
          <t>KALMAR LÄN</t>
        </is>
      </c>
      <c r="E14342" t="inlineStr">
        <is>
          <t>NYBRO</t>
        </is>
      </c>
      <c r="G14342" t="n">
        <v>5.9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28203-2025</t>
        </is>
      </c>
      <c r="B14343" s="1" t="n">
        <v>45818</v>
      </c>
      <c r="C14343" s="1" t="n">
        <v>45832</v>
      </c>
      <c r="D14343" t="inlineStr">
        <is>
          <t>KALMAR LÄN</t>
        </is>
      </c>
      <c r="E14343" t="inlineStr">
        <is>
          <t>VÄSTERVIK</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28230-2025</t>
        </is>
      </c>
      <c r="B14344" s="1" t="n">
        <v>45818</v>
      </c>
      <c r="C14344" s="1" t="n">
        <v>45832</v>
      </c>
      <c r="D14344" t="inlineStr">
        <is>
          <t>KALMAR LÄN</t>
        </is>
      </c>
      <c r="E14344" t="inlineStr">
        <is>
          <t>EMMABODA</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28290-2025</t>
        </is>
      </c>
      <c r="B14345" s="1" t="n">
        <v>45818</v>
      </c>
      <c r="C14345" s="1" t="n">
        <v>45832</v>
      </c>
      <c r="D14345" t="inlineStr">
        <is>
          <t>KALMAR LÄN</t>
        </is>
      </c>
      <c r="E14345" t="inlineStr">
        <is>
          <t>VIMMERBY</t>
        </is>
      </c>
      <c r="F14345" t="inlineStr">
        <is>
          <t>Sveaskog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28682-2025</t>
        </is>
      </c>
      <c r="B14346" s="1" t="n">
        <v>45819</v>
      </c>
      <c r="C14346" s="1" t="n">
        <v>45832</v>
      </c>
      <c r="D14346" t="inlineStr">
        <is>
          <t>KALMAR LÄN</t>
        </is>
      </c>
      <c r="E14346" t="inlineStr">
        <is>
          <t>EMMABODA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28620-2025</t>
        </is>
      </c>
      <c r="B14347" s="1" t="n">
        <v>45819</v>
      </c>
      <c r="C14347" s="1" t="n">
        <v>45832</v>
      </c>
      <c r="D14347" t="inlineStr">
        <is>
          <t>KALMAR LÄN</t>
        </is>
      </c>
      <c r="E14347" t="inlineStr">
        <is>
          <t>VIMMERBY</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28575-2025</t>
        </is>
      </c>
      <c r="B14348" s="1" t="n">
        <v>45819</v>
      </c>
      <c r="C14348" s="1" t="n">
        <v>45832</v>
      </c>
      <c r="D14348" t="inlineStr">
        <is>
          <t>KALMAR LÄN</t>
        </is>
      </c>
      <c r="E14348" t="inlineStr">
        <is>
          <t>HULTSFRED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28696-2025</t>
        </is>
      </c>
      <c r="B14349" s="1" t="n">
        <v>45819</v>
      </c>
      <c r="C14349" s="1" t="n">
        <v>45832</v>
      </c>
      <c r="D14349" t="inlineStr">
        <is>
          <t>KALMAR LÄN</t>
        </is>
      </c>
      <c r="E14349" t="inlineStr">
        <is>
          <t>VÄSTERVIK</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28700-2025</t>
        </is>
      </c>
      <c r="B14350" s="1" t="n">
        <v>45820</v>
      </c>
      <c r="C14350" s="1" t="n">
        <v>45832</v>
      </c>
      <c r="D14350" t="inlineStr">
        <is>
          <t>KALMAR LÄN</t>
        </is>
      </c>
      <c r="E14350" t="inlineStr">
        <is>
          <t>MÖNSTERÅS</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28699-2025</t>
        </is>
      </c>
      <c r="B14351" s="1" t="n">
        <v>45820</v>
      </c>
      <c r="C14351" s="1" t="n">
        <v>45832</v>
      </c>
      <c r="D14351" t="inlineStr">
        <is>
          <t>KALMAR LÄN</t>
        </is>
      </c>
      <c r="E14351" t="inlineStr">
        <is>
          <t>MÖNSTERÅS</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28382-2025</t>
        </is>
      </c>
      <c r="B14352" s="1" t="n">
        <v>45819</v>
      </c>
      <c r="C14352" s="1" t="n">
        <v>45832</v>
      </c>
      <c r="D14352" t="inlineStr">
        <is>
          <t>KALMAR LÄN</t>
        </is>
      </c>
      <c r="E14352" t="inlineStr">
        <is>
          <t>NYBRO</t>
        </is>
      </c>
      <c r="G14352" t="n">
        <v>8.300000000000001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28720-2025</t>
        </is>
      </c>
      <c r="B14353" s="1" t="n">
        <v>45820</v>
      </c>
      <c r="C14353" s="1" t="n">
        <v>45832</v>
      </c>
      <c r="D14353" t="inlineStr">
        <is>
          <t>KALMAR LÄN</t>
        </is>
      </c>
      <c r="E14353" t="inlineStr">
        <is>
          <t>NYBRO</t>
        </is>
      </c>
      <c r="G14353" t="n">
        <v>9.300000000000001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28702-2025</t>
        </is>
      </c>
      <c r="B14354" s="1" t="n">
        <v>45820</v>
      </c>
      <c r="C14354" s="1" t="n">
        <v>45832</v>
      </c>
      <c r="D14354" t="inlineStr">
        <is>
          <t>KALMAR LÄN</t>
        </is>
      </c>
      <c r="E14354" t="inlineStr">
        <is>
          <t>VIMMERBY</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28756-2025</t>
        </is>
      </c>
      <c r="B14355" s="1" t="n">
        <v>45820</v>
      </c>
      <c r="C14355" s="1" t="n">
        <v>45832</v>
      </c>
      <c r="D14355" t="inlineStr">
        <is>
          <t>KALMAR LÄN</t>
        </is>
      </c>
      <c r="E14355" t="inlineStr">
        <is>
          <t>NYBRO</t>
        </is>
      </c>
      <c r="F14355" t="inlineStr">
        <is>
          <t>Sveaskog</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28759-2025</t>
        </is>
      </c>
      <c r="B14356" s="1" t="n">
        <v>45820</v>
      </c>
      <c r="C14356" s="1" t="n">
        <v>45832</v>
      </c>
      <c r="D14356" t="inlineStr">
        <is>
          <t>KALMAR LÄN</t>
        </is>
      </c>
      <c r="E14356" t="inlineStr">
        <is>
          <t>KALMAR</t>
        </is>
      </c>
      <c r="F14356" t="inlineStr">
        <is>
          <t>Sveaskog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28767-2025</t>
        </is>
      </c>
      <c r="B14357" s="1" t="n">
        <v>45820</v>
      </c>
      <c r="C14357" s="1" t="n">
        <v>45832</v>
      </c>
      <c r="D14357" t="inlineStr">
        <is>
          <t>KALMAR LÄN</t>
        </is>
      </c>
      <c r="E14357" t="inlineStr">
        <is>
          <t>NYBRO</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28755-2025</t>
        </is>
      </c>
      <c r="B14358" s="1" t="n">
        <v>45820</v>
      </c>
      <c r="C14358" s="1" t="n">
        <v>45832</v>
      </c>
      <c r="D14358" t="inlineStr">
        <is>
          <t>KALMAR LÄN</t>
        </is>
      </c>
      <c r="E14358" t="inlineStr">
        <is>
          <t>NYBRO</t>
        </is>
      </c>
      <c r="F14358" t="inlineStr">
        <is>
          <t>Sveaskog</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28763-2025</t>
        </is>
      </c>
      <c r="B14359" s="1" t="n">
        <v>45820</v>
      </c>
      <c r="C14359" s="1" t="n">
        <v>45832</v>
      </c>
      <c r="D14359" t="inlineStr">
        <is>
          <t>KALMAR LÄN</t>
        </is>
      </c>
      <c r="E14359" t="inlineStr">
        <is>
          <t>KALMAR</t>
        </is>
      </c>
      <c r="F14359" t="inlineStr">
        <is>
          <t>Sveaskog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28782-2025</t>
        </is>
      </c>
      <c r="B14360" s="1" t="n">
        <v>45820</v>
      </c>
      <c r="C14360" s="1" t="n">
        <v>45832</v>
      </c>
      <c r="D14360" t="inlineStr">
        <is>
          <t>KALMAR LÄN</t>
        </is>
      </c>
      <c r="E14360" t="inlineStr">
        <is>
          <t>BORGHOLM</t>
        </is>
      </c>
      <c r="F14360" t="inlineStr">
        <is>
          <t>Sveaskog</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28945-2025</t>
        </is>
      </c>
      <c r="B14361" s="1" t="n">
        <v>45820</v>
      </c>
      <c r="C14361" s="1" t="n">
        <v>45832</v>
      </c>
      <c r="D14361" t="inlineStr">
        <is>
          <t>KALMAR LÄN</t>
        </is>
      </c>
      <c r="E14361" t="inlineStr">
        <is>
          <t>TORSÅS</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28713-2025</t>
        </is>
      </c>
      <c r="B14362" s="1" t="n">
        <v>45820</v>
      </c>
      <c r="C14362" s="1" t="n">
        <v>45832</v>
      </c>
      <c r="D14362" t="inlineStr">
        <is>
          <t>KALMAR LÄN</t>
        </is>
      </c>
      <c r="E14362" t="inlineStr">
        <is>
          <t>VIMMERBY</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28754-2025</t>
        </is>
      </c>
      <c r="B14363" s="1" t="n">
        <v>45820</v>
      </c>
      <c r="C14363" s="1" t="n">
        <v>45832</v>
      </c>
      <c r="D14363" t="inlineStr">
        <is>
          <t>KALMAR LÄN</t>
        </is>
      </c>
      <c r="E14363" t="inlineStr">
        <is>
          <t>NYBRO</t>
        </is>
      </c>
      <c r="F14363" t="inlineStr">
        <is>
          <t>Sveaskog</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28701-2025</t>
        </is>
      </c>
      <c r="B14364" s="1" t="n">
        <v>45820</v>
      </c>
      <c r="C14364" s="1" t="n">
        <v>45832</v>
      </c>
      <c r="D14364" t="inlineStr">
        <is>
          <t>KALMAR LÄN</t>
        </is>
      </c>
      <c r="E14364" t="inlineStr">
        <is>
          <t>VIMMERBY</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28712-2025</t>
        </is>
      </c>
      <c r="B14365" s="1" t="n">
        <v>45820</v>
      </c>
      <c r="C14365" s="1" t="n">
        <v>45832</v>
      </c>
      <c r="D14365" t="inlineStr">
        <is>
          <t>KALMAR LÄN</t>
        </is>
      </c>
      <c r="E14365" t="inlineStr">
        <is>
          <t>VIMMERBY</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28714-2025</t>
        </is>
      </c>
      <c r="B14366" s="1" t="n">
        <v>45820</v>
      </c>
      <c r="C14366" s="1" t="n">
        <v>45832</v>
      </c>
      <c r="D14366" t="inlineStr">
        <is>
          <t>KALMAR LÄN</t>
        </is>
      </c>
      <c r="E14366" t="inlineStr">
        <is>
          <t>VIMMERBY</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29143-2025</t>
        </is>
      </c>
      <c r="B14367" s="1" t="n">
        <v>45821</v>
      </c>
      <c r="C14367" s="1" t="n">
        <v>45832</v>
      </c>
      <c r="D14367" t="inlineStr">
        <is>
          <t>KALMAR LÄN</t>
        </is>
      </c>
      <c r="E14367" t="inlineStr">
        <is>
          <t>HULTSFRED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29059-2025</t>
        </is>
      </c>
      <c r="B14368" s="1" t="n">
        <v>45821</v>
      </c>
      <c r="C14368" s="1" t="n">
        <v>45832</v>
      </c>
      <c r="D14368" t="inlineStr">
        <is>
          <t>KALMAR LÄN</t>
        </is>
      </c>
      <c r="E14368" t="inlineStr">
        <is>
          <t>NYBRO</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29145-2025</t>
        </is>
      </c>
      <c r="B14369" s="1" t="n">
        <v>45821</v>
      </c>
      <c r="C14369" s="1" t="n">
        <v>45832</v>
      </c>
      <c r="D14369" t="inlineStr">
        <is>
          <t>KALMAR LÄN</t>
        </is>
      </c>
      <c r="E14369" t="inlineStr">
        <is>
          <t>HULTSFRED</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29112-2025</t>
        </is>
      </c>
      <c r="B14370" s="1" t="n">
        <v>45821</v>
      </c>
      <c r="C14370" s="1" t="n">
        <v>45832</v>
      </c>
      <c r="D14370" t="inlineStr">
        <is>
          <t>KALMAR LÄN</t>
        </is>
      </c>
      <c r="E14370" t="inlineStr">
        <is>
          <t>VIMMERBY</t>
        </is>
      </c>
      <c r="G14370" t="n">
        <v>10.4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29420-2025</t>
        </is>
      </c>
      <c r="B14371" s="1" t="n">
        <v>45824</v>
      </c>
      <c r="C14371" s="1" t="n">
        <v>45832</v>
      </c>
      <c r="D14371" t="inlineStr">
        <is>
          <t>KALMAR LÄN</t>
        </is>
      </c>
      <c r="E14371" t="inlineStr">
        <is>
          <t>NYBRO</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29271-2025</t>
        </is>
      </c>
      <c r="B14372" s="1" t="n">
        <v>45824</v>
      </c>
      <c r="C14372" s="1" t="n">
        <v>45832</v>
      </c>
      <c r="D14372" t="inlineStr">
        <is>
          <t>KALMAR LÄN</t>
        </is>
      </c>
      <c r="E14372" t="inlineStr">
        <is>
          <t>KALMAR</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29361-2025</t>
        </is>
      </c>
      <c r="B14373" s="1" t="n">
        <v>45824</v>
      </c>
      <c r="C14373" s="1" t="n">
        <v>45832</v>
      </c>
      <c r="D14373" t="inlineStr">
        <is>
          <t>KALMAR LÄN</t>
        </is>
      </c>
      <c r="E14373" t="inlineStr">
        <is>
          <t>NYBRO</t>
        </is>
      </c>
      <c r="F14373" t="inlineStr">
        <is>
          <t>Sveaskog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29320-2025</t>
        </is>
      </c>
      <c r="B14374" s="1" t="n">
        <v>45824</v>
      </c>
      <c r="C14374" s="1" t="n">
        <v>45832</v>
      </c>
      <c r="D14374" t="inlineStr">
        <is>
          <t>KALMAR LÄN</t>
        </is>
      </c>
      <c r="E14374" t="inlineStr">
        <is>
          <t>NYBRO</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29226-2025</t>
        </is>
      </c>
      <c r="B14375" s="1" t="n">
        <v>45824</v>
      </c>
      <c r="C14375" s="1" t="n">
        <v>45832</v>
      </c>
      <c r="D14375" t="inlineStr">
        <is>
          <t>KALMAR LÄN</t>
        </is>
      </c>
      <c r="E14375" t="inlineStr">
        <is>
          <t>KALMAR</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29368-2025</t>
        </is>
      </c>
      <c r="B14376" s="1" t="n">
        <v>45824</v>
      </c>
      <c r="C14376" s="1" t="n">
        <v>45832</v>
      </c>
      <c r="D14376" t="inlineStr">
        <is>
          <t>KALMAR LÄN</t>
        </is>
      </c>
      <c r="E14376" t="inlineStr">
        <is>
          <t>NYBRO</t>
        </is>
      </c>
      <c r="F14376" t="inlineStr">
        <is>
          <t>Sveaskog</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29311-2025</t>
        </is>
      </c>
      <c r="B14377" s="1" t="n">
        <v>45824</v>
      </c>
      <c r="C14377" s="1" t="n">
        <v>45832</v>
      </c>
      <c r="D14377" t="inlineStr">
        <is>
          <t>KALMAR LÄN</t>
        </is>
      </c>
      <c r="E14377" t="inlineStr">
        <is>
          <t>HULTSFRED</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29337-2025</t>
        </is>
      </c>
      <c r="B14378" s="1" t="n">
        <v>45824</v>
      </c>
      <c r="C14378" s="1" t="n">
        <v>45832</v>
      </c>
      <c r="D14378" t="inlineStr">
        <is>
          <t>KALMAR LÄN</t>
        </is>
      </c>
      <c r="E14378" t="inlineStr">
        <is>
          <t>KALMAR</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29744-2025</t>
        </is>
      </c>
      <c r="B14379" s="1" t="n">
        <v>45825</v>
      </c>
      <c r="C14379" s="1" t="n">
        <v>45832</v>
      </c>
      <c r="D14379" t="inlineStr">
        <is>
          <t>KALMAR LÄN</t>
        </is>
      </c>
      <c r="E14379" t="inlineStr">
        <is>
          <t>HULTSFRED</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29646-2025</t>
        </is>
      </c>
      <c r="B14380" s="1" t="n">
        <v>45825</v>
      </c>
      <c r="C14380" s="1" t="n">
        <v>45832</v>
      </c>
      <c r="D14380" t="inlineStr">
        <is>
          <t>KALMAR LÄN</t>
        </is>
      </c>
      <c r="E14380" t="inlineStr">
        <is>
          <t>HÖGSBY</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29718-2025</t>
        </is>
      </c>
      <c r="B14381" s="1" t="n">
        <v>45825</v>
      </c>
      <c r="C14381" s="1" t="n">
        <v>45832</v>
      </c>
      <c r="D14381" t="inlineStr">
        <is>
          <t>KALMAR LÄN</t>
        </is>
      </c>
      <c r="E14381" t="inlineStr">
        <is>
          <t>HULTSFRED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29689-2025</t>
        </is>
      </c>
      <c r="B14382" s="1" t="n">
        <v>45825</v>
      </c>
      <c r="C14382" s="1" t="n">
        <v>45832</v>
      </c>
      <c r="D14382" t="inlineStr">
        <is>
          <t>KALMAR LÄN</t>
        </is>
      </c>
      <c r="E14382" t="inlineStr">
        <is>
          <t>KALMAR</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29728-2025</t>
        </is>
      </c>
      <c r="B14383" s="1" t="n">
        <v>45825</v>
      </c>
      <c r="C14383" s="1" t="n">
        <v>45832</v>
      </c>
      <c r="D14383" t="inlineStr">
        <is>
          <t>KALMAR LÄN</t>
        </is>
      </c>
      <c r="E14383" t="inlineStr">
        <is>
          <t>HULTSFRED</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29724-2025</t>
        </is>
      </c>
      <c r="B14384" s="1" t="n">
        <v>45825</v>
      </c>
      <c r="C14384" s="1" t="n">
        <v>45832</v>
      </c>
      <c r="D14384" t="inlineStr">
        <is>
          <t>KALMAR LÄN</t>
        </is>
      </c>
      <c r="E14384" t="inlineStr">
        <is>
          <t>VIMMERBY</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29719-2025</t>
        </is>
      </c>
      <c r="B14385" s="1" t="n">
        <v>45825</v>
      </c>
      <c r="C14385" s="1" t="n">
        <v>45832</v>
      </c>
      <c r="D14385" t="inlineStr">
        <is>
          <t>KALMAR LÄN</t>
        </is>
      </c>
      <c r="E14385" t="inlineStr">
        <is>
          <t>VÄSTERVIK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29722-2025</t>
        </is>
      </c>
      <c r="B14386" s="1" t="n">
        <v>45825</v>
      </c>
      <c r="C14386" s="1" t="n">
        <v>45832</v>
      </c>
      <c r="D14386" t="inlineStr">
        <is>
          <t>KALMAR LÄN</t>
        </is>
      </c>
      <c r="E14386" t="inlineStr">
        <is>
          <t>VÄSTERVIK</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29636-2025</t>
        </is>
      </c>
      <c r="B14387" s="1" t="n">
        <v>45825</v>
      </c>
      <c r="C14387" s="1" t="n">
        <v>45832</v>
      </c>
      <c r="D14387" t="inlineStr">
        <is>
          <t>KALMAR LÄN</t>
        </is>
      </c>
      <c r="E14387" t="inlineStr">
        <is>
          <t>TORSÅS</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29557-2025</t>
        </is>
      </c>
      <c r="B14388" s="1" t="n">
        <v>45825</v>
      </c>
      <c r="C14388" s="1" t="n">
        <v>45832</v>
      </c>
      <c r="D14388" t="inlineStr">
        <is>
          <t>KALMAR LÄN</t>
        </is>
      </c>
      <c r="E14388" t="inlineStr">
        <is>
          <t>OSKARSHAMN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29678-2025</t>
        </is>
      </c>
      <c r="B14389" s="1" t="n">
        <v>45825</v>
      </c>
      <c r="C14389" s="1" t="n">
        <v>45832</v>
      </c>
      <c r="D14389" t="inlineStr">
        <is>
          <t>KALMAR LÄN</t>
        </is>
      </c>
      <c r="E14389" t="inlineStr">
        <is>
          <t>VÄSTERVIK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29736-2025</t>
        </is>
      </c>
      <c r="B14390" s="1" t="n">
        <v>45825</v>
      </c>
      <c r="C14390" s="1" t="n">
        <v>45832</v>
      </c>
      <c r="D14390" t="inlineStr">
        <is>
          <t>KALMAR LÄN</t>
        </is>
      </c>
      <c r="E14390" t="inlineStr">
        <is>
          <t>VIMMERBY</t>
        </is>
      </c>
      <c r="G14390" t="n">
        <v>7.3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29586-2025</t>
        </is>
      </c>
      <c r="B14391" s="1" t="n">
        <v>45825</v>
      </c>
      <c r="C14391" s="1" t="n">
        <v>45832</v>
      </c>
      <c r="D14391" t="inlineStr">
        <is>
          <t>KALMAR LÄN</t>
        </is>
      </c>
      <c r="E14391" t="inlineStr">
        <is>
          <t>NYBRO</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29807-2025</t>
        </is>
      </c>
      <c r="B14392" s="1" t="n">
        <v>45825</v>
      </c>
      <c r="C14392" s="1" t="n">
        <v>45832</v>
      </c>
      <c r="D14392" t="inlineStr">
        <is>
          <t>KALMAR LÄN</t>
        </is>
      </c>
      <c r="E14392" t="inlineStr">
        <is>
          <t>EMMABODA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29651-2025</t>
        </is>
      </c>
      <c r="B14393" s="1" t="n">
        <v>45825</v>
      </c>
      <c r="C14393" s="1" t="n">
        <v>45832</v>
      </c>
      <c r="D14393" t="inlineStr">
        <is>
          <t>KALMAR LÄN</t>
        </is>
      </c>
      <c r="E14393" t="inlineStr">
        <is>
          <t>OSKARSHAMN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29726-2025</t>
        </is>
      </c>
      <c r="B14394" s="1" t="n">
        <v>45825</v>
      </c>
      <c r="C14394" s="1" t="n">
        <v>45832</v>
      </c>
      <c r="D14394" t="inlineStr">
        <is>
          <t>KALMAR LÄN</t>
        </is>
      </c>
      <c r="E14394" t="inlineStr">
        <is>
          <t>VIMMERBY</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29727-2025</t>
        </is>
      </c>
      <c r="B14395" s="1" t="n">
        <v>45825</v>
      </c>
      <c r="C14395" s="1" t="n">
        <v>45832</v>
      </c>
      <c r="D14395" t="inlineStr">
        <is>
          <t>KALMAR LÄN</t>
        </is>
      </c>
      <c r="E14395" t="inlineStr">
        <is>
          <t>VIMMERBY</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29628-2025</t>
        </is>
      </c>
      <c r="B14396" s="1" t="n">
        <v>45825</v>
      </c>
      <c r="C14396" s="1" t="n">
        <v>45832</v>
      </c>
      <c r="D14396" t="inlineStr">
        <is>
          <t>KALMAR LÄN</t>
        </is>
      </c>
      <c r="E14396" t="inlineStr">
        <is>
          <t>EMMABODA</t>
        </is>
      </c>
      <c r="G14396" t="n">
        <v>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29673-2025</t>
        </is>
      </c>
      <c r="B14397" s="1" t="n">
        <v>45825</v>
      </c>
      <c r="C14397" s="1" t="n">
        <v>45832</v>
      </c>
      <c r="D14397" t="inlineStr">
        <is>
          <t>KALMAR LÄN</t>
        </is>
      </c>
      <c r="E14397" t="inlineStr">
        <is>
          <t>VIMMERBY</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29737-2025</t>
        </is>
      </c>
      <c r="B14398" s="1" t="n">
        <v>45825</v>
      </c>
      <c r="C14398" s="1" t="n">
        <v>45832</v>
      </c>
      <c r="D14398" t="inlineStr">
        <is>
          <t>KALMAR LÄN</t>
        </is>
      </c>
      <c r="E14398" t="inlineStr">
        <is>
          <t>VIMMERBY</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29640-2025</t>
        </is>
      </c>
      <c r="B14399" s="1" t="n">
        <v>45825</v>
      </c>
      <c r="C14399" s="1" t="n">
        <v>45832</v>
      </c>
      <c r="D14399" t="inlineStr">
        <is>
          <t>KALMAR LÄN</t>
        </is>
      </c>
      <c r="E14399" t="inlineStr">
        <is>
          <t>HÖGSBY</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29571-2025</t>
        </is>
      </c>
      <c r="B14400" s="1" t="n">
        <v>45825</v>
      </c>
      <c r="C14400" s="1" t="n">
        <v>45832</v>
      </c>
      <c r="D14400" t="inlineStr">
        <is>
          <t>KALMAR LÄN</t>
        </is>
      </c>
      <c r="E14400" t="inlineStr">
        <is>
          <t>OSKARSHAMN</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29618-2025</t>
        </is>
      </c>
      <c r="B14401" s="1" t="n">
        <v>45825</v>
      </c>
      <c r="C14401" s="1" t="n">
        <v>45832</v>
      </c>
      <c r="D14401" t="inlineStr">
        <is>
          <t>KALMAR LÄN</t>
        </is>
      </c>
      <c r="E14401" t="inlineStr">
        <is>
          <t>EMMABODA</t>
        </is>
      </c>
      <c r="G14401" t="n">
        <v>9.4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29886-2025</t>
        </is>
      </c>
      <c r="B14402" s="1" t="n">
        <v>45826</v>
      </c>
      <c r="C14402" s="1" t="n">
        <v>45832</v>
      </c>
      <c r="D14402" t="inlineStr">
        <is>
          <t>KALMAR LÄN</t>
        </is>
      </c>
      <c r="E14402" t="inlineStr">
        <is>
          <t>EMMABODA</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29888-2025</t>
        </is>
      </c>
      <c r="B14403" s="1" t="n">
        <v>45826</v>
      </c>
      <c r="C14403" s="1" t="n">
        <v>45832</v>
      </c>
      <c r="D14403" t="inlineStr">
        <is>
          <t>KALMAR LÄN</t>
        </is>
      </c>
      <c r="E14403" t="inlineStr">
        <is>
          <t>TORSÅS</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29903-2025</t>
        </is>
      </c>
      <c r="B14404" s="1" t="n">
        <v>45826</v>
      </c>
      <c r="C14404" s="1" t="n">
        <v>45832</v>
      </c>
      <c r="D14404" t="inlineStr">
        <is>
          <t>KALMAR LÄN</t>
        </is>
      </c>
      <c r="E14404" t="inlineStr">
        <is>
          <t>HULTSFRED</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29869-2025</t>
        </is>
      </c>
      <c r="B14405" s="1" t="n">
        <v>45826</v>
      </c>
      <c r="C14405" s="1" t="n">
        <v>45832</v>
      </c>
      <c r="D14405" t="inlineStr">
        <is>
          <t>KALMAR LÄN</t>
        </is>
      </c>
      <c r="E14405" t="inlineStr">
        <is>
          <t>EMMABODA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29879-2025</t>
        </is>
      </c>
      <c r="B14406" s="1" t="n">
        <v>45826</v>
      </c>
      <c r="C14406" s="1" t="n">
        <v>45832</v>
      </c>
      <c r="D14406" t="inlineStr">
        <is>
          <t>KALMAR LÄN</t>
        </is>
      </c>
      <c r="E14406" t="inlineStr">
        <is>
          <t>EMMABODA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29889-2025</t>
        </is>
      </c>
      <c r="B14407" s="1" t="n">
        <v>45826</v>
      </c>
      <c r="C14407" s="1" t="n">
        <v>45832</v>
      </c>
      <c r="D14407" t="inlineStr">
        <is>
          <t>KALMAR LÄN</t>
        </is>
      </c>
      <c r="E14407" t="inlineStr">
        <is>
          <t>TORSÅS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30118-2025</t>
        </is>
      </c>
      <c r="B14408" s="1" t="n">
        <v>45826</v>
      </c>
      <c r="C14408" s="1" t="n">
        <v>45832</v>
      </c>
      <c r="D14408" t="inlineStr">
        <is>
          <t>KALMAR LÄN</t>
        </is>
      </c>
      <c r="E14408" t="inlineStr">
        <is>
          <t>EMMABODA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29874-2025</t>
        </is>
      </c>
      <c r="B14409" s="1" t="n">
        <v>45826</v>
      </c>
      <c r="C14409" s="1" t="n">
        <v>45832</v>
      </c>
      <c r="D14409" t="inlineStr">
        <is>
          <t>KALMAR LÄN</t>
        </is>
      </c>
      <c r="E14409" t="inlineStr">
        <is>
          <t>EMMABODA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29875-2025</t>
        </is>
      </c>
      <c r="B14410" s="1" t="n">
        <v>45826</v>
      </c>
      <c r="C14410" s="1" t="n">
        <v>45832</v>
      </c>
      <c r="D14410" t="inlineStr">
        <is>
          <t>KALMAR LÄN</t>
        </is>
      </c>
      <c r="E14410" t="inlineStr">
        <is>
          <t>EMMABODA</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29899-2025</t>
        </is>
      </c>
      <c r="B14411" s="1" t="n">
        <v>45826</v>
      </c>
      <c r="C14411" s="1" t="n">
        <v>45832</v>
      </c>
      <c r="D14411" t="inlineStr">
        <is>
          <t>KALMAR LÄN</t>
        </is>
      </c>
      <c r="E14411" t="inlineStr">
        <is>
          <t>HÖGSBY</t>
        </is>
      </c>
      <c r="F14411" t="inlineStr">
        <is>
          <t>Sveaskog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29999-2025</t>
        </is>
      </c>
      <c r="B14412" s="1" t="n">
        <v>45826</v>
      </c>
      <c r="C14412" s="1" t="n">
        <v>45832</v>
      </c>
      <c r="D14412" t="inlineStr">
        <is>
          <t>KALMAR LÄN</t>
        </is>
      </c>
      <c r="E14412" t="inlineStr">
        <is>
          <t>TORSÅS</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30095-2025</t>
        </is>
      </c>
      <c r="B14413" s="1" t="n">
        <v>45826</v>
      </c>
      <c r="C14413" s="1" t="n">
        <v>45832</v>
      </c>
      <c r="D14413" t="inlineStr">
        <is>
          <t>KALMAR LÄN</t>
        </is>
      </c>
      <c r="E14413" t="inlineStr">
        <is>
          <t>VIMMERBY</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29895-2025</t>
        </is>
      </c>
      <c r="B14414" s="1" t="n">
        <v>45826</v>
      </c>
      <c r="C14414" s="1" t="n">
        <v>45832</v>
      </c>
      <c r="D14414" t="inlineStr">
        <is>
          <t>KALMAR LÄN</t>
        </is>
      </c>
      <c r="E14414" t="inlineStr">
        <is>
          <t>HÖGSBY</t>
        </is>
      </c>
      <c r="F14414" t="inlineStr">
        <is>
          <t>Sveaskog</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29901-2025</t>
        </is>
      </c>
      <c r="B14415" s="1" t="n">
        <v>45826</v>
      </c>
      <c r="C14415" s="1" t="n">
        <v>45832</v>
      </c>
      <c r="D14415" t="inlineStr">
        <is>
          <t>KALMAR LÄN</t>
        </is>
      </c>
      <c r="E14415" t="inlineStr">
        <is>
          <t>HULTSFRED</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30005-2025</t>
        </is>
      </c>
      <c r="B14416" s="1" t="n">
        <v>45826</v>
      </c>
      <c r="C14416" s="1" t="n">
        <v>45832</v>
      </c>
      <c r="D14416" t="inlineStr">
        <is>
          <t>KALMAR LÄN</t>
        </is>
      </c>
      <c r="E14416" t="inlineStr">
        <is>
          <t>HULTSFRED</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30225-2025</t>
        </is>
      </c>
      <c r="B14417" s="1" t="n">
        <v>45827</v>
      </c>
      <c r="C14417" s="1" t="n">
        <v>45832</v>
      </c>
      <c r="D14417" t="inlineStr">
        <is>
          <t>KALMAR LÄN</t>
        </is>
      </c>
      <c r="E14417" t="inlineStr">
        <is>
          <t>TORSÅS</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30269-2025</t>
        </is>
      </c>
      <c r="B14418" s="1" t="n">
        <v>45827</v>
      </c>
      <c r="C14418" s="1" t="n">
        <v>45832</v>
      </c>
      <c r="D14418" t="inlineStr">
        <is>
          <t>KALMAR LÄN</t>
        </is>
      </c>
      <c r="E14418" t="inlineStr">
        <is>
          <t>HULTSFRED</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30270-2025</t>
        </is>
      </c>
      <c r="B14419" s="1" t="n">
        <v>45827</v>
      </c>
      <c r="C14419" s="1" t="n">
        <v>45832</v>
      </c>
      <c r="D14419" t="inlineStr">
        <is>
          <t>KALMAR LÄN</t>
        </is>
      </c>
      <c r="E14419" t="inlineStr">
        <is>
          <t>HULTSFRED</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30273-2025</t>
        </is>
      </c>
      <c r="B14420" s="1" t="n">
        <v>45827</v>
      </c>
      <c r="C14420" s="1" t="n">
        <v>45832</v>
      </c>
      <c r="D14420" t="inlineStr">
        <is>
          <t>KALMAR LÄN</t>
        </is>
      </c>
      <c r="E14420" t="inlineStr">
        <is>
          <t>HULTSFRED</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30278-2025</t>
        </is>
      </c>
      <c r="B14421" s="1" t="n">
        <v>45827</v>
      </c>
      <c r="C14421" s="1" t="n">
        <v>45832</v>
      </c>
      <c r="D14421" t="inlineStr">
        <is>
          <t>KALMAR LÄN</t>
        </is>
      </c>
      <c r="E14421" t="inlineStr">
        <is>
          <t>HULTSFRED</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30293-2025</t>
        </is>
      </c>
      <c r="B14422" s="1" t="n">
        <v>45827</v>
      </c>
      <c r="C14422" s="1" t="n">
        <v>45832</v>
      </c>
      <c r="D14422" t="inlineStr">
        <is>
          <t>KALMAR LÄN</t>
        </is>
      </c>
      <c r="E14422" t="inlineStr">
        <is>
          <t>VIMMERBY</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30284-2025</t>
        </is>
      </c>
      <c r="B14423" s="1" t="n">
        <v>45827</v>
      </c>
      <c r="C14423" s="1" t="n">
        <v>45832</v>
      </c>
      <c r="D14423" t="inlineStr">
        <is>
          <t>KALMAR LÄN</t>
        </is>
      </c>
      <c r="E14423" t="inlineStr">
        <is>
          <t>HULTSFRED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30294-2025</t>
        </is>
      </c>
      <c r="B14424" s="1" t="n">
        <v>45827</v>
      </c>
      <c r="C14424" s="1" t="n">
        <v>45832</v>
      </c>
      <c r="D14424" t="inlineStr">
        <is>
          <t>KALMAR LÄN</t>
        </is>
      </c>
      <c r="E14424" t="inlineStr">
        <is>
          <t>HULTSFRED</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30194-2025</t>
        </is>
      </c>
      <c r="B14425" s="1" t="n">
        <v>45827</v>
      </c>
      <c r="C14425" s="1" t="n">
        <v>45832</v>
      </c>
      <c r="D14425" t="inlineStr">
        <is>
          <t>KALMAR LÄN</t>
        </is>
      </c>
      <c r="E14425" t="inlineStr">
        <is>
          <t>OSKARSHAMN</t>
        </is>
      </c>
      <c r="F14425" t="inlineStr">
        <is>
          <t>Kyrkan</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30250-2025</t>
        </is>
      </c>
      <c r="B14426" s="1" t="n">
        <v>45827</v>
      </c>
      <c r="C14426" s="1" t="n">
        <v>45832</v>
      </c>
      <c r="D14426" t="inlineStr">
        <is>
          <t>KALMAR LÄN</t>
        </is>
      </c>
      <c r="E14426" t="inlineStr">
        <is>
          <t>HULTSFRED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30290-2025</t>
        </is>
      </c>
      <c r="B14427" s="1" t="n">
        <v>45827</v>
      </c>
      <c r="C14427" s="1" t="n">
        <v>45832</v>
      </c>
      <c r="D14427" t="inlineStr">
        <is>
          <t>KALMAR LÄN</t>
        </is>
      </c>
      <c r="E14427" t="inlineStr">
        <is>
          <t>VIMMERBY</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30242-2025</t>
        </is>
      </c>
      <c r="B14428" s="1" t="n">
        <v>45827</v>
      </c>
      <c r="C14428" s="1" t="n">
        <v>45832</v>
      </c>
      <c r="D14428" t="inlineStr">
        <is>
          <t>KALMAR LÄN</t>
        </is>
      </c>
      <c r="E14428" t="inlineStr">
        <is>
          <t>HULTSFRED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30265-2025</t>
        </is>
      </c>
      <c r="B14429" s="1" t="n">
        <v>45827</v>
      </c>
      <c r="C14429" s="1" t="n">
        <v>45832</v>
      </c>
      <c r="D14429" t="inlineStr">
        <is>
          <t>KALMAR LÄN</t>
        </is>
      </c>
      <c r="E14429" t="inlineStr">
        <is>
          <t>HULTSFRED</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30281-2025</t>
        </is>
      </c>
      <c r="B14430" s="1" t="n">
        <v>45827</v>
      </c>
      <c r="C14430" s="1" t="n">
        <v>45832</v>
      </c>
      <c r="D14430" t="inlineStr">
        <is>
          <t>KALMAR LÄN</t>
        </is>
      </c>
      <c r="E14430" t="inlineStr">
        <is>
          <t>HULTSFRED</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30233-2025</t>
        </is>
      </c>
      <c r="B14431" s="1" t="n">
        <v>45827</v>
      </c>
      <c r="C14431" s="1" t="n">
        <v>45832</v>
      </c>
      <c r="D14431" t="inlineStr">
        <is>
          <t>KALMAR LÄN</t>
        </is>
      </c>
      <c r="E14431" t="inlineStr">
        <is>
          <t>HULTSFRED</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30528-2025</t>
        </is>
      </c>
      <c r="B14432" s="1" t="n">
        <v>45831</v>
      </c>
      <c r="C14432" s="1" t="n">
        <v>45832</v>
      </c>
      <c r="D14432" t="inlineStr">
        <is>
          <t>KALMAR LÄN</t>
        </is>
      </c>
      <c r="E14432" t="inlineStr">
        <is>
          <t>OSKARSHAMN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30510-2025</t>
        </is>
      </c>
      <c r="B14433" s="1" t="n">
        <v>45831</v>
      </c>
      <c r="C14433" s="1" t="n">
        <v>45832</v>
      </c>
      <c r="D14433" t="inlineStr">
        <is>
          <t>KALMAR LÄN</t>
        </is>
      </c>
      <c r="E14433" t="inlineStr">
        <is>
          <t>NYBRO</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30511-2025</t>
        </is>
      </c>
      <c r="B14434" s="1" t="n">
        <v>45831</v>
      </c>
      <c r="C14434" s="1" t="n">
        <v>45832</v>
      </c>
      <c r="D14434" t="inlineStr">
        <is>
          <t>KALMAR LÄN</t>
        </is>
      </c>
      <c r="E14434" t="inlineStr">
        <is>
          <t>HULTSFRED</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30644-2025</t>
        </is>
      </c>
      <c r="B14435" s="1" t="n">
        <v>45831</v>
      </c>
      <c r="C14435" s="1" t="n">
        <v>45832</v>
      </c>
      <c r="D14435" t="inlineStr">
        <is>
          <t>KALMAR LÄN</t>
        </is>
      </c>
      <c r="E14435" t="inlineStr">
        <is>
          <t>VÄSTERVIK</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30648-2025</t>
        </is>
      </c>
      <c r="B14436" s="1" t="n">
        <v>45831</v>
      </c>
      <c r="C14436" s="1" t="n">
        <v>45832</v>
      </c>
      <c r="D14436" t="inlineStr">
        <is>
          <t>KALMAR LÄN</t>
        </is>
      </c>
      <c r="E14436" t="inlineStr">
        <is>
          <t>VÄSTERVIK</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30789-2025</t>
        </is>
      </c>
      <c r="B14437" s="1" t="n">
        <v>45831</v>
      </c>
      <c r="C14437" s="1" t="n">
        <v>45832</v>
      </c>
      <c r="D14437" t="inlineStr">
        <is>
          <t>KALMAR LÄN</t>
        </is>
      </c>
      <c r="E14437" t="inlineStr">
        <is>
          <t>VÄSTERVIK</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30794-2025</t>
        </is>
      </c>
      <c r="B14438" s="1" t="n">
        <v>45831</v>
      </c>
      <c r="C14438" s="1" t="n">
        <v>45832</v>
      </c>
      <c r="D14438" t="inlineStr">
        <is>
          <t>KALMAR LÄN</t>
        </is>
      </c>
      <c r="E14438" t="inlineStr">
        <is>
          <t>VÄSTERVIK</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30690-2025</t>
        </is>
      </c>
      <c r="B14439" s="1" t="n">
        <v>45831</v>
      </c>
      <c r="C14439" s="1" t="n">
        <v>45832</v>
      </c>
      <c r="D14439" t="inlineStr">
        <is>
          <t>KALMAR LÄN</t>
        </is>
      </c>
      <c r="E14439" t="inlineStr">
        <is>
          <t>VÄSTERVIK</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30800-2025</t>
        </is>
      </c>
      <c r="B14440" s="1" t="n">
        <v>45831</v>
      </c>
      <c r="C14440" s="1" t="n">
        <v>45832</v>
      </c>
      <c r="D14440" t="inlineStr">
        <is>
          <t>KALMAR LÄN</t>
        </is>
      </c>
      <c r="E14440" t="inlineStr">
        <is>
          <t>VÄSTERVIK</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30850-2025</t>
        </is>
      </c>
      <c r="B14441" s="1" t="n">
        <v>45831</v>
      </c>
      <c r="C14441" s="1" t="n">
        <v>45832</v>
      </c>
      <c r="D14441" t="inlineStr">
        <is>
          <t>KALMAR LÄN</t>
        </is>
      </c>
      <c r="E14441" t="inlineStr">
        <is>
          <t>VIMMERBY</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30820-2025</t>
        </is>
      </c>
      <c r="B14442" s="1" t="n">
        <v>45831</v>
      </c>
      <c r="C14442" s="1" t="n">
        <v>45832</v>
      </c>
      <c r="D14442" t="inlineStr">
        <is>
          <t>KALMAR LÄN</t>
        </is>
      </c>
      <c r="E14442" t="inlineStr">
        <is>
          <t>HULTSFRED</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30565-2025</t>
        </is>
      </c>
      <c r="B14443" s="1" t="n">
        <v>45831</v>
      </c>
      <c r="C14443" s="1" t="n">
        <v>45832</v>
      </c>
      <c r="D14443" t="inlineStr">
        <is>
          <t>KALMAR LÄN</t>
        </is>
      </c>
      <c r="E14443" t="inlineStr">
        <is>
          <t>MÖNSTERÅS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30518-2025</t>
        </is>
      </c>
      <c r="B14444" s="1" t="n">
        <v>45831</v>
      </c>
      <c r="C14444" s="1" t="n">
        <v>45832</v>
      </c>
      <c r="D14444" t="inlineStr">
        <is>
          <t>KALMAR LÄN</t>
        </is>
      </c>
      <c r="E14444" t="inlineStr">
        <is>
          <t>OSKARSHAMN</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30811-2025</t>
        </is>
      </c>
      <c r="B14445" s="1" t="n">
        <v>45831</v>
      </c>
      <c r="C14445" s="1" t="n">
        <v>45832</v>
      </c>
      <c r="D14445" t="inlineStr">
        <is>
          <t>KALMAR LÄN</t>
        </is>
      </c>
      <c r="E14445" t="inlineStr">
        <is>
          <t>VÄSTERVIK</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30574-2025</t>
        </is>
      </c>
      <c r="B14446" s="1" t="n">
        <v>45831</v>
      </c>
      <c r="C14446" s="1" t="n">
        <v>45832</v>
      </c>
      <c r="D14446" t="inlineStr">
        <is>
          <t>KALMAR LÄN</t>
        </is>
      </c>
      <c r="E14446" t="inlineStr">
        <is>
          <t>MÖNSTERÅS</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30674-2025</t>
        </is>
      </c>
      <c r="B14447" s="1" t="n">
        <v>45831</v>
      </c>
      <c r="C14447" s="1" t="n">
        <v>45832</v>
      </c>
      <c r="D14447" t="inlineStr">
        <is>
          <t>KALMAR LÄN</t>
        </is>
      </c>
      <c r="E14447" t="inlineStr">
        <is>
          <t>HULTSFRED</t>
        </is>
      </c>
      <c r="G14447" t="n">
        <v>1.6</v>
      </c>
      <c r="H14447" t="n">
        <v>0</v>
      </c>
      <c r="I14447" t="n">
        <v>0</v>
      </c>
      <c r="J14447" t="n">
        <v>0</v>
      </c>
      <c r="K14447" t="n">
        <v>0</v>
      </c>
      <c r="L14447" t="n">
        <v>0</v>
      </c>
      <c r="M14447" t="n">
        <v>0</v>
      </c>
      <c r="N14447" t="n">
        <v>0</v>
      </c>
      <c r="O14447" t="n">
        <v>0</v>
      </c>
      <c r="P14447" t="n">
        <v>0</v>
      </c>
      <c r="Q14447" t="n">
        <v>0</v>
      </c>
      <c r="R14447" s="2" t="inlineStr"/>
    </row>
    <row r="14448">
      <c r="A14448" t="inlineStr">
        <is>
          <t>A 30860-2025</t>
        </is>
      </c>
      <c r="B14448" s="1" t="n">
        <v>45832</v>
      </c>
      <c r="C14448" s="1" t="n">
        <v>45832</v>
      </c>
      <c r="D14448" t="inlineStr">
        <is>
          <t>KALMAR LÄN</t>
        </is>
      </c>
      <c r="E14448" t="inlineStr">
        <is>
          <t>KALMAR</t>
        </is>
      </c>
      <c r="G14448" t="n">
        <v>3.9</v>
      </c>
      <c r="H14448" t="n">
        <v>0</v>
      </c>
      <c r="I14448" t="n">
        <v>0</v>
      </c>
      <c r="J14448" t="n">
        <v>0</v>
      </c>
      <c r="K14448" t="n">
        <v>0</v>
      </c>
      <c r="L14448" t="n">
        <v>0</v>
      </c>
      <c r="M14448" t="n">
        <v>0</v>
      </c>
      <c r="N14448" t="n">
        <v>0</v>
      </c>
      <c r="O14448" t="n">
        <v>0</v>
      </c>
      <c r="P14448" t="n">
        <v>0</v>
      </c>
      <c r="Q14448" t="n">
        <v>0</v>
      </c>
      <c r="R14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2025-06-24T19:51:54Z</dcterms:created>
  <dcterms:modified xmlns:dcterms="http://purl.org/dc/terms/" xmlns:xsi="http://www.w3.org/2001/XMLSchema-instance" xsi:type="dcterms:W3CDTF">2025-06-24T19:52:07Z</dcterms:modified>
</cp:coreProperties>
</file>