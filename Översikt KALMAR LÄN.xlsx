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45884</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45884</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45884</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45884</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45884</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43587-2021</t>
        </is>
      </c>
      <c r="B7" s="1" t="n">
        <v>44433</v>
      </c>
      <c r="C7" s="1" t="n">
        <v>45884</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45884</v>
      </c>
      <c r="D8" t="inlineStr">
        <is>
          <t>KALMAR LÄN</t>
        </is>
      </c>
      <c r="E8" t="inlineStr">
        <is>
          <t>OSKARSHAMN</t>
        </is>
      </c>
      <c r="G8" t="n">
        <v>4.3</v>
      </c>
      <c r="H8" t="n">
        <v>3</v>
      </c>
      <c r="I8" t="n">
        <v>11</v>
      </c>
      <c r="J8" t="n">
        <v>7</v>
      </c>
      <c r="K8" t="n">
        <v>1</v>
      </c>
      <c r="L8" t="n">
        <v>0</v>
      </c>
      <c r="M8" t="n">
        <v>0</v>
      </c>
      <c r="N8" t="n">
        <v>0</v>
      </c>
      <c r="O8" t="n">
        <v>8</v>
      </c>
      <c r="P8" t="n">
        <v>1</v>
      </c>
      <c r="Q8" t="n">
        <v>21</v>
      </c>
      <c r="R8" s="2" t="inlineStr">
        <is>
          <t>Knärot
Dvärgbägarlav
Gränsticka
Lunglav
Rosenticka
Tallticka
Ullticka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41266-2021</t>
        </is>
      </c>
      <c r="B9" s="1" t="n">
        <v>44424</v>
      </c>
      <c r="C9" s="1" t="n">
        <v>45884</v>
      </c>
      <c r="D9" t="inlineStr">
        <is>
          <t>KALMAR LÄN</t>
        </is>
      </c>
      <c r="E9" t="inlineStr">
        <is>
          <t>MÖNSTERÅS</t>
        </is>
      </c>
      <c r="G9" t="n">
        <v>11.8</v>
      </c>
      <c r="H9" t="n">
        <v>1</v>
      </c>
      <c r="I9" t="n">
        <v>3</v>
      </c>
      <c r="J9" t="n">
        <v>10</v>
      </c>
      <c r="K9" t="n">
        <v>6</v>
      </c>
      <c r="L9" t="n">
        <v>0</v>
      </c>
      <c r="M9" t="n">
        <v>0</v>
      </c>
      <c r="N9" t="n">
        <v>1</v>
      </c>
      <c r="O9" t="n">
        <v>17</v>
      </c>
      <c r="P9" t="n">
        <v>6</v>
      </c>
      <c r="Q9" t="n">
        <v>20</v>
      </c>
      <c r="R9"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9">
        <f>HYPERLINK("https://klasma.github.io/Logging_0861/artfynd/A 41266-2021 artfynd.xlsx", "A 41266-2021")</f>
        <v/>
      </c>
      <c r="T9">
        <f>HYPERLINK("https://klasma.github.io/Logging_0861/kartor/A 41266-2021 karta.png", "A 41266-2021")</f>
        <v/>
      </c>
      <c r="V9">
        <f>HYPERLINK("https://klasma.github.io/Logging_0861/klagomål/A 41266-2021 FSC-klagomål.docx", "A 41266-2021")</f>
        <v/>
      </c>
      <c r="W9">
        <f>HYPERLINK("https://klasma.github.io/Logging_0861/klagomålsmail/A 41266-2021 FSC-klagomål mail.docx", "A 41266-2021")</f>
        <v/>
      </c>
      <c r="X9">
        <f>HYPERLINK("https://klasma.github.io/Logging_0861/tillsyn/A 41266-2021 tillsynsbegäran.docx", "A 41266-2021")</f>
        <v/>
      </c>
      <c r="Y9">
        <f>HYPERLINK("https://klasma.github.io/Logging_0861/tillsynsmail/A 41266-2021 tillsynsbegäran mail.docx", "A 41266-2021")</f>
        <v/>
      </c>
    </row>
    <row r="10" ht="15" customHeight="1">
      <c r="A10" t="inlineStr">
        <is>
          <t>A 11163-2021</t>
        </is>
      </c>
      <c r="B10" s="1" t="n">
        <v>44262</v>
      </c>
      <c r="C10" s="1" t="n">
        <v>45884</v>
      </c>
      <c r="D10" t="inlineStr">
        <is>
          <t>KALMAR LÄN</t>
        </is>
      </c>
      <c r="E10" t="inlineStr">
        <is>
          <t>MÖRBYLÅNGA</t>
        </is>
      </c>
      <c r="G10" t="n">
        <v>3.4</v>
      </c>
      <c r="H10" t="n">
        <v>2</v>
      </c>
      <c r="I10" t="n">
        <v>1</v>
      </c>
      <c r="J10" t="n">
        <v>11</v>
      </c>
      <c r="K10" t="n">
        <v>1</v>
      </c>
      <c r="L10" t="n">
        <v>2</v>
      </c>
      <c r="M10" t="n">
        <v>1</v>
      </c>
      <c r="N10" t="n">
        <v>0</v>
      </c>
      <c r="O10" t="n">
        <v>16</v>
      </c>
      <c r="P10" t="n">
        <v>4</v>
      </c>
      <c r="Q10" t="n">
        <v>18</v>
      </c>
      <c r="R10"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0">
        <f>HYPERLINK("https://klasma.github.io/Logging_0840/artfynd/A 11163-2021 artfynd.xlsx", "A 11163-2021")</f>
        <v/>
      </c>
      <c r="T10">
        <f>HYPERLINK("https://klasma.github.io/Logging_0840/kartor/A 11163-2021 karta.png", "A 11163-2021")</f>
        <v/>
      </c>
      <c r="V10">
        <f>HYPERLINK("https://klasma.github.io/Logging_0840/klagomål/A 11163-2021 FSC-klagomål.docx", "A 11163-2021")</f>
        <v/>
      </c>
      <c r="W10">
        <f>HYPERLINK("https://klasma.github.io/Logging_0840/klagomålsmail/A 11163-2021 FSC-klagomål mail.docx", "A 11163-2021")</f>
        <v/>
      </c>
      <c r="X10">
        <f>HYPERLINK("https://klasma.github.io/Logging_0840/tillsyn/A 11163-2021 tillsynsbegäran.docx", "A 11163-2021")</f>
        <v/>
      </c>
      <c r="Y10">
        <f>HYPERLINK("https://klasma.github.io/Logging_0840/tillsynsmail/A 11163-2021 tillsynsbegäran mail.docx", "A 11163-2021")</f>
        <v/>
      </c>
    </row>
    <row r="11" ht="15" customHeight="1">
      <c r="A11" t="inlineStr">
        <is>
          <t>A 58937-2022</t>
        </is>
      </c>
      <c r="B11" s="1" t="n">
        <v>44896</v>
      </c>
      <c r="C11" s="1" t="n">
        <v>45884</v>
      </c>
      <c r="D11" t="inlineStr">
        <is>
          <t>KALMAR LÄN</t>
        </is>
      </c>
      <c r="E11" t="inlineStr">
        <is>
          <t>VÄSTERVIK</t>
        </is>
      </c>
      <c r="G11" t="n">
        <v>10.6</v>
      </c>
      <c r="H11" t="n">
        <v>3</v>
      </c>
      <c r="I11" t="n">
        <v>11</v>
      </c>
      <c r="J11" t="n">
        <v>5</v>
      </c>
      <c r="K11" t="n">
        <v>2</v>
      </c>
      <c r="L11" t="n">
        <v>0</v>
      </c>
      <c r="M11" t="n">
        <v>0</v>
      </c>
      <c r="N11" t="n">
        <v>0</v>
      </c>
      <c r="O11" t="n">
        <v>7</v>
      </c>
      <c r="P11" t="n">
        <v>2</v>
      </c>
      <c r="Q11" t="n">
        <v>18</v>
      </c>
      <c r="R11" s="2" t="inlineStr">
        <is>
          <t>Fransporing
Knärot
Kolflarnlav
Spillkråka
Tallticka
Talltita
Vedskivlav
Blodticka
Bronshjon
Flagellkvastmossa
Grovticka
Grönpyrola
Kornknutmossa
Nästlav
Sotlav
Thomsons trägnagare
Vedticka
Vågbandad barkbock</t>
        </is>
      </c>
      <c r="S11">
        <f>HYPERLINK("https://klasma.github.io/Logging_0883/artfynd/A 58937-2022 artfynd.xlsx", "A 58937-2022")</f>
        <v/>
      </c>
      <c r="T11">
        <f>HYPERLINK("https://klasma.github.io/Logging_0883/kartor/A 58937-2022 karta.png", "A 58937-2022")</f>
        <v/>
      </c>
      <c r="U11">
        <f>HYPERLINK("https://klasma.github.io/Logging_0883/knärot/A 58937-2022 karta knärot.png", "A 58937-2022")</f>
        <v/>
      </c>
      <c r="V11">
        <f>HYPERLINK("https://klasma.github.io/Logging_0883/klagomål/A 58937-2022 FSC-klagomål.docx", "A 58937-2022")</f>
        <v/>
      </c>
      <c r="W11">
        <f>HYPERLINK("https://klasma.github.io/Logging_0883/klagomålsmail/A 58937-2022 FSC-klagomål mail.docx", "A 58937-2022")</f>
        <v/>
      </c>
      <c r="X11">
        <f>HYPERLINK("https://klasma.github.io/Logging_0883/tillsyn/A 58937-2022 tillsynsbegäran.docx", "A 58937-2022")</f>
        <v/>
      </c>
      <c r="Y11">
        <f>HYPERLINK("https://klasma.github.io/Logging_0883/tillsynsmail/A 58937-2022 tillsynsbegäran mail.docx", "A 58937-2022")</f>
        <v/>
      </c>
      <c r="Z11">
        <f>HYPERLINK("https://klasma.github.io/Logging_0883/fåglar/A 58937-2022 prioriterade fågelarter.docx", "A 58937-2022")</f>
        <v/>
      </c>
    </row>
    <row r="12" ht="15" customHeight="1">
      <c r="A12" t="inlineStr">
        <is>
          <t>A 6818-2021</t>
        </is>
      </c>
      <c r="B12" s="1" t="n">
        <v>44237</v>
      </c>
      <c r="C12" s="1" t="n">
        <v>45884</v>
      </c>
      <c r="D12" t="inlineStr">
        <is>
          <t>KALMAR LÄN</t>
        </is>
      </c>
      <c r="E12" t="inlineStr">
        <is>
          <t>KALMAR</t>
        </is>
      </c>
      <c r="G12" t="n">
        <v>9.699999999999999</v>
      </c>
      <c r="H12" t="n">
        <v>4</v>
      </c>
      <c r="I12" t="n">
        <v>7</v>
      </c>
      <c r="J12" t="n">
        <v>8</v>
      </c>
      <c r="K12" t="n">
        <v>2</v>
      </c>
      <c r="L12" t="n">
        <v>0</v>
      </c>
      <c r="M12" t="n">
        <v>0</v>
      </c>
      <c r="N12" t="n">
        <v>0</v>
      </c>
      <c r="O12" t="n">
        <v>10</v>
      </c>
      <c r="P12" t="n">
        <v>2</v>
      </c>
      <c r="Q12" t="n">
        <v>17</v>
      </c>
      <c r="R12" s="2" t="inlineStr">
        <is>
          <t>Knärot
Raggbock
Gransotdyna
Havsörn
Orange taggsvamp
Spillkråka
Sumpviol
Tallticka
Talltita
Ullticka
Blomkålssvamp
Blåmossa
Bronshjon
Dropptaggsvamp
Grovticka
Grönpyrola
Tallfingersvamp</t>
        </is>
      </c>
      <c r="S12">
        <f>HYPERLINK("https://klasma.github.io/Logging_0880/artfynd/A 6818-2021 artfynd.xlsx", "A 6818-2021")</f>
        <v/>
      </c>
      <c r="T12">
        <f>HYPERLINK("https://klasma.github.io/Logging_0880/kartor/A 6818-2021 karta.png", "A 6818-2021")</f>
        <v/>
      </c>
      <c r="U12">
        <f>HYPERLINK("https://klasma.github.io/Logging_0880/knärot/A 6818-2021 karta knärot.png", "A 6818-2021")</f>
        <v/>
      </c>
      <c r="V12">
        <f>HYPERLINK("https://klasma.github.io/Logging_0880/klagomål/A 6818-2021 FSC-klagomål.docx", "A 6818-2021")</f>
        <v/>
      </c>
      <c r="W12">
        <f>HYPERLINK("https://klasma.github.io/Logging_0880/klagomålsmail/A 6818-2021 FSC-klagomål mail.docx", "A 6818-2021")</f>
        <v/>
      </c>
      <c r="X12">
        <f>HYPERLINK("https://klasma.github.io/Logging_0880/tillsyn/A 6818-2021 tillsynsbegäran.docx", "A 6818-2021")</f>
        <v/>
      </c>
      <c r="Y12">
        <f>HYPERLINK("https://klasma.github.io/Logging_0880/tillsynsmail/A 6818-2021 tillsynsbegäran mail.docx", "A 6818-2021")</f>
        <v/>
      </c>
      <c r="Z12">
        <f>HYPERLINK("https://klasma.github.io/Logging_0880/fåglar/A 6818-2021 prioriterade fågelarter.docx", "A 6818-2021")</f>
        <v/>
      </c>
    </row>
    <row r="13" ht="15" customHeight="1">
      <c r="A13" t="inlineStr">
        <is>
          <t>A 54601-2022</t>
        </is>
      </c>
      <c r="B13" s="1" t="n">
        <v>44883</v>
      </c>
      <c r="C13" s="1" t="n">
        <v>45884</v>
      </c>
      <c r="D13" t="inlineStr">
        <is>
          <t>KALMAR LÄN</t>
        </is>
      </c>
      <c r="E13" t="inlineStr">
        <is>
          <t>VÄSTERVIK</t>
        </is>
      </c>
      <c r="G13" t="n">
        <v>3.4</v>
      </c>
      <c r="H13" t="n">
        <v>5</v>
      </c>
      <c r="I13" t="n">
        <v>5</v>
      </c>
      <c r="J13" t="n">
        <v>9</v>
      </c>
      <c r="K13" t="n">
        <v>0</v>
      </c>
      <c r="L13" t="n">
        <v>1</v>
      </c>
      <c r="M13" t="n">
        <v>0</v>
      </c>
      <c r="N13" t="n">
        <v>0</v>
      </c>
      <c r="O13" t="n">
        <v>10</v>
      </c>
      <c r="P13" t="n">
        <v>1</v>
      </c>
      <c r="Q13" t="n">
        <v>17</v>
      </c>
      <c r="R13" s="2" t="inlineStr">
        <is>
          <t>Tallharticka
Havsörn
Kandelabersvamp
Koralltaggsvamp
Mindre hackspett
Orange taggsvamp
Spillkråka
Svart taggsvamp
Svävflugedagsvärmare
Ullticka
Dropptaggsvamp
Fjällig taggsvamp s.str.
Grönpyrola
Rävticka
Zontaggsvamp
Kungsfågel
Skogsödla</t>
        </is>
      </c>
      <c r="S13">
        <f>HYPERLINK("https://klasma.github.io/Logging_0883/artfynd/A 54601-2022 artfynd.xlsx", "A 54601-2022")</f>
        <v/>
      </c>
      <c r="T13">
        <f>HYPERLINK("https://klasma.github.io/Logging_0883/kartor/A 54601-2022 karta.png", "A 54601-2022")</f>
        <v/>
      </c>
      <c r="V13">
        <f>HYPERLINK("https://klasma.github.io/Logging_0883/klagomål/A 54601-2022 FSC-klagomål.docx", "A 54601-2022")</f>
        <v/>
      </c>
      <c r="W13">
        <f>HYPERLINK("https://klasma.github.io/Logging_0883/klagomålsmail/A 54601-2022 FSC-klagomål mail.docx", "A 54601-2022")</f>
        <v/>
      </c>
      <c r="X13">
        <f>HYPERLINK("https://klasma.github.io/Logging_0883/tillsyn/A 54601-2022 tillsynsbegäran.docx", "A 54601-2022")</f>
        <v/>
      </c>
      <c r="Y13">
        <f>HYPERLINK("https://klasma.github.io/Logging_0883/tillsynsmail/A 54601-2022 tillsynsbegäran mail.docx", "A 54601-2022")</f>
        <v/>
      </c>
      <c r="Z13">
        <f>HYPERLINK("https://klasma.github.io/Logging_0883/fåglar/A 54601-2022 prioriterade fågelarter.docx", "A 54601-2022")</f>
        <v/>
      </c>
    </row>
    <row r="14" ht="15" customHeight="1">
      <c r="A14" t="inlineStr">
        <is>
          <t>A 27865-2024</t>
        </is>
      </c>
      <c r="B14" s="1" t="n">
        <v>45475.67303240741</v>
      </c>
      <c r="C14" s="1" t="n">
        <v>45884</v>
      </c>
      <c r="D14" t="inlineStr">
        <is>
          <t>KALMAR LÄN</t>
        </is>
      </c>
      <c r="E14" t="inlineStr">
        <is>
          <t>MÖRBYLÅNGA</t>
        </is>
      </c>
      <c r="G14" t="n">
        <v>0.7</v>
      </c>
      <c r="H14" t="n">
        <v>5</v>
      </c>
      <c r="I14" t="n">
        <v>8</v>
      </c>
      <c r="J14" t="n">
        <v>6</v>
      </c>
      <c r="K14" t="n">
        <v>0</v>
      </c>
      <c r="L14" t="n">
        <v>0</v>
      </c>
      <c r="M14" t="n">
        <v>0</v>
      </c>
      <c r="N14" t="n">
        <v>0</v>
      </c>
      <c r="O14" t="n">
        <v>6</v>
      </c>
      <c r="P14" t="n">
        <v>0</v>
      </c>
      <c r="Q14" t="n">
        <v>16</v>
      </c>
      <c r="R14" s="2" t="inlineStr">
        <is>
          <t>Bergjohannesört
Bredarun
Klasefibbla
Solvända
Svart taggsvamp
Vippärt
Blå slemspindling
Diskvaxskivling
Fjällig taggsvamp s.str.
Murgröna
Nästrot
Skogsknipprot
Strävlosta
Underviol
Grönvit nattviol
Blåsippa</t>
        </is>
      </c>
      <c r="S14">
        <f>HYPERLINK("https://klasma.github.io/Logging_0840/artfynd/A 27865-2024 artfynd.xlsx", "A 27865-2024")</f>
        <v/>
      </c>
      <c r="T14">
        <f>HYPERLINK("https://klasma.github.io/Logging_0840/kartor/A 27865-2024 karta.png", "A 27865-2024")</f>
        <v/>
      </c>
      <c r="V14">
        <f>HYPERLINK("https://klasma.github.io/Logging_0840/klagomål/A 27865-2024 FSC-klagomål.docx", "A 27865-2024")</f>
        <v/>
      </c>
      <c r="W14">
        <f>HYPERLINK("https://klasma.github.io/Logging_0840/klagomålsmail/A 27865-2024 FSC-klagomål mail.docx", "A 27865-2024")</f>
        <v/>
      </c>
      <c r="X14">
        <f>HYPERLINK("https://klasma.github.io/Logging_0840/tillsyn/A 27865-2024 tillsynsbegäran.docx", "A 27865-2024")</f>
        <v/>
      </c>
      <c r="Y14">
        <f>HYPERLINK("https://klasma.github.io/Logging_0840/tillsynsmail/A 27865-2024 tillsynsbegäran mail.docx", "A 27865-2024")</f>
        <v/>
      </c>
    </row>
    <row r="15" ht="15" customHeight="1">
      <c r="A15" t="inlineStr">
        <is>
          <t>A 37889-2022</t>
        </is>
      </c>
      <c r="B15" s="1" t="n">
        <v>44811</v>
      </c>
      <c r="C15" s="1" t="n">
        <v>45884</v>
      </c>
      <c r="D15" t="inlineStr">
        <is>
          <t>KALMAR LÄN</t>
        </is>
      </c>
      <c r="E15" t="inlineStr">
        <is>
          <t>VIMMERBY</t>
        </is>
      </c>
      <c r="G15" t="n">
        <v>0.9</v>
      </c>
      <c r="H15" t="n">
        <v>4</v>
      </c>
      <c r="I15" t="n">
        <v>4</v>
      </c>
      <c r="J15" t="n">
        <v>10</v>
      </c>
      <c r="K15" t="n">
        <v>1</v>
      </c>
      <c r="L15" t="n">
        <v>0</v>
      </c>
      <c r="M15" t="n">
        <v>0</v>
      </c>
      <c r="N15" t="n">
        <v>0</v>
      </c>
      <c r="O15" t="n">
        <v>11</v>
      </c>
      <c r="P15" t="n">
        <v>1</v>
      </c>
      <c r="Q15" t="n">
        <v>16</v>
      </c>
      <c r="R15" s="2" t="inlineStr">
        <is>
          <t>Läderbagge
Blekticka
Dvärgbägarlav
Entita
Gammelekslav
Hjälmbrosklav
Mindre hackspett
Rosa skärelav
Skuggorangelav
Tallticka
Vedskivlav
Brun nållav
Gulpudrad spiklav
Kornig nållav
Mindre märgborre
Blåsippa</t>
        </is>
      </c>
      <c r="S15">
        <f>HYPERLINK("https://klasma.github.io/Logging_0884/artfynd/A 37889-2022 artfynd.xlsx", "A 37889-2022")</f>
        <v/>
      </c>
      <c r="T15">
        <f>HYPERLINK("https://klasma.github.io/Logging_0884/kartor/A 37889-2022 karta.png", "A 37889-2022")</f>
        <v/>
      </c>
      <c r="V15">
        <f>HYPERLINK("https://klasma.github.io/Logging_0884/klagomål/A 37889-2022 FSC-klagomål.docx", "A 37889-2022")</f>
        <v/>
      </c>
      <c r="W15">
        <f>HYPERLINK("https://klasma.github.io/Logging_0884/klagomålsmail/A 37889-2022 FSC-klagomål mail.docx", "A 37889-2022")</f>
        <v/>
      </c>
      <c r="X15">
        <f>HYPERLINK("https://klasma.github.io/Logging_0884/tillsyn/A 37889-2022 tillsynsbegäran.docx", "A 37889-2022")</f>
        <v/>
      </c>
      <c r="Y15">
        <f>HYPERLINK("https://klasma.github.io/Logging_0884/tillsynsmail/A 37889-2022 tillsynsbegäran mail.docx", "A 37889-2022")</f>
        <v/>
      </c>
      <c r="Z15">
        <f>HYPERLINK("https://klasma.github.io/Logging_0884/fåglar/A 37889-2022 prioriterade fågelarter.docx", "A 37889-2022")</f>
        <v/>
      </c>
    </row>
    <row r="16" ht="15" customHeight="1">
      <c r="A16" t="inlineStr">
        <is>
          <t>A 26160-2024</t>
        </is>
      </c>
      <c r="B16" s="1" t="n">
        <v>45468</v>
      </c>
      <c r="C16" s="1" t="n">
        <v>45884</v>
      </c>
      <c r="D16" t="inlineStr">
        <is>
          <t>KALMAR LÄN</t>
        </is>
      </c>
      <c r="E16" t="inlineStr">
        <is>
          <t>BORGHOLM</t>
        </is>
      </c>
      <c r="G16" t="n">
        <v>13.5</v>
      </c>
      <c r="H16" t="n">
        <v>10</v>
      </c>
      <c r="I16" t="n">
        <v>2</v>
      </c>
      <c r="J16" t="n">
        <v>7</v>
      </c>
      <c r="K16" t="n">
        <v>0</v>
      </c>
      <c r="L16" t="n">
        <v>0</v>
      </c>
      <c r="M16" t="n">
        <v>0</v>
      </c>
      <c r="N16" t="n">
        <v>0</v>
      </c>
      <c r="O16" t="n">
        <v>7</v>
      </c>
      <c r="P16" t="n">
        <v>0</v>
      </c>
      <c r="Q16" t="n">
        <v>16</v>
      </c>
      <c r="R16" s="2" t="inlineStr">
        <is>
          <t>Backklöver
Bredarun
Korskovall
Mindre ekbock
Solvända
Ängsskära
Ängsstarr
Flugblomster
Tvåblad
Kalkkrassing
Brudsporre
Fläcknycklar
Grönvit nattviol
Johannesnycklar
Ängsnycklar
Gullviva</t>
        </is>
      </c>
      <c r="S16">
        <f>HYPERLINK("https://klasma.github.io/Logging_0885/artfynd/A 26160-2024 artfynd.xlsx", "A 26160-2024")</f>
        <v/>
      </c>
      <c r="T16">
        <f>HYPERLINK("https://klasma.github.io/Logging_0885/kartor/A 26160-2024 karta.png", "A 26160-2024")</f>
        <v/>
      </c>
      <c r="V16">
        <f>HYPERLINK("https://klasma.github.io/Logging_0885/klagomål/A 26160-2024 FSC-klagomål.docx", "A 26160-2024")</f>
        <v/>
      </c>
      <c r="W16">
        <f>HYPERLINK("https://klasma.github.io/Logging_0885/klagomålsmail/A 26160-2024 FSC-klagomål mail.docx", "A 26160-2024")</f>
        <v/>
      </c>
      <c r="X16">
        <f>HYPERLINK("https://klasma.github.io/Logging_0885/tillsyn/A 26160-2024 tillsynsbegäran.docx", "A 26160-2024")</f>
        <v/>
      </c>
      <c r="Y16">
        <f>HYPERLINK("https://klasma.github.io/Logging_0885/tillsynsmail/A 26160-2024 tillsynsbegäran mail.docx", "A 26160-2024")</f>
        <v/>
      </c>
    </row>
    <row r="17" ht="15" customHeight="1">
      <c r="A17" t="inlineStr">
        <is>
          <t>A 30779-2023</t>
        </is>
      </c>
      <c r="B17" s="1" t="n">
        <v>45112</v>
      </c>
      <c r="C17" s="1" t="n">
        <v>45884</v>
      </c>
      <c r="D17" t="inlineStr">
        <is>
          <t>KALMAR LÄN</t>
        </is>
      </c>
      <c r="E17" t="inlineStr">
        <is>
          <t>VÄSTERVIK</t>
        </is>
      </c>
      <c r="G17" t="n">
        <v>14.5</v>
      </c>
      <c r="H17" t="n">
        <v>5</v>
      </c>
      <c r="I17" t="n">
        <v>3</v>
      </c>
      <c r="J17" t="n">
        <v>8</v>
      </c>
      <c r="K17" t="n">
        <v>3</v>
      </c>
      <c r="L17" t="n">
        <v>0</v>
      </c>
      <c r="M17" t="n">
        <v>0</v>
      </c>
      <c r="N17" t="n">
        <v>0</v>
      </c>
      <c r="O17" t="n">
        <v>11</v>
      </c>
      <c r="P17" t="n">
        <v>3</v>
      </c>
      <c r="Q17" t="n">
        <v>15</v>
      </c>
      <c r="R17" s="2" t="inlineStr">
        <is>
          <t>Apelticka
Knärot
Sandödla
Knölspindel
Koralltaggsvamp
Motaggsvamp
Orange taggsvamp
Spillkråka
Svartvit taggsvamp
Tallticka
Talltita
Grovticka
Grönpyrola
Tjockfotad fingersvamp
Kungsfågel</t>
        </is>
      </c>
      <c r="S17">
        <f>HYPERLINK("https://klasma.github.io/Logging_0883/artfynd/A 30779-2023 artfynd.xlsx", "A 30779-2023")</f>
        <v/>
      </c>
      <c r="T17">
        <f>HYPERLINK("https://klasma.github.io/Logging_0883/kartor/A 30779-2023 karta.png", "A 30779-2023")</f>
        <v/>
      </c>
      <c r="U17">
        <f>HYPERLINK("https://klasma.github.io/Logging_0883/knärot/A 30779-2023 karta knärot.png", "A 30779-2023")</f>
        <v/>
      </c>
      <c r="V17">
        <f>HYPERLINK("https://klasma.github.io/Logging_0883/klagomål/A 30779-2023 FSC-klagomål.docx", "A 30779-2023")</f>
        <v/>
      </c>
      <c r="W17">
        <f>HYPERLINK("https://klasma.github.io/Logging_0883/klagomålsmail/A 30779-2023 FSC-klagomål mail.docx", "A 30779-2023")</f>
        <v/>
      </c>
      <c r="X17">
        <f>HYPERLINK("https://klasma.github.io/Logging_0883/tillsyn/A 30779-2023 tillsynsbegäran.docx", "A 30779-2023")</f>
        <v/>
      </c>
      <c r="Y17">
        <f>HYPERLINK("https://klasma.github.io/Logging_0883/tillsynsmail/A 30779-2023 tillsynsbegäran mail.docx", "A 30779-2023")</f>
        <v/>
      </c>
      <c r="Z17">
        <f>HYPERLINK("https://klasma.github.io/Logging_0883/fåglar/A 30779-2023 prioriterade fågelarter.docx", "A 30779-2023")</f>
        <v/>
      </c>
    </row>
    <row r="18" ht="15" customHeight="1">
      <c r="A18" t="inlineStr">
        <is>
          <t>A 53293-2021</t>
        </is>
      </c>
      <c r="B18" s="1" t="n">
        <v>44468</v>
      </c>
      <c r="C18" s="1" t="n">
        <v>45884</v>
      </c>
      <c r="D18" t="inlineStr">
        <is>
          <t>KALMAR LÄN</t>
        </is>
      </c>
      <c r="E18" t="inlineStr">
        <is>
          <t>HULTSFRED</t>
        </is>
      </c>
      <c r="F18" t="inlineStr">
        <is>
          <t>Sveaskog</t>
        </is>
      </c>
      <c r="G18" t="n">
        <v>6</v>
      </c>
      <c r="H18" t="n">
        <v>4</v>
      </c>
      <c r="I18" t="n">
        <v>7</v>
      </c>
      <c r="J18" t="n">
        <v>3</v>
      </c>
      <c r="K18" t="n">
        <v>2</v>
      </c>
      <c r="L18" t="n">
        <v>0</v>
      </c>
      <c r="M18" t="n">
        <v>0</v>
      </c>
      <c r="N18" t="n">
        <v>0</v>
      </c>
      <c r="O18" t="n">
        <v>5</v>
      </c>
      <c r="P18" t="n">
        <v>2</v>
      </c>
      <c r="Q18" t="n">
        <v>13</v>
      </c>
      <c r="R18" s="2" t="inlineStr">
        <is>
          <t>Almlav
Brunskaftad blekspik
Entita
Talltita
Vedtrappmossa
Grön sköldmossa
Guldlockmossa
Gulnål
Jättesvampmal
Kornknutmossa
Stubbspretmossa
Traslav
Blåsippa</t>
        </is>
      </c>
      <c r="S18">
        <f>HYPERLINK("https://klasma.github.io/Logging_0860/artfynd/A 53293-2021 artfynd.xlsx", "A 53293-2021")</f>
        <v/>
      </c>
      <c r="T18">
        <f>HYPERLINK("https://klasma.github.io/Logging_0860/kartor/A 53293-2021 karta.png", "A 53293-2021")</f>
        <v/>
      </c>
      <c r="V18">
        <f>HYPERLINK("https://klasma.github.io/Logging_0860/klagomål/A 53293-2021 FSC-klagomål.docx", "A 53293-2021")</f>
        <v/>
      </c>
      <c r="W18">
        <f>HYPERLINK("https://klasma.github.io/Logging_0860/klagomålsmail/A 53293-2021 FSC-klagomål mail.docx", "A 53293-2021")</f>
        <v/>
      </c>
      <c r="X18">
        <f>HYPERLINK("https://klasma.github.io/Logging_0860/tillsyn/A 53293-2021 tillsynsbegäran.docx", "A 53293-2021")</f>
        <v/>
      </c>
      <c r="Y18">
        <f>HYPERLINK("https://klasma.github.io/Logging_0860/tillsynsmail/A 53293-2021 tillsynsbegäran mail.docx", "A 53293-2021")</f>
        <v/>
      </c>
      <c r="Z18">
        <f>HYPERLINK("https://klasma.github.io/Logging_0860/fåglar/A 53293-2021 prioriterade fågelarter.docx", "A 53293-2021")</f>
        <v/>
      </c>
    </row>
    <row r="19" ht="15" customHeight="1">
      <c r="A19" t="inlineStr">
        <is>
          <t>A 60440-2024</t>
        </is>
      </c>
      <c r="B19" s="1" t="n">
        <v>45643.59024305556</v>
      </c>
      <c r="C19" s="1" t="n">
        <v>45884</v>
      </c>
      <c r="D19" t="inlineStr">
        <is>
          <t>KALMAR LÄN</t>
        </is>
      </c>
      <c r="E19" t="inlineStr">
        <is>
          <t>VÄSTERVIK</t>
        </is>
      </c>
      <c r="G19" t="n">
        <v>35.5</v>
      </c>
      <c r="H19" t="n">
        <v>4</v>
      </c>
      <c r="I19" t="n">
        <v>5</v>
      </c>
      <c r="J19" t="n">
        <v>5</v>
      </c>
      <c r="K19" t="n">
        <v>1</v>
      </c>
      <c r="L19" t="n">
        <v>0</v>
      </c>
      <c r="M19" t="n">
        <v>0</v>
      </c>
      <c r="N19" t="n">
        <v>0</v>
      </c>
      <c r="O19" t="n">
        <v>6</v>
      </c>
      <c r="P19" t="n">
        <v>1</v>
      </c>
      <c r="Q19" t="n">
        <v>13</v>
      </c>
      <c r="R19" s="2" t="inlineStr">
        <is>
          <t>Knärot
Reliktbock
Sommarfibbla
Svinrot
Tallticka
Vintertagging
Blodticka
Blåmossa
Dropptaggsvamp
Grönpyrola
Korallrot
Kungsfågel
Trädlärka</t>
        </is>
      </c>
      <c r="S19">
        <f>HYPERLINK("https://klasma.github.io/Logging_0883/artfynd/A 60440-2024 artfynd.xlsx", "A 60440-2024")</f>
        <v/>
      </c>
      <c r="T19">
        <f>HYPERLINK("https://klasma.github.io/Logging_0883/kartor/A 60440-2024 karta.png", "A 60440-2024")</f>
        <v/>
      </c>
      <c r="U19">
        <f>HYPERLINK("https://klasma.github.io/Logging_0883/knärot/A 60440-2024 karta knärot.png", "A 60440-2024")</f>
        <v/>
      </c>
      <c r="V19">
        <f>HYPERLINK("https://klasma.github.io/Logging_0883/klagomål/A 60440-2024 FSC-klagomål.docx", "A 60440-2024")</f>
        <v/>
      </c>
      <c r="W19">
        <f>HYPERLINK("https://klasma.github.io/Logging_0883/klagomålsmail/A 60440-2024 FSC-klagomål mail.docx", "A 60440-2024")</f>
        <v/>
      </c>
      <c r="X19">
        <f>HYPERLINK("https://klasma.github.io/Logging_0883/tillsyn/A 60440-2024 tillsynsbegäran.docx", "A 60440-2024")</f>
        <v/>
      </c>
      <c r="Y19">
        <f>HYPERLINK("https://klasma.github.io/Logging_0883/tillsynsmail/A 60440-2024 tillsynsbegäran mail.docx", "A 60440-2024")</f>
        <v/>
      </c>
      <c r="Z19">
        <f>HYPERLINK("https://klasma.github.io/Logging_0883/fåglar/A 60440-2024 prioriterade fågelarter.docx", "A 60440-2024")</f>
        <v/>
      </c>
    </row>
    <row r="20" ht="15" customHeight="1">
      <c r="A20" t="inlineStr">
        <is>
          <t>A 1370-2024</t>
        </is>
      </c>
      <c r="B20" s="1" t="n">
        <v>45303</v>
      </c>
      <c r="C20" s="1" t="n">
        <v>45884</v>
      </c>
      <c r="D20" t="inlineStr">
        <is>
          <t>KALMAR LÄN</t>
        </is>
      </c>
      <c r="E20" t="inlineStr">
        <is>
          <t>VÄSTERVIK</t>
        </is>
      </c>
      <c r="G20" t="n">
        <v>8.300000000000001</v>
      </c>
      <c r="H20" t="n">
        <v>4</v>
      </c>
      <c r="I20" t="n">
        <v>5</v>
      </c>
      <c r="J20" t="n">
        <v>5</v>
      </c>
      <c r="K20" t="n">
        <v>2</v>
      </c>
      <c r="L20" t="n">
        <v>0</v>
      </c>
      <c r="M20" t="n">
        <v>0</v>
      </c>
      <c r="N20" t="n">
        <v>0</v>
      </c>
      <c r="O20" t="n">
        <v>7</v>
      </c>
      <c r="P20" t="n">
        <v>2</v>
      </c>
      <c r="Q20" t="n">
        <v>13</v>
      </c>
      <c r="R20" s="2" t="inlineStr">
        <is>
          <t>Knärot
Vågticka
Gropticka
Järpe
Tallticka
Talltita
Ullticka
Brandticka
Bronshjon
Grovticka
Grönpyrola
Vågbandad barkbock
Mattlummer</t>
        </is>
      </c>
      <c r="S20">
        <f>HYPERLINK("https://klasma.github.io/Logging_0883/artfynd/A 1370-2024 artfynd.xlsx", "A 1370-2024")</f>
        <v/>
      </c>
      <c r="T20">
        <f>HYPERLINK("https://klasma.github.io/Logging_0883/kartor/A 1370-2024 karta.png", "A 1370-2024")</f>
        <v/>
      </c>
      <c r="U20">
        <f>HYPERLINK("https://klasma.github.io/Logging_0883/knärot/A 1370-2024 karta knärot.png", "A 1370-2024")</f>
        <v/>
      </c>
      <c r="V20">
        <f>HYPERLINK("https://klasma.github.io/Logging_0883/klagomål/A 1370-2024 FSC-klagomål.docx", "A 1370-2024")</f>
        <v/>
      </c>
      <c r="W20">
        <f>HYPERLINK("https://klasma.github.io/Logging_0883/klagomålsmail/A 1370-2024 FSC-klagomål mail.docx", "A 1370-2024")</f>
        <v/>
      </c>
      <c r="X20">
        <f>HYPERLINK("https://klasma.github.io/Logging_0883/tillsyn/A 1370-2024 tillsynsbegäran.docx", "A 1370-2024")</f>
        <v/>
      </c>
      <c r="Y20">
        <f>HYPERLINK("https://klasma.github.io/Logging_0883/tillsynsmail/A 1370-2024 tillsynsbegäran mail.docx", "A 1370-2024")</f>
        <v/>
      </c>
      <c r="Z20">
        <f>HYPERLINK("https://klasma.github.io/Logging_0883/fåglar/A 1370-2024 prioriterade fågelarter.docx", "A 1370-2024")</f>
        <v/>
      </c>
    </row>
    <row r="21" ht="15" customHeight="1">
      <c r="A21" t="inlineStr">
        <is>
          <t>A 11444-2025</t>
        </is>
      </c>
      <c r="B21" s="1" t="n">
        <v>45726.63050925926</v>
      </c>
      <c r="C21" s="1" t="n">
        <v>45884</v>
      </c>
      <c r="D21" t="inlineStr">
        <is>
          <t>KALMAR LÄN</t>
        </is>
      </c>
      <c r="E21" t="inlineStr">
        <is>
          <t>VÄSTERVIK</t>
        </is>
      </c>
      <c r="G21" t="n">
        <v>8.800000000000001</v>
      </c>
      <c r="H21" t="n">
        <v>5</v>
      </c>
      <c r="I21" t="n">
        <v>4</v>
      </c>
      <c r="J21" t="n">
        <v>5</v>
      </c>
      <c r="K21" t="n">
        <v>1</v>
      </c>
      <c r="L21" t="n">
        <v>0</v>
      </c>
      <c r="M21" t="n">
        <v>0</v>
      </c>
      <c r="N21" t="n">
        <v>0</v>
      </c>
      <c r="O21" t="n">
        <v>6</v>
      </c>
      <c r="P21" t="n">
        <v>1</v>
      </c>
      <c r="Q21" t="n">
        <v>12</v>
      </c>
      <c r="R21" s="2" t="inlineStr">
        <is>
          <t>Knärot
Spillkråka
Svart taggsvamp
Tallticka
Talltita
Ullticka
Blåmossa
Dropptaggsvamp
Grovticka
Grönpyrola
Kungsfågel
Revlummer</t>
        </is>
      </c>
      <c r="S21">
        <f>HYPERLINK("https://klasma.github.io/Logging_0883/artfynd/A 11444-2025 artfynd.xlsx", "A 11444-2025")</f>
        <v/>
      </c>
      <c r="T21">
        <f>HYPERLINK("https://klasma.github.io/Logging_0883/kartor/A 11444-2025 karta.png", "A 11444-2025")</f>
        <v/>
      </c>
      <c r="U21">
        <f>HYPERLINK("https://klasma.github.io/Logging_0883/knärot/A 11444-2025 karta knärot.png", "A 11444-2025")</f>
        <v/>
      </c>
      <c r="V21">
        <f>HYPERLINK("https://klasma.github.io/Logging_0883/klagomål/A 11444-2025 FSC-klagomål.docx", "A 11444-2025")</f>
        <v/>
      </c>
      <c r="W21">
        <f>HYPERLINK("https://klasma.github.io/Logging_0883/klagomålsmail/A 11444-2025 FSC-klagomål mail.docx", "A 11444-2025")</f>
        <v/>
      </c>
      <c r="X21">
        <f>HYPERLINK("https://klasma.github.io/Logging_0883/tillsyn/A 11444-2025 tillsynsbegäran.docx", "A 11444-2025")</f>
        <v/>
      </c>
      <c r="Y21">
        <f>HYPERLINK("https://klasma.github.io/Logging_0883/tillsynsmail/A 11444-2025 tillsynsbegäran mail.docx", "A 11444-2025")</f>
        <v/>
      </c>
      <c r="Z21">
        <f>HYPERLINK("https://klasma.github.io/Logging_0883/fåglar/A 11444-2025 prioriterade fågelarter.docx", "A 11444-2025")</f>
        <v/>
      </c>
    </row>
    <row r="22" ht="15" customHeight="1">
      <c r="A22" t="inlineStr">
        <is>
          <t>A 7757-2021</t>
        </is>
      </c>
      <c r="B22" s="1" t="n">
        <v>44239</v>
      </c>
      <c r="C22" s="1" t="n">
        <v>45884</v>
      </c>
      <c r="D22" t="inlineStr">
        <is>
          <t>KALMAR LÄN</t>
        </is>
      </c>
      <c r="E22" t="inlineStr">
        <is>
          <t>VÄSTERVIK</t>
        </is>
      </c>
      <c r="G22" t="n">
        <v>11.9</v>
      </c>
      <c r="H22" t="n">
        <v>1</v>
      </c>
      <c r="I22" t="n">
        <v>6</v>
      </c>
      <c r="J22" t="n">
        <v>5</v>
      </c>
      <c r="K22" t="n">
        <v>1</v>
      </c>
      <c r="L22" t="n">
        <v>0</v>
      </c>
      <c r="M22" t="n">
        <v>0</v>
      </c>
      <c r="N22" t="n">
        <v>0</v>
      </c>
      <c r="O22" t="n">
        <v>6</v>
      </c>
      <c r="P22" t="n">
        <v>1</v>
      </c>
      <c r="Q22" t="n">
        <v>12</v>
      </c>
      <c r="R22" s="2" t="inlineStr">
        <is>
          <t>Knärot
Motaggsvamp
Orange taggsvamp
Råttspindling
Svart taggsvamp
Svartvit taggsvamp
Dropptaggsvamp
Fjällig taggsvamp s.str.
Grönpyrola
Rödgul trumpetsvamp
Tjockfotad fingersvamp
Zontaggsvamp</t>
        </is>
      </c>
      <c r="S22">
        <f>HYPERLINK("https://klasma.github.io/Logging_0883/artfynd/A 7757-2021 artfynd.xlsx", "A 7757-2021")</f>
        <v/>
      </c>
      <c r="T22">
        <f>HYPERLINK("https://klasma.github.io/Logging_0883/kartor/A 7757-2021 karta.png", "A 7757-2021")</f>
        <v/>
      </c>
      <c r="U22">
        <f>HYPERLINK("https://klasma.github.io/Logging_0883/knärot/A 7757-2021 karta knärot.png", "A 7757-2021")</f>
        <v/>
      </c>
      <c r="V22">
        <f>HYPERLINK("https://klasma.github.io/Logging_0883/klagomål/A 7757-2021 FSC-klagomål.docx", "A 7757-2021")</f>
        <v/>
      </c>
      <c r="W22">
        <f>HYPERLINK("https://klasma.github.io/Logging_0883/klagomålsmail/A 7757-2021 FSC-klagomål mail.docx", "A 7757-2021")</f>
        <v/>
      </c>
      <c r="X22">
        <f>HYPERLINK("https://klasma.github.io/Logging_0883/tillsyn/A 7757-2021 tillsynsbegäran.docx", "A 7757-2021")</f>
        <v/>
      </c>
      <c r="Y22">
        <f>HYPERLINK("https://klasma.github.io/Logging_0883/tillsynsmail/A 7757-2021 tillsynsbegäran mail.docx", "A 7757-2021")</f>
        <v/>
      </c>
    </row>
    <row r="23" ht="15" customHeight="1">
      <c r="A23" t="inlineStr">
        <is>
          <t>A 23370-2021</t>
        </is>
      </c>
      <c r="B23" s="1" t="n">
        <v>44336</v>
      </c>
      <c r="C23" s="1" t="n">
        <v>45884</v>
      </c>
      <c r="D23" t="inlineStr">
        <is>
          <t>KALMAR LÄN</t>
        </is>
      </c>
      <c r="E23" t="inlineStr">
        <is>
          <t>BORGHOLM</t>
        </is>
      </c>
      <c r="G23" t="n">
        <v>2.7</v>
      </c>
      <c r="H23" t="n">
        <v>5</v>
      </c>
      <c r="I23" t="n">
        <v>1</v>
      </c>
      <c r="J23" t="n">
        <v>7</v>
      </c>
      <c r="K23" t="n">
        <v>1</v>
      </c>
      <c r="L23" t="n">
        <v>0</v>
      </c>
      <c r="M23" t="n">
        <v>0</v>
      </c>
      <c r="N23" t="n">
        <v>0</v>
      </c>
      <c r="O23" t="n">
        <v>8</v>
      </c>
      <c r="P23" t="n">
        <v>1</v>
      </c>
      <c r="Q23" t="n">
        <v>12</v>
      </c>
      <c r="R23" s="2" t="inlineStr">
        <is>
          <t>Rapssandbi
Bredarun
Hedsidenbi
Hydrophilus aterrimus
Kilbi
Klibbveronika
Vittåtel
Ängsmetallvinge
Skogsknipprot
Dactylorhiza incarnata subsp. incarnata
Grönvit nattviol
Kärrknipprot</t>
        </is>
      </c>
      <c r="S23">
        <f>HYPERLINK("https://klasma.github.io/Logging_0885/artfynd/A 23370-2021 artfynd.xlsx", "A 23370-2021")</f>
        <v/>
      </c>
      <c r="T23">
        <f>HYPERLINK("https://klasma.github.io/Logging_0885/kartor/A 23370-2021 karta.png", "A 23370-2021")</f>
        <v/>
      </c>
      <c r="V23">
        <f>HYPERLINK("https://klasma.github.io/Logging_0885/klagomål/A 23370-2021 FSC-klagomål.docx", "A 23370-2021")</f>
        <v/>
      </c>
      <c r="W23">
        <f>HYPERLINK("https://klasma.github.io/Logging_0885/klagomålsmail/A 23370-2021 FSC-klagomål mail.docx", "A 23370-2021")</f>
        <v/>
      </c>
      <c r="X23">
        <f>HYPERLINK("https://klasma.github.io/Logging_0885/tillsyn/A 23370-2021 tillsynsbegäran.docx", "A 23370-2021")</f>
        <v/>
      </c>
      <c r="Y23">
        <f>HYPERLINK("https://klasma.github.io/Logging_0885/tillsynsmail/A 23370-2021 tillsynsbegäran mail.docx", "A 23370-2021")</f>
        <v/>
      </c>
    </row>
    <row r="24" ht="15" customHeight="1">
      <c r="A24" t="inlineStr">
        <is>
          <t>A 37023-2021</t>
        </is>
      </c>
      <c r="B24" s="1" t="n">
        <v>44393</v>
      </c>
      <c r="C24" s="1" t="n">
        <v>45884</v>
      </c>
      <c r="D24" t="inlineStr">
        <is>
          <t>KALMAR LÄN</t>
        </is>
      </c>
      <c r="E24" t="inlineStr">
        <is>
          <t>VÄSTERVIK</t>
        </is>
      </c>
      <c r="G24" t="n">
        <v>5.6</v>
      </c>
      <c r="H24" t="n">
        <v>3</v>
      </c>
      <c r="I24" t="n">
        <v>5</v>
      </c>
      <c r="J24" t="n">
        <v>5</v>
      </c>
      <c r="K24" t="n">
        <v>1</v>
      </c>
      <c r="L24" t="n">
        <v>0</v>
      </c>
      <c r="M24" t="n">
        <v>0</v>
      </c>
      <c r="N24" t="n">
        <v>0</v>
      </c>
      <c r="O24" t="n">
        <v>6</v>
      </c>
      <c r="P24" t="n">
        <v>1</v>
      </c>
      <c r="Q24" t="n">
        <v>12</v>
      </c>
      <c r="R24" s="2" t="inlineStr">
        <is>
          <t>Knärot
Bredbrämad bastardsvärmare
Motaggsvamp
Smalsprötad bastardsvärmare
Såpfingersvamp
Tallticka
Blomkålssvamp
Fjällig taggsvamp s.str.
Grönpyrola
Skogsknipprot
Tjockfotad fingersvamp
Mattlummer</t>
        </is>
      </c>
      <c r="S24">
        <f>HYPERLINK("https://klasma.github.io/Logging_0883/artfynd/A 37023-2021 artfynd.xlsx", "A 37023-2021")</f>
        <v/>
      </c>
      <c r="T24">
        <f>HYPERLINK("https://klasma.github.io/Logging_0883/kartor/A 37023-2021 karta.png", "A 37023-2021")</f>
        <v/>
      </c>
      <c r="U24">
        <f>HYPERLINK("https://klasma.github.io/Logging_0883/knärot/A 37023-2021 karta knärot.png", "A 37023-2021")</f>
        <v/>
      </c>
      <c r="V24">
        <f>HYPERLINK("https://klasma.github.io/Logging_0883/klagomål/A 37023-2021 FSC-klagomål.docx", "A 37023-2021")</f>
        <v/>
      </c>
      <c r="W24">
        <f>HYPERLINK("https://klasma.github.io/Logging_0883/klagomålsmail/A 37023-2021 FSC-klagomål mail.docx", "A 37023-2021")</f>
        <v/>
      </c>
      <c r="X24">
        <f>HYPERLINK("https://klasma.github.io/Logging_0883/tillsyn/A 37023-2021 tillsynsbegäran.docx", "A 37023-2021")</f>
        <v/>
      </c>
      <c r="Y24">
        <f>HYPERLINK("https://klasma.github.io/Logging_0883/tillsynsmail/A 37023-2021 tillsynsbegäran mail.docx", "A 37023-2021")</f>
        <v/>
      </c>
    </row>
    <row r="25" ht="15" customHeight="1">
      <c r="A25" t="inlineStr">
        <is>
          <t>A 20809-2024</t>
        </is>
      </c>
      <c r="B25" s="1" t="n">
        <v>45439</v>
      </c>
      <c r="C25" s="1" t="n">
        <v>45884</v>
      </c>
      <c r="D25" t="inlineStr">
        <is>
          <t>KALMAR LÄN</t>
        </is>
      </c>
      <c r="E25" t="inlineStr">
        <is>
          <t>OSKARSHAMN</t>
        </is>
      </c>
      <c r="F25" t="inlineStr">
        <is>
          <t>Kyrkan</t>
        </is>
      </c>
      <c r="G25" t="n">
        <v>10.4</v>
      </c>
      <c r="H25" t="n">
        <v>6</v>
      </c>
      <c r="I25" t="n">
        <v>2</v>
      </c>
      <c r="J25" t="n">
        <v>6</v>
      </c>
      <c r="K25" t="n">
        <v>1</v>
      </c>
      <c r="L25" t="n">
        <v>0</v>
      </c>
      <c r="M25" t="n">
        <v>0</v>
      </c>
      <c r="N25" t="n">
        <v>0</v>
      </c>
      <c r="O25" t="n">
        <v>7</v>
      </c>
      <c r="P25" t="n">
        <v>1</v>
      </c>
      <c r="Q25" t="n">
        <v>12</v>
      </c>
      <c r="R25" s="2" t="inlineStr">
        <is>
          <t>Knärot
Gropticka
Knölspindel
Spillkråka
Tallticka
Talltita
Vedskivlav
Blåmossa
Grovticka
Gröngöling
Tjäder
Revlummer</t>
        </is>
      </c>
      <c r="S25">
        <f>HYPERLINK("https://klasma.github.io/Logging_0882/artfynd/A 20809-2024 artfynd.xlsx", "A 20809-2024")</f>
        <v/>
      </c>
      <c r="T25">
        <f>HYPERLINK("https://klasma.github.io/Logging_0882/kartor/A 20809-2024 karta.png", "A 20809-2024")</f>
        <v/>
      </c>
      <c r="U25">
        <f>HYPERLINK("https://klasma.github.io/Logging_0882/knärot/A 20809-2024 karta knärot.png", "A 20809-2024")</f>
        <v/>
      </c>
      <c r="V25">
        <f>HYPERLINK("https://klasma.github.io/Logging_0882/klagomål/A 20809-2024 FSC-klagomål.docx", "A 20809-2024")</f>
        <v/>
      </c>
      <c r="W25">
        <f>HYPERLINK("https://klasma.github.io/Logging_0882/klagomålsmail/A 20809-2024 FSC-klagomål mail.docx", "A 20809-2024")</f>
        <v/>
      </c>
      <c r="X25">
        <f>HYPERLINK("https://klasma.github.io/Logging_0882/tillsyn/A 20809-2024 tillsynsbegäran.docx", "A 20809-2024")</f>
        <v/>
      </c>
      <c r="Y25">
        <f>HYPERLINK("https://klasma.github.io/Logging_0882/tillsynsmail/A 20809-2024 tillsynsbegäran mail.docx", "A 20809-2024")</f>
        <v/>
      </c>
      <c r="Z25">
        <f>HYPERLINK("https://klasma.github.io/Logging_0882/fåglar/A 20809-2024 prioriterade fågelarter.docx", "A 20809-2024")</f>
        <v/>
      </c>
    </row>
    <row r="26" ht="15" customHeight="1">
      <c r="A26" t="inlineStr">
        <is>
          <t>A 8576-2021</t>
        </is>
      </c>
      <c r="B26" s="1" t="n">
        <v>44245</v>
      </c>
      <c r="C26" s="1" t="n">
        <v>45884</v>
      </c>
      <c r="D26" t="inlineStr">
        <is>
          <t>KALMAR LÄN</t>
        </is>
      </c>
      <c r="E26" t="inlineStr">
        <is>
          <t>KALMAR</t>
        </is>
      </c>
      <c r="G26" t="n">
        <v>13.7</v>
      </c>
      <c r="H26" t="n">
        <v>2</v>
      </c>
      <c r="I26" t="n">
        <v>5</v>
      </c>
      <c r="J26" t="n">
        <v>5</v>
      </c>
      <c r="K26" t="n">
        <v>1</v>
      </c>
      <c r="L26" t="n">
        <v>1</v>
      </c>
      <c r="M26" t="n">
        <v>0</v>
      </c>
      <c r="N26" t="n">
        <v>0</v>
      </c>
      <c r="O26" t="n">
        <v>7</v>
      </c>
      <c r="P26" t="n">
        <v>2</v>
      </c>
      <c r="Q26" t="n">
        <v>12</v>
      </c>
      <c r="R26" s="2" t="inlineStr">
        <is>
          <t>Tallharticka
Knärot
Motaggsvamp
Spillkråka
Tallticka
Ullticka
Vedtrappmossa
Blomkålssvamp
Brandticka
Dropptaggsvamp
Grovticka
Grönpyrola</t>
        </is>
      </c>
      <c r="S26">
        <f>HYPERLINK("https://klasma.github.io/Logging_0880/artfynd/A 8576-2021 artfynd.xlsx", "A 8576-2021")</f>
        <v/>
      </c>
      <c r="T26">
        <f>HYPERLINK("https://klasma.github.io/Logging_0880/kartor/A 8576-2021 karta.png", "A 8576-2021")</f>
        <v/>
      </c>
      <c r="U26">
        <f>HYPERLINK("https://klasma.github.io/Logging_0880/knärot/A 8576-2021 karta knärot.png", "A 8576-2021")</f>
        <v/>
      </c>
      <c r="V26">
        <f>HYPERLINK("https://klasma.github.io/Logging_0880/klagomål/A 8576-2021 FSC-klagomål.docx", "A 8576-2021")</f>
        <v/>
      </c>
      <c r="W26">
        <f>HYPERLINK("https://klasma.github.io/Logging_0880/klagomålsmail/A 8576-2021 FSC-klagomål mail.docx", "A 8576-2021")</f>
        <v/>
      </c>
      <c r="X26">
        <f>HYPERLINK("https://klasma.github.io/Logging_0880/tillsyn/A 8576-2021 tillsynsbegäran.docx", "A 8576-2021")</f>
        <v/>
      </c>
      <c r="Y26">
        <f>HYPERLINK("https://klasma.github.io/Logging_0880/tillsynsmail/A 8576-2021 tillsynsbegäran mail.docx", "A 8576-2021")</f>
        <v/>
      </c>
      <c r="Z26">
        <f>HYPERLINK("https://klasma.github.io/Logging_0880/fåglar/A 8576-2021 prioriterade fågelarter.docx", "A 8576-2021")</f>
        <v/>
      </c>
    </row>
    <row r="27" ht="15" customHeight="1">
      <c r="A27" t="inlineStr">
        <is>
          <t>A 44969-2021</t>
        </is>
      </c>
      <c r="B27" s="1" t="n">
        <v>44438</v>
      </c>
      <c r="C27" s="1" t="n">
        <v>45884</v>
      </c>
      <c r="D27" t="inlineStr">
        <is>
          <t>KALMAR LÄN</t>
        </is>
      </c>
      <c r="E27" t="inlineStr">
        <is>
          <t>HÖGSBY</t>
        </is>
      </c>
      <c r="G27" t="n">
        <v>3.1</v>
      </c>
      <c r="H27" t="n">
        <v>1</v>
      </c>
      <c r="I27" t="n">
        <v>6</v>
      </c>
      <c r="J27" t="n">
        <v>0</v>
      </c>
      <c r="K27" t="n">
        <v>4</v>
      </c>
      <c r="L27" t="n">
        <v>0</v>
      </c>
      <c r="M27" t="n">
        <v>0</v>
      </c>
      <c r="N27" t="n">
        <v>0</v>
      </c>
      <c r="O27" t="n">
        <v>4</v>
      </c>
      <c r="P27" t="n">
        <v>4</v>
      </c>
      <c r="Q27" t="n">
        <v>11</v>
      </c>
      <c r="R27" s="2" t="inlineStr">
        <is>
          <t>Grangråticka
Porslinsblå spindling
Slåttergubbe
Slåttergubbemal
Bronshjon
Fjällig taggsvamp s.str.
Kryddspindling
Skarp dropptaggsvamp
Thomsons trägnagare
Tjockfotad fingersvamp
Blåsippa</t>
        </is>
      </c>
      <c r="S27">
        <f>HYPERLINK("https://klasma.github.io/Logging_0821/artfynd/A 44969-2021 artfynd.xlsx", "A 44969-2021")</f>
        <v/>
      </c>
      <c r="T27">
        <f>HYPERLINK("https://klasma.github.io/Logging_0821/kartor/A 44969-2021 karta.png", "A 44969-2021")</f>
        <v/>
      </c>
      <c r="V27">
        <f>HYPERLINK("https://klasma.github.io/Logging_0821/klagomål/A 44969-2021 FSC-klagomål.docx", "A 44969-2021")</f>
        <v/>
      </c>
      <c r="W27">
        <f>HYPERLINK("https://klasma.github.io/Logging_0821/klagomålsmail/A 44969-2021 FSC-klagomål mail.docx", "A 44969-2021")</f>
        <v/>
      </c>
      <c r="X27">
        <f>HYPERLINK("https://klasma.github.io/Logging_0821/tillsyn/A 44969-2021 tillsynsbegäran.docx", "A 44969-2021")</f>
        <v/>
      </c>
      <c r="Y27">
        <f>HYPERLINK("https://klasma.github.io/Logging_0821/tillsynsmail/A 44969-2021 tillsynsbegäran mail.docx", "A 44969-2021")</f>
        <v/>
      </c>
    </row>
    <row r="28" ht="15" customHeight="1">
      <c r="A28" t="inlineStr">
        <is>
          <t>A 66612-2020</t>
        </is>
      </c>
      <c r="B28" s="1" t="n">
        <v>44175</v>
      </c>
      <c r="C28" s="1" t="n">
        <v>45884</v>
      </c>
      <c r="D28" t="inlineStr">
        <is>
          <t>KALMAR LÄN</t>
        </is>
      </c>
      <c r="E28" t="inlineStr">
        <is>
          <t>HULTSFRED</t>
        </is>
      </c>
      <c r="G28" t="n">
        <v>14</v>
      </c>
      <c r="H28" t="n">
        <v>4</v>
      </c>
      <c r="I28" t="n">
        <v>5</v>
      </c>
      <c r="J28" t="n">
        <v>4</v>
      </c>
      <c r="K28" t="n">
        <v>1</v>
      </c>
      <c r="L28" t="n">
        <v>0</v>
      </c>
      <c r="M28" t="n">
        <v>0</v>
      </c>
      <c r="N28" t="n">
        <v>0</v>
      </c>
      <c r="O28" t="n">
        <v>5</v>
      </c>
      <c r="P28" t="n">
        <v>1</v>
      </c>
      <c r="Q28" t="n">
        <v>11</v>
      </c>
      <c r="R28" s="2" t="inlineStr">
        <is>
          <t>Knärot
Spillkråka
Tallticka
Talltita
Vedtrappmossa
Blåmossa
Dropptaggsvamp
Grönpyrola
Guldlockmossa
Tibast
Blåsippa</t>
        </is>
      </c>
      <c r="S28">
        <f>HYPERLINK("https://klasma.github.io/Logging_0860/artfynd/A 66612-2020 artfynd.xlsx", "A 66612-2020")</f>
        <v/>
      </c>
      <c r="T28">
        <f>HYPERLINK("https://klasma.github.io/Logging_0860/kartor/A 66612-2020 karta.png", "A 66612-2020")</f>
        <v/>
      </c>
      <c r="U28">
        <f>HYPERLINK("https://klasma.github.io/Logging_0860/knärot/A 66612-2020 karta knärot.png", "A 66612-2020")</f>
        <v/>
      </c>
      <c r="V28">
        <f>HYPERLINK("https://klasma.github.io/Logging_0860/klagomål/A 66612-2020 FSC-klagomål.docx", "A 66612-2020")</f>
        <v/>
      </c>
      <c r="W28">
        <f>HYPERLINK("https://klasma.github.io/Logging_0860/klagomålsmail/A 66612-2020 FSC-klagomål mail.docx", "A 66612-2020")</f>
        <v/>
      </c>
      <c r="X28">
        <f>HYPERLINK("https://klasma.github.io/Logging_0860/tillsyn/A 66612-2020 tillsynsbegäran.docx", "A 66612-2020")</f>
        <v/>
      </c>
      <c r="Y28">
        <f>HYPERLINK("https://klasma.github.io/Logging_0860/tillsynsmail/A 66612-2020 tillsynsbegäran mail.docx", "A 66612-2020")</f>
        <v/>
      </c>
      <c r="Z28">
        <f>HYPERLINK("https://klasma.github.io/Logging_0860/fåglar/A 66612-2020 prioriterade fågelarter.docx", "A 66612-2020")</f>
        <v/>
      </c>
    </row>
    <row r="29" ht="15" customHeight="1">
      <c r="A29" t="inlineStr">
        <is>
          <t>A 37906-2022</t>
        </is>
      </c>
      <c r="B29" s="1" t="n">
        <v>44811</v>
      </c>
      <c r="C29" s="1" t="n">
        <v>45884</v>
      </c>
      <c r="D29" t="inlineStr">
        <is>
          <t>KALMAR LÄN</t>
        </is>
      </c>
      <c r="E29" t="inlineStr">
        <is>
          <t>VIMMERBY</t>
        </is>
      </c>
      <c r="G29" t="n">
        <v>3.5</v>
      </c>
      <c r="H29" t="n">
        <v>2</v>
      </c>
      <c r="I29" t="n">
        <v>4</v>
      </c>
      <c r="J29" t="n">
        <v>5</v>
      </c>
      <c r="K29" t="n">
        <v>2</v>
      </c>
      <c r="L29" t="n">
        <v>0</v>
      </c>
      <c r="M29" t="n">
        <v>0</v>
      </c>
      <c r="N29" t="n">
        <v>0</v>
      </c>
      <c r="O29" t="n">
        <v>7</v>
      </c>
      <c r="P29" t="n">
        <v>2</v>
      </c>
      <c r="Q29" t="n">
        <v>11</v>
      </c>
      <c r="R29" s="2" t="inlineStr">
        <is>
          <t>Knärot
Rynkskinn
Dvärgbägarlav
Grön aspvedbock
Spillkråka
Ullticka
Vedskivlav
Barkticka
Dropptaggsvamp
Fällmossa
Granbarkgnagare</t>
        </is>
      </c>
      <c r="S29">
        <f>HYPERLINK("https://klasma.github.io/Logging_0884/artfynd/A 37906-2022 artfynd.xlsx", "A 37906-2022")</f>
        <v/>
      </c>
      <c r="T29">
        <f>HYPERLINK("https://klasma.github.io/Logging_0884/kartor/A 37906-2022 karta.png", "A 37906-2022")</f>
        <v/>
      </c>
      <c r="U29">
        <f>HYPERLINK("https://klasma.github.io/Logging_0884/knärot/A 37906-2022 karta knärot.png", "A 37906-2022")</f>
        <v/>
      </c>
      <c r="V29">
        <f>HYPERLINK("https://klasma.github.io/Logging_0884/klagomål/A 37906-2022 FSC-klagomål.docx", "A 37906-2022")</f>
        <v/>
      </c>
      <c r="W29">
        <f>HYPERLINK("https://klasma.github.io/Logging_0884/klagomålsmail/A 37906-2022 FSC-klagomål mail.docx", "A 37906-2022")</f>
        <v/>
      </c>
      <c r="X29">
        <f>HYPERLINK("https://klasma.github.io/Logging_0884/tillsyn/A 37906-2022 tillsynsbegäran.docx", "A 37906-2022")</f>
        <v/>
      </c>
      <c r="Y29">
        <f>HYPERLINK("https://klasma.github.io/Logging_0884/tillsynsmail/A 37906-2022 tillsynsbegäran mail.docx", "A 37906-2022")</f>
        <v/>
      </c>
      <c r="Z29">
        <f>HYPERLINK("https://klasma.github.io/Logging_0884/fåglar/A 37906-2022 prioriterade fågelarter.docx", "A 37906-2022")</f>
        <v/>
      </c>
    </row>
    <row r="30" ht="15" customHeight="1">
      <c r="A30" t="inlineStr">
        <is>
          <t>A 33061-2022</t>
        </is>
      </c>
      <c r="B30" s="1" t="n">
        <v>44785</v>
      </c>
      <c r="C30" s="1" t="n">
        <v>45884</v>
      </c>
      <c r="D30" t="inlineStr">
        <is>
          <t>KALMAR LÄN</t>
        </is>
      </c>
      <c r="E30" t="inlineStr">
        <is>
          <t>KALMAR</t>
        </is>
      </c>
      <c r="G30" t="n">
        <v>4.3</v>
      </c>
      <c r="H30" t="n">
        <v>1</v>
      </c>
      <c r="I30" t="n">
        <v>6</v>
      </c>
      <c r="J30" t="n">
        <v>4</v>
      </c>
      <c r="K30" t="n">
        <v>1</v>
      </c>
      <c r="L30" t="n">
        <v>0</v>
      </c>
      <c r="M30" t="n">
        <v>0</v>
      </c>
      <c r="N30" t="n">
        <v>0</v>
      </c>
      <c r="O30" t="n">
        <v>5</v>
      </c>
      <c r="P30" t="n">
        <v>1</v>
      </c>
      <c r="Q30" t="n">
        <v>11</v>
      </c>
      <c r="R30" s="2" t="inlineStr">
        <is>
          <t>Knärot
Gropticka
Tallticka
Ullticka
Vedtrappmossa
Blåmossa
Dropptaggsvamp
Grönpyrola
Gulnål
Kornknutmossa
Vedticka</t>
        </is>
      </c>
      <c r="S30">
        <f>HYPERLINK("https://klasma.github.io/Logging_0880/artfynd/A 33061-2022 artfynd.xlsx", "A 33061-2022")</f>
        <v/>
      </c>
      <c r="T30">
        <f>HYPERLINK("https://klasma.github.io/Logging_0880/kartor/A 33061-2022 karta.png", "A 33061-2022")</f>
        <v/>
      </c>
      <c r="U30">
        <f>HYPERLINK("https://klasma.github.io/Logging_0880/knärot/A 33061-2022 karta knärot.png", "A 33061-2022")</f>
        <v/>
      </c>
      <c r="V30">
        <f>HYPERLINK("https://klasma.github.io/Logging_0880/klagomål/A 33061-2022 FSC-klagomål.docx", "A 33061-2022")</f>
        <v/>
      </c>
      <c r="W30">
        <f>HYPERLINK("https://klasma.github.io/Logging_0880/klagomålsmail/A 33061-2022 FSC-klagomål mail.docx", "A 33061-2022")</f>
        <v/>
      </c>
      <c r="X30">
        <f>HYPERLINK("https://klasma.github.io/Logging_0880/tillsyn/A 33061-2022 tillsynsbegäran.docx", "A 33061-2022")</f>
        <v/>
      </c>
      <c r="Y30">
        <f>HYPERLINK("https://klasma.github.io/Logging_0880/tillsynsmail/A 33061-2022 tillsynsbegäran mail.docx", "A 33061-2022")</f>
        <v/>
      </c>
    </row>
    <row r="31" ht="15" customHeight="1">
      <c r="A31" t="inlineStr">
        <is>
          <t>A 33351-2024</t>
        </is>
      </c>
      <c r="B31" s="1" t="n">
        <v>45519</v>
      </c>
      <c r="C31" s="1" t="n">
        <v>45884</v>
      </c>
      <c r="D31" t="inlineStr">
        <is>
          <t>KALMAR LÄN</t>
        </is>
      </c>
      <c r="E31" t="inlineStr">
        <is>
          <t>OSKARSHAMN</t>
        </is>
      </c>
      <c r="G31" t="n">
        <v>10.1</v>
      </c>
      <c r="H31" t="n">
        <v>3</v>
      </c>
      <c r="I31" t="n">
        <v>2</v>
      </c>
      <c r="J31" t="n">
        <v>8</v>
      </c>
      <c r="K31" t="n">
        <v>0</v>
      </c>
      <c r="L31" t="n">
        <v>0</v>
      </c>
      <c r="M31" t="n">
        <v>0</v>
      </c>
      <c r="N31" t="n">
        <v>0</v>
      </c>
      <c r="O31" t="n">
        <v>8</v>
      </c>
      <c r="P31" t="n">
        <v>0</v>
      </c>
      <c r="Q31" t="n">
        <v>11</v>
      </c>
      <c r="R31" s="2" t="inlineStr">
        <is>
          <t>Orange taggsvamp
Reliktbock
Spillkråka
Svart taggsvamp
Svartvit taggsvamp
Tallticka
Talltita
Vedskivlav
Blåmossa
Dropptaggsvamp
Skogsödla</t>
        </is>
      </c>
      <c r="S31">
        <f>HYPERLINK("https://klasma.github.io/Logging_0882/artfynd/A 33351-2024 artfynd.xlsx", "A 33351-2024")</f>
        <v/>
      </c>
      <c r="T31">
        <f>HYPERLINK("https://klasma.github.io/Logging_0882/kartor/A 33351-2024 karta.png", "A 33351-2024")</f>
        <v/>
      </c>
      <c r="V31">
        <f>HYPERLINK("https://klasma.github.io/Logging_0882/klagomål/A 33351-2024 FSC-klagomål.docx", "A 33351-2024")</f>
        <v/>
      </c>
      <c r="W31">
        <f>HYPERLINK("https://klasma.github.io/Logging_0882/klagomålsmail/A 33351-2024 FSC-klagomål mail.docx", "A 33351-2024")</f>
        <v/>
      </c>
      <c r="X31">
        <f>HYPERLINK("https://klasma.github.io/Logging_0882/tillsyn/A 33351-2024 tillsynsbegäran.docx", "A 33351-2024")</f>
        <v/>
      </c>
      <c r="Y31">
        <f>HYPERLINK("https://klasma.github.io/Logging_0882/tillsynsmail/A 33351-2024 tillsynsbegäran mail.docx", "A 33351-2024")</f>
        <v/>
      </c>
      <c r="Z31">
        <f>HYPERLINK("https://klasma.github.io/Logging_0882/fåglar/A 33351-2024 prioriterade fågelarter.docx", "A 33351-2024")</f>
        <v/>
      </c>
    </row>
    <row r="32" ht="15" customHeight="1">
      <c r="A32" t="inlineStr">
        <is>
          <t>A 27374-2024</t>
        </is>
      </c>
      <c r="B32" s="1" t="n">
        <v>45473</v>
      </c>
      <c r="C32" s="1" t="n">
        <v>45884</v>
      </c>
      <c r="D32" t="inlineStr">
        <is>
          <t>KALMAR LÄN</t>
        </is>
      </c>
      <c r="E32" t="inlineStr">
        <is>
          <t>VÄSTERVIK</t>
        </is>
      </c>
      <c r="G32" t="n">
        <v>4</v>
      </c>
      <c r="H32" t="n">
        <v>3</v>
      </c>
      <c r="I32" t="n">
        <v>5</v>
      </c>
      <c r="J32" t="n">
        <v>3</v>
      </c>
      <c r="K32" t="n">
        <v>2</v>
      </c>
      <c r="L32" t="n">
        <v>0</v>
      </c>
      <c r="M32" t="n">
        <v>0</v>
      </c>
      <c r="N32" t="n">
        <v>0</v>
      </c>
      <c r="O32" t="n">
        <v>5</v>
      </c>
      <c r="P32" t="n">
        <v>2</v>
      </c>
      <c r="Q32" t="n">
        <v>10</v>
      </c>
      <c r="R32" s="2" t="inlineStr">
        <is>
          <t>Knärot
Rotfingersvamp
Spillkråka
Svart taggsvamp
Talltita
Blåmossa
Dropptaggsvamp
Grovticka
Grönpyrola
Zontaggsvamp</t>
        </is>
      </c>
      <c r="S32">
        <f>HYPERLINK("https://klasma.github.io/Logging_0883/artfynd/A 27374-2024 artfynd.xlsx", "A 27374-2024")</f>
        <v/>
      </c>
      <c r="T32">
        <f>HYPERLINK("https://klasma.github.io/Logging_0883/kartor/A 27374-2024 karta.png", "A 27374-2024")</f>
        <v/>
      </c>
      <c r="U32">
        <f>HYPERLINK("https://klasma.github.io/Logging_0883/knärot/A 27374-2024 karta knärot.png", "A 27374-2024")</f>
        <v/>
      </c>
      <c r="V32">
        <f>HYPERLINK("https://klasma.github.io/Logging_0883/klagomål/A 27374-2024 FSC-klagomål.docx", "A 27374-2024")</f>
        <v/>
      </c>
      <c r="W32">
        <f>HYPERLINK("https://klasma.github.io/Logging_0883/klagomålsmail/A 27374-2024 FSC-klagomål mail.docx", "A 27374-2024")</f>
        <v/>
      </c>
      <c r="X32">
        <f>HYPERLINK("https://klasma.github.io/Logging_0883/tillsyn/A 27374-2024 tillsynsbegäran.docx", "A 27374-2024")</f>
        <v/>
      </c>
      <c r="Y32">
        <f>HYPERLINK("https://klasma.github.io/Logging_0883/tillsynsmail/A 27374-2024 tillsynsbegäran mail.docx", "A 27374-2024")</f>
        <v/>
      </c>
      <c r="Z32">
        <f>HYPERLINK("https://klasma.github.io/Logging_0883/fåglar/A 27374-2024 prioriterade fågelarter.docx", "A 27374-2024")</f>
        <v/>
      </c>
    </row>
    <row r="33" ht="15" customHeight="1">
      <c r="A33" t="inlineStr">
        <is>
          <t>A 52987-2024</t>
        </is>
      </c>
      <c r="B33" s="1" t="n">
        <v>45611.36107638889</v>
      </c>
      <c r="C33" s="1" t="n">
        <v>45884</v>
      </c>
      <c r="D33" t="inlineStr">
        <is>
          <t>KALMAR LÄN</t>
        </is>
      </c>
      <c r="E33" t="inlineStr">
        <is>
          <t>HÖGSBY</t>
        </is>
      </c>
      <c r="G33" t="n">
        <v>5.9</v>
      </c>
      <c r="H33" t="n">
        <v>6</v>
      </c>
      <c r="I33" t="n">
        <v>3</v>
      </c>
      <c r="J33" t="n">
        <v>3</v>
      </c>
      <c r="K33" t="n">
        <v>1</v>
      </c>
      <c r="L33" t="n">
        <v>0</v>
      </c>
      <c r="M33" t="n">
        <v>0</v>
      </c>
      <c r="N33" t="n">
        <v>0</v>
      </c>
      <c r="O33" t="n">
        <v>4</v>
      </c>
      <c r="P33" t="n">
        <v>1</v>
      </c>
      <c r="Q33" t="n">
        <v>10</v>
      </c>
      <c r="R33" s="2" t="inlineStr">
        <is>
          <t>Knärot
Entita
Spillkråka
Ullticka
Barkticka
Brandticka
Västlig hakmossa
Enkelbeckasin
Sparvuggla
Blåsippa</t>
        </is>
      </c>
      <c r="S33">
        <f>HYPERLINK("https://klasma.github.io/Logging_0821/artfynd/A 52987-2024 artfynd.xlsx", "A 52987-2024")</f>
        <v/>
      </c>
      <c r="T33">
        <f>HYPERLINK("https://klasma.github.io/Logging_0821/kartor/A 52987-2024 karta.png", "A 52987-2024")</f>
        <v/>
      </c>
      <c r="U33">
        <f>HYPERLINK("https://klasma.github.io/Logging_0821/knärot/A 52987-2024 karta knärot.png", "A 52987-2024")</f>
        <v/>
      </c>
      <c r="V33">
        <f>HYPERLINK("https://klasma.github.io/Logging_0821/klagomål/A 52987-2024 FSC-klagomål.docx", "A 52987-2024")</f>
        <v/>
      </c>
      <c r="W33">
        <f>HYPERLINK("https://klasma.github.io/Logging_0821/klagomålsmail/A 52987-2024 FSC-klagomål mail.docx", "A 52987-2024")</f>
        <v/>
      </c>
      <c r="X33">
        <f>HYPERLINK("https://klasma.github.io/Logging_0821/tillsyn/A 52987-2024 tillsynsbegäran.docx", "A 52987-2024")</f>
        <v/>
      </c>
      <c r="Y33">
        <f>HYPERLINK("https://klasma.github.io/Logging_0821/tillsynsmail/A 52987-2024 tillsynsbegäran mail.docx", "A 52987-2024")</f>
        <v/>
      </c>
      <c r="Z33">
        <f>HYPERLINK("https://klasma.github.io/Logging_0821/fåglar/A 52987-2024 prioriterade fågelarter.docx", "A 52987-2024")</f>
        <v/>
      </c>
    </row>
    <row r="34" ht="15" customHeight="1">
      <c r="A34" t="inlineStr">
        <is>
          <t>A 50985-2021</t>
        </is>
      </c>
      <c r="B34" s="1" t="n">
        <v>44460.70982638889</v>
      </c>
      <c r="C34" s="1" t="n">
        <v>45884</v>
      </c>
      <c r="D34" t="inlineStr">
        <is>
          <t>KALMAR LÄN</t>
        </is>
      </c>
      <c r="E34" t="inlineStr">
        <is>
          <t>NYBRO</t>
        </is>
      </c>
      <c r="G34" t="n">
        <v>9.5</v>
      </c>
      <c r="H34" t="n">
        <v>10</v>
      </c>
      <c r="I34" t="n">
        <v>0</v>
      </c>
      <c r="J34" t="n">
        <v>6</v>
      </c>
      <c r="K34" t="n">
        <v>0</v>
      </c>
      <c r="L34" t="n">
        <v>0</v>
      </c>
      <c r="M34" t="n">
        <v>0</v>
      </c>
      <c r="N34" t="n">
        <v>0</v>
      </c>
      <c r="O34" t="n">
        <v>6</v>
      </c>
      <c r="P34" t="n">
        <v>0</v>
      </c>
      <c r="Q34" t="n">
        <v>10</v>
      </c>
      <c r="R34" s="2" t="inlineStr">
        <is>
          <t>Björktrast
Gulsparv
Havsörn
Kungsörn
Spillkråka
Talltita
Gröngöling
Röd glada
Skogsduva
Trädlärka</t>
        </is>
      </c>
      <c r="S34">
        <f>HYPERLINK("https://klasma.github.io/Logging_0881/artfynd/A 50985-2021 artfynd.xlsx", "A 50985-2021")</f>
        <v/>
      </c>
      <c r="T34">
        <f>HYPERLINK("https://klasma.github.io/Logging_0881/kartor/A 50985-2021 karta.png", "A 50985-2021")</f>
        <v/>
      </c>
      <c r="V34">
        <f>HYPERLINK("https://klasma.github.io/Logging_0881/klagomål/A 50985-2021 FSC-klagomål.docx", "A 50985-2021")</f>
        <v/>
      </c>
      <c r="W34">
        <f>HYPERLINK("https://klasma.github.io/Logging_0881/klagomålsmail/A 50985-2021 FSC-klagomål mail.docx", "A 50985-2021")</f>
        <v/>
      </c>
      <c r="X34">
        <f>HYPERLINK("https://klasma.github.io/Logging_0881/tillsyn/A 50985-2021 tillsynsbegäran.docx", "A 50985-2021")</f>
        <v/>
      </c>
      <c r="Y34">
        <f>HYPERLINK("https://klasma.github.io/Logging_0881/tillsynsmail/A 50985-2021 tillsynsbegäran mail.docx", "A 50985-2021")</f>
        <v/>
      </c>
      <c r="Z34">
        <f>HYPERLINK("https://klasma.github.io/Logging_0881/fåglar/A 50985-2021 prioriterade fågelarter.docx", "A 50985-2021")</f>
        <v/>
      </c>
    </row>
    <row r="35" ht="15" customHeight="1">
      <c r="A35" t="inlineStr">
        <is>
          <t>A 19260-2025</t>
        </is>
      </c>
      <c r="B35" s="1" t="n">
        <v>45769.50795138889</v>
      </c>
      <c r="C35" s="1" t="n">
        <v>45884</v>
      </c>
      <c r="D35" t="inlineStr">
        <is>
          <t>KALMAR LÄN</t>
        </is>
      </c>
      <c r="E35" t="inlineStr">
        <is>
          <t>OSKARSHAMN</t>
        </is>
      </c>
      <c r="G35" t="n">
        <v>14.8</v>
      </c>
      <c r="H35" t="n">
        <v>6</v>
      </c>
      <c r="I35" t="n">
        <v>2</v>
      </c>
      <c r="J35" t="n">
        <v>6</v>
      </c>
      <c r="K35" t="n">
        <v>0</v>
      </c>
      <c r="L35" t="n">
        <v>1</v>
      </c>
      <c r="M35" t="n">
        <v>0</v>
      </c>
      <c r="N35" t="n">
        <v>0</v>
      </c>
      <c r="O35" t="n">
        <v>7</v>
      </c>
      <c r="P35" t="n">
        <v>1</v>
      </c>
      <c r="Q35" t="n">
        <v>10</v>
      </c>
      <c r="R35" s="2" t="inlineStr">
        <is>
          <t>Grönfink
Björktrast
Grönsångare
Spillkråka
Svartvit flugsnappare
Tallticka
Vedskivlav
Blåmossa
Fällmossa
Trana</t>
        </is>
      </c>
      <c r="S35">
        <f>HYPERLINK("https://klasma.github.io/Logging_0882/artfynd/A 19260-2025 artfynd.xlsx", "A 19260-2025")</f>
        <v/>
      </c>
      <c r="T35">
        <f>HYPERLINK("https://klasma.github.io/Logging_0882/kartor/A 19260-2025 karta.png", "A 19260-2025")</f>
        <v/>
      </c>
      <c r="V35">
        <f>HYPERLINK("https://klasma.github.io/Logging_0882/klagomål/A 19260-2025 FSC-klagomål.docx", "A 19260-2025")</f>
        <v/>
      </c>
      <c r="W35">
        <f>HYPERLINK("https://klasma.github.io/Logging_0882/klagomålsmail/A 19260-2025 FSC-klagomål mail.docx", "A 19260-2025")</f>
        <v/>
      </c>
      <c r="X35">
        <f>HYPERLINK("https://klasma.github.io/Logging_0882/tillsyn/A 19260-2025 tillsynsbegäran.docx", "A 19260-2025")</f>
        <v/>
      </c>
      <c r="Y35">
        <f>HYPERLINK("https://klasma.github.io/Logging_0882/tillsynsmail/A 19260-2025 tillsynsbegäran mail.docx", "A 19260-2025")</f>
        <v/>
      </c>
      <c r="Z35">
        <f>HYPERLINK("https://klasma.github.io/Logging_0882/fåglar/A 19260-2025 prioriterade fågelarter.docx", "A 19260-2025")</f>
        <v/>
      </c>
    </row>
    <row r="36" ht="15" customHeight="1">
      <c r="A36" t="inlineStr">
        <is>
          <t>A 67432-2021</t>
        </is>
      </c>
      <c r="B36" s="1" t="n">
        <v>44523</v>
      </c>
      <c r="C36" s="1" t="n">
        <v>45884</v>
      </c>
      <c r="D36" t="inlineStr">
        <is>
          <t>KALMAR LÄN</t>
        </is>
      </c>
      <c r="E36" t="inlineStr">
        <is>
          <t>BORGHOLM</t>
        </is>
      </c>
      <c r="G36" t="n">
        <v>35</v>
      </c>
      <c r="H36" t="n">
        <v>4</v>
      </c>
      <c r="I36" t="n">
        <v>8</v>
      </c>
      <c r="J36" t="n">
        <v>1</v>
      </c>
      <c r="K36" t="n">
        <v>0</v>
      </c>
      <c r="L36" t="n">
        <v>0</v>
      </c>
      <c r="M36" t="n">
        <v>0</v>
      </c>
      <c r="N36" t="n">
        <v>0</v>
      </c>
      <c r="O36" t="n">
        <v>1</v>
      </c>
      <c r="P36" t="n">
        <v>0</v>
      </c>
      <c r="Q36" t="n">
        <v>10</v>
      </c>
      <c r="R36" s="2" t="inlineStr">
        <is>
          <t>Långbensgroda
Diskvaxskivling
Grov baronmossa
Guldlockmossa
Murgröna
Nästrot
Skogsknipprot
Svavelriska
Sårläka
Blåsippa</t>
        </is>
      </c>
      <c r="S36">
        <f>HYPERLINK("https://klasma.github.io/Logging_0885/artfynd/A 67432-2021 artfynd.xlsx", "A 67432-2021")</f>
        <v/>
      </c>
      <c r="T36">
        <f>HYPERLINK("https://klasma.github.io/Logging_0885/kartor/A 67432-2021 karta.png", "A 67432-2021")</f>
        <v/>
      </c>
      <c r="V36">
        <f>HYPERLINK("https://klasma.github.io/Logging_0885/klagomål/A 67432-2021 FSC-klagomål.docx", "A 67432-2021")</f>
        <v/>
      </c>
      <c r="W36">
        <f>HYPERLINK("https://klasma.github.io/Logging_0885/klagomålsmail/A 67432-2021 FSC-klagomål mail.docx", "A 67432-2021")</f>
        <v/>
      </c>
      <c r="X36">
        <f>HYPERLINK("https://klasma.github.io/Logging_0885/tillsyn/A 67432-2021 tillsynsbegäran.docx", "A 67432-2021")</f>
        <v/>
      </c>
      <c r="Y36">
        <f>HYPERLINK("https://klasma.github.io/Logging_0885/tillsynsmail/A 67432-2021 tillsynsbegäran mail.docx", "A 67432-2021")</f>
        <v/>
      </c>
    </row>
    <row r="37" ht="15" customHeight="1">
      <c r="A37" t="inlineStr">
        <is>
          <t>A 65163-2020</t>
        </is>
      </c>
      <c r="B37" s="1" t="n">
        <v>44172</v>
      </c>
      <c r="C37" s="1" t="n">
        <v>45884</v>
      </c>
      <c r="D37" t="inlineStr">
        <is>
          <t>KALMAR LÄN</t>
        </is>
      </c>
      <c r="E37" t="inlineStr">
        <is>
          <t>MÖRBYLÅNGA</t>
        </is>
      </c>
      <c r="G37" t="n">
        <v>16.8</v>
      </c>
      <c r="H37" t="n">
        <v>2</v>
      </c>
      <c r="I37" t="n">
        <v>3</v>
      </c>
      <c r="J37" t="n">
        <v>6</v>
      </c>
      <c r="K37" t="n">
        <v>1</v>
      </c>
      <c r="L37" t="n">
        <v>0</v>
      </c>
      <c r="M37" t="n">
        <v>0</v>
      </c>
      <c r="N37" t="n">
        <v>0</v>
      </c>
      <c r="O37" t="n">
        <v>7</v>
      </c>
      <c r="P37" t="n">
        <v>1</v>
      </c>
      <c r="Q37" t="n">
        <v>10</v>
      </c>
      <c r="R37" s="2" t="inlineStr">
        <is>
          <t>Liten diskröksvamp
Dvärgjordstjärna
Fyrflikig jordstjärna
Fågelarv
Klibbveronika
Mindre hackspett
Rakhorndyvel
Ekoxe
Murgröna
Rödbrun jordstjärna</t>
        </is>
      </c>
      <c r="S37">
        <f>HYPERLINK("https://klasma.github.io/Logging_0840/artfynd/A 65163-2020 artfynd.xlsx", "A 65163-2020")</f>
        <v/>
      </c>
      <c r="T37">
        <f>HYPERLINK("https://klasma.github.io/Logging_0840/kartor/A 65163-2020 karta.png", "A 65163-2020")</f>
        <v/>
      </c>
      <c r="V37">
        <f>HYPERLINK("https://klasma.github.io/Logging_0840/klagomål/A 65163-2020 FSC-klagomål.docx", "A 65163-2020")</f>
        <v/>
      </c>
      <c r="W37">
        <f>HYPERLINK("https://klasma.github.io/Logging_0840/klagomålsmail/A 65163-2020 FSC-klagomål mail.docx", "A 65163-2020")</f>
        <v/>
      </c>
      <c r="X37">
        <f>HYPERLINK("https://klasma.github.io/Logging_0840/tillsyn/A 65163-2020 tillsynsbegäran.docx", "A 65163-2020")</f>
        <v/>
      </c>
      <c r="Y37">
        <f>HYPERLINK("https://klasma.github.io/Logging_0840/tillsynsmail/A 65163-2020 tillsynsbegäran mail.docx", "A 65163-2020")</f>
        <v/>
      </c>
      <c r="Z37">
        <f>HYPERLINK("https://klasma.github.io/Logging_0840/fåglar/A 65163-2020 prioriterade fågelarter.docx", "A 65163-2020")</f>
        <v/>
      </c>
    </row>
    <row r="38" ht="15" customHeight="1">
      <c r="A38" t="inlineStr">
        <is>
          <t>A 21214-2023</t>
        </is>
      </c>
      <c r="B38" s="1" t="n">
        <v>45062</v>
      </c>
      <c r="C38" s="1" t="n">
        <v>45884</v>
      </c>
      <c r="D38" t="inlineStr">
        <is>
          <t>KALMAR LÄN</t>
        </is>
      </c>
      <c r="E38" t="inlineStr">
        <is>
          <t>MÖRBYLÅNGA</t>
        </is>
      </c>
      <c r="G38" t="n">
        <v>3.5</v>
      </c>
      <c r="H38" t="n">
        <v>2</v>
      </c>
      <c r="I38" t="n">
        <v>5</v>
      </c>
      <c r="J38" t="n">
        <v>3</v>
      </c>
      <c r="K38" t="n">
        <v>1</v>
      </c>
      <c r="L38" t="n">
        <v>0</v>
      </c>
      <c r="M38" t="n">
        <v>0</v>
      </c>
      <c r="N38" t="n">
        <v>0</v>
      </c>
      <c r="O38" t="n">
        <v>4</v>
      </c>
      <c r="P38" t="n">
        <v>1</v>
      </c>
      <c r="Q38" t="n">
        <v>10</v>
      </c>
      <c r="R38" s="2" t="inlineStr">
        <is>
          <t>Mjölspindling
Spillkråka
Svart askbastborre
Tallticka
Guldlockmossa
Hasselticka
Mindre märgborre
Murgröna
Sårläka
Blåsippa</t>
        </is>
      </c>
      <c r="S38">
        <f>HYPERLINK("https://klasma.github.io/Logging_0840/artfynd/A 21214-2023 artfynd.xlsx", "A 21214-2023")</f>
        <v/>
      </c>
      <c r="T38">
        <f>HYPERLINK("https://klasma.github.io/Logging_0840/kartor/A 21214-2023 karta.png", "A 21214-2023")</f>
        <v/>
      </c>
      <c r="V38">
        <f>HYPERLINK("https://klasma.github.io/Logging_0840/klagomål/A 21214-2023 FSC-klagomål.docx", "A 21214-2023")</f>
        <v/>
      </c>
      <c r="W38">
        <f>HYPERLINK("https://klasma.github.io/Logging_0840/klagomålsmail/A 21214-2023 FSC-klagomål mail.docx", "A 21214-2023")</f>
        <v/>
      </c>
      <c r="X38">
        <f>HYPERLINK("https://klasma.github.io/Logging_0840/tillsyn/A 21214-2023 tillsynsbegäran.docx", "A 21214-2023")</f>
        <v/>
      </c>
      <c r="Y38">
        <f>HYPERLINK("https://klasma.github.io/Logging_0840/tillsynsmail/A 21214-2023 tillsynsbegäran mail.docx", "A 21214-2023")</f>
        <v/>
      </c>
      <c r="Z38">
        <f>HYPERLINK("https://klasma.github.io/Logging_0840/fåglar/A 21214-2023 prioriterade fågelarter.docx", "A 21214-2023")</f>
        <v/>
      </c>
    </row>
    <row r="39" ht="15" customHeight="1">
      <c r="A39" t="inlineStr">
        <is>
          <t>A 61003-2024</t>
        </is>
      </c>
      <c r="B39" s="1" t="n">
        <v>45645</v>
      </c>
      <c r="C39" s="1" t="n">
        <v>45884</v>
      </c>
      <c r="D39" t="inlineStr">
        <is>
          <t>KALMAR LÄN</t>
        </is>
      </c>
      <c r="E39" t="inlineStr">
        <is>
          <t>MÖNSTERÅS</t>
        </is>
      </c>
      <c r="F39" t="inlineStr">
        <is>
          <t>Kommuner</t>
        </is>
      </c>
      <c r="G39" t="n">
        <v>6</v>
      </c>
      <c r="H39" t="n">
        <v>10</v>
      </c>
      <c r="I39" t="n">
        <v>0</v>
      </c>
      <c r="J39" t="n">
        <v>4</v>
      </c>
      <c r="K39" t="n">
        <v>1</v>
      </c>
      <c r="L39" t="n">
        <v>0</v>
      </c>
      <c r="M39" t="n">
        <v>0</v>
      </c>
      <c r="N39" t="n">
        <v>0</v>
      </c>
      <c r="O39" t="n">
        <v>5</v>
      </c>
      <c r="P39" t="n">
        <v>1</v>
      </c>
      <c r="Q39" t="n">
        <v>10</v>
      </c>
      <c r="R39" s="2" t="inlineStr">
        <is>
          <t>Knärot
Barbastell
Brunlångöra
Nordfladdermus
Spillkråka
Dvärgpipistrell
Gråskimlig fladdermus
Större brunfladdermus
Tjäder
Trollpipistrell</t>
        </is>
      </c>
      <c r="S39">
        <f>HYPERLINK("https://klasma.github.io/Logging_0861/artfynd/A 61003-2024 artfynd.xlsx", "A 61003-2024")</f>
        <v/>
      </c>
      <c r="T39">
        <f>HYPERLINK("https://klasma.github.io/Logging_0861/kartor/A 61003-2024 karta.png", "A 61003-2024")</f>
        <v/>
      </c>
      <c r="U39">
        <f>HYPERLINK("https://klasma.github.io/Logging_0861/knärot/A 61003-2024 karta knärot.png", "A 61003-2024")</f>
        <v/>
      </c>
      <c r="V39">
        <f>HYPERLINK("https://klasma.github.io/Logging_0861/klagomål/A 61003-2024 FSC-klagomål.docx", "A 61003-2024")</f>
        <v/>
      </c>
      <c r="W39">
        <f>HYPERLINK("https://klasma.github.io/Logging_0861/klagomålsmail/A 61003-2024 FSC-klagomål mail.docx", "A 61003-2024")</f>
        <v/>
      </c>
      <c r="X39">
        <f>HYPERLINK("https://klasma.github.io/Logging_0861/tillsyn/A 61003-2024 tillsynsbegäran.docx", "A 61003-2024")</f>
        <v/>
      </c>
      <c r="Y39">
        <f>HYPERLINK("https://klasma.github.io/Logging_0861/tillsynsmail/A 61003-2024 tillsynsbegäran mail.docx", "A 61003-2024")</f>
        <v/>
      </c>
      <c r="Z39">
        <f>HYPERLINK("https://klasma.github.io/Logging_0861/fåglar/A 61003-2024 prioriterade fågelarter.docx", "A 61003-2024")</f>
        <v/>
      </c>
    </row>
    <row r="40" ht="15" customHeight="1">
      <c r="A40" t="inlineStr">
        <is>
          <t>A 15252-2021</t>
        </is>
      </c>
      <c r="B40" s="1" t="n">
        <v>44284</v>
      </c>
      <c r="C40" s="1" t="n">
        <v>45884</v>
      </c>
      <c r="D40" t="inlineStr">
        <is>
          <t>KALMAR LÄN</t>
        </is>
      </c>
      <c r="E40" t="inlineStr">
        <is>
          <t>VÄSTERVIK</t>
        </is>
      </c>
      <c r="G40" t="n">
        <v>4.5</v>
      </c>
      <c r="H40" t="n">
        <v>2</v>
      </c>
      <c r="I40" t="n">
        <v>3</v>
      </c>
      <c r="J40" t="n">
        <v>5</v>
      </c>
      <c r="K40" t="n">
        <v>1</v>
      </c>
      <c r="L40" t="n">
        <v>0</v>
      </c>
      <c r="M40" t="n">
        <v>0</v>
      </c>
      <c r="N40" t="n">
        <v>0</v>
      </c>
      <c r="O40" t="n">
        <v>6</v>
      </c>
      <c r="P40" t="n">
        <v>1</v>
      </c>
      <c r="Q40" t="n">
        <v>9</v>
      </c>
      <c r="R40" s="2" t="inlineStr">
        <is>
          <t>Knärot
Motaggsvamp
Spillkråka
Svart taggsvamp
Svartvit taggsvamp
Såpfingersvamp
Dropptaggsvamp
Grönpyrola
Skarp dropptaggsvamp</t>
        </is>
      </c>
      <c r="S40">
        <f>HYPERLINK("https://klasma.github.io/Logging_0883/artfynd/A 15252-2021 artfynd.xlsx", "A 15252-2021")</f>
        <v/>
      </c>
      <c r="T40">
        <f>HYPERLINK("https://klasma.github.io/Logging_0883/kartor/A 15252-2021 karta.png", "A 15252-2021")</f>
        <v/>
      </c>
      <c r="U40">
        <f>HYPERLINK("https://klasma.github.io/Logging_0883/knärot/A 15252-2021 karta knärot.png", "A 15252-2021")</f>
        <v/>
      </c>
      <c r="V40">
        <f>HYPERLINK("https://klasma.github.io/Logging_0883/klagomål/A 15252-2021 FSC-klagomål.docx", "A 15252-2021")</f>
        <v/>
      </c>
      <c r="W40">
        <f>HYPERLINK("https://klasma.github.io/Logging_0883/klagomålsmail/A 15252-2021 FSC-klagomål mail.docx", "A 15252-2021")</f>
        <v/>
      </c>
      <c r="X40">
        <f>HYPERLINK("https://klasma.github.io/Logging_0883/tillsyn/A 15252-2021 tillsynsbegäran.docx", "A 15252-2021")</f>
        <v/>
      </c>
      <c r="Y40">
        <f>HYPERLINK("https://klasma.github.io/Logging_0883/tillsynsmail/A 15252-2021 tillsynsbegäran mail.docx", "A 15252-2021")</f>
        <v/>
      </c>
      <c r="Z40">
        <f>HYPERLINK("https://klasma.github.io/Logging_0883/fåglar/A 15252-2021 prioriterade fågelarter.docx", "A 15252-2021")</f>
        <v/>
      </c>
    </row>
    <row r="41" ht="15" customHeight="1">
      <c r="A41" t="inlineStr">
        <is>
          <t>A 34414-2024</t>
        </is>
      </c>
      <c r="B41" s="1" t="n">
        <v>45525</v>
      </c>
      <c r="C41" s="1" t="n">
        <v>45884</v>
      </c>
      <c r="D41" t="inlineStr">
        <is>
          <t>KALMAR LÄN</t>
        </is>
      </c>
      <c r="E41" t="inlineStr">
        <is>
          <t>VÄSTERVIK</t>
        </is>
      </c>
      <c r="F41" t="inlineStr">
        <is>
          <t>Holmen skog AB</t>
        </is>
      </c>
      <c r="G41" t="n">
        <v>8.9</v>
      </c>
      <c r="H41" t="n">
        <v>2</v>
      </c>
      <c r="I41" t="n">
        <v>4</v>
      </c>
      <c r="J41" t="n">
        <v>4</v>
      </c>
      <c r="K41" t="n">
        <v>1</v>
      </c>
      <c r="L41" t="n">
        <v>0</v>
      </c>
      <c r="M41" t="n">
        <v>0</v>
      </c>
      <c r="N41" t="n">
        <v>0</v>
      </c>
      <c r="O41" t="n">
        <v>5</v>
      </c>
      <c r="P41" t="n">
        <v>1</v>
      </c>
      <c r="Q41" t="n">
        <v>9</v>
      </c>
      <c r="R41" s="2" t="inlineStr">
        <is>
          <t>Knärot
Orange taggsvamp
Svart taggsvamp
Tallticka
Talltita
Blåmossa
Brandticka
Dropptaggsvamp
Zontaggsvamp</t>
        </is>
      </c>
      <c r="S41">
        <f>HYPERLINK("https://klasma.github.io/Logging_0883/artfynd/A 34414-2024 artfynd.xlsx", "A 34414-2024")</f>
        <v/>
      </c>
      <c r="T41">
        <f>HYPERLINK("https://klasma.github.io/Logging_0883/kartor/A 34414-2024 karta.png", "A 34414-2024")</f>
        <v/>
      </c>
      <c r="U41">
        <f>HYPERLINK("https://klasma.github.io/Logging_0883/knärot/A 34414-2024 karta knärot.png", "A 34414-2024")</f>
        <v/>
      </c>
      <c r="V41">
        <f>HYPERLINK("https://klasma.github.io/Logging_0883/klagomål/A 34414-2024 FSC-klagomål.docx", "A 34414-2024")</f>
        <v/>
      </c>
      <c r="W41">
        <f>HYPERLINK("https://klasma.github.io/Logging_0883/klagomålsmail/A 34414-2024 FSC-klagomål mail.docx", "A 34414-2024")</f>
        <v/>
      </c>
      <c r="X41">
        <f>HYPERLINK("https://klasma.github.io/Logging_0883/tillsyn/A 34414-2024 tillsynsbegäran.docx", "A 34414-2024")</f>
        <v/>
      </c>
      <c r="Y41">
        <f>HYPERLINK("https://klasma.github.io/Logging_0883/tillsynsmail/A 34414-2024 tillsynsbegäran mail.docx", "A 34414-2024")</f>
        <v/>
      </c>
      <c r="Z41">
        <f>HYPERLINK("https://klasma.github.io/Logging_0883/fåglar/A 34414-2024 prioriterade fågelarter.docx", "A 34414-2024")</f>
        <v/>
      </c>
    </row>
    <row r="42" ht="15" customHeight="1">
      <c r="A42" t="inlineStr">
        <is>
          <t>A 55017-2021</t>
        </is>
      </c>
      <c r="B42" s="1" t="n">
        <v>44474</v>
      </c>
      <c r="C42" s="1" t="n">
        <v>45884</v>
      </c>
      <c r="D42" t="inlineStr">
        <is>
          <t>KALMAR LÄN</t>
        </is>
      </c>
      <c r="E42" t="inlineStr">
        <is>
          <t>VÄSTERVIK</t>
        </is>
      </c>
      <c r="G42" t="n">
        <v>16.4</v>
      </c>
      <c r="H42" t="n">
        <v>4</v>
      </c>
      <c r="I42" t="n">
        <v>3</v>
      </c>
      <c r="J42" t="n">
        <v>4</v>
      </c>
      <c r="K42" t="n">
        <v>1</v>
      </c>
      <c r="L42" t="n">
        <v>0</v>
      </c>
      <c r="M42" t="n">
        <v>0</v>
      </c>
      <c r="N42" t="n">
        <v>0</v>
      </c>
      <c r="O42" t="n">
        <v>5</v>
      </c>
      <c r="P42" t="n">
        <v>1</v>
      </c>
      <c r="Q42" t="n">
        <v>9</v>
      </c>
      <c r="R42" s="2" t="inlineStr">
        <is>
          <t>Knärot
Motaggsvamp
Spillkråka
Tallticka
Talltita
Blåmossa
Fjällig taggsvamp s.str.
Grönpyrola
Tjäder</t>
        </is>
      </c>
      <c r="S42">
        <f>HYPERLINK("https://klasma.github.io/Logging_0883/artfynd/A 55017-2021 artfynd.xlsx", "A 55017-2021")</f>
        <v/>
      </c>
      <c r="T42">
        <f>HYPERLINK("https://klasma.github.io/Logging_0883/kartor/A 55017-2021 karta.png", "A 55017-2021")</f>
        <v/>
      </c>
      <c r="U42">
        <f>HYPERLINK("https://klasma.github.io/Logging_0883/knärot/A 55017-2021 karta knärot.png", "A 55017-2021")</f>
        <v/>
      </c>
      <c r="V42">
        <f>HYPERLINK("https://klasma.github.io/Logging_0883/klagomål/A 55017-2021 FSC-klagomål.docx", "A 55017-2021")</f>
        <v/>
      </c>
      <c r="W42">
        <f>HYPERLINK("https://klasma.github.io/Logging_0883/klagomålsmail/A 55017-2021 FSC-klagomål mail.docx", "A 55017-2021")</f>
        <v/>
      </c>
      <c r="X42">
        <f>HYPERLINK("https://klasma.github.io/Logging_0883/tillsyn/A 55017-2021 tillsynsbegäran.docx", "A 55017-2021")</f>
        <v/>
      </c>
      <c r="Y42">
        <f>HYPERLINK("https://klasma.github.io/Logging_0883/tillsynsmail/A 55017-2021 tillsynsbegäran mail.docx", "A 55017-2021")</f>
        <v/>
      </c>
      <c r="Z42">
        <f>HYPERLINK("https://klasma.github.io/Logging_0883/fåglar/A 55017-2021 prioriterade fågelarter.docx", "A 55017-2021")</f>
        <v/>
      </c>
    </row>
    <row r="43" ht="15" customHeight="1">
      <c r="A43" t="inlineStr">
        <is>
          <t>A 37421-2022</t>
        </is>
      </c>
      <c r="B43" s="1" t="n">
        <v>44809</v>
      </c>
      <c r="C43" s="1" t="n">
        <v>45884</v>
      </c>
      <c r="D43" t="inlineStr">
        <is>
          <t>KALMAR LÄN</t>
        </is>
      </c>
      <c r="E43" t="inlineStr">
        <is>
          <t>BORGHOLM</t>
        </is>
      </c>
      <c r="G43" t="n">
        <v>3.4</v>
      </c>
      <c r="H43" t="n">
        <v>6</v>
      </c>
      <c r="I43" t="n">
        <v>5</v>
      </c>
      <c r="J43" t="n">
        <v>3</v>
      </c>
      <c r="K43" t="n">
        <v>0</v>
      </c>
      <c r="L43" t="n">
        <v>0</v>
      </c>
      <c r="M43" t="n">
        <v>0</v>
      </c>
      <c r="N43" t="n">
        <v>0</v>
      </c>
      <c r="O43" t="n">
        <v>3</v>
      </c>
      <c r="P43" t="n">
        <v>0</v>
      </c>
      <c r="Q43" t="n">
        <v>9</v>
      </c>
      <c r="R43" s="2" t="inlineStr">
        <is>
          <t>Bredarun
Höstlåsbräken
Sammetsfrölöpare
Murgröna
Skogsknipprot
Tvåblad
Vit skogslilja
Ögonpyrola
Fläcknycklar</t>
        </is>
      </c>
      <c r="S43">
        <f>HYPERLINK("https://klasma.github.io/Logging_0885/artfynd/A 37421-2022 artfynd.xlsx", "A 37421-2022")</f>
        <v/>
      </c>
      <c r="T43">
        <f>HYPERLINK("https://klasma.github.io/Logging_0885/kartor/A 37421-2022 karta.png", "A 37421-2022")</f>
        <v/>
      </c>
      <c r="V43">
        <f>HYPERLINK("https://klasma.github.io/Logging_0885/klagomål/A 37421-2022 FSC-klagomål.docx", "A 37421-2022")</f>
        <v/>
      </c>
      <c r="W43">
        <f>HYPERLINK("https://klasma.github.io/Logging_0885/klagomålsmail/A 37421-2022 FSC-klagomål mail.docx", "A 37421-2022")</f>
        <v/>
      </c>
      <c r="X43">
        <f>HYPERLINK("https://klasma.github.io/Logging_0885/tillsyn/A 37421-2022 tillsynsbegäran.docx", "A 37421-2022")</f>
        <v/>
      </c>
      <c r="Y43">
        <f>HYPERLINK("https://klasma.github.io/Logging_0885/tillsynsmail/A 37421-2022 tillsynsbegäran mail.docx", "A 37421-2022")</f>
        <v/>
      </c>
    </row>
    <row r="44" ht="15" customHeight="1">
      <c r="A44" t="inlineStr">
        <is>
          <t>A 7475-2023</t>
        </is>
      </c>
      <c r="B44" s="1" t="n">
        <v>44971</v>
      </c>
      <c r="C44" s="1" t="n">
        <v>45884</v>
      </c>
      <c r="D44" t="inlineStr">
        <is>
          <t>KALMAR LÄN</t>
        </is>
      </c>
      <c r="E44" t="inlineStr">
        <is>
          <t>MÖNSTERÅS</t>
        </is>
      </c>
      <c r="G44" t="n">
        <v>3.3</v>
      </c>
      <c r="H44" t="n">
        <v>3</v>
      </c>
      <c r="I44" t="n">
        <v>3</v>
      </c>
      <c r="J44" t="n">
        <v>4</v>
      </c>
      <c r="K44" t="n">
        <v>2</v>
      </c>
      <c r="L44" t="n">
        <v>0</v>
      </c>
      <c r="M44" t="n">
        <v>0</v>
      </c>
      <c r="N44" t="n">
        <v>0</v>
      </c>
      <c r="O44" t="n">
        <v>6</v>
      </c>
      <c r="P44" t="n">
        <v>2</v>
      </c>
      <c r="Q44" t="n">
        <v>9</v>
      </c>
      <c r="R44" s="2" t="inlineStr">
        <is>
          <t>Knärot
Rynkskinn
Grönsångare
Spillkråka
Tallticka
Ullticka
Blåmossa
Grovticka
Grönpyrola</t>
        </is>
      </c>
      <c r="S44">
        <f>HYPERLINK("https://klasma.github.io/Logging_0861/artfynd/A 7475-2023 artfynd.xlsx", "A 7475-2023")</f>
        <v/>
      </c>
      <c r="T44">
        <f>HYPERLINK("https://klasma.github.io/Logging_0861/kartor/A 7475-2023 karta.png", "A 7475-2023")</f>
        <v/>
      </c>
      <c r="U44">
        <f>HYPERLINK("https://klasma.github.io/Logging_0861/knärot/A 7475-2023 karta knärot.png", "A 7475-2023")</f>
        <v/>
      </c>
      <c r="V44">
        <f>HYPERLINK("https://klasma.github.io/Logging_0861/klagomål/A 7475-2023 FSC-klagomål.docx", "A 7475-2023")</f>
        <v/>
      </c>
      <c r="W44">
        <f>HYPERLINK("https://klasma.github.io/Logging_0861/klagomålsmail/A 7475-2023 FSC-klagomål mail.docx", "A 7475-2023")</f>
        <v/>
      </c>
      <c r="X44">
        <f>HYPERLINK("https://klasma.github.io/Logging_0861/tillsyn/A 7475-2023 tillsynsbegäran.docx", "A 7475-2023")</f>
        <v/>
      </c>
      <c r="Y44">
        <f>HYPERLINK("https://klasma.github.io/Logging_0861/tillsynsmail/A 7475-2023 tillsynsbegäran mail.docx", "A 7475-2023")</f>
        <v/>
      </c>
      <c r="Z44">
        <f>HYPERLINK("https://klasma.github.io/Logging_0861/fåglar/A 7475-2023 prioriterade fågelarter.docx", "A 7475-2023")</f>
        <v/>
      </c>
    </row>
    <row r="45" ht="15" customHeight="1">
      <c r="A45" t="inlineStr">
        <is>
          <t>A 56737-2023</t>
        </is>
      </c>
      <c r="B45" s="1" t="n">
        <v>45244</v>
      </c>
      <c r="C45" s="1" t="n">
        <v>45884</v>
      </c>
      <c r="D45" t="inlineStr">
        <is>
          <t>KALMAR LÄN</t>
        </is>
      </c>
      <c r="E45" t="inlineStr">
        <is>
          <t>VÄSTERVIK</t>
        </is>
      </c>
      <c r="G45" t="n">
        <v>5.5</v>
      </c>
      <c r="H45" t="n">
        <v>2</v>
      </c>
      <c r="I45" t="n">
        <v>4</v>
      </c>
      <c r="J45" t="n">
        <v>4</v>
      </c>
      <c r="K45" t="n">
        <v>1</v>
      </c>
      <c r="L45" t="n">
        <v>0</v>
      </c>
      <c r="M45" t="n">
        <v>0</v>
      </c>
      <c r="N45" t="n">
        <v>0</v>
      </c>
      <c r="O45" t="n">
        <v>5</v>
      </c>
      <c r="P45" t="n">
        <v>1</v>
      </c>
      <c r="Q45" t="n">
        <v>9</v>
      </c>
      <c r="R45" s="2" t="inlineStr">
        <is>
          <t>Knärot
Motaggsvamp
Spillkråka
Tallticka
Ullticka
Blomskägglav
Bronshjon
Fällmossa
Grönpyrola</t>
        </is>
      </c>
      <c r="S45">
        <f>HYPERLINK("https://klasma.github.io/Logging_0883/artfynd/A 56737-2023 artfynd.xlsx", "A 56737-2023")</f>
        <v/>
      </c>
      <c r="T45">
        <f>HYPERLINK("https://klasma.github.io/Logging_0883/kartor/A 56737-2023 karta.png", "A 56737-2023")</f>
        <v/>
      </c>
      <c r="U45">
        <f>HYPERLINK("https://klasma.github.io/Logging_0883/knärot/A 56737-2023 karta knärot.png", "A 56737-2023")</f>
        <v/>
      </c>
      <c r="V45">
        <f>HYPERLINK("https://klasma.github.io/Logging_0883/klagomål/A 56737-2023 FSC-klagomål.docx", "A 56737-2023")</f>
        <v/>
      </c>
      <c r="W45">
        <f>HYPERLINK("https://klasma.github.io/Logging_0883/klagomålsmail/A 56737-2023 FSC-klagomål mail.docx", "A 56737-2023")</f>
        <v/>
      </c>
      <c r="X45">
        <f>HYPERLINK("https://klasma.github.io/Logging_0883/tillsyn/A 56737-2023 tillsynsbegäran.docx", "A 56737-2023")</f>
        <v/>
      </c>
      <c r="Y45">
        <f>HYPERLINK("https://klasma.github.io/Logging_0883/tillsynsmail/A 56737-2023 tillsynsbegäran mail.docx", "A 56737-2023")</f>
        <v/>
      </c>
      <c r="Z45">
        <f>HYPERLINK("https://klasma.github.io/Logging_0883/fåglar/A 56737-2023 prioriterade fågelarter.docx", "A 56737-2023")</f>
        <v/>
      </c>
    </row>
    <row r="46" ht="15" customHeight="1">
      <c r="A46" t="inlineStr">
        <is>
          <t>A 20094-2024</t>
        </is>
      </c>
      <c r="B46" s="1" t="n">
        <v>45434</v>
      </c>
      <c r="C46" s="1" t="n">
        <v>45884</v>
      </c>
      <c r="D46" t="inlineStr">
        <is>
          <t>KALMAR LÄN</t>
        </is>
      </c>
      <c r="E46" t="inlineStr">
        <is>
          <t>VÄSTERVIK</t>
        </is>
      </c>
      <c r="G46" t="n">
        <v>6.4</v>
      </c>
      <c r="H46" t="n">
        <v>3</v>
      </c>
      <c r="I46" t="n">
        <v>3</v>
      </c>
      <c r="J46" t="n">
        <v>5</v>
      </c>
      <c r="K46" t="n">
        <v>1</v>
      </c>
      <c r="L46" t="n">
        <v>0</v>
      </c>
      <c r="M46" t="n">
        <v>0</v>
      </c>
      <c r="N46" t="n">
        <v>0</v>
      </c>
      <c r="O46" t="n">
        <v>6</v>
      </c>
      <c r="P46" t="n">
        <v>1</v>
      </c>
      <c r="Q46" t="n">
        <v>9</v>
      </c>
      <c r="R46" s="2" t="inlineStr">
        <is>
          <t>Knärot
Granticka
Grönsångare
Mindre hackspett
Tallticka
Ullticka
Blåmossa
Grönpyrola
Zontaggsvamp</t>
        </is>
      </c>
      <c r="S46">
        <f>HYPERLINK("https://klasma.github.io/Logging_0883/artfynd/A 20094-2024 artfynd.xlsx", "A 20094-2024")</f>
        <v/>
      </c>
      <c r="T46">
        <f>HYPERLINK("https://klasma.github.io/Logging_0883/kartor/A 20094-2024 karta.png", "A 20094-2024")</f>
        <v/>
      </c>
      <c r="U46">
        <f>HYPERLINK("https://klasma.github.io/Logging_0883/knärot/A 20094-2024 karta knärot.png", "A 20094-2024")</f>
        <v/>
      </c>
      <c r="V46">
        <f>HYPERLINK("https://klasma.github.io/Logging_0883/klagomål/A 20094-2024 FSC-klagomål.docx", "A 20094-2024")</f>
        <v/>
      </c>
      <c r="W46">
        <f>HYPERLINK("https://klasma.github.io/Logging_0883/klagomålsmail/A 20094-2024 FSC-klagomål mail.docx", "A 20094-2024")</f>
        <v/>
      </c>
      <c r="X46">
        <f>HYPERLINK("https://klasma.github.io/Logging_0883/tillsyn/A 20094-2024 tillsynsbegäran.docx", "A 20094-2024")</f>
        <v/>
      </c>
      <c r="Y46">
        <f>HYPERLINK("https://klasma.github.io/Logging_0883/tillsynsmail/A 20094-2024 tillsynsbegäran mail.docx", "A 20094-2024")</f>
        <v/>
      </c>
      <c r="Z46">
        <f>HYPERLINK("https://klasma.github.io/Logging_0883/fåglar/A 20094-2024 prioriterade fågelarter.docx", "A 20094-2024")</f>
        <v/>
      </c>
    </row>
    <row r="47" ht="15" customHeight="1">
      <c r="A47" t="inlineStr">
        <is>
          <t>A 2837-2024</t>
        </is>
      </c>
      <c r="B47" s="1" t="n">
        <v>45314</v>
      </c>
      <c r="C47" s="1" t="n">
        <v>45884</v>
      </c>
      <c r="D47" t="inlineStr">
        <is>
          <t>KALMAR LÄN</t>
        </is>
      </c>
      <c r="E47" t="inlineStr">
        <is>
          <t>VIMMERBY</t>
        </is>
      </c>
      <c r="G47" t="n">
        <v>14.6</v>
      </c>
      <c r="H47" t="n">
        <v>5</v>
      </c>
      <c r="I47" t="n">
        <v>3</v>
      </c>
      <c r="J47" t="n">
        <v>3</v>
      </c>
      <c r="K47" t="n">
        <v>1</v>
      </c>
      <c r="L47" t="n">
        <v>0</v>
      </c>
      <c r="M47" t="n">
        <v>0</v>
      </c>
      <c r="N47" t="n">
        <v>0</v>
      </c>
      <c r="O47" t="n">
        <v>4</v>
      </c>
      <c r="P47" t="n">
        <v>1</v>
      </c>
      <c r="Q47" t="n">
        <v>9</v>
      </c>
      <c r="R47" s="2" t="inlineStr">
        <is>
          <t>Knärot
Spillkråka
Tallticka
Talltita
Blåmossa
Dropptaggsvamp
Grovticka
Kungsfågel
Revlummer</t>
        </is>
      </c>
      <c r="S47">
        <f>HYPERLINK("https://klasma.github.io/Logging_0884/artfynd/A 2837-2024 artfynd.xlsx", "A 2837-2024")</f>
        <v/>
      </c>
      <c r="T47">
        <f>HYPERLINK("https://klasma.github.io/Logging_0884/kartor/A 2837-2024 karta.png", "A 2837-2024")</f>
        <v/>
      </c>
      <c r="U47">
        <f>HYPERLINK("https://klasma.github.io/Logging_0884/knärot/A 2837-2024 karta knärot.png", "A 2837-2024")</f>
        <v/>
      </c>
      <c r="V47">
        <f>HYPERLINK("https://klasma.github.io/Logging_0884/klagomål/A 2837-2024 FSC-klagomål.docx", "A 2837-2024")</f>
        <v/>
      </c>
      <c r="W47">
        <f>HYPERLINK("https://klasma.github.io/Logging_0884/klagomålsmail/A 2837-2024 FSC-klagomål mail.docx", "A 2837-2024")</f>
        <v/>
      </c>
      <c r="X47">
        <f>HYPERLINK("https://klasma.github.io/Logging_0884/tillsyn/A 2837-2024 tillsynsbegäran.docx", "A 2837-2024")</f>
        <v/>
      </c>
      <c r="Y47">
        <f>HYPERLINK("https://klasma.github.io/Logging_0884/tillsynsmail/A 2837-2024 tillsynsbegäran mail.docx", "A 2837-2024")</f>
        <v/>
      </c>
      <c r="Z47">
        <f>HYPERLINK("https://klasma.github.io/Logging_0884/fåglar/A 2837-2024 prioriterade fågelarter.docx", "A 2837-2024")</f>
        <v/>
      </c>
    </row>
    <row r="48" ht="15" customHeight="1">
      <c r="A48" t="inlineStr">
        <is>
          <t>A 10887-2025</t>
        </is>
      </c>
      <c r="B48" s="1" t="n">
        <v>45722.66604166666</v>
      </c>
      <c r="C48" s="1" t="n">
        <v>45884</v>
      </c>
      <c r="D48" t="inlineStr">
        <is>
          <t>KALMAR LÄN</t>
        </is>
      </c>
      <c r="E48" t="inlineStr">
        <is>
          <t>OSKARSHAMN</t>
        </is>
      </c>
      <c r="G48" t="n">
        <v>1.5</v>
      </c>
      <c r="H48" t="n">
        <v>4</v>
      </c>
      <c r="I48" t="n">
        <v>0</v>
      </c>
      <c r="J48" t="n">
        <v>5</v>
      </c>
      <c r="K48" t="n">
        <v>0</v>
      </c>
      <c r="L48" t="n">
        <v>1</v>
      </c>
      <c r="M48" t="n">
        <v>0</v>
      </c>
      <c r="N48" t="n">
        <v>0</v>
      </c>
      <c r="O48" t="n">
        <v>6</v>
      </c>
      <c r="P48" t="n">
        <v>1</v>
      </c>
      <c r="Q48" t="n">
        <v>9</v>
      </c>
      <c r="R48" s="2" t="inlineStr">
        <is>
          <t>Bredgentiana
Backklöver
Gullklöver
Slåtterfibbla
Solvända
Spindelört
Brudsporre
Nattviol
Gullviva</t>
        </is>
      </c>
      <c r="S48">
        <f>HYPERLINK("https://klasma.github.io/Logging_0882/artfynd/A 10887-2025 artfynd.xlsx", "A 10887-2025")</f>
        <v/>
      </c>
      <c r="T48">
        <f>HYPERLINK("https://klasma.github.io/Logging_0882/kartor/A 10887-2025 karta.png", "A 10887-2025")</f>
        <v/>
      </c>
      <c r="V48">
        <f>HYPERLINK("https://klasma.github.io/Logging_0882/klagomål/A 10887-2025 FSC-klagomål.docx", "A 10887-2025")</f>
        <v/>
      </c>
      <c r="W48">
        <f>HYPERLINK("https://klasma.github.io/Logging_0882/klagomålsmail/A 10887-2025 FSC-klagomål mail.docx", "A 10887-2025")</f>
        <v/>
      </c>
      <c r="X48">
        <f>HYPERLINK("https://klasma.github.io/Logging_0882/tillsyn/A 10887-2025 tillsynsbegäran.docx", "A 10887-2025")</f>
        <v/>
      </c>
      <c r="Y48">
        <f>HYPERLINK("https://klasma.github.io/Logging_0882/tillsynsmail/A 10887-2025 tillsynsbegäran mail.docx", "A 10887-2025")</f>
        <v/>
      </c>
    </row>
    <row r="49" ht="15" customHeight="1">
      <c r="A49" t="inlineStr">
        <is>
          <t>A 59540-2023</t>
        </is>
      </c>
      <c r="B49" s="1" t="n">
        <v>45254</v>
      </c>
      <c r="C49" s="1" t="n">
        <v>45884</v>
      </c>
      <c r="D49" t="inlineStr">
        <is>
          <t>KALMAR LÄN</t>
        </is>
      </c>
      <c r="E49" t="inlineStr">
        <is>
          <t>MÖRBYLÅNGA</t>
        </is>
      </c>
      <c r="G49" t="n">
        <v>2.8</v>
      </c>
      <c r="H49" t="n">
        <v>9</v>
      </c>
      <c r="I49" t="n">
        <v>0</v>
      </c>
      <c r="J49" t="n">
        <v>6</v>
      </c>
      <c r="K49" t="n">
        <v>0</v>
      </c>
      <c r="L49" t="n">
        <v>2</v>
      </c>
      <c r="M49" t="n">
        <v>0</v>
      </c>
      <c r="N49" t="n">
        <v>0</v>
      </c>
      <c r="O49" t="n">
        <v>8</v>
      </c>
      <c r="P49" t="n">
        <v>2</v>
      </c>
      <c r="Q49" t="n">
        <v>9</v>
      </c>
      <c r="R49" s="2" t="inlineStr">
        <is>
          <t>Grönfink
Tornseglare
Björktrast
Grönsångare
Rödvingetrast
Spillkråka
Svartvit flugsnappare
Ärtsångare
Nattskärra</t>
        </is>
      </c>
      <c r="S49">
        <f>HYPERLINK("https://klasma.github.io/Logging_0840/artfynd/A 59540-2023 artfynd.xlsx", "A 59540-2023")</f>
        <v/>
      </c>
      <c r="T49">
        <f>HYPERLINK("https://klasma.github.io/Logging_0840/kartor/A 59540-2023 karta.png", "A 59540-2023")</f>
        <v/>
      </c>
      <c r="V49">
        <f>HYPERLINK("https://klasma.github.io/Logging_0840/klagomål/A 59540-2023 FSC-klagomål.docx", "A 59540-2023")</f>
        <v/>
      </c>
      <c r="W49">
        <f>HYPERLINK("https://klasma.github.io/Logging_0840/klagomålsmail/A 59540-2023 FSC-klagomål mail.docx", "A 59540-2023")</f>
        <v/>
      </c>
      <c r="X49">
        <f>HYPERLINK("https://klasma.github.io/Logging_0840/tillsyn/A 59540-2023 tillsynsbegäran.docx", "A 59540-2023")</f>
        <v/>
      </c>
      <c r="Y49">
        <f>HYPERLINK("https://klasma.github.io/Logging_0840/tillsynsmail/A 59540-2023 tillsynsbegäran mail.docx", "A 59540-2023")</f>
        <v/>
      </c>
      <c r="Z49">
        <f>HYPERLINK("https://klasma.github.io/Logging_0840/fåglar/A 59540-2023 prioriterade fågelarter.docx", "A 59540-2023")</f>
        <v/>
      </c>
    </row>
    <row r="50" ht="15" customHeight="1">
      <c r="A50" t="inlineStr">
        <is>
          <t>A 35134-2024</t>
        </is>
      </c>
      <c r="B50" s="1" t="n">
        <v>45530</v>
      </c>
      <c r="C50" s="1" t="n">
        <v>45884</v>
      </c>
      <c r="D50" t="inlineStr">
        <is>
          <t>KALMAR LÄN</t>
        </is>
      </c>
      <c r="E50" t="inlineStr">
        <is>
          <t>VÄSTERVIK</t>
        </is>
      </c>
      <c r="G50" t="n">
        <v>1.9</v>
      </c>
      <c r="H50" t="n">
        <v>4</v>
      </c>
      <c r="I50" t="n">
        <v>5</v>
      </c>
      <c r="J50" t="n">
        <v>3</v>
      </c>
      <c r="K50" t="n">
        <v>1</v>
      </c>
      <c r="L50" t="n">
        <v>0</v>
      </c>
      <c r="M50" t="n">
        <v>0</v>
      </c>
      <c r="N50" t="n">
        <v>0</v>
      </c>
      <c r="O50" t="n">
        <v>4</v>
      </c>
      <c r="P50" t="n">
        <v>1</v>
      </c>
      <c r="Q50" t="n">
        <v>9</v>
      </c>
      <c r="R50" s="2" t="inlineStr">
        <is>
          <t>Knärot
Entita
Orange taggsvamp
Spillkråka
Blomkålssvamp
Dropptaggsvamp
Grönpyrola
Murgröna
Purpurknipprot</t>
        </is>
      </c>
      <c r="S50">
        <f>HYPERLINK("https://klasma.github.io/Logging_0883/artfynd/A 35134-2024 artfynd.xlsx", "A 35134-2024")</f>
        <v/>
      </c>
      <c r="T50">
        <f>HYPERLINK("https://klasma.github.io/Logging_0883/kartor/A 35134-2024 karta.png", "A 35134-2024")</f>
        <v/>
      </c>
      <c r="U50">
        <f>HYPERLINK("https://klasma.github.io/Logging_0883/knärot/A 35134-2024 karta knärot.png", "A 35134-2024")</f>
        <v/>
      </c>
      <c r="V50">
        <f>HYPERLINK("https://klasma.github.io/Logging_0883/klagomål/A 35134-2024 FSC-klagomål.docx", "A 35134-2024")</f>
        <v/>
      </c>
      <c r="W50">
        <f>HYPERLINK("https://klasma.github.io/Logging_0883/klagomålsmail/A 35134-2024 FSC-klagomål mail.docx", "A 35134-2024")</f>
        <v/>
      </c>
      <c r="X50">
        <f>HYPERLINK("https://klasma.github.io/Logging_0883/tillsyn/A 35134-2024 tillsynsbegäran.docx", "A 35134-2024")</f>
        <v/>
      </c>
      <c r="Y50">
        <f>HYPERLINK("https://klasma.github.io/Logging_0883/tillsynsmail/A 35134-2024 tillsynsbegäran mail.docx", "A 35134-2024")</f>
        <v/>
      </c>
      <c r="Z50">
        <f>HYPERLINK("https://klasma.github.io/Logging_0883/fåglar/A 35134-2024 prioriterade fågelarter.docx", "A 35134-2024")</f>
        <v/>
      </c>
    </row>
    <row r="51" ht="15" customHeight="1">
      <c r="A51" t="inlineStr">
        <is>
          <t>A 52175-2023</t>
        </is>
      </c>
      <c r="B51" s="1" t="n">
        <v>45224.36061342592</v>
      </c>
      <c r="C51" s="1" t="n">
        <v>45884</v>
      </c>
      <c r="D51" t="inlineStr">
        <is>
          <t>KALMAR LÄN</t>
        </is>
      </c>
      <c r="E51" t="inlineStr">
        <is>
          <t>HÖGSBY</t>
        </is>
      </c>
      <c r="G51" t="n">
        <v>17.1</v>
      </c>
      <c r="H51" t="n">
        <v>1</v>
      </c>
      <c r="I51" t="n">
        <v>4</v>
      </c>
      <c r="J51" t="n">
        <v>5</v>
      </c>
      <c r="K51" t="n">
        <v>0</v>
      </c>
      <c r="L51" t="n">
        <v>0</v>
      </c>
      <c r="M51" t="n">
        <v>0</v>
      </c>
      <c r="N51" t="n">
        <v>0</v>
      </c>
      <c r="O51" t="n">
        <v>5</v>
      </c>
      <c r="P51" t="n">
        <v>0</v>
      </c>
      <c r="Q51" t="n">
        <v>9</v>
      </c>
      <c r="R51" s="2" t="inlineStr">
        <is>
          <t>Dvärgbägarlav
Motaggsvamp
Spillkråka
Tallticka
Vedskivlav
Blomskägglav
Blåmossa
Flagellkvastmossa
Mindre märgborre</t>
        </is>
      </c>
      <c r="S51">
        <f>HYPERLINK("https://klasma.github.io/Logging_0821/artfynd/A 52175-2023 artfynd.xlsx", "A 52175-2023")</f>
        <v/>
      </c>
      <c r="T51">
        <f>HYPERLINK("https://klasma.github.io/Logging_0821/kartor/A 52175-2023 karta.png", "A 52175-2023")</f>
        <v/>
      </c>
      <c r="V51">
        <f>HYPERLINK("https://klasma.github.io/Logging_0821/klagomål/A 52175-2023 FSC-klagomål.docx", "A 52175-2023")</f>
        <v/>
      </c>
      <c r="W51">
        <f>HYPERLINK("https://klasma.github.io/Logging_0821/klagomålsmail/A 52175-2023 FSC-klagomål mail.docx", "A 52175-2023")</f>
        <v/>
      </c>
      <c r="X51">
        <f>HYPERLINK("https://klasma.github.io/Logging_0821/tillsyn/A 52175-2023 tillsynsbegäran.docx", "A 52175-2023")</f>
        <v/>
      </c>
      <c r="Y51">
        <f>HYPERLINK("https://klasma.github.io/Logging_0821/tillsynsmail/A 52175-2023 tillsynsbegäran mail.docx", "A 52175-2023")</f>
        <v/>
      </c>
      <c r="Z51">
        <f>HYPERLINK("https://klasma.github.io/Logging_0821/fåglar/A 52175-2023 prioriterade fågelarter.docx", "A 52175-2023")</f>
        <v/>
      </c>
    </row>
    <row r="52" ht="15" customHeight="1">
      <c r="A52" t="inlineStr">
        <is>
          <t>A 24641-2024</t>
        </is>
      </c>
      <c r="B52" s="1" t="n">
        <v>45460</v>
      </c>
      <c r="C52" s="1" t="n">
        <v>45884</v>
      </c>
      <c r="D52" t="inlineStr">
        <is>
          <t>KALMAR LÄN</t>
        </is>
      </c>
      <c r="E52" t="inlineStr">
        <is>
          <t>OSKARSHAMN</t>
        </is>
      </c>
      <c r="G52" t="n">
        <v>5.6</v>
      </c>
      <c r="H52" t="n">
        <v>5</v>
      </c>
      <c r="I52" t="n">
        <v>2</v>
      </c>
      <c r="J52" t="n">
        <v>5</v>
      </c>
      <c r="K52" t="n">
        <v>0</v>
      </c>
      <c r="L52" t="n">
        <v>0</v>
      </c>
      <c r="M52" t="n">
        <v>0</v>
      </c>
      <c r="N52" t="n">
        <v>0</v>
      </c>
      <c r="O52" t="n">
        <v>5</v>
      </c>
      <c r="P52" t="n">
        <v>0</v>
      </c>
      <c r="Q52" t="n">
        <v>9</v>
      </c>
      <c r="R52" s="2" t="inlineStr">
        <is>
          <t>Gropticka
Havsörn
Spillkråka
Tallticka
Talltita
Blomkålssvamp
Blåmossa
Gröngöling
Blåsippa</t>
        </is>
      </c>
      <c r="S52">
        <f>HYPERLINK("https://klasma.github.io/Logging_0882/artfynd/A 24641-2024 artfynd.xlsx", "A 24641-2024")</f>
        <v/>
      </c>
      <c r="T52">
        <f>HYPERLINK("https://klasma.github.io/Logging_0882/kartor/A 24641-2024 karta.png", "A 24641-2024")</f>
        <v/>
      </c>
      <c r="V52">
        <f>HYPERLINK("https://klasma.github.io/Logging_0882/klagomål/A 24641-2024 FSC-klagomål.docx", "A 24641-2024")</f>
        <v/>
      </c>
      <c r="W52">
        <f>HYPERLINK("https://klasma.github.io/Logging_0882/klagomålsmail/A 24641-2024 FSC-klagomål mail.docx", "A 24641-2024")</f>
        <v/>
      </c>
      <c r="X52">
        <f>HYPERLINK("https://klasma.github.io/Logging_0882/tillsyn/A 24641-2024 tillsynsbegäran.docx", "A 24641-2024")</f>
        <v/>
      </c>
      <c r="Y52">
        <f>HYPERLINK("https://klasma.github.io/Logging_0882/tillsynsmail/A 24641-2024 tillsynsbegäran mail.docx", "A 24641-2024")</f>
        <v/>
      </c>
      <c r="Z52">
        <f>HYPERLINK("https://klasma.github.io/Logging_0882/fåglar/A 24641-2024 prioriterade fågelarter.docx", "A 24641-2024")</f>
        <v/>
      </c>
    </row>
    <row r="53" ht="15" customHeight="1">
      <c r="A53" t="inlineStr">
        <is>
          <t>A 28212-2024</t>
        </is>
      </c>
      <c r="B53" s="1" t="n">
        <v>45477.35888888889</v>
      </c>
      <c r="C53" s="1" t="n">
        <v>45884</v>
      </c>
      <c r="D53" t="inlineStr">
        <is>
          <t>KALMAR LÄN</t>
        </is>
      </c>
      <c r="E53" t="inlineStr">
        <is>
          <t>HULTSFRED</t>
        </is>
      </c>
      <c r="G53" t="n">
        <v>3.4</v>
      </c>
      <c r="H53" t="n">
        <v>4</v>
      </c>
      <c r="I53" t="n">
        <v>5</v>
      </c>
      <c r="J53" t="n">
        <v>1</v>
      </c>
      <c r="K53" t="n">
        <v>1</v>
      </c>
      <c r="L53" t="n">
        <v>0</v>
      </c>
      <c r="M53" t="n">
        <v>0</v>
      </c>
      <c r="N53" t="n">
        <v>0</v>
      </c>
      <c r="O53" t="n">
        <v>2</v>
      </c>
      <c r="P53" t="n">
        <v>1</v>
      </c>
      <c r="Q53" t="n">
        <v>9</v>
      </c>
      <c r="R53" s="2" t="inlineStr">
        <is>
          <t>Knärot
Spillkråka
Bronshjon
Dropptaggsvamp
Grönpyrola
Gulnål
Kornig nållav
Vanlig groda
Blåsippa</t>
        </is>
      </c>
      <c r="S53">
        <f>HYPERLINK("https://klasma.github.io/Logging_0860/artfynd/A 28212-2024 artfynd.xlsx", "A 28212-2024")</f>
        <v/>
      </c>
      <c r="T53">
        <f>HYPERLINK("https://klasma.github.io/Logging_0860/kartor/A 28212-2024 karta.png", "A 28212-2024")</f>
        <v/>
      </c>
      <c r="U53">
        <f>HYPERLINK("https://klasma.github.io/Logging_0860/knärot/A 28212-2024 karta knärot.png", "A 28212-2024")</f>
        <v/>
      </c>
      <c r="V53">
        <f>HYPERLINK("https://klasma.github.io/Logging_0860/klagomål/A 28212-2024 FSC-klagomål.docx", "A 28212-2024")</f>
        <v/>
      </c>
      <c r="W53">
        <f>HYPERLINK("https://klasma.github.io/Logging_0860/klagomålsmail/A 28212-2024 FSC-klagomål mail.docx", "A 28212-2024")</f>
        <v/>
      </c>
      <c r="X53">
        <f>HYPERLINK("https://klasma.github.io/Logging_0860/tillsyn/A 28212-2024 tillsynsbegäran.docx", "A 28212-2024")</f>
        <v/>
      </c>
      <c r="Y53">
        <f>HYPERLINK("https://klasma.github.io/Logging_0860/tillsynsmail/A 28212-2024 tillsynsbegäran mail.docx", "A 28212-2024")</f>
        <v/>
      </c>
      <c r="Z53">
        <f>HYPERLINK("https://klasma.github.io/Logging_0860/fåglar/A 28212-2024 prioriterade fågelarter.docx", "A 28212-2024")</f>
        <v/>
      </c>
    </row>
    <row r="54" ht="15" customHeight="1">
      <c r="A54" t="inlineStr">
        <is>
          <t>A 63570-2020</t>
        </is>
      </c>
      <c r="B54" s="1" t="n">
        <v>44165</v>
      </c>
      <c r="C54" s="1" t="n">
        <v>45884</v>
      </c>
      <c r="D54" t="inlineStr">
        <is>
          <t>KALMAR LÄN</t>
        </is>
      </c>
      <c r="E54" t="inlineStr">
        <is>
          <t>OSKARSHAMN</t>
        </is>
      </c>
      <c r="F54" t="inlineStr">
        <is>
          <t>Sveaskog</t>
        </is>
      </c>
      <c r="G54" t="n">
        <v>5.2</v>
      </c>
      <c r="H54" t="n">
        <v>2</v>
      </c>
      <c r="I54" t="n">
        <v>0</v>
      </c>
      <c r="J54" t="n">
        <v>7</v>
      </c>
      <c r="K54" t="n">
        <v>0</v>
      </c>
      <c r="L54" t="n">
        <v>0</v>
      </c>
      <c r="M54" t="n">
        <v>0</v>
      </c>
      <c r="N54" t="n">
        <v>0</v>
      </c>
      <c r="O54" t="n">
        <v>7</v>
      </c>
      <c r="P54" t="n">
        <v>0</v>
      </c>
      <c r="Q54" t="n">
        <v>9</v>
      </c>
      <c r="R54" s="2" t="inlineStr">
        <is>
          <t>Backklöver
Korskovall
Slåtterfibbla
Solvända
Spindelört
Svinrot
Vippärt
Blåsippa
Gullviva</t>
        </is>
      </c>
      <c r="S54">
        <f>HYPERLINK("https://klasma.github.io/Logging_0882/artfynd/A 63570-2020 artfynd.xlsx", "A 63570-2020")</f>
        <v/>
      </c>
      <c r="T54">
        <f>HYPERLINK("https://klasma.github.io/Logging_0882/kartor/A 63570-2020 karta.png", "A 63570-2020")</f>
        <v/>
      </c>
      <c r="V54">
        <f>HYPERLINK("https://klasma.github.io/Logging_0882/klagomål/A 63570-2020 FSC-klagomål.docx", "A 63570-2020")</f>
        <v/>
      </c>
      <c r="W54">
        <f>HYPERLINK("https://klasma.github.io/Logging_0882/klagomålsmail/A 63570-2020 FSC-klagomål mail.docx", "A 63570-2020")</f>
        <v/>
      </c>
      <c r="X54">
        <f>HYPERLINK("https://klasma.github.io/Logging_0882/tillsyn/A 63570-2020 tillsynsbegäran.docx", "A 63570-2020")</f>
        <v/>
      </c>
      <c r="Y54">
        <f>HYPERLINK("https://klasma.github.io/Logging_0882/tillsynsmail/A 63570-2020 tillsynsbegäran mail.docx", "A 63570-2020")</f>
        <v/>
      </c>
    </row>
    <row r="55" ht="15" customHeight="1">
      <c r="A55" t="inlineStr">
        <is>
          <t>A 3290-2025</t>
        </is>
      </c>
      <c r="B55" s="1" t="n">
        <v>45679</v>
      </c>
      <c r="C55" s="1" t="n">
        <v>45884</v>
      </c>
      <c r="D55" t="inlineStr">
        <is>
          <t>KALMAR LÄN</t>
        </is>
      </c>
      <c r="E55" t="inlineStr">
        <is>
          <t>MÖNSTERÅS</t>
        </is>
      </c>
      <c r="G55" t="n">
        <v>3.5</v>
      </c>
      <c r="H55" t="n">
        <v>6</v>
      </c>
      <c r="I55" t="n">
        <v>2</v>
      </c>
      <c r="J55" t="n">
        <v>3</v>
      </c>
      <c r="K55" t="n">
        <v>1</v>
      </c>
      <c r="L55" t="n">
        <v>0</v>
      </c>
      <c r="M55" t="n">
        <v>0</v>
      </c>
      <c r="N55" t="n">
        <v>0</v>
      </c>
      <c r="O55" t="n">
        <v>4</v>
      </c>
      <c r="P55" t="n">
        <v>1</v>
      </c>
      <c r="Q55" t="n">
        <v>9</v>
      </c>
      <c r="R55" s="2" t="inlineStr">
        <is>
          <t>Knärot
Duvhök
Spillkråka
Tallticka
Blåmossa
Grönpyrola
Grönsiska
Kungsfågel
Mattlummer</t>
        </is>
      </c>
      <c r="S55">
        <f>HYPERLINK("https://klasma.github.io/Logging_0861/artfynd/A 3290-2025 artfynd.xlsx", "A 3290-2025")</f>
        <v/>
      </c>
      <c r="T55">
        <f>HYPERLINK("https://klasma.github.io/Logging_0861/kartor/A 3290-2025 karta.png", "A 3290-2025")</f>
        <v/>
      </c>
      <c r="U55">
        <f>HYPERLINK("https://klasma.github.io/Logging_0861/knärot/A 3290-2025 karta knärot.png", "A 3290-2025")</f>
        <v/>
      </c>
      <c r="V55">
        <f>HYPERLINK("https://klasma.github.io/Logging_0861/klagomål/A 3290-2025 FSC-klagomål.docx", "A 3290-2025")</f>
        <v/>
      </c>
      <c r="W55">
        <f>HYPERLINK("https://klasma.github.io/Logging_0861/klagomålsmail/A 3290-2025 FSC-klagomål mail.docx", "A 3290-2025")</f>
        <v/>
      </c>
      <c r="X55">
        <f>HYPERLINK("https://klasma.github.io/Logging_0861/tillsyn/A 3290-2025 tillsynsbegäran.docx", "A 3290-2025")</f>
        <v/>
      </c>
      <c r="Y55">
        <f>HYPERLINK("https://klasma.github.io/Logging_0861/tillsynsmail/A 3290-2025 tillsynsbegäran mail.docx", "A 3290-2025")</f>
        <v/>
      </c>
      <c r="Z55">
        <f>HYPERLINK("https://klasma.github.io/Logging_0861/fåglar/A 3290-2025 prioriterade fågelarter.docx", "A 3290-2025")</f>
        <v/>
      </c>
    </row>
    <row r="56" ht="15" customHeight="1">
      <c r="A56" t="inlineStr">
        <is>
          <t>A 21219-2023</t>
        </is>
      </c>
      <c r="B56" s="1" t="n">
        <v>45062</v>
      </c>
      <c r="C56" s="1" t="n">
        <v>45884</v>
      </c>
      <c r="D56" t="inlineStr">
        <is>
          <t>KALMAR LÄN</t>
        </is>
      </c>
      <c r="E56" t="inlineStr">
        <is>
          <t>MÖRBYLÅNGA</t>
        </is>
      </c>
      <c r="G56" t="n">
        <v>2.6</v>
      </c>
      <c r="H56" t="n">
        <v>2</v>
      </c>
      <c r="I56" t="n">
        <v>5</v>
      </c>
      <c r="J56" t="n">
        <v>1</v>
      </c>
      <c r="K56" t="n">
        <v>0</v>
      </c>
      <c r="L56" t="n">
        <v>1</v>
      </c>
      <c r="M56" t="n">
        <v>0</v>
      </c>
      <c r="N56" t="n">
        <v>0</v>
      </c>
      <c r="O56" t="n">
        <v>2</v>
      </c>
      <c r="P56" t="n">
        <v>1</v>
      </c>
      <c r="Q56" t="n">
        <v>9</v>
      </c>
      <c r="R56" s="2" t="inlineStr">
        <is>
          <t>Ask
Olivbrun spindling
Murgröna
Platt fjädermossa
Strimspindling
Sårläka
Traslav
Blåsippa
Gullviva</t>
        </is>
      </c>
      <c r="S56">
        <f>HYPERLINK("https://klasma.github.io/Logging_0840/artfynd/A 21219-2023 artfynd.xlsx", "A 21219-2023")</f>
        <v/>
      </c>
      <c r="T56">
        <f>HYPERLINK("https://klasma.github.io/Logging_0840/kartor/A 21219-2023 karta.png", "A 21219-2023")</f>
        <v/>
      </c>
      <c r="V56">
        <f>HYPERLINK("https://klasma.github.io/Logging_0840/klagomål/A 21219-2023 FSC-klagomål.docx", "A 21219-2023")</f>
        <v/>
      </c>
      <c r="W56">
        <f>HYPERLINK("https://klasma.github.io/Logging_0840/klagomålsmail/A 21219-2023 FSC-klagomål mail.docx", "A 21219-2023")</f>
        <v/>
      </c>
      <c r="X56">
        <f>HYPERLINK("https://klasma.github.io/Logging_0840/tillsyn/A 21219-2023 tillsynsbegäran.docx", "A 21219-2023")</f>
        <v/>
      </c>
      <c r="Y56">
        <f>HYPERLINK("https://klasma.github.io/Logging_0840/tillsynsmail/A 21219-2023 tillsynsbegäran mail.docx", "A 21219-2023")</f>
        <v/>
      </c>
    </row>
    <row r="57" ht="15" customHeight="1">
      <c r="A57" t="inlineStr">
        <is>
          <t>A 23597-2021</t>
        </is>
      </c>
      <c r="B57" s="1" t="n">
        <v>44334</v>
      </c>
      <c r="C57" s="1" t="n">
        <v>45884</v>
      </c>
      <c r="D57" t="inlineStr">
        <is>
          <t>KALMAR LÄN</t>
        </is>
      </c>
      <c r="E57" t="inlineStr">
        <is>
          <t>HÖGSBY</t>
        </is>
      </c>
      <c r="G57" t="n">
        <v>1.5</v>
      </c>
      <c r="H57" t="n">
        <v>2</v>
      </c>
      <c r="I57" t="n">
        <v>3</v>
      </c>
      <c r="J57" t="n">
        <v>4</v>
      </c>
      <c r="K57" t="n">
        <v>0</v>
      </c>
      <c r="L57" t="n">
        <v>0</v>
      </c>
      <c r="M57" t="n">
        <v>0</v>
      </c>
      <c r="N57" t="n">
        <v>0</v>
      </c>
      <c r="O57" t="n">
        <v>4</v>
      </c>
      <c r="P57" t="n">
        <v>0</v>
      </c>
      <c r="Q57" t="n">
        <v>8</v>
      </c>
      <c r="R57" s="2" t="inlineStr">
        <is>
          <t>Blå taggsvamp
Hapalopilus aurantiacus
Mjölsvärting
Svinrot
Blåmossa
Dropptaggsvamp
Plattlummer
Revlummer</t>
        </is>
      </c>
      <c r="S57">
        <f>HYPERLINK("https://klasma.github.io/Logging_0821/artfynd/A 23597-2021 artfynd.xlsx", "A 23597-2021")</f>
        <v/>
      </c>
      <c r="T57">
        <f>HYPERLINK("https://klasma.github.io/Logging_0821/kartor/A 23597-2021 karta.png", "A 23597-2021")</f>
        <v/>
      </c>
      <c r="V57">
        <f>HYPERLINK("https://klasma.github.io/Logging_0821/klagomål/A 23597-2021 FSC-klagomål.docx", "A 23597-2021")</f>
        <v/>
      </c>
      <c r="W57">
        <f>HYPERLINK("https://klasma.github.io/Logging_0821/klagomålsmail/A 23597-2021 FSC-klagomål mail.docx", "A 23597-2021")</f>
        <v/>
      </c>
      <c r="X57">
        <f>HYPERLINK("https://klasma.github.io/Logging_0821/tillsyn/A 23597-2021 tillsynsbegäran.docx", "A 23597-2021")</f>
        <v/>
      </c>
      <c r="Y57">
        <f>HYPERLINK("https://klasma.github.io/Logging_0821/tillsynsmail/A 23597-2021 tillsynsbegäran mail.docx", "A 23597-2021")</f>
        <v/>
      </c>
    </row>
    <row r="58" ht="15" customHeight="1">
      <c r="A58" t="inlineStr">
        <is>
          <t>A 27378-2024</t>
        </is>
      </c>
      <c r="B58" s="1" t="n">
        <v>45473</v>
      </c>
      <c r="C58" s="1" t="n">
        <v>45884</v>
      </c>
      <c r="D58" t="inlineStr">
        <is>
          <t>KALMAR LÄN</t>
        </is>
      </c>
      <c r="E58" t="inlineStr">
        <is>
          <t>VÄSTERVIK</t>
        </is>
      </c>
      <c r="G58" t="n">
        <v>3</v>
      </c>
      <c r="H58" t="n">
        <v>4</v>
      </c>
      <c r="I58" t="n">
        <v>2</v>
      </c>
      <c r="J58" t="n">
        <v>2</v>
      </c>
      <c r="K58" t="n">
        <v>2</v>
      </c>
      <c r="L58" t="n">
        <v>0</v>
      </c>
      <c r="M58" t="n">
        <v>0</v>
      </c>
      <c r="N58" t="n">
        <v>0</v>
      </c>
      <c r="O58" t="n">
        <v>4</v>
      </c>
      <c r="P58" t="n">
        <v>2</v>
      </c>
      <c r="Q58" t="n">
        <v>8</v>
      </c>
      <c r="R58" s="2" t="inlineStr">
        <is>
          <t>Knärot
Rotfingersvamp
Svart taggsvamp
Talltita
Blåmossa
Dropptaggsvamp
Tjäder
Mattlummer</t>
        </is>
      </c>
      <c r="S58">
        <f>HYPERLINK("https://klasma.github.io/Logging_0883/artfynd/A 27378-2024 artfynd.xlsx", "A 27378-2024")</f>
        <v/>
      </c>
      <c r="T58">
        <f>HYPERLINK("https://klasma.github.io/Logging_0883/kartor/A 27378-2024 karta.png", "A 27378-2024")</f>
        <v/>
      </c>
      <c r="U58">
        <f>HYPERLINK("https://klasma.github.io/Logging_0883/knärot/A 27378-2024 karta knärot.png", "A 27378-2024")</f>
        <v/>
      </c>
      <c r="V58">
        <f>HYPERLINK("https://klasma.github.io/Logging_0883/klagomål/A 27378-2024 FSC-klagomål.docx", "A 27378-2024")</f>
        <v/>
      </c>
      <c r="W58">
        <f>HYPERLINK("https://klasma.github.io/Logging_0883/klagomålsmail/A 27378-2024 FSC-klagomål mail.docx", "A 27378-2024")</f>
        <v/>
      </c>
      <c r="X58">
        <f>HYPERLINK("https://klasma.github.io/Logging_0883/tillsyn/A 27378-2024 tillsynsbegäran.docx", "A 27378-2024")</f>
        <v/>
      </c>
      <c r="Y58">
        <f>HYPERLINK("https://klasma.github.io/Logging_0883/tillsynsmail/A 27378-2024 tillsynsbegäran mail.docx", "A 27378-2024")</f>
        <v/>
      </c>
      <c r="Z58">
        <f>HYPERLINK("https://klasma.github.io/Logging_0883/fåglar/A 27378-2024 prioriterade fågelarter.docx", "A 27378-2024")</f>
        <v/>
      </c>
    </row>
    <row r="59" ht="15" customHeight="1">
      <c r="A59" t="inlineStr">
        <is>
          <t>A 26281-2024</t>
        </is>
      </c>
      <c r="B59" s="1" t="n">
        <v>45468</v>
      </c>
      <c r="C59" s="1" t="n">
        <v>45884</v>
      </c>
      <c r="D59" t="inlineStr">
        <is>
          <t>KALMAR LÄN</t>
        </is>
      </c>
      <c r="E59" t="inlineStr">
        <is>
          <t>VÄSTERVIK</t>
        </is>
      </c>
      <c r="F59" t="inlineStr">
        <is>
          <t>Holmen skog AB</t>
        </is>
      </c>
      <c r="G59" t="n">
        <v>4.3</v>
      </c>
      <c r="H59" t="n">
        <v>2</v>
      </c>
      <c r="I59" t="n">
        <v>5</v>
      </c>
      <c r="J59" t="n">
        <v>3</v>
      </c>
      <c r="K59" t="n">
        <v>0</v>
      </c>
      <c r="L59" t="n">
        <v>0</v>
      </c>
      <c r="M59" t="n">
        <v>0</v>
      </c>
      <c r="N59" t="n">
        <v>0</v>
      </c>
      <c r="O59" t="n">
        <v>3</v>
      </c>
      <c r="P59" t="n">
        <v>0</v>
      </c>
      <c r="Q59" t="n">
        <v>8</v>
      </c>
      <c r="R59" s="2" t="inlineStr">
        <is>
          <t>Kandelabersvamp
Spillkråka
Tallticka
Ekoxe
Grovticka
Grönpyrola
Murgröna
Rävticka</t>
        </is>
      </c>
      <c r="S59">
        <f>HYPERLINK("https://klasma.github.io/Logging_0883/artfynd/A 26281-2024 artfynd.xlsx", "A 26281-2024")</f>
        <v/>
      </c>
      <c r="T59">
        <f>HYPERLINK("https://klasma.github.io/Logging_0883/kartor/A 26281-2024 karta.png", "A 26281-2024")</f>
        <v/>
      </c>
      <c r="V59">
        <f>HYPERLINK("https://klasma.github.io/Logging_0883/klagomål/A 26281-2024 FSC-klagomål.docx", "A 26281-2024")</f>
        <v/>
      </c>
      <c r="W59">
        <f>HYPERLINK("https://klasma.github.io/Logging_0883/klagomålsmail/A 26281-2024 FSC-klagomål mail.docx", "A 26281-2024")</f>
        <v/>
      </c>
      <c r="X59">
        <f>HYPERLINK("https://klasma.github.io/Logging_0883/tillsyn/A 26281-2024 tillsynsbegäran.docx", "A 26281-2024")</f>
        <v/>
      </c>
      <c r="Y59">
        <f>HYPERLINK("https://klasma.github.io/Logging_0883/tillsynsmail/A 26281-2024 tillsynsbegäran mail.docx", "A 26281-2024")</f>
        <v/>
      </c>
      <c r="Z59">
        <f>HYPERLINK("https://klasma.github.io/Logging_0883/fåglar/A 26281-2024 prioriterade fågelarter.docx", "A 26281-2024")</f>
        <v/>
      </c>
    </row>
    <row r="60" ht="15" customHeight="1">
      <c r="A60" t="inlineStr">
        <is>
          <t>A 8929-2023</t>
        </is>
      </c>
      <c r="B60" s="1" t="n">
        <v>44979</v>
      </c>
      <c r="C60" s="1" t="n">
        <v>45884</v>
      </c>
      <c r="D60" t="inlineStr">
        <is>
          <t>KALMAR LÄN</t>
        </is>
      </c>
      <c r="E60" t="inlineStr">
        <is>
          <t>KALMAR</t>
        </is>
      </c>
      <c r="G60" t="n">
        <v>33.1</v>
      </c>
      <c r="H60" t="n">
        <v>6</v>
      </c>
      <c r="I60" t="n">
        <v>0</v>
      </c>
      <c r="J60" t="n">
        <v>3</v>
      </c>
      <c r="K60" t="n">
        <v>3</v>
      </c>
      <c r="L60" t="n">
        <v>0</v>
      </c>
      <c r="M60" t="n">
        <v>0</v>
      </c>
      <c r="N60" t="n">
        <v>0</v>
      </c>
      <c r="O60" t="n">
        <v>6</v>
      </c>
      <c r="P60" t="n">
        <v>3</v>
      </c>
      <c r="Q60" t="n">
        <v>8</v>
      </c>
      <c r="R60" s="2" t="inlineStr">
        <is>
          <t>Gråtrut
Sandödla
Tofsvipa
Fiskmås
Gullklöver
Kandelabersvamp
Större vattensalamander
Vanlig snok</t>
        </is>
      </c>
      <c r="S60">
        <f>HYPERLINK("https://klasma.github.io/Logging_0880/artfynd/A 8929-2023 artfynd.xlsx", "A 8929-2023")</f>
        <v/>
      </c>
      <c r="T60">
        <f>HYPERLINK("https://klasma.github.io/Logging_0880/kartor/A 8929-2023 karta.png", "A 8929-2023")</f>
        <v/>
      </c>
      <c r="V60">
        <f>HYPERLINK("https://klasma.github.io/Logging_0880/klagomål/A 8929-2023 FSC-klagomål.docx", "A 8929-2023")</f>
        <v/>
      </c>
      <c r="W60">
        <f>HYPERLINK("https://klasma.github.io/Logging_0880/klagomålsmail/A 8929-2023 FSC-klagomål mail.docx", "A 8929-2023")</f>
        <v/>
      </c>
      <c r="X60">
        <f>HYPERLINK("https://klasma.github.io/Logging_0880/tillsyn/A 8929-2023 tillsynsbegäran.docx", "A 8929-2023")</f>
        <v/>
      </c>
      <c r="Y60">
        <f>HYPERLINK("https://klasma.github.io/Logging_0880/tillsynsmail/A 8929-2023 tillsynsbegäran mail.docx", "A 8929-2023")</f>
        <v/>
      </c>
    </row>
    <row r="61" ht="15" customHeight="1">
      <c r="A61" t="inlineStr">
        <is>
          <t>A 45095-2021</t>
        </is>
      </c>
      <c r="B61" s="1" t="n">
        <v>44439</v>
      </c>
      <c r="C61" s="1" t="n">
        <v>45884</v>
      </c>
      <c r="D61" t="inlineStr">
        <is>
          <t>KALMAR LÄN</t>
        </is>
      </c>
      <c r="E61" t="inlineStr">
        <is>
          <t>KALMAR</t>
        </is>
      </c>
      <c r="F61" t="inlineStr">
        <is>
          <t>Sveaskog</t>
        </is>
      </c>
      <c r="G61" t="n">
        <v>6.9</v>
      </c>
      <c r="H61" t="n">
        <v>1</v>
      </c>
      <c r="I61" t="n">
        <v>3</v>
      </c>
      <c r="J61" t="n">
        <v>1</v>
      </c>
      <c r="K61" t="n">
        <v>2</v>
      </c>
      <c r="L61" t="n">
        <v>0</v>
      </c>
      <c r="M61" t="n">
        <v>1</v>
      </c>
      <c r="N61" t="n">
        <v>0</v>
      </c>
      <c r="O61" t="n">
        <v>4</v>
      </c>
      <c r="P61" t="n">
        <v>3</v>
      </c>
      <c r="Q61" t="n">
        <v>8</v>
      </c>
      <c r="R61" s="2" t="inlineStr">
        <is>
          <t>Skogsalm
Porslinsblå spindling
Violgubbe
Fyrflikig jordstjärna
Murgröna
Myskmadra
Safsa
Blåsippa</t>
        </is>
      </c>
      <c r="S61">
        <f>HYPERLINK("https://klasma.github.io/Logging_0880/artfynd/A 45095-2021 artfynd.xlsx", "A 45095-2021")</f>
        <v/>
      </c>
      <c r="T61">
        <f>HYPERLINK("https://klasma.github.io/Logging_0880/kartor/A 45095-2021 karta.png", "A 45095-2021")</f>
        <v/>
      </c>
      <c r="V61">
        <f>HYPERLINK("https://klasma.github.io/Logging_0880/klagomål/A 45095-2021 FSC-klagomål.docx", "A 45095-2021")</f>
        <v/>
      </c>
      <c r="W61">
        <f>HYPERLINK("https://klasma.github.io/Logging_0880/klagomålsmail/A 45095-2021 FSC-klagomål mail.docx", "A 45095-2021")</f>
        <v/>
      </c>
      <c r="X61">
        <f>HYPERLINK("https://klasma.github.io/Logging_0880/tillsyn/A 45095-2021 tillsynsbegäran.docx", "A 45095-2021")</f>
        <v/>
      </c>
      <c r="Y61">
        <f>HYPERLINK("https://klasma.github.io/Logging_0880/tillsynsmail/A 45095-2021 tillsynsbegäran mail.docx", "A 45095-2021")</f>
        <v/>
      </c>
    </row>
    <row r="62" ht="15" customHeight="1">
      <c r="A62" t="inlineStr">
        <is>
          <t>A 4041-2023</t>
        </is>
      </c>
      <c r="B62" s="1" t="n">
        <v>44952</v>
      </c>
      <c r="C62" s="1" t="n">
        <v>45884</v>
      </c>
      <c r="D62" t="inlineStr">
        <is>
          <t>KALMAR LÄN</t>
        </is>
      </c>
      <c r="E62" t="inlineStr">
        <is>
          <t>OSKARSHAMN</t>
        </is>
      </c>
      <c r="F62" t="inlineStr">
        <is>
          <t>Kommuner</t>
        </is>
      </c>
      <c r="G62" t="n">
        <v>1.7</v>
      </c>
      <c r="H62" t="n">
        <v>4</v>
      </c>
      <c r="I62" t="n">
        <v>3</v>
      </c>
      <c r="J62" t="n">
        <v>2</v>
      </c>
      <c r="K62" t="n">
        <v>1</v>
      </c>
      <c r="L62" t="n">
        <v>1</v>
      </c>
      <c r="M62" t="n">
        <v>0</v>
      </c>
      <c r="N62" t="n">
        <v>0</v>
      </c>
      <c r="O62" t="n">
        <v>4</v>
      </c>
      <c r="P62" t="n">
        <v>2</v>
      </c>
      <c r="Q62" t="n">
        <v>8</v>
      </c>
      <c r="R62" s="2" t="inlineStr">
        <is>
          <t>Grönfink
Knärot
Spillkråka
Tallticka
Fjällig taggsvamp s.str.
Granbarkgnagare
Murgröna
Blåsippa</t>
        </is>
      </c>
      <c r="S62">
        <f>HYPERLINK("https://klasma.github.io/Logging_0882/artfynd/A 4041-2023 artfynd.xlsx", "A 4041-2023")</f>
        <v/>
      </c>
      <c r="T62">
        <f>HYPERLINK("https://klasma.github.io/Logging_0882/kartor/A 4041-2023 karta.png", "A 4041-2023")</f>
        <v/>
      </c>
      <c r="U62">
        <f>HYPERLINK("https://klasma.github.io/Logging_0882/knärot/A 4041-2023 karta knärot.png", "A 4041-2023")</f>
        <v/>
      </c>
      <c r="V62">
        <f>HYPERLINK("https://klasma.github.io/Logging_0882/klagomål/A 4041-2023 FSC-klagomål.docx", "A 4041-2023")</f>
        <v/>
      </c>
      <c r="W62">
        <f>HYPERLINK("https://klasma.github.io/Logging_0882/klagomålsmail/A 4041-2023 FSC-klagomål mail.docx", "A 4041-2023")</f>
        <v/>
      </c>
      <c r="X62">
        <f>HYPERLINK("https://klasma.github.io/Logging_0882/tillsyn/A 4041-2023 tillsynsbegäran.docx", "A 4041-2023")</f>
        <v/>
      </c>
      <c r="Y62">
        <f>HYPERLINK("https://klasma.github.io/Logging_0882/tillsynsmail/A 4041-2023 tillsynsbegäran mail.docx", "A 4041-2023")</f>
        <v/>
      </c>
      <c r="Z62">
        <f>HYPERLINK("https://klasma.github.io/Logging_0882/fåglar/A 4041-2023 prioriterade fågelarter.docx", "A 4041-2023")</f>
        <v/>
      </c>
    </row>
    <row r="63" ht="15" customHeight="1">
      <c r="A63" t="inlineStr">
        <is>
          <t>A 46954-2024</t>
        </is>
      </c>
      <c r="B63" s="1" t="n">
        <v>45585</v>
      </c>
      <c r="C63" s="1" t="n">
        <v>45884</v>
      </c>
      <c r="D63" t="inlineStr">
        <is>
          <t>KALMAR LÄN</t>
        </is>
      </c>
      <c r="E63" t="inlineStr">
        <is>
          <t>VÄSTERVIK</t>
        </is>
      </c>
      <c r="G63" t="n">
        <v>6.5</v>
      </c>
      <c r="H63" t="n">
        <v>3</v>
      </c>
      <c r="I63" t="n">
        <v>2</v>
      </c>
      <c r="J63" t="n">
        <v>4</v>
      </c>
      <c r="K63" t="n">
        <v>1</v>
      </c>
      <c r="L63" t="n">
        <v>0</v>
      </c>
      <c r="M63" t="n">
        <v>0</v>
      </c>
      <c r="N63" t="n">
        <v>0</v>
      </c>
      <c r="O63" t="n">
        <v>5</v>
      </c>
      <c r="P63" t="n">
        <v>1</v>
      </c>
      <c r="Q63" t="n">
        <v>8</v>
      </c>
      <c r="R63" s="2" t="inlineStr">
        <is>
          <t>Knärot
Ekticka
Kandelabersvamp
Tallticka
Talltita
Dropptaggsvamp
Murgröna
Blåsippa</t>
        </is>
      </c>
      <c r="S63">
        <f>HYPERLINK("https://klasma.github.io/Logging_0883/artfynd/A 46954-2024 artfynd.xlsx", "A 46954-2024")</f>
        <v/>
      </c>
      <c r="T63">
        <f>HYPERLINK("https://klasma.github.io/Logging_0883/kartor/A 46954-2024 karta.png", "A 46954-2024")</f>
        <v/>
      </c>
      <c r="U63">
        <f>HYPERLINK("https://klasma.github.io/Logging_0883/knärot/A 46954-2024 karta knärot.png", "A 46954-2024")</f>
        <v/>
      </c>
      <c r="V63">
        <f>HYPERLINK("https://klasma.github.io/Logging_0883/klagomål/A 46954-2024 FSC-klagomål.docx", "A 46954-2024")</f>
        <v/>
      </c>
      <c r="W63">
        <f>HYPERLINK("https://klasma.github.io/Logging_0883/klagomålsmail/A 46954-2024 FSC-klagomål mail.docx", "A 46954-2024")</f>
        <v/>
      </c>
      <c r="X63">
        <f>HYPERLINK("https://klasma.github.io/Logging_0883/tillsyn/A 46954-2024 tillsynsbegäran.docx", "A 46954-2024")</f>
        <v/>
      </c>
      <c r="Y63">
        <f>HYPERLINK("https://klasma.github.io/Logging_0883/tillsynsmail/A 46954-2024 tillsynsbegäran mail.docx", "A 46954-2024")</f>
        <v/>
      </c>
      <c r="Z63">
        <f>HYPERLINK("https://klasma.github.io/Logging_0883/fåglar/A 46954-2024 prioriterade fågelarter.docx", "A 46954-2024")</f>
        <v/>
      </c>
    </row>
    <row r="64" ht="15" customHeight="1">
      <c r="A64" t="inlineStr">
        <is>
          <t>A 58854-2021</t>
        </is>
      </c>
      <c r="B64" s="1" t="n">
        <v>44489</v>
      </c>
      <c r="C64" s="1" t="n">
        <v>45884</v>
      </c>
      <c r="D64" t="inlineStr">
        <is>
          <t>KALMAR LÄN</t>
        </is>
      </c>
      <c r="E64" t="inlineStr">
        <is>
          <t>KALMAR</t>
        </is>
      </c>
      <c r="G64" t="n">
        <v>3.7</v>
      </c>
      <c r="H64" t="n">
        <v>1</v>
      </c>
      <c r="I64" t="n">
        <v>2</v>
      </c>
      <c r="J64" t="n">
        <v>3</v>
      </c>
      <c r="K64" t="n">
        <v>2</v>
      </c>
      <c r="L64" t="n">
        <v>1</v>
      </c>
      <c r="M64" t="n">
        <v>0</v>
      </c>
      <c r="N64" t="n">
        <v>0</v>
      </c>
      <c r="O64" t="n">
        <v>6</v>
      </c>
      <c r="P64" t="n">
        <v>3</v>
      </c>
      <c r="Q64" t="n">
        <v>8</v>
      </c>
      <c r="R64" s="2" t="inlineStr">
        <is>
          <t>Tallharticka
Jätteknäppare
Knärot
Gropig brunbagge
Pediacus depressus
Tallticka
Blomkålssvamp
Grovticka</t>
        </is>
      </c>
      <c r="S64">
        <f>HYPERLINK("https://klasma.github.io/Logging_0880/artfynd/A 58854-2021 artfynd.xlsx", "A 58854-2021")</f>
        <v/>
      </c>
      <c r="T64">
        <f>HYPERLINK("https://klasma.github.io/Logging_0880/kartor/A 58854-2021 karta.png", "A 58854-2021")</f>
        <v/>
      </c>
      <c r="U64">
        <f>HYPERLINK("https://klasma.github.io/Logging_0880/knärot/A 58854-2021 karta knärot.png", "A 58854-2021")</f>
        <v/>
      </c>
      <c r="V64">
        <f>HYPERLINK("https://klasma.github.io/Logging_0880/klagomål/A 58854-2021 FSC-klagomål.docx", "A 58854-2021")</f>
        <v/>
      </c>
      <c r="W64">
        <f>HYPERLINK("https://klasma.github.io/Logging_0880/klagomålsmail/A 58854-2021 FSC-klagomål mail.docx", "A 58854-2021")</f>
        <v/>
      </c>
      <c r="X64">
        <f>HYPERLINK("https://klasma.github.io/Logging_0880/tillsyn/A 58854-2021 tillsynsbegäran.docx", "A 58854-2021")</f>
        <v/>
      </c>
      <c r="Y64">
        <f>HYPERLINK("https://klasma.github.io/Logging_0880/tillsynsmail/A 58854-2021 tillsynsbegäran mail.docx", "A 58854-2021")</f>
        <v/>
      </c>
    </row>
    <row r="65" ht="15" customHeight="1">
      <c r="A65" t="inlineStr">
        <is>
          <t>A 1773-2025</t>
        </is>
      </c>
      <c r="B65" s="1" t="n">
        <v>45671</v>
      </c>
      <c r="C65" s="1" t="n">
        <v>45884</v>
      </c>
      <c r="D65" t="inlineStr">
        <is>
          <t>KALMAR LÄN</t>
        </is>
      </c>
      <c r="E65" t="inlineStr">
        <is>
          <t>VÄSTERVIK</t>
        </is>
      </c>
      <c r="G65" t="n">
        <v>1.9</v>
      </c>
      <c r="H65" t="n">
        <v>4</v>
      </c>
      <c r="I65" t="n">
        <v>3</v>
      </c>
      <c r="J65" t="n">
        <v>2</v>
      </c>
      <c r="K65" t="n">
        <v>1</v>
      </c>
      <c r="L65" t="n">
        <v>0</v>
      </c>
      <c r="M65" t="n">
        <v>0</v>
      </c>
      <c r="N65" t="n">
        <v>0</v>
      </c>
      <c r="O65" t="n">
        <v>3</v>
      </c>
      <c r="P65" t="n">
        <v>1</v>
      </c>
      <c r="Q65" t="n">
        <v>8</v>
      </c>
      <c r="R65" s="2" t="inlineStr">
        <is>
          <t>Knärot
Garnlav
Talltita
Blåmossa
Granbräken
Grönpyrola
Kungsfågel
Mattlummer</t>
        </is>
      </c>
      <c r="S65">
        <f>HYPERLINK("https://klasma.github.io/Logging_0883/artfynd/A 1773-2025 artfynd.xlsx", "A 1773-2025")</f>
        <v/>
      </c>
      <c r="T65">
        <f>HYPERLINK("https://klasma.github.io/Logging_0883/kartor/A 1773-2025 karta.png", "A 1773-2025")</f>
        <v/>
      </c>
      <c r="U65">
        <f>HYPERLINK("https://klasma.github.io/Logging_0883/knärot/A 1773-2025 karta knärot.png", "A 1773-2025")</f>
        <v/>
      </c>
      <c r="V65">
        <f>HYPERLINK("https://klasma.github.io/Logging_0883/klagomål/A 1773-2025 FSC-klagomål.docx", "A 1773-2025")</f>
        <v/>
      </c>
      <c r="W65">
        <f>HYPERLINK("https://klasma.github.io/Logging_0883/klagomålsmail/A 1773-2025 FSC-klagomål mail.docx", "A 1773-2025")</f>
        <v/>
      </c>
      <c r="X65">
        <f>HYPERLINK("https://klasma.github.io/Logging_0883/tillsyn/A 1773-2025 tillsynsbegäran.docx", "A 1773-2025")</f>
        <v/>
      </c>
      <c r="Y65">
        <f>HYPERLINK("https://klasma.github.io/Logging_0883/tillsynsmail/A 1773-2025 tillsynsbegäran mail.docx", "A 1773-2025")</f>
        <v/>
      </c>
      <c r="Z65">
        <f>HYPERLINK("https://klasma.github.io/Logging_0883/fåglar/A 1773-2025 prioriterade fågelarter.docx", "A 1773-2025")</f>
        <v/>
      </c>
    </row>
    <row r="66" ht="15" customHeight="1">
      <c r="A66" t="inlineStr">
        <is>
          <t>A 14121-2025</t>
        </is>
      </c>
      <c r="B66" s="1" t="n">
        <v>45740.46803240741</v>
      </c>
      <c r="C66" s="1" t="n">
        <v>45884</v>
      </c>
      <c r="D66" t="inlineStr">
        <is>
          <t>KALMAR LÄN</t>
        </is>
      </c>
      <c r="E66" t="inlineStr">
        <is>
          <t>VÄSTERVIK</t>
        </is>
      </c>
      <c r="F66" t="inlineStr">
        <is>
          <t>Sveaskog</t>
        </is>
      </c>
      <c r="G66" t="n">
        <v>3.4</v>
      </c>
      <c r="H66" t="n">
        <v>6</v>
      </c>
      <c r="I66" t="n">
        <v>3</v>
      </c>
      <c r="J66" t="n">
        <v>4</v>
      </c>
      <c r="K66" t="n">
        <v>0</v>
      </c>
      <c r="L66" t="n">
        <v>0</v>
      </c>
      <c r="M66" t="n">
        <v>0</v>
      </c>
      <c r="N66" t="n">
        <v>0</v>
      </c>
      <c r="O66" t="n">
        <v>4</v>
      </c>
      <c r="P66" t="n">
        <v>0</v>
      </c>
      <c r="Q66" t="n">
        <v>8</v>
      </c>
      <c r="R66" s="2" t="inlineStr">
        <is>
          <t>Entita
Grönsångare
Mindre hackspett
Spillkråka
Myskmadra
Purpurknipprot
Tibast
Skogsduva</t>
        </is>
      </c>
      <c r="S66">
        <f>HYPERLINK("https://klasma.github.io/Logging_0883/artfynd/A 14121-2025 artfynd.xlsx", "A 14121-2025")</f>
        <v/>
      </c>
      <c r="T66">
        <f>HYPERLINK("https://klasma.github.io/Logging_0883/kartor/A 14121-2025 karta.png", "A 14121-2025")</f>
        <v/>
      </c>
      <c r="V66">
        <f>HYPERLINK("https://klasma.github.io/Logging_0883/klagomål/A 14121-2025 FSC-klagomål.docx", "A 14121-2025")</f>
        <v/>
      </c>
      <c r="W66">
        <f>HYPERLINK("https://klasma.github.io/Logging_0883/klagomålsmail/A 14121-2025 FSC-klagomål mail.docx", "A 14121-2025")</f>
        <v/>
      </c>
      <c r="X66">
        <f>HYPERLINK("https://klasma.github.io/Logging_0883/tillsyn/A 14121-2025 tillsynsbegäran.docx", "A 14121-2025")</f>
        <v/>
      </c>
      <c r="Y66">
        <f>HYPERLINK("https://klasma.github.io/Logging_0883/tillsynsmail/A 14121-2025 tillsynsbegäran mail.docx", "A 14121-2025")</f>
        <v/>
      </c>
      <c r="Z66">
        <f>HYPERLINK("https://klasma.github.io/Logging_0883/fåglar/A 14121-2025 prioriterade fågelarter.docx", "A 14121-2025")</f>
        <v/>
      </c>
    </row>
    <row r="67" ht="15" customHeight="1">
      <c r="A67" t="inlineStr">
        <is>
          <t>A 63779-2021</t>
        </is>
      </c>
      <c r="B67" s="1" t="n">
        <v>44508</v>
      </c>
      <c r="C67" s="1" t="n">
        <v>45884</v>
      </c>
      <c r="D67" t="inlineStr">
        <is>
          <t>KALMAR LÄN</t>
        </is>
      </c>
      <c r="E67" t="inlineStr">
        <is>
          <t>MÖRBYLÅNGA</t>
        </is>
      </c>
      <c r="G67" t="n">
        <v>5.1</v>
      </c>
      <c r="H67" t="n">
        <v>3</v>
      </c>
      <c r="I67" t="n">
        <v>2</v>
      </c>
      <c r="J67" t="n">
        <v>3</v>
      </c>
      <c r="K67" t="n">
        <v>0</v>
      </c>
      <c r="L67" t="n">
        <v>0</v>
      </c>
      <c r="M67" t="n">
        <v>1</v>
      </c>
      <c r="N67" t="n">
        <v>0</v>
      </c>
      <c r="O67" t="n">
        <v>4</v>
      </c>
      <c r="P67" t="n">
        <v>1</v>
      </c>
      <c r="Q67" t="n">
        <v>7</v>
      </c>
      <c r="R67" s="2" t="inlineStr">
        <is>
          <t>Skogsalm
Entita
Havsörn
Roststumpbagge
Kragjordstjärna
Scharlakansskål
Kopparödla</t>
        </is>
      </c>
      <c r="S67">
        <f>HYPERLINK("https://klasma.github.io/Logging_0840/artfynd/A 63779-2021 artfynd.xlsx", "A 63779-2021")</f>
        <v/>
      </c>
      <c r="T67">
        <f>HYPERLINK("https://klasma.github.io/Logging_0840/kartor/A 63779-2021 karta.png", "A 63779-2021")</f>
        <v/>
      </c>
      <c r="V67">
        <f>HYPERLINK("https://klasma.github.io/Logging_0840/klagomål/A 63779-2021 FSC-klagomål.docx", "A 63779-2021")</f>
        <v/>
      </c>
      <c r="W67">
        <f>HYPERLINK("https://klasma.github.io/Logging_0840/klagomålsmail/A 63779-2021 FSC-klagomål mail.docx", "A 63779-2021")</f>
        <v/>
      </c>
      <c r="X67">
        <f>HYPERLINK("https://klasma.github.io/Logging_0840/tillsyn/A 63779-2021 tillsynsbegäran.docx", "A 63779-2021")</f>
        <v/>
      </c>
      <c r="Y67">
        <f>HYPERLINK("https://klasma.github.io/Logging_0840/tillsynsmail/A 63779-2021 tillsynsbegäran mail.docx", "A 63779-2021")</f>
        <v/>
      </c>
      <c r="Z67">
        <f>HYPERLINK("https://klasma.github.io/Logging_0840/fåglar/A 63779-2021 prioriterade fågelarter.docx", "A 63779-2021")</f>
        <v/>
      </c>
    </row>
    <row r="68" ht="15" customHeight="1">
      <c r="A68" t="inlineStr">
        <is>
          <t>A 8436-2021</t>
        </is>
      </c>
      <c r="B68" s="1" t="n">
        <v>44245</v>
      </c>
      <c r="C68" s="1" t="n">
        <v>45884</v>
      </c>
      <c r="D68" t="inlineStr">
        <is>
          <t>KALMAR LÄN</t>
        </is>
      </c>
      <c r="E68" t="inlineStr">
        <is>
          <t>MÖRBYLÅNGA</t>
        </is>
      </c>
      <c r="G68" t="n">
        <v>5.4</v>
      </c>
      <c r="H68" t="n">
        <v>2</v>
      </c>
      <c r="I68" t="n">
        <v>2</v>
      </c>
      <c r="J68" t="n">
        <v>2</v>
      </c>
      <c r="K68" t="n">
        <v>0</v>
      </c>
      <c r="L68" t="n">
        <v>1</v>
      </c>
      <c r="M68" t="n">
        <v>2</v>
      </c>
      <c r="N68" t="n">
        <v>0</v>
      </c>
      <c r="O68" t="n">
        <v>5</v>
      </c>
      <c r="P68" t="n">
        <v>3</v>
      </c>
      <c r="Q68" t="n">
        <v>7</v>
      </c>
      <c r="R68" s="2" t="inlineStr">
        <is>
          <t>Lundalm
Skogsalm
Ask
Grönsångare
Mindre hackspett
Hasselticka
Rikfruktig blemlav</t>
        </is>
      </c>
      <c r="S68">
        <f>HYPERLINK("https://klasma.github.io/Logging_0840/artfynd/A 8436-2021 artfynd.xlsx", "A 8436-2021")</f>
        <v/>
      </c>
      <c r="T68">
        <f>HYPERLINK("https://klasma.github.io/Logging_0840/kartor/A 8436-2021 karta.png", "A 8436-2021")</f>
        <v/>
      </c>
      <c r="V68">
        <f>HYPERLINK("https://klasma.github.io/Logging_0840/klagomål/A 8436-2021 FSC-klagomål.docx", "A 8436-2021")</f>
        <v/>
      </c>
      <c r="W68">
        <f>HYPERLINK("https://klasma.github.io/Logging_0840/klagomålsmail/A 8436-2021 FSC-klagomål mail.docx", "A 8436-2021")</f>
        <v/>
      </c>
      <c r="X68">
        <f>HYPERLINK("https://klasma.github.io/Logging_0840/tillsyn/A 8436-2021 tillsynsbegäran.docx", "A 8436-2021")</f>
        <v/>
      </c>
      <c r="Y68">
        <f>HYPERLINK("https://klasma.github.io/Logging_0840/tillsynsmail/A 8436-2021 tillsynsbegäran mail.docx", "A 8436-2021")</f>
        <v/>
      </c>
      <c r="Z68">
        <f>HYPERLINK("https://klasma.github.io/Logging_0840/fåglar/A 8436-2021 prioriterade fågelarter.docx", "A 8436-2021")</f>
        <v/>
      </c>
    </row>
    <row r="69" ht="15" customHeight="1">
      <c r="A69" t="inlineStr">
        <is>
          <t>A 55671-2021</t>
        </is>
      </c>
      <c r="B69" s="1" t="n">
        <v>44476</v>
      </c>
      <c r="C69" s="1" t="n">
        <v>45884</v>
      </c>
      <c r="D69" t="inlineStr">
        <is>
          <t>KALMAR LÄN</t>
        </is>
      </c>
      <c r="E69" t="inlineStr">
        <is>
          <t>KALMAR</t>
        </is>
      </c>
      <c r="F69" t="inlineStr">
        <is>
          <t>Kommuner</t>
        </is>
      </c>
      <c r="G69" t="n">
        <v>13.4</v>
      </c>
      <c r="H69" t="n">
        <v>2</v>
      </c>
      <c r="I69" t="n">
        <v>3</v>
      </c>
      <c r="J69" t="n">
        <v>2</v>
      </c>
      <c r="K69" t="n">
        <v>1</v>
      </c>
      <c r="L69" t="n">
        <v>1</v>
      </c>
      <c r="M69" t="n">
        <v>0</v>
      </c>
      <c r="N69" t="n">
        <v>0</v>
      </c>
      <c r="O69" t="n">
        <v>4</v>
      </c>
      <c r="P69" t="n">
        <v>2</v>
      </c>
      <c r="Q69" t="n">
        <v>7</v>
      </c>
      <c r="R69" s="2" t="inlineStr">
        <is>
          <t>Tallharticka
Knärot
Leptoporus erubescens
Talltita
Blomkålssvamp
Grovticka
Mindre märgborre</t>
        </is>
      </c>
      <c r="S69">
        <f>HYPERLINK("https://klasma.github.io/Logging_0880/artfynd/A 55671-2021 artfynd.xlsx", "A 55671-2021")</f>
        <v/>
      </c>
      <c r="T69">
        <f>HYPERLINK("https://klasma.github.io/Logging_0880/kartor/A 55671-2021 karta.png", "A 55671-2021")</f>
        <v/>
      </c>
      <c r="U69">
        <f>HYPERLINK("https://klasma.github.io/Logging_0880/knärot/A 55671-2021 karta knärot.png", "A 55671-2021")</f>
        <v/>
      </c>
      <c r="V69">
        <f>HYPERLINK("https://klasma.github.io/Logging_0880/klagomål/A 55671-2021 FSC-klagomål.docx", "A 55671-2021")</f>
        <v/>
      </c>
      <c r="W69">
        <f>HYPERLINK("https://klasma.github.io/Logging_0880/klagomålsmail/A 55671-2021 FSC-klagomål mail.docx", "A 55671-2021")</f>
        <v/>
      </c>
      <c r="X69">
        <f>HYPERLINK("https://klasma.github.io/Logging_0880/tillsyn/A 55671-2021 tillsynsbegäran.docx", "A 55671-2021")</f>
        <v/>
      </c>
      <c r="Y69">
        <f>HYPERLINK("https://klasma.github.io/Logging_0880/tillsynsmail/A 55671-2021 tillsynsbegäran mail.docx", "A 55671-2021")</f>
        <v/>
      </c>
      <c r="Z69">
        <f>HYPERLINK("https://klasma.github.io/Logging_0880/fåglar/A 55671-2021 prioriterade fågelarter.docx", "A 55671-2021")</f>
        <v/>
      </c>
    </row>
    <row r="70" ht="15" customHeight="1">
      <c r="A70" t="inlineStr">
        <is>
          <t>A 49276-2021</t>
        </is>
      </c>
      <c r="B70" s="1" t="n">
        <v>44454</v>
      </c>
      <c r="C70" s="1" t="n">
        <v>45884</v>
      </c>
      <c r="D70" t="inlineStr">
        <is>
          <t>KALMAR LÄN</t>
        </is>
      </c>
      <c r="E70" t="inlineStr">
        <is>
          <t>KALMAR</t>
        </is>
      </c>
      <c r="G70" t="n">
        <v>2.8</v>
      </c>
      <c r="H70" t="n">
        <v>3</v>
      </c>
      <c r="I70" t="n">
        <v>2</v>
      </c>
      <c r="J70" t="n">
        <v>4</v>
      </c>
      <c r="K70" t="n">
        <v>1</v>
      </c>
      <c r="L70" t="n">
        <v>0</v>
      </c>
      <c r="M70" t="n">
        <v>0</v>
      </c>
      <c r="N70" t="n">
        <v>0</v>
      </c>
      <c r="O70" t="n">
        <v>5</v>
      </c>
      <c r="P70" t="n">
        <v>1</v>
      </c>
      <c r="Q70" t="n">
        <v>7</v>
      </c>
      <c r="R70" s="2" t="inlineStr">
        <is>
          <t>Knärot
Motaggsvamp
Spillkråka
Talltita
Ullticka
Blåmossa
Vedticka</t>
        </is>
      </c>
      <c r="S70">
        <f>HYPERLINK("https://klasma.github.io/Logging_0880/artfynd/A 49276-2021 artfynd.xlsx", "A 49276-2021")</f>
        <v/>
      </c>
      <c r="T70">
        <f>HYPERLINK("https://klasma.github.io/Logging_0880/kartor/A 49276-2021 karta.png", "A 49276-2021")</f>
        <v/>
      </c>
      <c r="U70">
        <f>HYPERLINK("https://klasma.github.io/Logging_0880/knärot/A 49276-2021 karta knärot.png", "A 49276-2021")</f>
        <v/>
      </c>
      <c r="V70">
        <f>HYPERLINK("https://klasma.github.io/Logging_0880/klagomål/A 49276-2021 FSC-klagomål.docx", "A 49276-2021")</f>
        <v/>
      </c>
      <c r="W70">
        <f>HYPERLINK("https://klasma.github.io/Logging_0880/klagomålsmail/A 49276-2021 FSC-klagomål mail.docx", "A 49276-2021")</f>
        <v/>
      </c>
      <c r="X70">
        <f>HYPERLINK("https://klasma.github.io/Logging_0880/tillsyn/A 49276-2021 tillsynsbegäran.docx", "A 49276-2021")</f>
        <v/>
      </c>
      <c r="Y70">
        <f>HYPERLINK("https://klasma.github.io/Logging_0880/tillsynsmail/A 49276-2021 tillsynsbegäran mail.docx", "A 49276-2021")</f>
        <v/>
      </c>
      <c r="Z70">
        <f>HYPERLINK("https://klasma.github.io/Logging_0880/fåglar/A 49276-2021 prioriterade fågelarter.docx", "A 49276-2021")</f>
        <v/>
      </c>
    </row>
    <row r="71" ht="15" customHeight="1">
      <c r="A71" t="inlineStr">
        <is>
          <t>A 59457-2024</t>
        </is>
      </c>
      <c r="B71" s="1" t="n">
        <v>45638</v>
      </c>
      <c r="C71" s="1" t="n">
        <v>45884</v>
      </c>
      <c r="D71" t="inlineStr">
        <is>
          <t>KALMAR LÄN</t>
        </is>
      </c>
      <c r="E71" t="inlineStr">
        <is>
          <t>VÄSTERVIK</t>
        </is>
      </c>
      <c r="F71" t="inlineStr">
        <is>
          <t>Holmen skog AB</t>
        </is>
      </c>
      <c r="G71" t="n">
        <v>1.2</v>
      </c>
      <c r="H71" t="n">
        <v>4</v>
      </c>
      <c r="I71" t="n">
        <v>2</v>
      </c>
      <c r="J71" t="n">
        <v>3</v>
      </c>
      <c r="K71" t="n">
        <v>0</v>
      </c>
      <c r="L71" t="n">
        <v>0</v>
      </c>
      <c r="M71" t="n">
        <v>0</v>
      </c>
      <c r="N71" t="n">
        <v>0</v>
      </c>
      <c r="O71" t="n">
        <v>3</v>
      </c>
      <c r="P71" t="n">
        <v>0</v>
      </c>
      <c r="Q71" t="n">
        <v>7</v>
      </c>
      <c r="R71" s="2" t="inlineStr">
        <is>
          <t>Spillkråka
Tallticka
Talltita
Blåmossa
Flagellkvastmossa
Kungsfågel
Revlummer</t>
        </is>
      </c>
      <c r="S71">
        <f>HYPERLINK("https://klasma.github.io/Logging_0883/artfynd/A 59457-2024 artfynd.xlsx", "A 59457-2024")</f>
        <v/>
      </c>
      <c r="T71">
        <f>HYPERLINK("https://klasma.github.io/Logging_0883/kartor/A 59457-2024 karta.png", "A 59457-2024")</f>
        <v/>
      </c>
      <c r="V71">
        <f>HYPERLINK("https://klasma.github.io/Logging_0883/klagomål/A 59457-2024 FSC-klagomål.docx", "A 59457-2024")</f>
        <v/>
      </c>
      <c r="W71">
        <f>HYPERLINK("https://klasma.github.io/Logging_0883/klagomålsmail/A 59457-2024 FSC-klagomål mail.docx", "A 59457-2024")</f>
        <v/>
      </c>
      <c r="X71">
        <f>HYPERLINK("https://klasma.github.io/Logging_0883/tillsyn/A 59457-2024 tillsynsbegäran.docx", "A 59457-2024")</f>
        <v/>
      </c>
      <c r="Y71">
        <f>HYPERLINK("https://klasma.github.io/Logging_0883/tillsynsmail/A 59457-2024 tillsynsbegäran mail.docx", "A 59457-2024")</f>
        <v/>
      </c>
      <c r="Z71">
        <f>HYPERLINK("https://klasma.github.io/Logging_0883/fåglar/A 59457-2024 prioriterade fågelarter.docx", "A 59457-2024")</f>
        <v/>
      </c>
    </row>
    <row r="72" ht="15" customHeight="1">
      <c r="A72" t="inlineStr">
        <is>
          <t>A 34624-2022</t>
        </is>
      </c>
      <c r="B72" s="1" t="n">
        <v>44795</v>
      </c>
      <c r="C72" s="1" t="n">
        <v>45884</v>
      </c>
      <c r="D72" t="inlineStr">
        <is>
          <t>KALMAR LÄN</t>
        </is>
      </c>
      <c r="E72" t="inlineStr">
        <is>
          <t>VÄSTERVIK</t>
        </is>
      </c>
      <c r="G72" t="n">
        <v>14</v>
      </c>
      <c r="H72" t="n">
        <v>2</v>
      </c>
      <c r="I72" t="n">
        <v>3</v>
      </c>
      <c r="J72" t="n">
        <v>3</v>
      </c>
      <c r="K72" t="n">
        <v>1</v>
      </c>
      <c r="L72" t="n">
        <v>0</v>
      </c>
      <c r="M72" t="n">
        <v>0</v>
      </c>
      <c r="N72" t="n">
        <v>0</v>
      </c>
      <c r="O72" t="n">
        <v>4</v>
      </c>
      <c r="P72" t="n">
        <v>1</v>
      </c>
      <c r="Q72" t="n">
        <v>7</v>
      </c>
      <c r="R72" s="2" t="inlineStr">
        <is>
          <t>Knärot
Svart taggsvamp
Tallticka
Talltita
Blomkålssvamp
Blåmossa
Grönpyrola</t>
        </is>
      </c>
      <c r="S72">
        <f>HYPERLINK("https://klasma.github.io/Logging_0883/artfynd/A 34624-2022 artfynd.xlsx", "A 34624-2022")</f>
        <v/>
      </c>
      <c r="T72">
        <f>HYPERLINK("https://klasma.github.io/Logging_0883/kartor/A 34624-2022 karta.png", "A 34624-2022")</f>
        <v/>
      </c>
      <c r="U72">
        <f>HYPERLINK("https://klasma.github.io/Logging_0883/knärot/A 34624-2022 karta knärot.png", "A 34624-2022")</f>
        <v/>
      </c>
      <c r="V72">
        <f>HYPERLINK("https://klasma.github.io/Logging_0883/klagomål/A 34624-2022 FSC-klagomål.docx", "A 34624-2022")</f>
        <v/>
      </c>
      <c r="W72">
        <f>HYPERLINK("https://klasma.github.io/Logging_0883/klagomålsmail/A 34624-2022 FSC-klagomål mail.docx", "A 34624-2022")</f>
        <v/>
      </c>
      <c r="X72">
        <f>HYPERLINK("https://klasma.github.io/Logging_0883/tillsyn/A 34624-2022 tillsynsbegäran.docx", "A 34624-2022")</f>
        <v/>
      </c>
      <c r="Y72">
        <f>HYPERLINK("https://klasma.github.io/Logging_0883/tillsynsmail/A 34624-2022 tillsynsbegäran mail.docx", "A 34624-2022")</f>
        <v/>
      </c>
      <c r="Z72">
        <f>HYPERLINK("https://klasma.github.io/Logging_0883/fåglar/A 34624-2022 prioriterade fågelarter.docx", "A 34624-2022")</f>
        <v/>
      </c>
    </row>
    <row r="73" ht="15" customHeight="1">
      <c r="A73" t="inlineStr">
        <is>
          <t>A 37640-2024</t>
        </is>
      </c>
      <c r="B73" s="1" t="n">
        <v>45541.5456712963</v>
      </c>
      <c r="C73" s="1" t="n">
        <v>45884</v>
      </c>
      <c r="D73" t="inlineStr">
        <is>
          <t>KALMAR LÄN</t>
        </is>
      </c>
      <c r="E73" t="inlineStr">
        <is>
          <t>HULTSFRED</t>
        </is>
      </c>
      <c r="F73" t="inlineStr">
        <is>
          <t>Övriga Aktiebolag</t>
        </is>
      </c>
      <c r="G73" t="n">
        <v>4.6</v>
      </c>
      <c r="H73" t="n">
        <v>5</v>
      </c>
      <c r="I73" t="n">
        <v>1</v>
      </c>
      <c r="J73" t="n">
        <v>4</v>
      </c>
      <c r="K73" t="n">
        <v>1</v>
      </c>
      <c r="L73" t="n">
        <v>0</v>
      </c>
      <c r="M73" t="n">
        <v>0</v>
      </c>
      <c r="N73" t="n">
        <v>0</v>
      </c>
      <c r="O73" t="n">
        <v>5</v>
      </c>
      <c r="P73" t="n">
        <v>1</v>
      </c>
      <c r="Q73" t="n">
        <v>7</v>
      </c>
      <c r="R73" s="2" t="inlineStr">
        <is>
          <t>Knärot
Spillkråka
Tallticka
Talltita
Ärtsångare
Grönpyrola
Blåsippa</t>
        </is>
      </c>
      <c r="S73">
        <f>HYPERLINK("https://klasma.github.io/Logging_0860/artfynd/A 37640-2024 artfynd.xlsx", "A 37640-2024")</f>
        <v/>
      </c>
      <c r="T73">
        <f>HYPERLINK("https://klasma.github.io/Logging_0860/kartor/A 37640-2024 karta.png", "A 37640-2024")</f>
        <v/>
      </c>
      <c r="U73">
        <f>HYPERLINK("https://klasma.github.io/Logging_0860/knärot/A 37640-2024 karta knärot.png", "A 37640-2024")</f>
        <v/>
      </c>
      <c r="V73">
        <f>HYPERLINK("https://klasma.github.io/Logging_0860/klagomål/A 37640-2024 FSC-klagomål.docx", "A 37640-2024")</f>
        <v/>
      </c>
      <c r="W73">
        <f>HYPERLINK("https://klasma.github.io/Logging_0860/klagomålsmail/A 37640-2024 FSC-klagomål mail.docx", "A 37640-2024")</f>
        <v/>
      </c>
      <c r="X73">
        <f>HYPERLINK("https://klasma.github.io/Logging_0860/tillsyn/A 37640-2024 tillsynsbegäran.docx", "A 37640-2024")</f>
        <v/>
      </c>
      <c r="Y73">
        <f>HYPERLINK("https://klasma.github.io/Logging_0860/tillsynsmail/A 37640-2024 tillsynsbegäran mail.docx", "A 37640-2024")</f>
        <v/>
      </c>
      <c r="Z73">
        <f>HYPERLINK("https://klasma.github.io/Logging_0860/fåglar/A 37640-2024 prioriterade fågelarter.docx", "A 37640-2024")</f>
        <v/>
      </c>
    </row>
    <row r="74" ht="15" customHeight="1">
      <c r="A74" t="inlineStr">
        <is>
          <t>A 5162-2025</t>
        </is>
      </c>
      <c r="B74" s="1" t="n">
        <v>45691</v>
      </c>
      <c r="C74" s="1" t="n">
        <v>45884</v>
      </c>
      <c r="D74" t="inlineStr">
        <is>
          <t>KALMAR LÄN</t>
        </is>
      </c>
      <c r="E74" t="inlineStr">
        <is>
          <t>OSKARSHAMN</t>
        </is>
      </c>
      <c r="G74" t="n">
        <v>9.300000000000001</v>
      </c>
      <c r="H74" t="n">
        <v>1</v>
      </c>
      <c r="I74" t="n">
        <v>4</v>
      </c>
      <c r="J74" t="n">
        <v>3</v>
      </c>
      <c r="K74" t="n">
        <v>0</v>
      </c>
      <c r="L74" t="n">
        <v>0</v>
      </c>
      <c r="M74" t="n">
        <v>0</v>
      </c>
      <c r="N74" t="n">
        <v>0</v>
      </c>
      <c r="O74" t="n">
        <v>3</v>
      </c>
      <c r="P74" t="n">
        <v>0</v>
      </c>
      <c r="Q74" t="n">
        <v>7</v>
      </c>
      <c r="R74" s="2" t="inlineStr">
        <is>
          <t>Spillkråka
Tallticka
Vedskivlav
Blodticka
Blåmossa
Grovticka
Mindre märgborre</t>
        </is>
      </c>
      <c r="S74">
        <f>HYPERLINK("https://klasma.github.io/Logging_0882/artfynd/A 5162-2025 artfynd.xlsx", "A 5162-2025")</f>
        <v/>
      </c>
      <c r="T74">
        <f>HYPERLINK("https://klasma.github.io/Logging_0882/kartor/A 5162-2025 karta.png", "A 5162-2025")</f>
        <v/>
      </c>
      <c r="V74">
        <f>HYPERLINK("https://klasma.github.io/Logging_0882/klagomål/A 5162-2025 FSC-klagomål.docx", "A 5162-2025")</f>
        <v/>
      </c>
      <c r="W74">
        <f>HYPERLINK("https://klasma.github.io/Logging_0882/klagomålsmail/A 5162-2025 FSC-klagomål mail.docx", "A 5162-2025")</f>
        <v/>
      </c>
      <c r="X74">
        <f>HYPERLINK("https://klasma.github.io/Logging_0882/tillsyn/A 5162-2025 tillsynsbegäran.docx", "A 5162-2025")</f>
        <v/>
      </c>
      <c r="Y74">
        <f>HYPERLINK("https://klasma.github.io/Logging_0882/tillsynsmail/A 5162-2025 tillsynsbegäran mail.docx", "A 5162-2025")</f>
        <v/>
      </c>
      <c r="Z74">
        <f>HYPERLINK("https://klasma.github.io/Logging_0882/fåglar/A 5162-2025 prioriterade fågelarter.docx", "A 5162-2025")</f>
        <v/>
      </c>
    </row>
    <row r="75" ht="15" customHeight="1">
      <c r="A75" t="inlineStr">
        <is>
          <t>A 20013-2023</t>
        </is>
      </c>
      <c r="B75" s="1" t="n">
        <v>45054</v>
      </c>
      <c r="C75" s="1" t="n">
        <v>45884</v>
      </c>
      <c r="D75" t="inlineStr">
        <is>
          <t>KALMAR LÄN</t>
        </is>
      </c>
      <c r="E75" t="inlineStr">
        <is>
          <t>MÖNSTERÅS</t>
        </is>
      </c>
      <c r="F75" t="inlineStr">
        <is>
          <t>Övriga Aktiebolag</t>
        </is>
      </c>
      <c r="G75" t="n">
        <v>6.7</v>
      </c>
      <c r="H75" t="n">
        <v>7</v>
      </c>
      <c r="I75" t="n">
        <v>0</v>
      </c>
      <c r="J75" t="n">
        <v>4</v>
      </c>
      <c r="K75" t="n">
        <v>0</v>
      </c>
      <c r="L75" t="n">
        <v>0</v>
      </c>
      <c r="M75" t="n">
        <v>0</v>
      </c>
      <c r="N75" t="n">
        <v>0</v>
      </c>
      <c r="O75" t="n">
        <v>4</v>
      </c>
      <c r="P75" t="n">
        <v>0</v>
      </c>
      <c r="Q75" t="n">
        <v>7</v>
      </c>
      <c r="R75" s="2" t="inlineStr">
        <is>
          <t>Barbastell
Brunlångöra
Nordfladdermus
Sydfladdermus
Dvärgpipistrell
Större brunfladdermus
Vattenfladdermus</t>
        </is>
      </c>
      <c r="S75">
        <f>HYPERLINK("https://klasma.github.io/Logging_0861/artfynd/A 20013-2023 artfynd.xlsx", "A 20013-2023")</f>
        <v/>
      </c>
      <c r="T75">
        <f>HYPERLINK("https://klasma.github.io/Logging_0861/kartor/A 20013-2023 karta.png", "A 20013-2023")</f>
        <v/>
      </c>
      <c r="V75">
        <f>HYPERLINK("https://klasma.github.io/Logging_0861/klagomål/A 20013-2023 FSC-klagomål.docx", "A 20013-2023")</f>
        <v/>
      </c>
      <c r="W75">
        <f>HYPERLINK("https://klasma.github.io/Logging_0861/klagomålsmail/A 20013-2023 FSC-klagomål mail.docx", "A 20013-2023")</f>
        <v/>
      </c>
      <c r="X75">
        <f>HYPERLINK("https://klasma.github.io/Logging_0861/tillsyn/A 20013-2023 tillsynsbegäran.docx", "A 20013-2023")</f>
        <v/>
      </c>
      <c r="Y75">
        <f>HYPERLINK("https://klasma.github.io/Logging_0861/tillsynsmail/A 20013-2023 tillsynsbegäran mail.docx", "A 20013-2023")</f>
        <v/>
      </c>
    </row>
    <row r="76" ht="15" customHeight="1">
      <c r="A76" t="inlineStr">
        <is>
          <t>A 37983-2023</t>
        </is>
      </c>
      <c r="B76" s="1" t="n">
        <v>45160</v>
      </c>
      <c r="C76" s="1" t="n">
        <v>45884</v>
      </c>
      <c r="D76" t="inlineStr">
        <is>
          <t>KALMAR LÄN</t>
        </is>
      </c>
      <c r="E76" t="inlineStr">
        <is>
          <t>MÖNSTERÅS</t>
        </is>
      </c>
      <c r="G76" t="n">
        <v>13.8</v>
      </c>
      <c r="H76" t="n">
        <v>6</v>
      </c>
      <c r="I76" t="n">
        <v>1</v>
      </c>
      <c r="J76" t="n">
        <v>3</v>
      </c>
      <c r="K76" t="n">
        <v>1</v>
      </c>
      <c r="L76" t="n">
        <v>0</v>
      </c>
      <c r="M76" t="n">
        <v>0</v>
      </c>
      <c r="N76" t="n">
        <v>0</v>
      </c>
      <c r="O76" t="n">
        <v>4</v>
      </c>
      <c r="P76" t="n">
        <v>1</v>
      </c>
      <c r="Q76" t="n">
        <v>7</v>
      </c>
      <c r="R76" s="2" t="inlineStr">
        <is>
          <t>Knärot
Barbastell
Brunlångöra
Nordfladdermus
Grönpyrola
Dvärgpipistrell
Större brunfladdermus</t>
        </is>
      </c>
      <c r="S76">
        <f>HYPERLINK("https://klasma.github.io/Logging_0861/artfynd/A 37983-2023 artfynd.xlsx", "A 37983-2023")</f>
        <v/>
      </c>
      <c r="T76">
        <f>HYPERLINK("https://klasma.github.io/Logging_0861/kartor/A 37983-2023 karta.png", "A 37983-2023")</f>
        <v/>
      </c>
      <c r="U76">
        <f>HYPERLINK("https://klasma.github.io/Logging_0861/knärot/A 37983-2023 karta knärot.png", "A 37983-2023")</f>
        <v/>
      </c>
      <c r="V76">
        <f>HYPERLINK("https://klasma.github.io/Logging_0861/klagomål/A 37983-2023 FSC-klagomål.docx", "A 37983-2023")</f>
        <v/>
      </c>
      <c r="W76">
        <f>HYPERLINK("https://klasma.github.io/Logging_0861/klagomålsmail/A 37983-2023 FSC-klagomål mail.docx", "A 37983-2023")</f>
        <v/>
      </c>
      <c r="X76">
        <f>HYPERLINK("https://klasma.github.io/Logging_0861/tillsyn/A 37983-2023 tillsynsbegäran.docx", "A 37983-2023")</f>
        <v/>
      </c>
      <c r="Y76">
        <f>HYPERLINK("https://klasma.github.io/Logging_0861/tillsynsmail/A 37983-2023 tillsynsbegäran mail.docx", "A 37983-2023")</f>
        <v/>
      </c>
    </row>
    <row r="77" ht="15" customHeight="1">
      <c r="A77" t="inlineStr">
        <is>
          <t>A 31082-2024</t>
        </is>
      </c>
      <c r="B77" s="1" t="n">
        <v>45502</v>
      </c>
      <c r="C77" s="1" t="n">
        <v>45884</v>
      </c>
      <c r="D77" t="inlineStr">
        <is>
          <t>KALMAR LÄN</t>
        </is>
      </c>
      <c r="E77" t="inlineStr">
        <is>
          <t>VÄSTERVIK</t>
        </is>
      </c>
      <c r="F77" t="inlineStr">
        <is>
          <t>Holmen skog AB</t>
        </is>
      </c>
      <c r="G77" t="n">
        <v>8</v>
      </c>
      <c r="H77" t="n">
        <v>3</v>
      </c>
      <c r="I77" t="n">
        <v>3</v>
      </c>
      <c r="J77" t="n">
        <v>2</v>
      </c>
      <c r="K77" t="n">
        <v>1</v>
      </c>
      <c r="L77" t="n">
        <v>0</v>
      </c>
      <c r="M77" t="n">
        <v>0</v>
      </c>
      <c r="N77" t="n">
        <v>0</v>
      </c>
      <c r="O77" t="n">
        <v>3</v>
      </c>
      <c r="P77" t="n">
        <v>1</v>
      </c>
      <c r="Q77" t="n">
        <v>7</v>
      </c>
      <c r="R77" s="2" t="inlineStr">
        <is>
          <t>Knärot
Orange taggsvamp
Talltita
Blåmossa
Dropptaggsvamp
Zontaggsvamp
Tjäder</t>
        </is>
      </c>
      <c r="S77">
        <f>HYPERLINK("https://klasma.github.io/Logging_0883/artfynd/A 31082-2024 artfynd.xlsx", "A 31082-2024")</f>
        <v/>
      </c>
      <c r="T77">
        <f>HYPERLINK("https://klasma.github.io/Logging_0883/kartor/A 31082-2024 karta.png", "A 31082-2024")</f>
        <v/>
      </c>
      <c r="U77">
        <f>HYPERLINK("https://klasma.github.io/Logging_0883/knärot/A 31082-2024 karta knärot.png", "A 31082-2024")</f>
        <v/>
      </c>
      <c r="V77">
        <f>HYPERLINK("https://klasma.github.io/Logging_0883/klagomål/A 31082-2024 FSC-klagomål.docx", "A 31082-2024")</f>
        <v/>
      </c>
      <c r="W77">
        <f>HYPERLINK("https://klasma.github.io/Logging_0883/klagomålsmail/A 31082-2024 FSC-klagomål mail.docx", "A 31082-2024")</f>
        <v/>
      </c>
      <c r="X77">
        <f>HYPERLINK("https://klasma.github.io/Logging_0883/tillsyn/A 31082-2024 tillsynsbegäran.docx", "A 31082-2024")</f>
        <v/>
      </c>
      <c r="Y77">
        <f>HYPERLINK("https://klasma.github.io/Logging_0883/tillsynsmail/A 31082-2024 tillsynsbegäran mail.docx", "A 31082-2024")</f>
        <v/>
      </c>
      <c r="Z77">
        <f>HYPERLINK("https://klasma.github.io/Logging_0883/fåglar/A 31082-2024 prioriterade fågelarter.docx", "A 31082-2024")</f>
        <v/>
      </c>
    </row>
    <row r="78" ht="15" customHeight="1">
      <c r="A78" t="inlineStr">
        <is>
          <t>A 49545-2023</t>
        </is>
      </c>
      <c r="B78" s="1" t="n">
        <v>45205</v>
      </c>
      <c r="C78" s="1" t="n">
        <v>45884</v>
      </c>
      <c r="D78" t="inlineStr">
        <is>
          <t>KALMAR LÄN</t>
        </is>
      </c>
      <c r="E78" t="inlineStr">
        <is>
          <t>HÖGSBY</t>
        </is>
      </c>
      <c r="F78" t="inlineStr">
        <is>
          <t>Kyrkan</t>
        </is>
      </c>
      <c r="G78" t="n">
        <v>13.3</v>
      </c>
      <c r="H78" t="n">
        <v>2</v>
      </c>
      <c r="I78" t="n">
        <v>2</v>
      </c>
      <c r="J78" t="n">
        <v>4</v>
      </c>
      <c r="K78" t="n">
        <v>1</v>
      </c>
      <c r="L78" t="n">
        <v>0</v>
      </c>
      <c r="M78" t="n">
        <v>0</v>
      </c>
      <c r="N78" t="n">
        <v>0</v>
      </c>
      <c r="O78" t="n">
        <v>5</v>
      </c>
      <c r="P78" t="n">
        <v>1</v>
      </c>
      <c r="Q78" t="n">
        <v>7</v>
      </c>
      <c r="R78" s="2" t="inlineStr">
        <is>
          <t>Knärot
Spillkråka
Tallticka
Vedskivlav
Vedtrappmossa
Bronshjon
Kornknutmossa</t>
        </is>
      </c>
      <c r="S78">
        <f>HYPERLINK("https://klasma.github.io/Logging_0821/artfynd/A 49545-2023 artfynd.xlsx", "A 49545-2023")</f>
        <v/>
      </c>
      <c r="T78">
        <f>HYPERLINK("https://klasma.github.io/Logging_0821/kartor/A 49545-2023 karta.png", "A 49545-2023")</f>
        <v/>
      </c>
      <c r="U78">
        <f>HYPERLINK("https://klasma.github.io/Logging_0821/knärot/A 49545-2023 karta knärot.png", "A 49545-2023")</f>
        <v/>
      </c>
      <c r="V78">
        <f>HYPERLINK("https://klasma.github.io/Logging_0821/klagomål/A 49545-2023 FSC-klagomål.docx", "A 49545-2023")</f>
        <v/>
      </c>
      <c r="W78">
        <f>HYPERLINK("https://klasma.github.io/Logging_0821/klagomålsmail/A 49545-2023 FSC-klagomål mail.docx", "A 49545-2023")</f>
        <v/>
      </c>
      <c r="X78">
        <f>HYPERLINK("https://klasma.github.io/Logging_0821/tillsyn/A 49545-2023 tillsynsbegäran.docx", "A 49545-2023")</f>
        <v/>
      </c>
      <c r="Y78">
        <f>HYPERLINK("https://klasma.github.io/Logging_0821/tillsynsmail/A 49545-2023 tillsynsbegäran mail.docx", "A 49545-2023")</f>
        <v/>
      </c>
      <c r="Z78">
        <f>HYPERLINK("https://klasma.github.io/Logging_0821/fåglar/A 49545-2023 prioriterade fågelarter.docx", "A 49545-2023")</f>
        <v/>
      </c>
    </row>
    <row r="79" ht="15" customHeight="1">
      <c r="A79" t="inlineStr">
        <is>
          <t>A 610-2025</t>
        </is>
      </c>
      <c r="B79" s="1" t="n">
        <v>45664.60489583333</v>
      </c>
      <c r="C79" s="1" t="n">
        <v>45884</v>
      </c>
      <c r="D79" t="inlineStr">
        <is>
          <t>KALMAR LÄN</t>
        </is>
      </c>
      <c r="E79" t="inlineStr">
        <is>
          <t>KALMAR</t>
        </is>
      </c>
      <c r="G79" t="n">
        <v>5.3</v>
      </c>
      <c r="H79" t="n">
        <v>3</v>
      </c>
      <c r="I79" t="n">
        <v>3</v>
      </c>
      <c r="J79" t="n">
        <v>3</v>
      </c>
      <c r="K79" t="n">
        <v>1</v>
      </c>
      <c r="L79" t="n">
        <v>0</v>
      </c>
      <c r="M79" t="n">
        <v>0</v>
      </c>
      <c r="N79" t="n">
        <v>0</v>
      </c>
      <c r="O79" t="n">
        <v>4</v>
      </c>
      <c r="P79" t="n">
        <v>1</v>
      </c>
      <c r="Q79" t="n">
        <v>7</v>
      </c>
      <c r="R79" s="2" t="inlineStr">
        <is>
          <t>Knärot
Spillkråka
Talltita
Ullticka
Blomkålssvamp
Blåmossa
Vedticka</t>
        </is>
      </c>
      <c r="S79">
        <f>HYPERLINK("https://klasma.github.io/Logging_0880/artfynd/A 610-2025 artfynd.xlsx", "A 610-2025")</f>
        <v/>
      </c>
      <c r="T79">
        <f>HYPERLINK("https://klasma.github.io/Logging_0880/kartor/A 610-2025 karta.png", "A 610-2025")</f>
        <v/>
      </c>
      <c r="U79">
        <f>HYPERLINK("https://klasma.github.io/Logging_0880/knärot/A 610-2025 karta knärot.png", "A 610-2025")</f>
        <v/>
      </c>
      <c r="V79">
        <f>HYPERLINK("https://klasma.github.io/Logging_0880/klagomål/A 610-2025 FSC-klagomål.docx", "A 610-2025")</f>
        <v/>
      </c>
      <c r="W79">
        <f>HYPERLINK("https://klasma.github.io/Logging_0880/klagomålsmail/A 610-2025 FSC-klagomål mail.docx", "A 610-2025")</f>
        <v/>
      </c>
      <c r="X79">
        <f>HYPERLINK("https://klasma.github.io/Logging_0880/tillsyn/A 610-2025 tillsynsbegäran.docx", "A 610-2025")</f>
        <v/>
      </c>
      <c r="Y79">
        <f>HYPERLINK("https://klasma.github.io/Logging_0880/tillsynsmail/A 610-2025 tillsynsbegäran mail.docx", "A 610-2025")</f>
        <v/>
      </c>
      <c r="Z79">
        <f>HYPERLINK("https://klasma.github.io/Logging_0880/fåglar/A 610-2025 prioriterade fågelarter.docx", "A 610-2025")</f>
        <v/>
      </c>
    </row>
    <row r="80" ht="15" customHeight="1">
      <c r="A80" t="inlineStr">
        <is>
          <t>A 39298-2024</t>
        </is>
      </c>
      <c r="B80" s="1" t="n">
        <v>45551</v>
      </c>
      <c r="C80" s="1" t="n">
        <v>45884</v>
      </c>
      <c r="D80" t="inlineStr">
        <is>
          <t>KALMAR LÄN</t>
        </is>
      </c>
      <c r="E80" t="inlineStr">
        <is>
          <t>VÄSTERVIK</t>
        </is>
      </c>
      <c r="G80" t="n">
        <v>1.2</v>
      </c>
      <c r="H80" t="n">
        <v>3</v>
      </c>
      <c r="I80" t="n">
        <v>5</v>
      </c>
      <c r="J80" t="n">
        <v>1</v>
      </c>
      <c r="K80" t="n">
        <v>1</v>
      </c>
      <c r="L80" t="n">
        <v>0</v>
      </c>
      <c r="M80" t="n">
        <v>0</v>
      </c>
      <c r="N80" t="n">
        <v>0</v>
      </c>
      <c r="O80" t="n">
        <v>2</v>
      </c>
      <c r="P80" t="n">
        <v>1</v>
      </c>
      <c r="Q80" t="n">
        <v>7</v>
      </c>
      <c r="R80" s="2" t="inlineStr">
        <is>
          <t>Knärot
Talltita
Dropptaggsvamp
Grön sköldmossa
Grönpyrola
Rödgul trumpetsvamp
Stubbspretmossa</t>
        </is>
      </c>
      <c r="S80">
        <f>HYPERLINK("https://klasma.github.io/Logging_0883/artfynd/A 39298-2024 artfynd.xlsx", "A 39298-2024")</f>
        <v/>
      </c>
      <c r="T80">
        <f>HYPERLINK("https://klasma.github.io/Logging_0883/kartor/A 39298-2024 karta.png", "A 39298-2024")</f>
        <v/>
      </c>
      <c r="U80">
        <f>HYPERLINK("https://klasma.github.io/Logging_0883/knärot/A 39298-2024 karta knärot.png", "A 39298-2024")</f>
        <v/>
      </c>
      <c r="V80">
        <f>HYPERLINK("https://klasma.github.io/Logging_0883/klagomål/A 39298-2024 FSC-klagomål.docx", "A 39298-2024")</f>
        <v/>
      </c>
      <c r="W80">
        <f>HYPERLINK("https://klasma.github.io/Logging_0883/klagomålsmail/A 39298-2024 FSC-klagomål mail.docx", "A 39298-2024")</f>
        <v/>
      </c>
      <c r="X80">
        <f>HYPERLINK("https://klasma.github.io/Logging_0883/tillsyn/A 39298-2024 tillsynsbegäran.docx", "A 39298-2024")</f>
        <v/>
      </c>
      <c r="Y80">
        <f>HYPERLINK("https://klasma.github.io/Logging_0883/tillsynsmail/A 39298-2024 tillsynsbegäran mail.docx", "A 39298-2024")</f>
        <v/>
      </c>
      <c r="Z80">
        <f>HYPERLINK("https://klasma.github.io/Logging_0883/fåglar/A 39298-2024 prioriterade fågelarter.docx", "A 39298-2024")</f>
        <v/>
      </c>
    </row>
    <row r="81" ht="15" customHeight="1">
      <c r="A81" t="inlineStr">
        <is>
          <t>A 16996-2025</t>
        </is>
      </c>
      <c r="B81" s="1" t="n">
        <v>45755.51844907407</v>
      </c>
      <c r="C81" s="1" t="n">
        <v>45884</v>
      </c>
      <c r="D81" t="inlineStr">
        <is>
          <t>KALMAR LÄN</t>
        </is>
      </c>
      <c r="E81" t="inlineStr">
        <is>
          <t>VÄSTERVIK</t>
        </is>
      </c>
      <c r="G81" t="n">
        <v>2.1</v>
      </c>
      <c r="H81" t="n">
        <v>3</v>
      </c>
      <c r="I81" t="n">
        <v>5</v>
      </c>
      <c r="J81" t="n">
        <v>0</v>
      </c>
      <c r="K81" t="n">
        <v>1</v>
      </c>
      <c r="L81" t="n">
        <v>0</v>
      </c>
      <c r="M81" t="n">
        <v>0</v>
      </c>
      <c r="N81" t="n">
        <v>0</v>
      </c>
      <c r="O81" t="n">
        <v>1</v>
      </c>
      <c r="P81" t="n">
        <v>1</v>
      </c>
      <c r="Q81" t="n">
        <v>7</v>
      </c>
      <c r="R81" s="2" t="inlineStr">
        <is>
          <t>Knärot
Fällmossa
Grön sköldmossa
Grönpyrola
Guldlockmossa
Trädporella
Blåsippa</t>
        </is>
      </c>
      <c r="S81">
        <f>HYPERLINK("https://klasma.github.io/Logging_0883/artfynd/A 16996-2025 artfynd.xlsx", "A 16996-2025")</f>
        <v/>
      </c>
      <c r="T81">
        <f>HYPERLINK("https://klasma.github.io/Logging_0883/kartor/A 16996-2025 karta.png", "A 16996-2025")</f>
        <v/>
      </c>
      <c r="U81">
        <f>HYPERLINK("https://klasma.github.io/Logging_0883/knärot/A 16996-2025 karta knärot.png", "A 16996-2025")</f>
        <v/>
      </c>
      <c r="V81">
        <f>HYPERLINK("https://klasma.github.io/Logging_0883/klagomål/A 16996-2025 FSC-klagomål.docx", "A 16996-2025")</f>
        <v/>
      </c>
      <c r="W81">
        <f>HYPERLINK("https://klasma.github.io/Logging_0883/klagomålsmail/A 16996-2025 FSC-klagomål mail.docx", "A 16996-2025")</f>
        <v/>
      </c>
      <c r="X81">
        <f>HYPERLINK("https://klasma.github.io/Logging_0883/tillsyn/A 16996-2025 tillsynsbegäran.docx", "A 16996-2025")</f>
        <v/>
      </c>
      <c r="Y81">
        <f>HYPERLINK("https://klasma.github.io/Logging_0883/tillsynsmail/A 16996-2025 tillsynsbegäran mail.docx", "A 16996-2025")</f>
        <v/>
      </c>
    </row>
    <row r="82" ht="15" customHeight="1">
      <c r="A82" t="inlineStr">
        <is>
          <t>A 4183-2024</t>
        </is>
      </c>
      <c r="B82" s="1" t="n">
        <v>45324</v>
      </c>
      <c r="C82" s="1" t="n">
        <v>45884</v>
      </c>
      <c r="D82" t="inlineStr">
        <is>
          <t>KALMAR LÄN</t>
        </is>
      </c>
      <c r="E82" t="inlineStr">
        <is>
          <t>KALMAR</t>
        </is>
      </c>
      <c r="G82" t="n">
        <v>3</v>
      </c>
      <c r="H82" t="n">
        <v>3</v>
      </c>
      <c r="I82" t="n">
        <v>1</v>
      </c>
      <c r="J82" t="n">
        <v>3</v>
      </c>
      <c r="K82" t="n">
        <v>1</v>
      </c>
      <c r="L82" t="n">
        <v>0</v>
      </c>
      <c r="M82" t="n">
        <v>0</v>
      </c>
      <c r="N82" t="n">
        <v>0</v>
      </c>
      <c r="O82" t="n">
        <v>4</v>
      </c>
      <c r="P82" t="n">
        <v>1</v>
      </c>
      <c r="Q82" t="n">
        <v>7</v>
      </c>
      <c r="R82" s="2" t="inlineStr">
        <is>
          <t>Backsippa
Flentimotej
Solvända
Tallticka
Murgröna
Grönvit nattviol
Blåsippa</t>
        </is>
      </c>
      <c r="S82">
        <f>HYPERLINK("https://klasma.github.io/Logging_0880/artfynd/A 4183-2024 artfynd.xlsx", "A 4183-2024")</f>
        <v/>
      </c>
      <c r="T82">
        <f>HYPERLINK("https://klasma.github.io/Logging_0880/kartor/A 4183-2024 karta.png", "A 4183-2024")</f>
        <v/>
      </c>
      <c r="V82">
        <f>HYPERLINK("https://klasma.github.io/Logging_0880/klagomål/A 4183-2024 FSC-klagomål.docx", "A 4183-2024")</f>
        <v/>
      </c>
      <c r="W82">
        <f>HYPERLINK("https://klasma.github.io/Logging_0880/klagomålsmail/A 4183-2024 FSC-klagomål mail.docx", "A 4183-2024")</f>
        <v/>
      </c>
      <c r="X82">
        <f>HYPERLINK("https://klasma.github.io/Logging_0880/tillsyn/A 4183-2024 tillsynsbegäran.docx", "A 4183-2024")</f>
        <v/>
      </c>
      <c r="Y82">
        <f>HYPERLINK("https://klasma.github.io/Logging_0880/tillsynsmail/A 4183-2024 tillsynsbegäran mail.docx", "A 4183-2024")</f>
        <v/>
      </c>
    </row>
    <row r="83" ht="15" customHeight="1">
      <c r="A83" t="inlineStr">
        <is>
          <t>A 15095-2024</t>
        </is>
      </c>
      <c r="B83" s="1" t="n">
        <v>45399</v>
      </c>
      <c r="C83" s="1" t="n">
        <v>45884</v>
      </c>
      <c r="D83" t="inlineStr">
        <is>
          <t>KALMAR LÄN</t>
        </is>
      </c>
      <c r="E83" t="inlineStr">
        <is>
          <t>HULTSFRED</t>
        </is>
      </c>
      <c r="G83" t="n">
        <v>1.4</v>
      </c>
      <c r="H83" t="n">
        <v>5</v>
      </c>
      <c r="I83" t="n">
        <v>0</v>
      </c>
      <c r="J83" t="n">
        <v>2</v>
      </c>
      <c r="K83" t="n">
        <v>1</v>
      </c>
      <c r="L83" t="n">
        <v>0</v>
      </c>
      <c r="M83" t="n">
        <v>0</v>
      </c>
      <c r="N83" t="n">
        <v>0</v>
      </c>
      <c r="O83" t="n">
        <v>3</v>
      </c>
      <c r="P83" t="n">
        <v>1</v>
      </c>
      <c r="Q83" t="n">
        <v>7</v>
      </c>
      <c r="R83" s="2" t="inlineStr">
        <is>
          <t>Knärot
Tallticka
Ullticka
Kungsfågel
Skogsduva
Vanlig groda
Revlummer</t>
        </is>
      </c>
      <c r="S83">
        <f>HYPERLINK("https://klasma.github.io/Logging_0860/artfynd/A 15095-2024 artfynd.xlsx", "A 15095-2024")</f>
        <v/>
      </c>
      <c r="T83">
        <f>HYPERLINK("https://klasma.github.io/Logging_0860/kartor/A 15095-2024 karta.png", "A 15095-2024")</f>
        <v/>
      </c>
      <c r="U83">
        <f>HYPERLINK("https://klasma.github.io/Logging_0860/knärot/A 15095-2024 karta knärot.png", "A 15095-2024")</f>
        <v/>
      </c>
      <c r="V83">
        <f>HYPERLINK("https://klasma.github.io/Logging_0860/klagomål/A 15095-2024 FSC-klagomål.docx", "A 15095-2024")</f>
        <v/>
      </c>
      <c r="W83">
        <f>HYPERLINK("https://klasma.github.io/Logging_0860/klagomålsmail/A 15095-2024 FSC-klagomål mail.docx", "A 15095-2024")</f>
        <v/>
      </c>
      <c r="X83">
        <f>HYPERLINK("https://klasma.github.io/Logging_0860/tillsyn/A 15095-2024 tillsynsbegäran.docx", "A 15095-2024")</f>
        <v/>
      </c>
      <c r="Y83">
        <f>HYPERLINK("https://klasma.github.io/Logging_0860/tillsynsmail/A 15095-2024 tillsynsbegäran mail.docx", "A 15095-2024")</f>
        <v/>
      </c>
      <c r="Z83">
        <f>HYPERLINK("https://klasma.github.io/Logging_0860/fåglar/A 15095-2024 prioriterade fågelarter.docx", "A 15095-2024")</f>
        <v/>
      </c>
    </row>
    <row r="84" ht="15" customHeight="1">
      <c r="A84" t="inlineStr">
        <is>
          <t>A 63850-2021</t>
        </is>
      </c>
      <c r="B84" s="1" t="n">
        <v>44505</v>
      </c>
      <c r="C84" s="1" t="n">
        <v>45884</v>
      </c>
      <c r="D84" t="inlineStr">
        <is>
          <t>KALMAR LÄN</t>
        </is>
      </c>
      <c r="E84" t="inlineStr">
        <is>
          <t>VÄSTERVIK</t>
        </is>
      </c>
      <c r="G84" t="n">
        <v>2.7</v>
      </c>
      <c r="H84" t="n">
        <v>3</v>
      </c>
      <c r="I84" t="n">
        <v>3</v>
      </c>
      <c r="J84" t="n">
        <v>3</v>
      </c>
      <c r="K84" t="n">
        <v>1</v>
      </c>
      <c r="L84" t="n">
        <v>0</v>
      </c>
      <c r="M84" t="n">
        <v>0</v>
      </c>
      <c r="N84" t="n">
        <v>0</v>
      </c>
      <c r="O84" t="n">
        <v>4</v>
      </c>
      <c r="P84" t="n">
        <v>1</v>
      </c>
      <c r="Q84" t="n">
        <v>7</v>
      </c>
      <c r="R84" s="2" t="inlineStr">
        <is>
          <t>Knärot
Tallticka
Talltita
Ullticka
Grovticka
Grön sköldmossa
Grönpyrola</t>
        </is>
      </c>
      <c r="S84">
        <f>HYPERLINK("https://klasma.github.io/Logging_0883/artfynd/A 63850-2021 artfynd.xlsx", "A 63850-2021")</f>
        <v/>
      </c>
      <c r="T84">
        <f>HYPERLINK("https://klasma.github.io/Logging_0883/kartor/A 63850-2021 karta.png", "A 63850-2021")</f>
        <v/>
      </c>
      <c r="U84">
        <f>HYPERLINK("https://klasma.github.io/Logging_0883/knärot/A 63850-2021 karta knärot.png", "A 63850-2021")</f>
        <v/>
      </c>
      <c r="V84">
        <f>HYPERLINK("https://klasma.github.io/Logging_0883/klagomål/A 63850-2021 FSC-klagomål.docx", "A 63850-2021")</f>
        <v/>
      </c>
      <c r="W84">
        <f>HYPERLINK("https://klasma.github.io/Logging_0883/klagomålsmail/A 63850-2021 FSC-klagomål mail.docx", "A 63850-2021")</f>
        <v/>
      </c>
      <c r="X84">
        <f>HYPERLINK("https://klasma.github.io/Logging_0883/tillsyn/A 63850-2021 tillsynsbegäran.docx", "A 63850-2021")</f>
        <v/>
      </c>
      <c r="Y84">
        <f>HYPERLINK("https://klasma.github.io/Logging_0883/tillsynsmail/A 63850-2021 tillsynsbegäran mail.docx", "A 63850-2021")</f>
        <v/>
      </c>
      <c r="Z84">
        <f>HYPERLINK("https://klasma.github.io/Logging_0883/fåglar/A 63850-2021 prioriterade fågelarter.docx", "A 63850-2021")</f>
        <v/>
      </c>
    </row>
    <row r="85" ht="15" customHeight="1">
      <c r="A85" t="inlineStr">
        <is>
          <t>A 23021-2025</t>
        </is>
      </c>
      <c r="B85" s="1" t="n">
        <v>45790</v>
      </c>
      <c r="C85" s="1" t="n">
        <v>45884</v>
      </c>
      <c r="D85" t="inlineStr">
        <is>
          <t>KALMAR LÄN</t>
        </is>
      </c>
      <c r="E85" t="inlineStr">
        <is>
          <t>VÄSTERVIK</t>
        </is>
      </c>
      <c r="G85" t="n">
        <v>5</v>
      </c>
      <c r="H85" t="n">
        <v>5</v>
      </c>
      <c r="I85" t="n">
        <v>0</v>
      </c>
      <c r="J85" t="n">
        <v>5</v>
      </c>
      <c r="K85" t="n">
        <v>1</v>
      </c>
      <c r="L85" t="n">
        <v>0</v>
      </c>
      <c r="M85" t="n">
        <v>0</v>
      </c>
      <c r="N85" t="n">
        <v>0</v>
      </c>
      <c r="O85" t="n">
        <v>6</v>
      </c>
      <c r="P85" t="n">
        <v>1</v>
      </c>
      <c r="Q85" t="n">
        <v>7</v>
      </c>
      <c r="R85" s="2" t="inlineStr">
        <is>
          <t>Stare
Grönsångare
Mindre hackspett
Spillkråka
Tallticka
Vintertagging
Skogsduva</t>
        </is>
      </c>
      <c r="S85">
        <f>HYPERLINK("https://klasma.github.io/Logging_0883/artfynd/A 23021-2025 artfynd.xlsx", "A 23021-2025")</f>
        <v/>
      </c>
      <c r="T85">
        <f>HYPERLINK("https://klasma.github.io/Logging_0883/kartor/A 23021-2025 karta.png", "A 23021-2025")</f>
        <v/>
      </c>
      <c r="V85">
        <f>HYPERLINK("https://klasma.github.io/Logging_0883/klagomål/A 23021-2025 FSC-klagomål.docx", "A 23021-2025")</f>
        <v/>
      </c>
      <c r="W85">
        <f>HYPERLINK("https://klasma.github.io/Logging_0883/klagomålsmail/A 23021-2025 FSC-klagomål mail.docx", "A 23021-2025")</f>
        <v/>
      </c>
      <c r="X85">
        <f>HYPERLINK("https://klasma.github.io/Logging_0883/tillsyn/A 23021-2025 tillsynsbegäran.docx", "A 23021-2025")</f>
        <v/>
      </c>
      <c r="Y85">
        <f>HYPERLINK("https://klasma.github.io/Logging_0883/tillsynsmail/A 23021-2025 tillsynsbegäran mail.docx", "A 23021-2025")</f>
        <v/>
      </c>
      <c r="Z85">
        <f>HYPERLINK("https://klasma.github.io/Logging_0883/fåglar/A 23021-2025 prioriterade fågelarter.docx", "A 23021-2025")</f>
        <v/>
      </c>
    </row>
    <row r="86" ht="15" customHeight="1">
      <c r="A86" t="inlineStr">
        <is>
          <t>A 51597-2024</t>
        </is>
      </c>
      <c r="B86" s="1" t="n">
        <v>45604</v>
      </c>
      <c r="C86" s="1" t="n">
        <v>45884</v>
      </c>
      <c r="D86" t="inlineStr">
        <is>
          <t>KALMAR LÄN</t>
        </is>
      </c>
      <c r="E86" t="inlineStr">
        <is>
          <t>VÄSTERVIK</t>
        </is>
      </c>
      <c r="F86" t="inlineStr">
        <is>
          <t>Övriga Aktiebolag</t>
        </is>
      </c>
      <c r="G86" t="n">
        <v>5.5</v>
      </c>
      <c r="H86" t="n">
        <v>4</v>
      </c>
      <c r="I86" t="n">
        <v>1</v>
      </c>
      <c r="J86" t="n">
        <v>4</v>
      </c>
      <c r="K86" t="n">
        <v>1</v>
      </c>
      <c r="L86" t="n">
        <v>0</v>
      </c>
      <c r="M86" t="n">
        <v>0</v>
      </c>
      <c r="N86" t="n">
        <v>0</v>
      </c>
      <c r="O86" t="n">
        <v>5</v>
      </c>
      <c r="P86" t="n">
        <v>1</v>
      </c>
      <c r="Q86" t="n">
        <v>7</v>
      </c>
      <c r="R86" s="2" t="inlineStr">
        <is>
          <t>Knärot
Spillkråka
Tallticka
Talltita
Ullticka
Dropptaggsvamp
Revlummer</t>
        </is>
      </c>
      <c r="S86">
        <f>HYPERLINK("https://klasma.github.io/Logging_0883/artfynd/A 51597-2024 artfynd.xlsx", "A 51597-2024")</f>
        <v/>
      </c>
      <c r="T86">
        <f>HYPERLINK("https://klasma.github.io/Logging_0883/kartor/A 51597-2024 karta.png", "A 51597-2024")</f>
        <v/>
      </c>
      <c r="U86">
        <f>HYPERLINK("https://klasma.github.io/Logging_0883/knärot/A 51597-2024 karta knärot.png", "A 51597-2024")</f>
        <v/>
      </c>
      <c r="V86">
        <f>HYPERLINK("https://klasma.github.io/Logging_0883/klagomål/A 51597-2024 FSC-klagomål.docx", "A 51597-2024")</f>
        <v/>
      </c>
      <c r="W86">
        <f>HYPERLINK("https://klasma.github.io/Logging_0883/klagomålsmail/A 51597-2024 FSC-klagomål mail.docx", "A 51597-2024")</f>
        <v/>
      </c>
      <c r="X86">
        <f>HYPERLINK("https://klasma.github.io/Logging_0883/tillsyn/A 51597-2024 tillsynsbegäran.docx", "A 51597-2024")</f>
        <v/>
      </c>
      <c r="Y86">
        <f>HYPERLINK("https://klasma.github.io/Logging_0883/tillsynsmail/A 51597-2024 tillsynsbegäran mail.docx", "A 51597-2024")</f>
        <v/>
      </c>
      <c r="Z86">
        <f>HYPERLINK("https://klasma.github.io/Logging_0883/fåglar/A 51597-2024 prioriterade fågelarter.docx", "A 51597-2024")</f>
        <v/>
      </c>
    </row>
    <row r="87" ht="15" customHeight="1">
      <c r="A87" t="inlineStr">
        <is>
          <t>A 54370-2020</t>
        </is>
      </c>
      <c r="B87" s="1" t="n">
        <v>44125</v>
      </c>
      <c r="C87" s="1" t="n">
        <v>45884</v>
      </c>
      <c r="D87" t="inlineStr">
        <is>
          <t>KALMAR LÄN</t>
        </is>
      </c>
      <c r="E87" t="inlineStr">
        <is>
          <t>HÖGSBY</t>
        </is>
      </c>
      <c r="G87" t="n">
        <v>8.199999999999999</v>
      </c>
      <c r="H87" t="n">
        <v>3</v>
      </c>
      <c r="I87" t="n">
        <v>1</v>
      </c>
      <c r="J87" t="n">
        <v>3</v>
      </c>
      <c r="K87" t="n">
        <v>1</v>
      </c>
      <c r="L87" t="n">
        <v>1</v>
      </c>
      <c r="M87" t="n">
        <v>0</v>
      </c>
      <c r="N87" t="n">
        <v>0</v>
      </c>
      <c r="O87" t="n">
        <v>5</v>
      </c>
      <c r="P87" t="n">
        <v>2</v>
      </c>
      <c r="Q87" t="n">
        <v>7</v>
      </c>
      <c r="R87" s="2" t="inlineStr">
        <is>
          <t>Ryl
Knärot
Leptoporus mollis
Spillkråka
Ullticka
Grönpyrola
Revlummer</t>
        </is>
      </c>
      <c r="S87">
        <f>HYPERLINK("https://klasma.github.io/Logging_0821/artfynd/A 54370-2020 artfynd.xlsx", "A 54370-2020")</f>
        <v/>
      </c>
      <c r="T87">
        <f>HYPERLINK("https://klasma.github.io/Logging_0821/kartor/A 54370-2020 karta.png", "A 54370-2020")</f>
        <v/>
      </c>
      <c r="U87">
        <f>HYPERLINK("https://klasma.github.io/Logging_0821/knärot/A 54370-2020 karta knärot.png", "A 54370-2020")</f>
        <v/>
      </c>
      <c r="V87">
        <f>HYPERLINK("https://klasma.github.io/Logging_0821/klagomål/A 54370-2020 FSC-klagomål.docx", "A 54370-2020")</f>
        <v/>
      </c>
      <c r="W87">
        <f>HYPERLINK("https://klasma.github.io/Logging_0821/klagomålsmail/A 54370-2020 FSC-klagomål mail.docx", "A 54370-2020")</f>
        <v/>
      </c>
      <c r="X87">
        <f>HYPERLINK("https://klasma.github.io/Logging_0821/tillsyn/A 54370-2020 tillsynsbegäran.docx", "A 54370-2020")</f>
        <v/>
      </c>
      <c r="Y87">
        <f>HYPERLINK("https://klasma.github.io/Logging_0821/tillsynsmail/A 54370-2020 tillsynsbegäran mail.docx", "A 54370-2020")</f>
        <v/>
      </c>
      <c r="Z87">
        <f>HYPERLINK("https://klasma.github.io/Logging_0821/fåglar/A 54370-2020 prioriterade fågelarter.docx", "A 54370-2020")</f>
        <v/>
      </c>
    </row>
    <row r="88" ht="15" customHeight="1">
      <c r="A88" t="inlineStr">
        <is>
          <t>A 12796-2024</t>
        </is>
      </c>
      <c r="B88" s="1" t="n">
        <v>45384.62541666667</v>
      </c>
      <c r="C88" s="1" t="n">
        <v>45884</v>
      </c>
      <c r="D88" t="inlineStr">
        <is>
          <t>KALMAR LÄN</t>
        </is>
      </c>
      <c r="E88" t="inlineStr">
        <is>
          <t>OSKARSHAMN</t>
        </is>
      </c>
      <c r="G88" t="n">
        <v>14.9</v>
      </c>
      <c r="H88" t="n">
        <v>3</v>
      </c>
      <c r="I88" t="n">
        <v>2</v>
      </c>
      <c r="J88" t="n">
        <v>4</v>
      </c>
      <c r="K88" t="n">
        <v>1</v>
      </c>
      <c r="L88" t="n">
        <v>0</v>
      </c>
      <c r="M88" t="n">
        <v>0</v>
      </c>
      <c r="N88" t="n">
        <v>0</v>
      </c>
      <c r="O88" t="n">
        <v>5</v>
      </c>
      <c r="P88" t="n">
        <v>1</v>
      </c>
      <c r="Q88" t="n">
        <v>7</v>
      </c>
      <c r="R88" s="2" t="inlineStr">
        <is>
          <t>Knärot
Motaggsvamp
Spillkråka
Tallticka
Talltita
Blåmossa
Grönpyrola</t>
        </is>
      </c>
      <c r="S88">
        <f>HYPERLINK("https://klasma.github.io/Logging_0882/artfynd/A 12796-2024 artfynd.xlsx", "A 12796-2024")</f>
        <v/>
      </c>
      <c r="T88">
        <f>HYPERLINK("https://klasma.github.io/Logging_0882/kartor/A 12796-2024 karta.png", "A 12796-2024")</f>
        <v/>
      </c>
      <c r="U88">
        <f>HYPERLINK("https://klasma.github.io/Logging_0882/knärot/A 12796-2024 karta knärot.png", "A 12796-2024")</f>
        <v/>
      </c>
      <c r="V88">
        <f>HYPERLINK("https://klasma.github.io/Logging_0882/klagomål/A 12796-2024 FSC-klagomål.docx", "A 12796-2024")</f>
        <v/>
      </c>
      <c r="W88">
        <f>HYPERLINK("https://klasma.github.io/Logging_0882/klagomålsmail/A 12796-2024 FSC-klagomål mail.docx", "A 12796-2024")</f>
        <v/>
      </c>
      <c r="X88">
        <f>HYPERLINK("https://klasma.github.io/Logging_0882/tillsyn/A 12796-2024 tillsynsbegäran.docx", "A 12796-2024")</f>
        <v/>
      </c>
      <c r="Y88">
        <f>HYPERLINK("https://klasma.github.io/Logging_0882/tillsynsmail/A 12796-2024 tillsynsbegäran mail.docx", "A 12796-2024")</f>
        <v/>
      </c>
      <c r="Z88">
        <f>HYPERLINK("https://klasma.github.io/Logging_0882/fåglar/A 12796-2024 prioriterade fågelarter.docx", "A 12796-2024")</f>
        <v/>
      </c>
    </row>
    <row r="89" ht="15" customHeight="1">
      <c r="A89" t="inlineStr">
        <is>
          <t>A 33826-2025</t>
        </is>
      </c>
      <c r="B89" s="1" t="n">
        <v>45842.47034722222</v>
      </c>
      <c r="C89" s="1" t="n">
        <v>45884</v>
      </c>
      <c r="D89" t="inlineStr">
        <is>
          <t>KALMAR LÄN</t>
        </is>
      </c>
      <c r="E89" t="inlineStr">
        <is>
          <t>KALMAR</t>
        </is>
      </c>
      <c r="G89" t="n">
        <v>3.5</v>
      </c>
      <c r="H89" t="n">
        <v>0</v>
      </c>
      <c r="I89" t="n">
        <v>5</v>
      </c>
      <c r="J89" t="n">
        <v>2</v>
      </c>
      <c r="K89" t="n">
        <v>0</v>
      </c>
      <c r="L89" t="n">
        <v>0</v>
      </c>
      <c r="M89" t="n">
        <v>0</v>
      </c>
      <c r="N89" t="n">
        <v>0</v>
      </c>
      <c r="O89" t="n">
        <v>2</v>
      </c>
      <c r="P89" t="n">
        <v>0</v>
      </c>
      <c r="Q89" t="n">
        <v>7</v>
      </c>
      <c r="R89" s="2" t="inlineStr">
        <is>
          <t>Tallticka
Vedtrappmossa
Blomkålssvamp
Blåmossa
Grovticka
Havstulpanlav
Kornknutmossa</t>
        </is>
      </c>
      <c r="S89">
        <f>HYPERLINK("https://klasma.github.io/Logging_0880/artfynd/A 33826-2025 artfynd.xlsx", "A 33826-2025")</f>
        <v/>
      </c>
      <c r="T89">
        <f>HYPERLINK("https://klasma.github.io/Logging_0880/kartor/A 33826-2025 karta.png", "A 33826-2025")</f>
        <v/>
      </c>
      <c r="U89">
        <f>HYPERLINK("https://klasma.github.io/Logging_0880/knärot/A 33826-2025 karta knärot.png", "A 33826-2025")</f>
        <v/>
      </c>
      <c r="V89">
        <f>HYPERLINK("https://klasma.github.io/Logging_0880/klagomål/A 33826-2025 FSC-klagomål.docx", "A 33826-2025")</f>
        <v/>
      </c>
      <c r="W89">
        <f>HYPERLINK("https://klasma.github.io/Logging_0880/klagomålsmail/A 33826-2025 FSC-klagomål mail.docx", "A 33826-2025")</f>
        <v/>
      </c>
      <c r="X89">
        <f>HYPERLINK("https://klasma.github.io/Logging_0880/tillsyn/A 33826-2025 tillsynsbegäran.docx", "A 33826-2025")</f>
        <v/>
      </c>
      <c r="Y89">
        <f>HYPERLINK("https://klasma.github.io/Logging_0880/tillsynsmail/A 33826-2025 tillsynsbegäran mail.docx", "A 33826-2025")</f>
        <v/>
      </c>
    </row>
    <row r="90" ht="15" customHeight="1">
      <c r="A90" t="inlineStr">
        <is>
          <t>A 4397-2025</t>
        </is>
      </c>
      <c r="B90" s="1" t="n">
        <v>45686</v>
      </c>
      <c r="C90" s="1" t="n">
        <v>45884</v>
      </c>
      <c r="D90" t="inlineStr">
        <is>
          <t>KALMAR LÄN</t>
        </is>
      </c>
      <c r="E90" t="inlineStr">
        <is>
          <t>VÄSTERVIK</t>
        </is>
      </c>
      <c r="F90" t="inlineStr">
        <is>
          <t>Holmen skog AB</t>
        </is>
      </c>
      <c r="G90" t="n">
        <v>10</v>
      </c>
      <c r="H90" t="n">
        <v>7</v>
      </c>
      <c r="I90" t="n">
        <v>0</v>
      </c>
      <c r="J90" t="n">
        <v>4</v>
      </c>
      <c r="K90" t="n">
        <v>1</v>
      </c>
      <c r="L90" t="n">
        <v>0</v>
      </c>
      <c r="M90" t="n">
        <v>0</v>
      </c>
      <c r="N90" t="n">
        <v>0</v>
      </c>
      <c r="O90" t="n">
        <v>5</v>
      </c>
      <c r="P90" t="n">
        <v>1</v>
      </c>
      <c r="Q90" t="n">
        <v>7</v>
      </c>
      <c r="R90" s="2" t="inlineStr">
        <is>
          <t>Knärot
Entita
Grönsångare
Mindre hackspett
Talltita
Kungsfågel
Skogsduva</t>
        </is>
      </c>
      <c r="S90">
        <f>HYPERLINK("https://klasma.github.io/Logging_0883/artfynd/A 4397-2025 artfynd.xlsx", "A 4397-2025")</f>
        <v/>
      </c>
      <c r="T90">
        <f>HYPERLINK("https://klasma.github.io/Logging_0883/kartor/A 4397-2025 karta.png", "A 4397-2025")</f>
        <v/>
      </c>
      <c r="U90">
        <f>HYPERLINK("https://klasma.github.io/Logging_0883/knärot/A 4397-2025 karta knärot.png", "A 4397-2025")</f>
        <v/>
      </c>
      <c r="V90">
        <f>HYPERLINK("https://klasma.github.io/Logging_0883/klagomål/A 4397-2025 FSC-klagomål.docx", "A 4397-2025")</f>
        <v/>
      </c>
      <c r="W90">
        <f>HYPERLINK("https://klasma.github.io/Logging_0883/klagomålsmail/A 4397-2025 FSC-klagomål mail.docx", "A 4397-2025")</f>
        <v/>
      </c>
      <c r="X90">
        <f>HYPERLINK("https://klasma.github.io/Logging_0883/tillsyn/A 4397-2025 tillsynsbegäran.docx", "A 4397-2025")</f>
        <v/>
      </c>
      <c r="Y90">
        <f>HYPERLINK("https://klasma.github.io/Logging_0883/tillsynsmail/A 4397-2025 tillsynsbegäran mail.docx", "A 4397-2025")</f>
        <v/>
      </c>
      <c r="Z90">
        <f>HYPERLINK("https://klasma.github.io/Logging_0883/fåglar/A 4397-2025 prioriterade fågelarter.docx", "A 4397-2025")</f>
        <v/>
      </c>
    </row>
    <row r="91" ht="15" customHeight="1">
      <c r="A91" t="inlineStr">
        <is>
          <t>A 26574-2025</t>
        </is>
      </c>
      <c r="B91" s="1" t="n">
        <v>45807.68491898148</v>
      </c>
      <c r="C91" s="1" t="n">
        <v>45884</v>
      </c>
      <c r="D91" t="inlineStr">
        <is>
          <t>KALMAR LÄN</t>
        </is>
      </c>
      <c r="E91" t="inlineStr">
        <is>
          <t>VÄSTERVIK</t>
        </is>
      </c>
      <c r="G91" t="n">
        <v>8.4</v>
      </c>
      <c r="H91" t="n">
        <v>2</v>
      </c>
      <c r="I91" t="n">
        <v>3</v>
      </c>
      <c r="J91" t="n">
        <v>3</v>
      </c>
      <c r="K91" t="n">
        <v>0</v>
      </c>
      <c r="L91" t="n">
        <v>0</v>
      </c>
      <c r="M91" t="n">
        <v>0</v>
      </c>
      <c r="N91" t="n">
        <v>0</v>
      </c>
      <c r="O91" t="n">
        <v>3</v>
      </c>
      <c r="P91" t="n">
        <v>0</v>
      </c>
      <c r="Q91" t="n">
        <v>7</v>
      </c>
      <c r="R91" s="2" t="inlineStr">
        <is>
          <t>Drillsnäppa
Tallticka
Vippärt
Blåmossa
Murgröna
Sårläka
Kungsfågel</t>
        </is>
      </c>
      <c r="S91">
        <f>HYPERLINK("https://klasma.github.io/Logging_0883/artfynd/A 26574-2025 artfynd.xlsx", "A 26574-2025")</f>
        <v/>
      </c>
      <c r="T91">
        <f>HYPERLINK("https://klasma.github.io/Logging_0883/kartor/A 26574-2025 karta.png", "A 26574-2025")</f>
        <v/>
      </c>
      <c r="V91">
        <f>HYPERLINK("https://klasma.github.io/Logging_0883/klagomål/A 26574-2025 FSC-klagomål.docx", "A 26574-2025")</f>
        <v/>
      </c>
      <c r="W91">
        <f>HYPERLINK("https://klasma.github.io/Logging_0883/klagomålsmail/A 26574-2025 FSC-klagomål mail.docx", "A 26574-2025")</f>
        <v/>
      </c>
      <c r="X91">
        <f>HYPERLINK("https://klasma.github.io/Logging_0883/tillsyn/A 26574-2025 tillsynsbegäran.docx", "A 26574-2025")</f>
        <v/>
      </c>
      <c r="Y91">
        <f>HYPERLINK("https://klasma.github.io/Logging_0883/tillsynsmail/A 26574-2025 tillsynsbegäran mail.docx", "A 26574-2025")</f>
        <v/>
      </c>
      <c r="Z91">
        <f>HYPERLINK("https://klasma.github.io/Logging_0883/fåglar/A 26574-2025 prioriterade fågelarter.docx", "A 26574-2025")</f>
        <v/>
      </c>
    </row>
    <row r="92" ht="15" customHeight="1">
      <c r="A92" t="inlineStr">
        <is>
          <t>A 34638-2025</t>
        </is>
      </c>
      <c r="B92" s="1" t="n">
        <v>45848.30584490741</v>
      </c>
      <c r="C92" s="1" t="n">
        <v>45884</v>
      </c>
      <c r="D92" t="inlineStr">
        <is>
          <t>KALMAR LÄN</t>
        </is>
      </c>
      <c r="E92" t="inlineStr">
        <is>
          <t>VÄSTERVIK</t>
        </is>
      </c>
      <c r="G92" t="n">
        <v>1.2</v>
      </c>
      <c r="H92" t="n">
        <v>3</v>
      </c>
      <c r="I92" t="n">
        <v>2</v>
      </c>
      <c r="J92" t="n">
        <v>4</v>
      </c>
      <c r="K92" t="n">
        <v>1</v>
      </c>
      <c r="L92" t="n">
        <v>0</v>
      </c>
      <c r="M92" t="n">
        <v>0</v>
      </c>
      <c r="N92" t="n">
        <v>0</v>
      </c>
      <c r="O92" t="n">
        <v>5</v>
      </c>
      <c r="P92" t="n">
        <v>1</v>
      </c>
      <c r="Q92" t="n">
        <v>7</v>
      </c>
      <c r="R92" s="2" t="inlineStr">
        <is>
          <t>Knärot
Bredbrämad bastardsvärmare
Mindre bastardsvärmare
Spillkråka
Talltita
Barkticka
Blomskägglav</t>
        </is>
      </c>
      <c r="S92">
        <f>HYPERLINK("https://klasma.github.io/Logging_0883/artfynd/A 34638-2025 artfynd.xlsx", "A 34638-2025")</f>
        <v/>
      </c>
      <c r="T92">
        <f>HYPERLINK("https://klasma.github.io/Logging_0883/kartor/A 34638-2025 karta.png", "A 34638-2025")</f>
        <v/>
      </c>
      <c r="U92">
        <f>HYPERLINK("https://klasma.github.io/Logging_0883/knärot/A 34638-2025 karta knärot.png", "A 34638-2025")</f>
        <v/>
      </c>
      <c r="V92">
        <f>HYPERLINK("https://klasma.github.io/Logging_0883/klagomål/A 34638-2025 FSC-klagomål.docx", "A 34638-2025")</f>
        <v/>
      </c>
      <c r="W92">
        <f>HYPERLINK("https://klasma.github.io/Logging_0883/klagomålsmail/A 34638-2025 FSC-klagomål mail.docx", "A 34638-2025")</f>
        <v/>
      </c>
      <c r="X92">
        <f>HYPERLINK("https://klasma.github.io/Logging_0883/tillsyn/A 34638-2025 tillsynsbegäran.docx", "A 34638-2025")</f>
        <v/>
      </c>
      <c r="Y92">
        <f>HYPERLINK("https://klasma.github.io/Logging_0883/tillsynsmail/A 34638-2025 tillsynsbegäran mail.docx", "A 34638-2025")</f>
        <v/>
      </c>
      <c r="Z92">
        <f>HYPERLINK("https://klasma.github.io/Logging_0883/fåglar/A 34638-2025 prioriterade fågelarter.docx", "A 34638-2025")</f>
        <v/>
      </c>
    </row>
    <row r="93" ht="15" customHeight="1">
      <c r="A93" t="inlineStr">
        <is>
          <t>A 13978-2025</t>
        </is>
      </c>
      <c r="B93" s="1" t="n">
        <v>45738.79180555556</v>
      </c>
      <c r="C93" s="1" t="n">
        <v>45884</v>
      </c>
      <c r="D93" t="inlineStr">
        <is>
          <t>KALMAR LÄN</t>
        </is>
      </c>
      <c r="E93" t="inlineStr">
        <is>
          <t>VIMMERBY</t>
        </is>
      </c>
      <c r="G93" t="n">
        <v>7.9</v>
      </c>
      <c r="H93" t="n">
        <v>5</v>
      </c>
      <c r="I93" t="n">
        <v>1</v>
      </c>
      <c r="J93" t="n">
        <v>4</v>
      </c>
      <c r="K93" t="n">
        <v>1</v>
      </c>
      <c r="L93" t="n">
        <v>0</v>
      </c>
      <c r="M93" t="n">
        <v>0</v>
      </c>
      <c r="N93" t="n">
        <v>0</v>
      </c>
      <c r="O93" t="n">
        <v>5</v>
      </c>
      <c r="P93" t="n">
        <v>1</v>
      </c>
      <c r="Q93" t="n">
        <v>7</v>
      </c>
      <c r="R93" s="2" t="inlineStr">
        <is>
          <t>Knärot
Järpe
Spillkråka
Talltita
Ullticka
Blåmossa
Tjäder</t>
        </is>
      </c>
      <c r="S93">
        <f>HYPERLINK("https://klasma.github.io/Logging_0884/artfynd/A 13978-2025 artfynd.xlsx", "A 13978-2025")</f>
        <v/>
      </c>
      <c r="T93">
        <f>HYPERLINK("https://klasma.github.io/Logging_0884/kartor/A 13978-2025 karta.png", "A 13978-2025")</f>
        <v/>
      </c>
      <c r="U93">
        <f>HYPERLINK("https://klasma.github.io/Logging_0884/knärot/A 13978-2025 karta knärot.png", "A 13978-2025")</f>
        <v/>
      </c>
      <c r="V93">
        <f>HYPERLINK("https://klasma.github.io/Logging_0884/klagomål/A 13978-2025 FSC-klagomål.docx", "A 13978-2025")</f>
        <v/>
      </c>
      <c r="W93">
        <f>HYPERLINK("https://klasma.github.io/Logging_0884/klagomålsmail/A 13978-2025 FSC-klagomål mail.docx", "A 13978-2025")</f>
        <v/>
      </c>
      <c r="X93">
        <f>HYPERLINK("https://klasma.github.io/Logging_0884/tillsyn/A 13978-2025 tillsynsbegäran.docx", "A 13978-2025")</f>
        <v/>
      </c>
      <c r="Y93">
        <f>HYPERLINK("https://klasma.github.io/Logging_0884/tillsynsmail/A 13978-2025 tillsynsbegäran mail.docx", "A 13978-2025")</f>
        <v/>
      </c>
      <c r="Z93">
        <f>HYPERLINK("https://klasma.github.io/Logging_0884/fåglar/A 13978-2025 prioriterade fågelarter.docx", "A 13978-2025")</f>
        <v/>
      </c>
    </row>
    <row r="94" ht="15" customHeight="1">
      <c r="A94" t="inlineStr">
        <is>
          <t>A 25811-2025</t>
        </is>
      </c>
      <c r="B94" s="1" t="n">
        <v>45804.42415509259</v>
      </c>
      <c r="C94" s="1" t="n">
        <v>45884</v>
      </c>
      <c r="D94" t="inlineStr">
        <is>
          <t>KALMAR LÄN</t>
        </is>
      </c>
      <c r="E94" t="inlineStr">
        <is>
          <t>MÖNSTERÅS</t>
        </is>
      </c>
      <c r="F94" t="inlineStr">
        <is>
          <t>Övriga Aktiebolag</t>
        </is>
      </c>
      <c r="G94" t="n">
        <v>7.6</v>
      </c>
      <c r="H94" t="n">
        <v>4</v>
      </c>
      <c r="I94" t="n">
        <v>1</v>
      </c>
      <c r="J94" t="n">
        <v>3</v>
      </c>
      <c r="K94" t="n">
        <v>0</v>
      </c>
      <c r="L94" t="n">
        <v>0</v>
      </c>
      <c r="M94" t="n">
        <v>0</v>
      </c>
      <c r="N94" t="n">
        <v>0</v>
      </c>
      <c r="O94" t="n">
        <v>3</v>
      </c>
      <c r="P94" t="n">
        <v>0</v>
      </c>
      <c r="Q94" t="n">
        <v>7</v>
      </c>
      <c r="R94" s="2" t="inlineStr">
        <is>
          <t>Spillkråka
Tallticka
Vedskivlav
Blåmossa
Grönsiska
Åkergroda
Revlummer</t>
        </is>
      </c>
      <c r="S94">
        <f>HYPERLINK("https://klasma.github.io/Logging_0861/artfynd/A 25811-2025 artfynd.xlsx", "A 25811-2025")</f>
        <v/>
      </c>
      <c r="T94">
        <f>HYPERLINK("https://klasma.github.io/Logging_0861/kartor/A 25811-2025 karta.png", "A 25811-2025")</f>
        <v/>
      </c>
      <c r="V94">
        <f>HYPERLINK("https://klasma.github.io/Logging_0861/klagomål/A 25811-2025 FSC-klagomål.docx", "A 25811-2025")</f>
        <v/>
      </c>
      <c r="W94">
        <f>HYPERLINK("https://klasma.github.io/Logging_0861/klagomålsmail/A 25811-2025 FSC-klagomål mail.docx", "A 25811-2025")</f>
        <v/>
      </c>
      <c r="X94">
        <f>HYPERLINK("https://klasma.github.io/Logging_0861/tillsyn/A 25811-2025 tillsynsbegäran.docx", "A 25811-2025")</f>
        <v/>
      </c>
      <c r="Y94">
        <f>HYPERLINK("https://klasma.github.io/Logging_0861/tillsynsmail/A 25811-2025 tillsynsbegäran mail.docx", "A 25811-2025")</f>
        <v/>
      </c>
      <c r="Z94">
        <f>HYPERLINK("https://klasma.github.io/Logging_0861/fåglar/A 25811-2025 prioriterade fågelarter.docx", "A 25811-2025")</f>
        <v/>
      </c>
    </row>
    <row r="95" ht="15" customHeight="1">
      <c r="A95" t="inlineStr">
        <is>
          <t>A 71188-2021</t>
        </is>
      </c>
      <c r="B95" s="1" t="n">
        <v>44539</v>
      </c>
      <c r="C95" s="1" t="n">
        <v>45884</v>
      </c>
      <c r="D95" t="inlineStr">
        <is>
          <t>KALMAR LÄN</t>
        </is>
      </c>
      <c r="E95" t="inlineStr">
        <is>
          <t>VÄSTERVIK</t>
        </is>
      </c>
      <c r="G95" t="n">
        <v>0.6</v>
      </c>
      <c r="H95" t="n">
        <v>0</v>
      </c>
      <c r="I95" t="n">
        <v>3</v>
      </c>
      <c r="J95" t="n">
        <v>3</v>
      </c>
      <c r="K95" t="n">
        <v>0</v>
      </c>
      <c r="L95" t="n">
        <v>0</v>
      </c>
      <c r="M95" t="n">
        <v>0</v>
      </c>
      <c r="N95" t="n">
        <v>0</v>
      </c>
      <c r="O95" t="n">
        <v>3</v>
      </c>
      <c r="P95" t="n">
        <v>0</v>
      </c>
      <c r="Q95" t="n">
        <v>6</v>
      </c>
      <c r="R95" s="2" t="inlineStr">
        <is>
          <t>Blå taggsvamp
Motaggsvamp
Svartvit taggsvamp
Blomkålssvamp
Dropptaggsvamp
Grovticka</t>
        </is>
      </c>
      <c r="S95">
        <f>HYPERLINK("https://klasma.github.io/Logging_0883/artfynd/A 71188-2021 artfynd.xlsx", "A 71188-2021")</f>
        <v/>
      </c>
      <c r="T95">
        <f>HYPERLINK("https://klasma.github.io/Logging_0883/kartor/A 71188-2021 karta.png", "A 71188-2021")</f>
        <v/>
      </c>
      <c r="V95">
        <f>HYPERLINK("https://klasma.github.io/Logging_0883/klagomål/A 71188-2021 FSC-klagomål.docx", "A 71188-2021")</f>
        <v/>
      </c>
      <c r="W95">
        <f>HYPERLINK("https://klasma.github.io/Logging_0883/klagomålsmail/A 71188-2021 FSC-klagomål mail.docx", "A 71188-2021")</f>
        <v/>
      </c>
      <c r="X95">
        <f>HYPERLINK("https://klasma.github.io/Logging_0883/tillsyn/A 71188-2021 tillsynsbegäran.docx", "A 71188-2021")</f>
        <v/>
      </c>
      <c r="Y95">
        <f>HYPERLINK("https://klasma.github.io/Logging_0883/tillsynsmail/A 71188-2021 tillsynsbegäran mail.docx", "A 71188-2021")</f>
        <v/>
      </c>
    </row>
    <row r="96" ht="15" customHeight="1">
      <c r="A96" t="inlineStr">
        <is>
          <t>A 31837-2021</t>
        </is>
      </c>
      <c r="B96" s="1" t="n">
        <v>44370</v>
      </c>
      <c r="C96" s="1" t="n">
        <v>45884</v>
      </c>
      <c r="D96" t="inlineStr">
        <is>
          <t>KALMAR LÄN</t>
        </is>
      </c>
      <c r="E96" t="inlineStr">
        <is>
          <t>BORGHOLM</t>
        </is>
      </c>
      <c r="F96" t="inlineStr">
        <is>
          <t>Sveaskog</t>
        </is>
      </c>
      <c r="G96" t="n">
        <v>1.7</v>
      </c>
      <c r="H96" t="n">
        <v>3</v>
      </c>
      <c r="I96" t="n">
        <v>5</v>
      </c>
      <c r="J96" t="n">
        <v>0</v>
      </c>
      <c r="K96" t="n">
        <v>0</v>
      </c>
      <c r="L96" t="n">
        <v>0</v>
      </c>
      <c r="M96" t="n">
        <v>0</v>
      </c>
      <c r="N96" t="n">
        <v>0</v>
      </c>
      <c r="O96" t="n">
        <v>0</v>
      </c>
      <c r="P96" t="n">
        <v>0</v>
      </c>
      <c r="Q96" t="n">
        <v>6</v>
      </c>
      <c r="R96" s="2" t="inlineStr">
        <is>
          <t>Kragjordstjärna
Nästrot
Skogsknipprot
Strävlosta
Sårläka
Blåsippa</t>
        </is>
      </c>
      <c r="S96">
        <f>HYPERLINK("https://klasma.github.io/Logging_0885/artfynd/A 31837-2021 artfynd.xlsx", "A 31837-2021")</f>
        <v/>
      </c>
      <c r="T96">
        <f>HYPERLINK("https://klasma.github.io/Logging_0885/kartor/A 31837-2021 karta.png", "A 31837-2021")</f>
        <v/>
      </c>
      <c r="V96">
        <f>HYPERLINK("https://klasma.github.io/Logging_0885/klagomål/A 31837-2021 FSC-klagomål.docx", "A 31837-2021")</f>
        <v/>
      </c>
      <c r="W96">
        <f>HYPERLINK("https://klasma.github.io/Logging_0885/klagomålsmail/A 31837-2021 FSC-klagomål mail.docx", "A 31837-2021")</f>
        <v/>
      </c>
      <c r="X96">
        <f>HYPERLINK("https://klasma.github.io/Logging_0885/tillsyn/A 31837-2021 tillsynsbegäran.docx", "A 31837-2021")</f>
        <v/>
      </c>
      <c r="Y96">
        <f>HYPERLINK("https://klasma.github.io/Logging_0885/tillsynsmail/A 31837-2021 tillsynsbegäran mail.docx", "A 31837-2021")</f>
        <v/>
      </c>
    </row>
    <row r="97" ht="15" customHeight="1">
      <c r="A97" t="inlineStr">
        <is>
          <t>A 7218-2022</t>
        </is>
      </c>
      <c r="B97" s="1" t="n">
        <v>44606</v>
      </c>
      <c r="C97" s="1" t="n">
        <v>45884</v>
      </c>
      <c r="D97" t="inlineStr">
        <is>
          <t>KALMAR LÄN</t>
        </is>
      </c>
      <c r="E97" t="inlineStr">
        <is>
          <t>NYBRO</t>
        </is>
      </c>
      <c r="G97" t="n">
        <v>5.1</v>
      </c>
      <c r="H97" t="n">
        <v>0</v>
      </c>
      <c r="I97" t="n">
        <v>3</v>
      </c>
      <c r="J97" t="n">
        <v>3</v>
      </c>
      <c r="K97" t="n">
        <v>0</v>
      </c>
      <c r="L97" t="n">
        <v>0</v>
      </c>
      <c r="M97" t="n">
        <v>0</v>
      </c>
      <c r="N97" t="n">
        <v>0</v>
      </c>
      <c r="O97" t="n">
        <v>3</v>
      </c>
      <c r="P97" t="n">
        <v>0</v>
      </c>
      <c r="Q97" t="n">
        <v>6</v>
      </c>
      <c r="R97" s="2" t="inlineStr">
        <is>
          <t>Gransotdyna
Ullticka
Vedtrappmossa
Blåmossa
Brandticka
Vanlig flatbagge</t>
        </is>
      </c>
      <c r="S97">
        <f>HYPERLINK("https://klasma.github.io/Logging_0881/artfynd/A 7218-2022 artfynd.xlsx", "A 7218-2022")</f>
        <v/>
      </c>
      <c r="T97">
        <f>HYPERLINK("https://klasma.github.io/Logging_0881/kartor/A 7218-2022 karta.png", "A 7218-2022")</f>
        <v/>
      </c>
      <c r="V97">
        <f>HYPERLINK("https://klasma.github.io/Logging_0881/klagomål/A 7218-2022 FSC-klagomål.docx", "A 7218-2022")</f>
        <v/>
      </c>
      <c r="W97">
        <f>HYPERLINK("https://klasma.github.io/Logging_0881/klagomålsmail/A 7218-2022 FSC-klagomål mail.docx", "A 7218-2022")</f>
        <v/>
      </c>
      <c r="X97">
        <f>HYPERLINK("https://klasma.github.io/Logging_0881/tillsyn/A 7218-2022 tillsynsbegäran.docx", "A 7218-2022")</f>
        <v/>
      </c>
      <c r="Y97">
        <f>HYPERLINK("https://klasma.github.io/Logging_0881/tillsynsmail/A 7218-2022 tillsynsbegäran mail.docx", "A 7218-2022")</f>
        <v/>
      </c>
    </row>
    <row r="98" ht="15" customHeight="1">
      <c r="A98" t="inlineStr">
        <is>
          <t>A 5922-2024</t>
        </is>
      </c>
      <c r="B98" s="1" t="n">
        <v>45335</v>
      </c>
      <c r="C98" s="1" t="n">
        <v>45884</v>
      </c>
      <c r="D98" t="inlineStr">
        <is>
          <t>KALMAR LÄN</t>
        </is>
      </c>
      <c r="E98" t="inlineStr">
        <is>
          <t>VÄSTERVIK</t>
        </is>
      </c>
      <c r="F98" t="inlineStr">
        <is>
          <t>Holmen skog AB</t>
        </is>
      </c>
      <c r="G98" t="n">
        <v>9</v>
      </c>
      <c r="H98" t="n">
        <v>2</v>
      </c>
      <c r="I98" t="n">
        <v>0</v>
      </c>
      <c r="J98" t="n">
        <v>5</v>
      </c>
      <c r="K98" t="n">
        <v>1</v>
      </c>
      <c r="L98" t="n">
        <v>0</v>
      </c>
      <c r="M98" t="n">
        <v>0</v>
      </c>
      <c r="N98" t="n">
        <v>0</v>
      </c>
      <c r="O98" t="n">
        <v>6</v>
      </c>
      <c r="P98" t="n">
        <v>1</v>
      </c>
      <c r="Q98" t="n">
        <v>6</v>
      </c>
      <c r="R98" s="2" t="inlineStr">
        <is>
          <t>Lungrot
Entita
Klubbsprötad bastardsvärmare
Smalsprötad bastardsvärmare
Tallticka
Talltita</t>
        </is>
      </c>
      <c r="S98">
        <f>HYPERLINK("https://klasma.github.io/Logging_0883/artfynd/A 5922-2024 artfynd.xlsx", "A 5922-2024")</f>
        <v/>
      </c>
      <c r="T98">
        <f>HYPERLINK("https://klasma.github.io/Logging_0883/kartor/A 5922-2024 karta.png", "A 5922-2024")</f>
        <v/>
      </c>
      <c r="V98">
        <f>HYPERLINK("https://klasma.github.io/Logging_0883/klagomål/A 5922-2024 FSC-klagomål.docx", "A 5922-2024")</f>
        <v/>
      </c>
      <c r="W98">
        <f>HYPERLINK("https://klasma.github.io/Logging_0883/klagomålsmail/A 5922-2024 FSC-klagomål mail.docx", "A 5922-2024")</f>
        <v/>
      </c>
      <c r="X98">
        <f>HYPERLINK("https://klasma.github.io/Logging_0883/tillsyn/A 5922-2024 tillsynsbegäran.docx", "A 5922-2024")</f>
        <v/>
      </c>
      <c r="Y98">
        <f>HYPERLINK("https://klasma.github.io/Logging_0883/tillsynsmail/A 5922-2024 tillsynsbegäran mail.docx", "A 5922-2024")</f>
        <v/>
      </c>
      <c r="Z98">
        <f>HYPERLINK("https://klasma.github.io/Logging_0883/fåglar/A 5922-2024 prioriterade fågelarter.docx", "A 5922-2024")</f>
        <v/>
      </c>
    </row>
    <row r="99" ht="15" customHeight="1">
      <c r="A99" t="inlineStr">
        <is>
          <t>A 60996-2021</t>
        </is>
      </c>
      <c r="B99" s="1" t="n">
        <v>44497</v>
      </c>
      <c r="C99" s="1" t="n">
        <v>45884</v>
      </c>
      <c r="D99" t="inlineStr">
        <is>
          <t>KALMAR LÄN</t>
        </is>
      </c>
      <c r="E99" t="inlineStr">
        <is>
          <t>VÄSTERVIK</t>
        </is>
      </c>
      <c r="F99" t="inlineStr">
        <is>
          <t>Kyrkan</t>
        </is>
      </c>
      <c r="G99" t="n">
        <v>7.2</v>
      </c>
      <c r="H99" t="n">
        <v>3</v>
      </c>
      <c r="I99" t="n">
        <v>2</v>
      </c>
      <c r="J99" t="n">
        <v>2</v>
      </c>
      <c r="K99" t="n">
        <v>1</v>
      </c>
      <c r="L99" t="n">
        <v>0</v>
      </c>
      <c r="M99" t="n">
        <v>0</v>
      </c>
      <c r="N99" t="n">
        <v>0</v>
      </c>
      <c r="O99" t="n">
        <v>3</v>
      </c>
      <c r="P99" t="n">
        <v>1</v>
      </c>
      <c r="Q99" t="n">
        <v>6</v>
      </c>
      <c r="R99" s="2" t="inlineStr">
        <is>
          <t>Knärot
Talltita
Vedtrappmossa
Grönpyrola
Platt fjädermossa
Revlummer</t>
        </is>
      </c>
      <c r="S99">
        <f>HYPERLINK("https://klasma.github.io/Logging_0883/artfynd/A 60996-2021 artfynd.xlsx", "A 60996-2021")</f>
        <v/>
      </c>
      <c r="T99">
        <f>HYPERLINK("https://klasma.github.io/Logging_0883/kartor/A 60996-2021 karta.png", "A 60996-2021")</f>
        <v/>
      </c>
      <c r="U99">
        <f>HYPERLINK("https://klasma.github.io/Logging_0883/knärot/A 60996-2021 karta knärot.png", "A 60996-2021")</f>
        <v/>
      </c>
      <c r="V99">
        <f>HYPERLINK("https://klasma.github.io/Logging_0883/klagomål/A 60996-2021 FSC-klagomål.docx", "A 60996-2021")</f>
        <v/>
      </c>
      <c r="W99">
        <f>HYPERLINK("https://klasma.github.io/Logging_0883/klagomålsmail/A 60996-2021 FSC-klagomål mail.docx", "A 60996-2021")</f>
        <v/>
      </c>
      <c r="X99">
        <f>HYPERLINK("https://klasma.github.io/Logging_0883/tillsyn/A 60996-2021 tillsynsbegäran.docx", "A 60996-2021")</f>
        <v/>
      </c>
      <c r="Y99">
        <f>HYPERLINK("https://klasma.github.io/Logging_0883/tillsynsmail/A 60996-2021 tillsynsbegäran mail.docx", "A 60996-2021")</f>
        <v/>
      </c>
      <c r="Z99">
        <f>HYPERLINK("https://klasma.github.io/Logging_0883/fåglar/A 60996-2021 prioriterade fågelarter.docx", "A 60996-2021")</f>
        <v/>
      </c>
    </row>
    <row r="100" ht="15" customHeight="1">
      <c r="A100" t="inlineStr">
        <is>
          <t>A 11740-2023</t>
        </is>
      </c>
      <c r="B100" s="1" t="n">
        <v>44994</v>
      </c>
      <c r="C100" s="1" t="n">
        <v>45884</v>
      </c>
      <c r="D100" t="inlineStr">
        <is>
          <t>KALMAR LÄN</t>
        </is>
      </c>
      <c r="E100" t="inlineStr">
        <is>
          <t>VÄSTERVIK</t>
        </is>
      </c>
      <c r="F100" t="inlineStr">
        <is>
          <t>Sveaskog</t>
        </is>
      </c>
      <c r="G100" t="n">
        <v>2.9</v>
      </c>
      <c r="H100" t="n">
        <v>1</v>
      </c>
      <c r="I100" t="n">
        <v>1</v>
      </c>
      <c r="J100" t="n">
        <v>4</v>
      </c>
      <c r="K100" t="n">
        <v>0</v>
      </c>
      <c r="L100" t="n">
        <v>0</v>
      </c>
      <c r="M100" t="n">
        <v>0</v>
      </c>
      <c r="N100" t="n">
        <v>0</v>
      </c>
      <c r="O100" t="n">
        <v>4</v>
      </c>
      <c r="P100" t="n">
        <v>0</v>
      </c>
      <c r="Q100" t="n">
        <v>6</v>
      </c>
      <c r="R100" s="2" t="inlineStr">
        <is>
          <t>Mindre bastardsvärmare
Skogsklocka
Smalsprötad bastardsvärmare
Tallticka
Fällmossa
Blåsippa</t>
        </is>
      </c>
      <c r="S100">
        <f>HYPERLINK("https://klasma.github.io/Logging_0883/artfynd/A 11740-2023 artfynd.xlsx", "A 11740-2023")</f>
        <v/>
      </c>
      <c r="T100">
        <f>HYPERLINK("https://klasma.github.io/Logging_0883/kartor/A 11740-2023 karta.png", "A 11740-2023")</f>
        <v/>
      </c>
      <c r="V100">
        <f>HYPERLINK("https://klasma.github.io/Logging_0883/klagomål/A 11740-2023 FSC-klagomål.docx", "A 11740-2023")</f>
        <v/>
      </c>
      <c r="W100">
        <f>HYPERLINK("https://klasma.github.io/Logging_0883/klagomålsmail/A 11740-2023 FSC-klagomål mail.docx", "A 11740-2023")</f>
        <v/>
      </c>
      <c r="X100">
        <f>HYPERLINK("https://klasma.github.io/Logging_0883/tillsyn/A 11740-2023 tillsynsbegäran.docx", "A 11740-2023")</f>
        <v/>
      </c>
      <c r="Y100">
        <f>HYPERLINK("https://klasma.github.io/Logging_0883/tillsynsmail/A 11740-2023 tillsynsbegäran mail.docx", "A 11740-2023")</f>
        <v/>
      </c>
    </row>
    <row r="101" ht="15" customHeight="1">
      <c r="A101" t="inlineStr">
        <is>
          <t>A 14044-2024</t>
        </is>
      </c>
      <c r="B101" s="1" t="n">
        <v>45392.54690972222</v>
      </c>
      <c r="C101" s="1" t="n">
        <v>45884</v>
      </c>
      <c r="D101" t="inlineStr">
        <is>
          <t>KALMAR LÄN</t>
        </is>
      </c>
      <c r="E101" t="inlineStr">
        <is>
          <t>OSKARSHAMN</t>
        </is>
      </c>
      <c r="G101" t="n">
        <v>1.5</v>
      </c>
      <c r="H101" t="n">
        <v>3</v>
      </c>
      <c r="I101" t="n">
        <v>2</v>
      </c>
      <c r="J101" t="n">
        <v>3</v>
      </c>
      <c r="K101" t="n">
        <v>0</v>
      </c>
      <c r="L101" t="n">
        <v>0</v>
      </c>
      <c r="M101" t="n">
        <v>0</v>
      </c>
      <c r="N101" t="n">
        <v>0</v>
      </c>
      <c r="O101" t="n">
        <v>3</v>
      </c>
      <c r="P101" t="n">
        <v>0</v>
      </c>
      <c r="Q101" t="n">
        <v>6</v>
      </c>
      <c r="R101" s="2" t="inlineStr">
        <is>
          <t>Järpe
Talltita
Vedtrappmossa
Björksplintborre
Fällmossa
Blåsippa</t>
        </is>
      </c>
      <c r="S101">
        <f>HYPERLINK("https://klasma.github.io/Logging_0882/artfynd/A 14044-2024 artfynd.xlsx", "A 14044-2024")</f>
        <v/>
      </c>
      <c r="T101">
        <f>HYPERLINK("https://klasma.github.io/Logging_0882/kartor/A 14044-2024 karta.png", "A 14044-2024")</f>
        <v/>
      </c>
      <c r="V101">
        <f>HYPERLINK("https://klasma.github.io/Logging_0882/klagomål/A 14044-2024 FSC-klagomål.docx", "A 14044-2024")</f>
        <v/>
      </c>
      <c r="W101">
        <f>HYPERLINK("https://klasma.github.io/Logging_0882/klagomålsmail/A 14044-2024 FSC-klagomål mail.docx", "A 14044-2024")</f>
        <v/>
      </c>
      <c r="X101">
        <f>HYPERLINK("https://klasma.github.io/Logging_0882/tillsyn/A 14044-2024 tillsynsbegäran.docx", "A 14044-2024")</f>
        <v/>
      </c>
      <c r="Y101">
        <f>HYPERLINK("https://klasma.github.io/Logging_0882/tillsynsmail/A 14044-2024 tillsynsbegäran mail.docx", "A 14044-2024")</f>
        <v/>
      </c>
      <c r="Z101">
        <f>HYPERLINK("https://klasma.github.io/Logging_0882/fåglar/A 14044-2024 prioriterade fågelarter.docx", "A 14044-2024")</f>
        <v/>
      </c>
    </row>
    <row r="102" ht="15" customHeight="1">
      <c r="A102" t="inlineStr">
        <is>
          <t>A 55286-2023</t>
        </is>
      </c>
      <c r="B102" s="1" t="n">
        <v>45237</v>
      </c>
      <c r="C102" s="1" t="n">
        <v>45884</v>
      </c>
      <c r="D102" t="inlineStr">
        <is>
          <t>KALMAR LÄN</t>
        </is>
      </c>
      <c r="E102" t="inlineStr">
        <is>
          <t>VÄSTERVIK</t>
        </is>
      </c>
      <c r="G102" t="n">
        <v>5.9</v>
      </c>
      <c r="H102" t="n">
        <v>2</v>
      </c>
      <c r="I102" t="n">
        <v>3</v>
      </c>
      <c r="J102" t="n">
        <v>1</v>
      </c>
      <c r="K102" t="n">
        <v>2</v>
      </c>
      <c r="L102" t="n">
        <v>0</v>
      </c>
      <c r="M102" t="n">
        <v>0</v>
      </c>
      <c r="N102" t="n">
        <v>0</v>
      </c>
      <c r="O102" t="n">
        <v>3</v>
      </c>
      <c r="P102" t="n">
        <v>2</v>
      </c>
      <c r="Q102" t="n">
        <v>6</v>
      </c>
      <c r="R102" s="2" t="inlineStr">
        <is>
          <t>Knärot
Koppartaggsvamp
Spillkråka
Blomskägglav
Blåmossa
Grovticka</t>
        </is>
      </c>
      <c r="S102">
        <f>HYPERLINK("https://klasma.github.io/Logging_0883/artfynd/A 55286-2023 artfynd.xlsx", "A 55286-2023")</f>
        <v/>
      </c>
      <c r="T102">
        <f>HYPERLINK("https://klasma.github.io/Logging_0883/kartor/A 55286-2023 karta.png", "A 55286-2023")</f>
        <v/>
      </c>
      <c r="U102">
        <f>HYPERLINK("https://klasma.github.io/Logging_0883/knärot/A 55286-2023 karta knärot.png", "A 55286-2023")</f>
        <v/>
      </c>
      <c r="V102">
        <f>HYPERLINK("https://klasma.github.io/Logging_0883/klagomål/A 55286-2023 FSC-klagomål.docx", "A 55286-2023")</f>
        <v/>
      </c>
      <c r="W102">
        <f>HYPERLINK("https://klasma.github.io/Logging_0883/klagomålsmail/A 55286-2023 FSC-klagomål mail.docx", "A 55286-2023")</f>
        <v/>
      </c>
      <c r="X102">
        <f>HYPERLINK("https://klasma.github.io/Logging_0883/tillsyn/A 55286-2023 tillsynsbegäran.docx", "A 55286-2023")</f>
        <v/>
      </c>
      <c r="Y102">
        <f>HYPERLINK("https://klasma.github.io/Logging_0883/tillsynsmail/A 55286-2023 tillsynsbegäran mail.docx", "A 55286-2023")</f>
        <v/>
      </c>
      <c r="Z102">
        <f>HYPERLINK("https://klasma.github.io/Logging_0883/fåglar/A 55286-2023 prioriterade fågelarter.docx", "A 55286-2023")</f>
        <v/>
      </c>
    </row>
    <row r="103" ht="15" customHeight="1">
      <c r="A103" t="inlineStr">
        <is>
          <t>A 27379-2024</t>
        </is>
      </c>
      <c r="B103" s="1" t="n">
        <v>45473</v>
      </c>
      <c r="C103" s="1" t="n">
        <v>45884</v>
      </c>
      <c r="D103" t="inlineStr">
        <is>
          <t>KALMAR LÄN</t>
        </is>
      </c>
      <c r="E103" t="inlineStr">
        <is>
          <t>VÄSTERVIK</t>
        </is>
      </c>
      <c r="G103" t="n">
        <v>3.4</v>
      </c>
      <c r="H103" t="n">
        <v>3</v>
      </c>
      <c r="I103" t="n">
        <v>2</v>
      </c>
      <c r="J103" t="n">
        <v>2</v>
      </c>
      <c r="K103" t="n">
        <v>1</v>
      </c>
      <c r="L103" t="n">
        <v>0</v>
      </c>
      <c r="M103" t="n">
        <v>0</v>
      </c>
      <c r="N103" t="n">
        <v>0</v>
      </c>
      <c r="O103" t="n">
        <v>3</v>
      </c>
      <c r="P103" t="n">
        <v>1</v>
      </c>
      <c r="Q103" t="n">
        <v>6</v>
      </c>
      <c r="R103" s="2" t="inlineStr">
        <is>
          <t>Knärot
Talltita
Ullticka
Blåmossa
Grönpyrola
Revlummer</t>
        </is>
      </c>
      <c r="S103">
        <f>HYPERLINK("https://klasma.github.io/Logging_0883/artfynd/A 27379-2024 artfynd.xlsx", "A 27379-2024")</f>
        <v/>
      </c>
      <c r="T103">
        <f>HYPERLINK("https://klasma.github.io/Logging_0883/kartor/A 27379-2024 karta.png", "A 27379-2024")</f>
        <v/>
      </c>
      <c r="U103">
        <f>HYPERLINK("https://klasma.github.io/Logging_0883/knärot/A 27379-2024 karta knärot.png", "A 27379-2024")</f>
        <v/>
      </c>
      <c r="V103">
        <f>HYPERLINK("https://klasma.github.io/Logging_0883/klagomål/A 27379-2024 FSC-klagomål.docx", "A 27379-2024")</f>
        <v/>
      </c>
      <c r="W103">
        <f>HYPERLINK("https://klasma.github.io/Logging_0883/klagomålsmail/A 27379-2024 FSC-klagomål mail.docx", "A 27379-2024")</f>
        <v/>
      </c>
      <c r="X103">
        <f>HYPERLINK("https://klasma.github.io/Logging_0883/tillsyn/A 27379-2024 tillsynsbegäran.docx", "A 27379-2024")</f>
        <v/>
      </c>
      <c r="Y103">
        <f>HYPERLINK("https://klasma.github.io/Logging_0883/tillsynsmail/A 27379-2024 tillsynsbegäran mail.docx", "A 27379-2024")</f>
        <v/>
      </c>
      <c r="Z103">
        <f>HYPERLINK("https://klasma.github.io/Logging_0883/fåglar/A 27379-2024 prioriterade fågelarter.docx", "A 27379-2024")</f>
        <v/>
      </c>
    </row>
    <row r="104" ht="15" customHeight="1">
      <c r="A104" t="inlineStr">
        <is>
          <t>A 55989-2023</t>
        </is>
      </c>
      <c r="B104" s="1" t="n">
        <v>45240.38040509259</v>
      </c>
      <c r="C104" s="1" t="n">
        <v>45884</v>
      </c>
      <c r="D104" t="inlineStr">
        <is>
          <t>KALMAR LÄN</t>
        </is>
      </c>
      <c r="E104" t="inlineStr">
        <is>
          <t>OSKARSHAMN</t>
        </is>
      </c>
      <c r="G104" t="n">
        <v>3</v>
      </c>
      <c r="H104" t="n">
        <v>6</v>
      </c>
      <c r="I104" t="n">
        <v>0</v>
      </c>
      <c r="J104" t="n">
        <v>3</v>
      </c>
      <c r="K104" t="n">
        <v>0</v>
      </c>
      <c r="L104" t="n">
        <v>0</v>
      </c>
      <c r="M104" t="n">
        <v>0</v>
      </c>
      <c r="N104" t="n">
        <v>0</v>
      </c>
      <c r="O104" t="n">
        <v>3</v>
      </c>
      <c r="P104" t="n">
        <v>0</v>
      </c>
      <c r="Q104" t="n">
        <v>6</v>
      </c>
      <c r="R104" s="2" t="inlineStr">
        <is>
          <t>Barbastell
Brunlångöra
Nordfladdermus
Dvärgpipistrell
Större brunfladdermus
Vattenfladdermus</t>
        </is>
      </c>
      <c r="S104">
        <f>HYPERLINK("https://klasma.github.io/Logging_0882/artfynd/A 55989-2023 artfynd.xlsx", "A 55989-2023")</f>
        <v/>
      </c>
      <c r="T104">
        <f>HYPERLINK("https://klasma.github.io/Logging_0882/kartor/A 55989-2023 karta.png", "A 55989-2023")</f>
        <v/>
      </c>
      <c r="V104">
        <f>HYPERLINK("https://klasma.github.io/Logging_0882/klagomål/A 55989-2023 FSC-klagomål.docx", "A 55989-2023")</f>
        <v/>
      </c>
      <c r="W104">
        <f>HYPERLINK("https://klasma.github.io/Logging_0882/klagomålsmail/A 55989-2023 FSC-klagomål mail.docx", "A 55989-2023")</f>
        <v/>
      </c>
      <c r="X104">
        <f>HYPERLINK("https://klasma.github.io/Logging_0882/tillsyn/A 55989-2023 tillsynsbegäran.docx", "A 55989-2023")</f>
        <v/>
      </c>
      <c r="Y104">
        <f>HYPERLINK("https://klasma.github.io/Logging_0882/tillsynsmail/A 55989-2023 tillsynsbegäran mail.docx", "A 55989-2023")</f>
        <v/>
      </c>
    </row>
    <row r="105" ht="15" customHeight="1">
      <c r="A105" t="inlineStr">
        <is>
          <t>A 74479-2021</t>
        </is>
      </c>
      <c r="B105" s="1" t="n">
        <v>44559</v>
      </c>
      <c r="C105" s="1" t="n">
        <v>45884</v>
      </c>
      <c r="D105" t="inlineStr">
        <is>
          <t>KALMAR LÄN</t>
        </is>
      </c>
      <c r="E105" t="inlineStr">
        <is>
          <t>HÖGSBY</t>
        </is>
      </c>
      <c r="G105" t="n">
        <v>9.6</v>
      </c>
      <c r="H105" t="n">
        <v>3</v>
      </c>
      <c r="I105" t="n">
        <v>3</v>
      </c>
      <c r="J105" t="n">
        <v>2</v>
      </c>
      <c r="K105" t="n">
        <v>1</v>
      </c>
      <c r="L105" t="n">
        <v>0</v>
      </c>
      <c r="M105" t="n">
        <v>0</v>
      </c>
      <c r="N105" t="n">
        <v>0</v>
      </c>
      <c r="O105" t="n">
        <v>3</v>
      </c>
      <c r="P105" t="n">
        <v>1</v>
      </c>
      <c r="Q105" t="n">
        <v>6</v>
      </c>
      <c r="R105" s="2" t="inlineStr">
        <is>
          <t>Knärot
Spillkråka
Talltita
Grönpyrola
Thomsons trägnagare
Västlig hakmossa</t>
        </is>
      </c>
      <c r="S105">
        <f>HYPERLINK("https://klasma.github.io/Logging_0821/artfynd/A 74479-2021 artfynd.xlsx", "A 74479-2021")</f>
        <v/>
      </c>
      <c r="T105">
        <f>HYPERLINK("https://klasma.github.io/Logging_0821/kartor/A 74479-2021 karta.png", "A 74479-2021")</f>
        <v/>
      </c>
      <c r="U105">
        <f>HYPERLINK("https://klasma.github.io/Logging_0821/knärot/A 74479-2021 karta knärot.png", "A 74479-2021")</f>
        <v/>
      </c>
      <c r="V105">
        <f>HYPERLINK("https://klasma.github.io/Logging_0821/klagomål/A 74479-2021 FSC-klagomål.docx", "A 74479-2021")</f>
        <v/>
      </c>
      <c r="W105">
        <f>HYPERLINK("https://klasma.github.io/Logging_0821/klagomålsmail/A 74479-2021 FSC-klagomål mail.docx", "A 74479-2021")</f>
        <v/>
      </c>
      <c r="X105">
        <f>HYPERLINK("https://klasma.github.io/Logging_0821/tillsyn/A 74479-2021 tillsynsbegäran.docx", "A 74479-2021")</f>
        <v/>
      </c>
      <c r="Y105">
        <f>HYPERLINK("https://klasma.github.io/Logging_0821/tillsynsmail/A 74479-2021 tillsynsbegäran mail.docx", "A 74479-2021")</f>
        <v/>
      </c>
      <c r="Z105">
        <f>HYPERLINK("https://klasma.github.io/Logging_0821/fåglar/A 74479-2021 prioriterade fågelarter.docx", "A 74479-2021")</f>
        <v/>
      </c>
    </row>
    <row r="106" ht="15" customHeight="1">
      <c r="A106" t="inlineStr">
        <is>
          <t>A 5153-2025</t>
        </is>
      </c>
      <c r="B106" s="1" t="n">
        <v>45691</v>
      </c>
      <c r="C106" s="1" t="n">
        <v>45884</v>
      </c>
      <c r="D106" t="inlineStr">
        <is>
          <t>KALMAR LÄN</t>
        </is>
      </c>
      <c r="E106" t="inlineStr">
        <is>
          <t>OSKARSHAMN</t>
        </is>
      </c>
      <c r="G106" t="n">
        <v>4.7</v>
      </c>
      <c r="H106" t="n">
        <v>3</v>
      </c>
      <c r="I106" t="n">
        <v>1</v>
      </c>
      <c r="J106" t="n">
        <v>4</v>
      </c>
      <c r="K106" t="n">
        <v>0</v>
      </c>
      <c r="L106" t="n">
        <v>0</v>
      </c>
      <c r="M106" t="n">
        <v>0</v>
      </c>
      <c r="N106" t="n">
        <v>0</v>
      </c>
      <c r="O106" t="n">
        <v>4</v>
      </c>
      <c r="P106" t="n">
        <v>0</v>
      </c>
      <c r="Q106" t="n">
        <v>6</v>
      </c>
      <c r="R106" s="2" t="inlineStr">
        <is>
          <t>Ekticka
Spillkråka
Tallticka
Talltita
Fällmossa
Gröngöling</t>
        </is>
      </c>
      <c r="S106">
        <f>HYPERLINK("https://klasma.github.io/Logging_0882/artfynd/A 5153-2025 artfynd.xlsx", "A 5153-2025")</f>
        <v/>
      </c>
      <c r="T106">
        <f>HYPERLINK("https://klasma.github.io/Logging_0882/kartor/A 5153-2025 karta.png", "A 5153-2025")</f>
        <v/>
      </c>
      <c r="V106">
        <f>HYPERLINK("https://klasma.github.io/Logging_0882/klagomål/A 5153-2025 FSC-klagomål.docx", "A 5153-2025")</f>
        <v/>
      </c>
      <c r="W106">
        <f>HYPERLINK("https://klasma.github.io/Logging_0882/klagomålsmail/A 5153-2025 FSC-klagomål mail.docx", "A 5153-2025")</f>
        <v/>
      </c>
      <c r="X106">
        <f>HYPERLINK("https://klasma.github.io/Logging_0882/tillsyn/A 5153-2025 tillsynsbegäran.docx", "A 5153-2025")</f>
        <v/>
      </c>
      <c r="Y106">
        <f>HYPERLINK("https://klasma.github.io/Logging_0882/tillsynsmail/A 5153-2025 tillsynsbegäran mail.docx", "A 5153-2025")</f>
        <v/>
      </c>
      <c r="Z106">
        <f>HYPERLINK("https://klasma.github.io/Logging_0882/fåglar/A 5153-2025 prioriterade fågelarter.docx", "A 5153-2025")</f>
        <v/>
      </c>
    </row>
    <row r="107" ht="15" customHeight="1">
      <c r="A107" t="inlineStr">
        <is>
          <t>A 32178-2022</t>
        </is>
      </c>
      <c r="B107" s="1" t="n">
        <v>44781</v>
      </c>
      <c r="C107" s="1" t="n">
        <v>45884</v>
      </c>
      <c r="D107" t="inlineStr">
        <is>
          <t>KALMAR LÄN</t>
        </is>
      </c>
      <c r="E107" t="inlineStr">
        <is>
          <t>BORGHOLM</t>
        </is>
      </c>
      <c r="F107" t="inlineStr">
        <is>
          <t>Sveaskog</t>
        </is>
      </c>
      <c r="G107" t="n">
        <v>3.8</v>
      </c>
      <c r="H107" t="n">
        <v>1</v>
      </c>
      <c r="I107" t="n">
        <v>2</v>
      </c>
      <c r="J107" t="n">
        <v>2</v>
      </c>
      <c r="K107" t="n">
        <v>0</v>
      </c>
      <c r="L107" t="n">
        <v>0</v>
      </c>
      <c r="M107" t="n">
        <v>2</v>
      </c>
      <c r="N107" t="n">
        <v>0</v>
      </c>
      <c r="O107" t="n">
        <v>4</v>
      </c>
      <c r="P107" t="n">
        <v>2</v>
      </c>
      <c r="Q107" t="n">
        <v>6</v>
      </c>
      <c r="R107" s="2" t="inlineStr">
        <is>
          <t>Järnek
Skogsalm
Fyrflikig jordstjärna
Grönsångare
Kalktallört
Kamjordstjärna</t>
        </is>
      </c>
      <c r="S107">
        <f>HYPERLINK("https://klasma.github.io/Logging_0885/artfynd/A 32178-2022 artfynd.xlsx", "A 32178-2022")</f>
        <v/>
      </c>
      <c r="T107">
        <f>HYPERLINK("https://klasma.github.io/Logging_0885/kartor/A 32178-2022 karta.png", "A 32178-2022")</f>
        <v/>
      </c>
      <c r="V107">
        <f>HYPERLINK("https://klasma.github.io/Logging_0885/klagomål/A 32178-2022 FSC-klagomål.docx", "A 32178-2022")</f>
        <v/>
      </c>
      <c r="W107">
        <f>HYPERLINK("https://klasma.github.io/Logging_0885/klagomålsmail/A 32178-2022 FSC-klagomål mail.docx", "A 32178-2022")</f>
        <v/>
      </c>
      <c r="X107">
        <f>HYPERLINK("https://klasma.github.io/Logging_0885/tillsyn/A 32178-2022 tillsynsbegäran.docx", "A 32178-2022")</f>
        <v/>
      </c>
      <c r="Y107">
        <f>HYPERLINK("https://klasma.github.io/Logging_0885/tillsynsmail/A 32178-2022 tillsynsbegäran mail.docx", "A 32178-2022")</f>
        <v/>
      </c>
      <c r="Z107">
        <f>HYPERLINK("https://klasma.github.io/Logging_0885/fåglar/A 32178-2022 prioriterade fågelarter.docx", "A 32178-2022")</f>
        <v/>
      </c>
    </row>
    <row r="108" ht="15" customHeight="1">
      <c r="A108" t="inlineStr">
        <is>
          <t>A 974-2023</t>
        </is>
      </c>
      <c r="B108" s="1" t="n">
        <v>44935</v>
      </c>
      <c r="C108" s="1" t="n">
        <v>45884</v>
      </c>
      <c r="D108" t="inlineStr">
        <is>
          <t>KALMAR LÄN</t>
        </is>
      </c>
      <c r="E108" t="inlineStr">
        <is>
          <t>VÄSTERVIK</t>
        </is>
      </c>
      <c r="G108" t="n">
        <v>7.2</v>
      </c>
      <c r="H108" t="n">
        <v>1</v>
      </c>
      <c r="I108" t="n">
        <v>5</v>
      </c>
      <c r="J108" t="n">
        <v>0</v>
      </c>
      <c r="K108" t="n">
        <v>1</v>
      </c>
      <c r="L108" t="n">
        <v>0</v>
      </c>
      <c r="M108" t="n">
        <v>0</v>
      </c>
      <c r="N108" t="n">
        <v>0</v>
      </c>
      <c r="O108" t="n">
        <v>1</v>
      </c>
      <c r="P108" t="n">
        <v>1</v>
      </c>
      <c r="Q108" t="n">
        <v>6</v>
      </c>
      <c r="R108" s="2" t="inlineStr">
        <is>
          <t>Läderbagge
Blanksvart trämyra
Fällmossa
Guldlockmossa
Gulpudrad spiklav
Myskmadra</t>
        </is>
      </c>
      <c r="S108">
        <f>HYPERLINK("https://klasma.github.io/Logging_0883/artfynd/A 974-2023 artfynd.xlsx", "A 974-2023")</f>
        <v/>
      </c>
      <c r="T108">
        <f>HYPERLINK("https://klasma.github.io/Logging_0883/kartor/A 974-2023 karta.png", "A 974-2023")</f>
        <v/>
      </c>
      <c r="V108">
        <f>HYPERLINK("https://klasma.github.io/Logging_0883/klagomål/A 974-2023 FSC-klagomål.docx", "A 974-2023")</f>
        <v/>
      </c>
      <c r="W108">
        <f>HYPERLINK("https://klasma.github.io/Logging_0883/klagomålsmail/A 974-2023 FSC-klagomål mail.docx", "A 974-2023")</f>
        <v/>
      </c>
      <c r="X108">
        <f>HYPERLINK("https://klasma.github.io/Logging_0883/tillsyn/A 974-2023 tillsynsbegäran.docx", "A 974-2023")</f>
        <v/>
      </c>
      <c r="Y108">
        <f>HYPERLINK("https://klasma.github.io/Logging_0883/tillsynsmail/A 974-2023 tillsynsbegäran mail.docx", "A 974-2023")</f>
        <v/>
      </c>
    </row>
    <row r="109" ht="15" customHeight="1">
      <c r="A109" t="inlineStr">
        <is>
          <t>A 57656-2020</t>
        </is>
      </c>
      <c r="B109" s="1" t="n">
        <v>44140</v>
      </c>
      <c r="C109" s="1" t="n">
        <v>45884</v>
      </c>
      <c r="D109" t="inlineStr">
        <is>
          <t>KALMAR LÄN</t>
        </is>
      </c>
      <c r="E109" t="inlineStr">
        <is>
          <t>BORGHOLM</t>
        </is>
      </c>
      <c r="F109" t="inlineStr">
        <is>
          <t>Sveaskog</t>
        </is>
      </c>
      <c r="G109" t="n">
        <v>3.1</v>
      </c>
      <c r="H109" t="n">
        <v>3</v>
      </c>
      <c r="I109" t="n">
        <v>3</v>
      </c>
      <c r="J109" t="n">
        <v>0</v>
      </c>
      <c r="K109" t="n">
        <v>1</v>
      </c>
      <c r="L109" t="n">
        <v>1</v>
      </c>
      <c r="M109" t="n">
        <v>0</v>
      </c>
      <c r="N109" t="n">
        <v>0</v>
      </c>
      <c r="O109" t="n">
        <v>2</v>
      </c>
      <c r="P109" t="n">
        <v>2</v>
      </c>
      <c r="Q109" t="n">
        <v>6</v>
      </c>
      <c r="R109" s="2" t="inlineStr">
        <is>
          <t>Ryl
Gotlandsmåra
Skogsknipprot
Strävlosta
Vit skogslilja
Grönvit nattviol</t>
        </is>
      </c>
      <c r="S109">
        <f>HYPERLINK("https://klasma.github.io/Logging_0885/artfynd/A 57656-2020 artfynd.xlsx", "A 57656-2020")</f>
        <v/>
      </c>
      <c r="T109">
        <f>HYPERLINK("https://klasma.github.io/Logging_0885/kartor/A 57656-2020 karta.png", "A 57656-2020")</f>
        <v/>
      </c>
      <c r="V109">
        <f>HYPERLINK("https://klasma.github.io/Logging_0885/klagomål/A 57656-2020 FSC-klagomål.docx", "A 57656-2020")</f>
        <v/>
      </c>
      <c r="W109">
        <f>HYPERLINK("https://klasma.github.io/Logging_0885/klagomålsmail/A 57656-2020 FSC-klagomål mail.docx", "A 57656-2020")</f>
        <v/>
      </c>
      <c r="X109">
        <f>HYPERLINK("https://klasma.github.io/Logging_0885/tillsyn/A 57656-2020 tillsynsbegäran.docx", "A 57656-2020")</f>
        <v/>
      </c>
      <c r="Y109">
        <f>HYPERLINK("https://klasma.github.io/Logging_0885/tillsynsmail/A 57656-2020 tillsynsbegäran mail.docx", "A 57656-2020")</f>
        <v/>
      </c>
    </row>
    <row r="110" ht="15" customHeight="1">
      <c r="A110" t="inlineStr">
        <is>
          <t>A 7031-2022</t>
        </is>
      </c>
      <c r="B110" s="1" t="n">
        <v>44603</v>
      </c>
      <c r="C110" s="1" t="n">
        <v>45884</v>
      </c>
      <c r="D110" t="inlineStr">
        <is>
          <t>KALMAR LÄN</t>
        </is>
      </c>
      <c r="E110" t="inlineStr">
        <is>
          <t>HÖGSBY</t>
        </is>
      </c>
      <c r="G110" t="n">
        <v>3.8</v>
      </c>
      <c r="H110" t="n">
        <v>3</v>
      </c>
      <c r="I110" t="n">
        <v>1</v>
      </c>
      <c r="J110" t="n">
        <v>1</v>
      </c>
      <c r="K110" t="n">
        <v>1</v>
      </c>
      <c r="L110" t="n">
        <v>3</v>
      </c>
      <c r="M110" t="n">
        <v>0</v>
      </c>
      <c r="N110" t="n">
        <v>0</v>
      </c>
      <c r="O110" t="n">
        <v>5</v>
      </c>
      <c r="P110" t="n">
        <v>4</v>
      </c>
      <c r="Q110" t="n">
        <v>6</v>
      </c>
      <c r="R110" s="2" t="inlineStr">
        <is>
          <t>Mosippa
Mycosphaerella chimaphilae
Ryl
Knärot
Talltita
Dropptaggsvamp</t>
        </is>
      </c>
      <c r="S110">
        <f>HYPERLINK("https://klasma.github.io/Logging_0821/artfynd/A 7031-2022 artfynd.xlsx", "A 7031-2022")</f>
        <v/>
      </c>
      <c r="T110">
        <f>HYPERLINK("https://klasma.github.io/Logging_0821/kartor/A 7031-2022 karta.png", "A 7031-2022")</f>
        <v/>
      </c>
      <c r="U110">
        <f>HYPERLINK("https://klasma.github.io/Logging_0821/knärot/A 7031-2022 karta knärot.png", "A 7031-2022")</f>
        <v/>
      </c>
      <c r="V110">
        <f>HYPERLINK("https://klasma.github.io/Logging_0821/klagomål/A 7031-2022 FSC-klagomål.docx", "A 7031-2022")</f>
        <v/>
      </c>
      <c r="W110">
        <f>HYPERLINK("https://klasma.github.io/Logging_0821/klagomålsmail/A 7031-2022 FSC-klagomål mail.docx", "A 7031-2022")</f>
        <v/>
      </c>
      <c r="X110">
        <f>HYPERLINK("https://klasma.github.io/Logging_0821/tillsyn/A 7031-2022 tillsynsbegäran.docx", "A 7031-2022")</f>
        <v/>
      </c>
      <c r="Y110">
        <f>HYPERLINK("https://klasma.github.io/Logging_0821/tillsynsmail/A 7031-2022 tillsynsbegäran mail.docx", "A 7031-2022")</f>
        <v/>
      </c>
      <c r="Z110">
        <f>HYPERLINK("https://klasma.github.io/Logging_0821/fåglar/A 7031-2022 prioriterade fågelarter.docx", "A 7031-2022")</f>
        <v/>
      </c>
    </row>
    <row r="111" ht="15" customHeight="1">
      <c r="A111" t="inlineStr">
        <is>
          <t>A 27636-2023</t>
        </is>
      </c>
      <c r="B111" s="1" t="n">
        <v>45097</v>
      </c>
      <c r="C111" s="1" t="n">
        <v>45884</v>
      </c>
      <c r="D111" t="inlineStr">
        <is>
          <t>KALMAR LÄN</t>
        </is>
      </c>
      <c r="E111" t="inlineStr">
        <is>
          <t>MÖRBYLÅNGA</t>
        </is>
      </c>
      <c r="G111" t="n">
        <v>7.4</v>
      </c>
      <c r="H111" t="n">
        <v>2</v>
      </c>
      <c r="I111" t="n">
        <v>1</v>
      </c>
      <c r="J111" t="n">
        <v>2</v>
      </c>
      <c r="K111" t="n">
        <v>0</v>
      </c>
      <c r="L111" t="n">
        <v>1</v>
      </c>
      <c r="M111" t="n">
        <v>0</v>
      </c>
      <c r="N111" t="n">
        <v>0</v>
      </c>
      <c r="O111" t="n">
        <v>3</v>
      </c>
      <c r="P111" t="n">
        <v>1</v>
      </c>
      <c r="Q111" t="n">
        <v>6</v>
      </c>
      <c r="R111" s="2" t="inlineStr">
        <is>
          <t>Ask
Backtimjan
Solvända
Murgröna
Alvarmalört
Gullviva</t>
        </is>
      </c>
      <c r="S111">
        <f>HYPERLINK("https://klasma.github.io/Logging_0840/artfynd/A 27636-2023 artfynd.xlsx", "A 27636-2023")</f>
        <v/>
      </c>
      <c r="T111">
        <f>HYPERLINK("https://klasma.github.io/Logging_0840/kartor/A 27636-2023 karta.png", "A 27636-2023")</f>
        <v/>
      </c>
      <c r="V111">
        <f>HYPERLINK("https://klasma.github.io/Logging_0840/klagomål/A 27636-2023 FSC-klagomål.docx", "A 27636-2023")</f>
        <v/>
      </c>
      <c r="W111">
        <f>HYPERLINK("https://klasma.github.io/Logging_0840/klagomålsmail/A 27636-2023 FSC-klagomål mail.docx", "A 27636-2023")</f>
        <v/>
      </c>
      <c r="X111">
        <f>HYPERLINK("https://klasma.github.io/Logging_0840/tillsyn/A 27636-2023 tillsynsbegäran.docx", "A 27636-2023")</f>
        <v/>
      </c>
      <c r="Y111">
        <f>HYPERLINK("https://klasma.github.io/Logging_0840/tillsynsmail/A 27636-2023 tillsynsbegäran mail.docx", "A 27636-2023")</f>
        <v/>
      </c>
    </row>
    <row r="112" ht="15" customHeight="1">
      <c r="A112" t="inlineStr">
        <is>
          <t>A 52916-2020</t>
        </is>
      </c>
      <c r="B112" s="1" t="n">
        <v>44120</v>
      </c>
      <c r="C112" s="1" t="n">
        <v>45884</v>
      </c>
      <c r="D112" t="inlineStr">
        <is>
          <t>KALMAR LÄN</t>
        </is>
      </c>
      <c r="E112" t="inlineStr">
        <is>
          <t>VÄSTERVIK</t>
        </is>
      </c>
      <c r="G112" t="n">
        <v>1.2</v>
      </c>
      <c r="H112" t="n">
        <v>2</v>
      </c>
      <c r="I112" t="n">
        <v>2</v>
      </c>
      <c r="J112" t="n">
        <v>3</v>
      </c>
      <c r="K112" t="n">
        <v>1</v>
      </c>
      <c r="L112" t="n">
        <v>0</v>
      </c>
      <c r="M112" t="n">
        <v>0</v>
      </c>
      <c r="N112" t="n">
        <v>0</v>
      </c>
      <c r="O112" t="n">
        <v>4</v>
      </c>
      <c r="P112" t="n">
        <v>1</v>
      </c>
      <c r="Q112" t="n">
        <v>6</v>
      </c>
      <c r="R112" s="2" t="inlineStr">
        <is>
          <t>Knärot
Orange taggsvamp
Svart taggsvamp
Talltita
Blomkålssvamp
Dropptaggsvamp</t>
        </is>
      </c>
      <c r="S112">
        <f>HYPERLINK("https://klasma.github.io/Logging_0883/artfynd/A 52916-2020 artfynd.xlsx", "A 52916-2020")</f>
        <v/>
      </c>
      <c r="T112">
        <f>HYPERLINK("https://klasma.github.io/Logging_0883/kartor/A 52916-2020 karta.png", "A 52916-2020")</f>
        <v/>
      </c>
      <c r="U112">
        <f>HYPERLINK("https://klasma.github.io/Logging_0883/knärot/A 52916-2020 karta knärot.png", "A 52916-2020")</f>
        <v/>
      </c>
      <c r="V112">
        <f>HYPERLINK("https://klasma.github.io/Logging_0883/klagomål/A 52916-2020 FSC-klagomål.docx", "A 52916-2020")</f>
        <v/>
      </c>
      <c r="W112">
        <f>HYPERLINK("https://klasma.github.io/Logging_0883/klagomålsmail/A 52916-2020 FSC-klagomål mail.docx", "A 52916-2020")</f>
        <v/>
      </c>
      <c r="X112">
        <f>HYPERLINK("https://klasma.github.io/Logging_0883/tillsyn/A 52916-2020 tillsynsbegäran.docx", "A 52916-2020")</f>
        <v/>
      </c>
      <c r="Y112">
        <f>HYPERLINK("https://klasma.github.io/Logging_0883/tillsynsmail/A 52916-2020 tillsynsbegäran mail.docx", "A 52916-2020")</f>
        <v/>
      </c>
      <c r="Z112">
        <f>HYPERLINK("https://klasma.github.io/Logging_0883/fåglar/A 52916-2020 prioriterade fågelarter.docx", "A 52916-2020")</f>
        <v/>
      </c>
    </row>
    <row r="113" ht="15" customHeight="1">
      <c r="A113" t="inlineStr">
        <is>
          <t>A 24778-2022</t>
        </is>
      </c>
      <c r="B113" s="1" t="n">
        <v>44728</v>
      </c>
      <c r="C113" s="1" t="n">
        <v>45884</v>
      </c>
      <c r="D113" t="inlineStr">
        <is>
          <t>KALMAR LÄN</t>
        </is>
      </c>
      <c r="E113" t="inlineStr">
        <is>
          <t>MÖRBYLÅNGA</t>
        </is>
      </c>
      <c r="G113" t="n">
        <v>1</v>
      </c>
      <c r="H113" t="n">
        <v>0</v>
      </c>
      <c r="I113" t="n">
        <v>2</v>
      </c>
      <c r="J113" t="n">
        <v>3</v>
      </c>
      <c r="K113" t="n">
        <v>0</v>
      </c>
      <c r="L113" t="n">
        <v>1</v>
      </c>
      <c r="M113" t="n">
        <v>0</v>
      </c>
      <c r="N113" t="n">
        <v>0</v>
      </c>
      <c r="O113" t="n">
        <v>4</v>
      </c>
      <c r="P113" t="n">
        <v>1</v>
      </c>
      <c r="Q113" t="n">
        <v>6</v>
      </c>
      <c r="R113" s="2" t="inlineStr">
        <is>
          <t>Tofsäxing
Flentimotej
Poppeltofsskivling
Slåtterfibbla
Kalktallört
Murgröna</t>
        </is>
      </c>
      <c r="S113">
        <f>HYPERLINK("https://klasma.github.io/Logging_0840/artfynd/A 24778-2022 artfynd.xlsx", "A 24778-2022")</f>
        <v/>
      </c>
      <c r="T113">
        <f>HYPERLINK("https://klasma.github.io/Logging_0840/kartor/A 24778-2022 karta.png", "A 24778-2022")</f>
        <v/>
      </c>
      <c r="V113">
        <f>HYPERLINK("https://klasma.github.io/Logging_0840/klagomål/A 24778-2022 FSC-klagomål.docx", "A 24778-2022")</f>
        <v/>
      </c>
      <c r="W113">
        <f>HYPERLINK("https://klasma.github.io/Logging_0840/klagomålsmail/A 24778-2022 FSC-klagomål mail.docx", "A 24778-2022")</f>
        <v/>
      </c>
      <c r="X113">
        <f>HYPERLINK("https://klasma.github.io/Logging_0840/tillsyn/A 24778-2022 tillsynsbegäran.docx", "A 24778-2022")</f>
        <v/>
      </c>
      <c r="Y113">
        <f>HYPERLINK("https://klasma.github.io/Logging_0840/tillsynsmail/A 24778-2022 tillsynsbegäran mail.docx", "A 24778-2022")</f>
        <v/>
      </c>
    </row>
    <row r="114" ht="15" customHeight="1">
      <c r="A114" t="inlineStr">
        <is>
          <t>A 39295-2024</t>
        </is>
      </c>
      <c r="B114" s="1" t="n">
        <v>45551</v>
      </c>
      <c r="C114" s="1" t="n">
        <v>45884</v>
      </c>
      <c r="D114" t="inlineStr">
        <is>
          <t>KALMAR LÄN</t>
        </is>
      </c>
      <c r="E114" t="inlineStr">
        <is>
          <t>VÄSTERVIK</t>
        </is>
      </c>
      <c r="G114" t="n">
        <v>4.4</v>
      </c>
      <c r="H114" t="n">
        <v>3</v>
      </c>
      <c r="I114" t="n">
        <v>3</v>
      </c>
      <c r="J114" t="n">
        <v>2</v>
      </c>
      <c r="K114" t="n">
        <v>1</v>
      </c>
      <c r="L114" t="n">
        <v>0</v>
      </c>
      <c r="M114" t="n">
        <v>0</v>
      </c>
      <c r="N114" t="n">
        <v>0</v>
      </c>
      <c r="O114" t="n">
        <v>3</v>
      </c>
      <c r="P114" t="n">
        <v>1</v>
      </c>
      <c r="Q114" t="n">
        <v>6</v>
      </c>
      <c r="R114" s="2" t="inlineStr">
        <is>
          <t>Knärot
Entita
Talltita
Dropptaggsvamp
Fjällig taggsvamp s.str.
Grönpyrola</t>
        </is>
      </c>
      <c r="S114">
        <f>HYPERLINK("https://klasma.github.io/Logging_0883/artfynd/A 39295-2024 artfynd.xlsx", "A 39295-2024")</f>
        <v/>
      </c>
      <c r="T114">
        <f>HYPERLINK("https://klasma.github.io/Logging_0883/kartor/A 39295-2024 karta.png", "A 39295-2024")</f>
        <v/>
      </c>
      <c r="U114">
        <f>HYPERLINK("https://klasma.github.io/Logging_0883/knärot/A 39295-2024 karta knärot.png", "A 39295-2024")</f>
        <v/>
      </c>
      <c r="V114">
        <f>HYPERLINK("https://klasma.github.io/Logging_0883/klagomål/A 39295-2024 FSC-klagomål.docx", "A 39295-2024")</f>
        <v/>
      </c>
      <c r="W114">
        <f>HYPERLINK("https://klasma.github.io/Logging_0883/klagomålsmail/A 39295-2024 FSC-klagomål mail.docx", "A 39295-2024")</f>
        <v/>
      </c>
      <c r="X114">
        <f>HYPERLINK("https://klasma.github.io/Logging_0883/tillsyn/A 39295-2024 tillsynsbegäran.docx", "A 39295-2024")</f>
        <v/>
      </c>
      <c r="Y114">
        <f>HYPERLINK("https://klasma.github.io/Logging_0883/tillsynsmail/A 39295-2024 tillsynsbegäran mail.docx", "A 39295-2024")</f>
        <v/>
      </c>
      <c r="Z114">
        <f>HYPERLINK("https://klasma.github.io/Logging_0883/fåglar/A 39295-2024 prioriterade fågelarter.docx", "A 39295-2024")</f>
        <v/>
      </c>
    </row>
    <row r="115" ht="15" customHeight="1">
      <c r="A115" t="inlineStr">
        <is>
          <t>A 37626-2024</t>
        </is>
      </c>
      <c r="B115" s="1" t="n">
        <v>45541.52103009259</v>
      </c>
      <c r="C115" s="1" t="n">
        <v>45884</v>
      </c>
      <c r="D115" t="inlineStr">
        <is>
          <t>KALMAR LÄN</t>
        </is>
      </c>
      <c r="E115" t="inlineStr">
        <is>
          <t>HULTSFRED</t>
        </is>
      </c>
      <c r="F115" t="inlineStr">
        <is>
          <t>Övriga Aktiebolag</t>
        </is>
      </c>
      <c r="G115" t="n">
        <v>5.7</v>
      </c>
      <c r="H115" t="n">
        <v>4</v>
      </c>
      <c r="I115" t="n">
        <v>1</v>
      </c>
      <c r="J115" t="n">
        <v>2</v>
      </c>
      <c r="K115" t="n">
        <v>1</v>
      </c>
      <c r="L115" t="n">
        <v>1</v>
      </c>
      <c r="M115" t="n">
        <v>0</v>
      </c>
      <c r="N115" t="n">
        <v>0</v>
      </c>
      <c r="O115" t="n">
        <v>4</v>
      </c>
      <c r="P115" t="n">
        <v>2</v>
      </c>
      <c r="Q115" t="n">
        <v>6</v>
      </c>
      <c r="R115" s="2" t="inlineStr">
        <is>
          <t>Ryl
Knärot
Spillkråka
Talltita
Dropptaggsvamp
Blåsippa</t>
        </is>
      </c>
      <c r="S115">
        <f>HYPERLINK("https://klasma.github.io/Logging_0860/artfynd/A 37626-2024 artfynd.xlsx", "A 37626-2024")</f>
        <v/>
      </c>
      <c r="T115">
        <f>HYPERLINK("https://klasma.github.io/Logging_0860/kartor/A 37626-2024 karta.png", "A 37626-2024")</f>
        <v/>
      </c>
      <c r="U115">
        <f>HYPERLINK("https://klasma.github.io/Logging_0860/knärot/A 37626-2024 karta knärot.png", "A 37626-2024")</f>
        <v/>
      </c>
      <c r="V115">
        <f>HYPERLINK("https://klasma.github.io/Logging_0860/klagomål/A 37626-2024 FSC-klagomål.docx", "A 37626-2024")</f>
        <v/>
      </c>
      <c r="W115">
        <f>HYPERLINK("https://klasma.github.io/Logging_0860/klagomålsmail/A 37626-2024 FSC-klagomål mail.docx", "A 37626-2024")</f>
        <v/>
      </c>
      <c r="X115">
        <f>HYPERLINK("https://klasma.github.io/Logging_0860/tillsyn/A 37626-2024 tillsynsbegäran.docx", "A 37626-2024")</f>
        <v/>
      </c>
      <c r="Y115">
        <f>HYPERLINK("https://klasma.github.io/Logging_0860/tillsynsmail/A 37626-2024 tillsynsbegäran mail.docx", "A 37626-2024")</f>
        <v/>
      </c>
      <c r="Z115">
        <f>HYPERLINK("https://klasma.github.io/Logging_0860/fåglar/A 37626-2024 prioriterade fågelarter.docx", "A 37626-2024")</f>
        <v/>
      </c>
    </row>
    <row r="116" ht="15" customHeight="1">
      <c r="A116" t="inlineStr">
        <is>
          <t>A 10103-2022</t>
        </is>
      </c>
      <c r="B116" s="1" t="n">
        <v>44621.78134259259</v>
      </c>
      <c r="C116" s="1" t="n">
        <v>45884</v>
      </c>
      <c r="D116" t="inlineStr">
        <is>
          <t>KALMAR LÄN</t>
        </is>
      </c>
      <c r="E116" t="inlineStr">
        <is>
          <t>MÖNSTERÅS</t>
        </is>
      </c>
      <c r="G116" t="n">
        <v>1.5</v>
      </c>
      <c r="H116" t="n">
        <v>0</v>
      </c>
      <c r="I116" t="n">
        <v>2</v>
      </c>
      <c r="J116" t="n">
        <v>3</v>
      </c>
      <c r="K116" t="n">
        <v>1</v>
      </c>
      <c r="L116" t="n">
        <v>0</v>
      </c>
      <c r="M116" t="n">
        <v>0</v>
      </c>
      <c r="N116" t="n">
        <v>0</v>
      </c>
      <c r="O116" t="n">
        <v>4</v>
      </c>
      <c r="P116" t="n">
        <v>1</v>
      </c>
      <c r="Q116" t="n">
        <v>6</v>
      </c>
      <c r="R116" s="2" t="inlineStr">
        <is>
          <t>Jätteknäppare
Grön aspvedbock
Mindre timmerman
Mindre träfjäril
Bronshjon
Gulröd blankbock</t>
        </is>
      </c>
      <c r="S116">
        <f>HYPERLINK("https://klasma.github.io/Logging_0861/artfynd/A 10103-2022 artfynd.xlsx", "A 10103-2022")</f>
        <v/>
      </c>
      <c r="T116">
        <f>HYPERLINK("https://klasma.github.io/Logging_0861/kartor/A 10103-2022 karta.png", "A 10103-2022")</f>
        <v/>
      </c>
      <c r="V116">
        <f>HYPERLINK("https://klasma.github.io/Logging_0861/klagomål/A 10103-2022 FSC-klagomål.docx", "A 10103-2022")</f>
        <v/>
      </c>
      <c r="W116">
        <f>HYPERLINK("https://klasma.github.io/Logging_0861/klagomålsmail/A 10103-2022 FSC-klagomål mail.docx", "A 10103-2022")</f>
        <v/>
      </c>
      <c r="X116">
        <f>HYPERLINK("https://klasma.github.io/Logging_0861/tillsyn/A 10103-2022 tillsynsbegäran.docx", "A 10103-2022")</f>
        <v/>
      </c>
      <c r="Y116">
        <f>HYPERLINK("https://klasma.github.io/Logging_0861/tillsynsmail/A 10103-2022 tillsynsbegäran mail.docx", "A 10103-2022")</f>
        <v/>
      </c>
    </row>
    <row r="117" ht="15" customHeight="1">
      <c r="A117" t="inlineStr">
        <is>
          <t>A 1960-2023</t>
        </is>
      </c>
      <c r="B117" s="1" t="n">
        <v>44939</v>
      </c>
      <c r="C117" s="1" t="n">
        <v>45884</v>
      </c>
      <c r="D117" t="inlineStr">
        <is>
          <t>KALMAR LÄN</t>
        </is>
      </c>
      <c r="E117" t="inlineStr">
        <is>
          <t>VIMMERBY</t>
        </is>
      </c>
      <c r="G117" t="n">
        <v>4.2</v>
      </c>
      <c r="H117" t="n">
        <v>1</v>
      </c>
      <c r="I117" t="n">
        <v>2</v>
      </c>
      <c r="J117" t="n">
        <v>3</v>
      </c>
      <c r="K117" t="n">
        <v>0</v>
      </c>
      <c r="L117" t="n">
        <v>0</v>
      </c>
      <c r="M117" t="n">
        <v>0</v>
      </c>
      <c r="N117" t="n">
        <v>0</v>
      </c>
      <c r="O117" t="n">
        <v>3</v>
      </c>
      <c r="P117" t="n">
        <v>0</v>
      </c>
      <c r="Q117" t="n">
        <v>6</v>
      </c>
      <c r="R117" s="2" t="inlineStr">
        <is>
          <t>Tallticka
Ullticka
Vedskivlav
Dropptaggsvamp
Guldlockmossa
Blåsippa</t>
        </is>
      </c>
      <c r="S117">
        <f>HYPERLINK("https://klasma.github.io/Logging_0884/artfynd/A 1960-2023 artfynd.xlsx", "A 1960-2023")</f>
        <v/>
      </c>
      <c r="T117">
        <f>HYPERLINK("https://klasma.github.io/Logging_0884/kartor/A 1960-2023 karta.png", "A 1960-2023")</f>
        <v/>
      </c>
      <c r="V117">
        <f>HYPERLINK("https://klasma.github.io/Logging_0884/klagomål/A 1960-2023 FSC-klagomål.docx", "A 1960-2023")</f>
        <v/>
      </c>
      <c r="W117">
        <f>HYPERLINK("https://klasma.github.io/Logging_0884/klagomålsmail/A 1960-2023 FSC-klagomål mail.docx", "A 1960-2023")</f>
        <v/>
      </c>
      <c r="X117">
        <f>HYPERLINK("https://klasma.github.io/Logging_0884/tillsyn/A 1960-2023 tillsynsbegäran.docx", "A 1960-2023")</f>
        <v/>
      </c>
      <c r="Y117">
        <f>HYPERLINK("https://klasma.github.io/Logging_0884/tillsynsmail/A 1960-2023 tillsynsbegäran mail.docx", "A 1960-2023")</f>
        <v/>
      </c>
    </row>
    <row r="118" ht="15" customHeight="1">
      <c r="A118" t="inlineStr">
        <is>
          <t>A 38039-2022</t>
        </is>
      </c>
      <c r="B118" s="1" t="n">
        <v>44811</v>
      </c>
      <c r="C118" s="1" t="n">
        <v>45884</v>
      </c>
      <c r="D118" t="inlineStr">
        <is>
          <t>KALMAR LÄN</t>
        </is>
      </c>
      <c r="E118" t="inlineStr">
        <is>
          <t>MÖRBYLÅNGA</t>
        </is>
      </c>
      <c r="G118" t="n">
        <v>7.4</v>
      </c>
      <c r="H118" t="n">
        <v>2</v>
      </c>
      <c r="I118" t="n">
        <v>1</v>
      </c>
      <c r="J118" t="n">
        <v>2</v>
      </c>
      <c r="K118" t="n">
        <v>0</v>
      </c>
      <c r="L118" t="n">
        <v>1</v>
      </c>
      <c r="M118" t="n">
        <v>0</v>
      </c>
      <c r="N118" t="n">
        <v>0</v>
      </c>
      <c r="O118" t="n">
        <v>3</v>
      </c>
      <c r="P118" t="n">
        <v>1</v>
      </c>
      <c r="Q118" t="n">
        <v>6</v>
      </c>
      <c r="R118" s="2" t="inlineStr">
        <is>
          <t>Ask
Backtimjan
Solvända
Murgröna
Alvarmalört
Gullviva</t>
        </is>
      </c>
      <c r="S118">
        <f>HYPERLINK("https://klasma.github.io/Logging_0840/artfynd/A 38039-2022 artfynd.xlsx", "A 38039-2022")</f>
        <v/>
      </c>
      <c r="T118">
        <f>HYPERLINK("https://klasma.github.io/Logging_0840/kartor/A 38039-2022 karta.png", "A 38039-2022")</f>
        <v/>
      </c>
      <c r="V118">
        <f>HYPERLINK("https://klasma.github.io/Logging_0840/klagomål/A 38039-2022 FSC-klagomål.docx", "A 38039-2022")</f>
        <v/>
      </c>
      <c r="W118">
        <f>HYPERLINK("https://klasma.github.io/Logging_0840/klagomålsmail/A 38039-2022 FSC-klagomål mail.docx", "A 38039-2022")</f>
        <v/>
      </c>
      <c r="X118">
        <f>HYPERLINK("https://klasma.github.io/Logging_0840/tillsyn/A 38039-2022 tillsynsbegäran.docx", "A 38039-2022")</f>
        <v/>
      </c>
      <c r="Y118">
        <f>HYPERLINK("https://klasma.github.io/Logging_0840/tillsynsmail/A 38039-2022 tillsynsbegäran mail.docx", "A 38039-2022")</f>
        <v/>
      </c>
    </row>
    <row r="119" ht="15" customHeight="1">
      <c r="A119" t="inlineStr">
        <is>
          <t>A 41999-2024</t>
        </is>
      </c>
      <c r="B119" s="1" t="n">
        <v>45561</v>
      </c>
      <c r="C119" s="1" t="n">
        <v>45884</v>
      </c>
      <c r="D119" t="inlineStr">
        <is>
          <t>KALMAR LÄN</t>
        </is>
      </c>
      <c r="E119" t="inlineStr">
        <is>
          <t>KALMAR</t>
        </is>
      </c>
      <c r="F119" t="inlineStr">
        <is>
          <t>Kyrkan</t>
        </is>
      </c>
      <c r="G119" t="n">
        <v>1.8</v>
      </c>
      <c r="H119" t="n">
        <v>4</v>
      </c>
      <c r="I119" t="n">
        <v>1</v>
      </c>
      <c r="J119" t="n">
        <v>1</v>
      </c>
      <c r="K119" t="n">
        <v>1</v>
      </c>
      <c r="L119" t="n">
        <v>0</v>
      </c>
      <c r="M119" t="n">
        <v>0</v>
      </c>
      <c r="N119" t="n">
        <v>0</v>
      </c>
      <c r="O119" t="n">
        <v>2</v>
      </c>
      <c r="P119" t="n">
        <v>1</v>
      </c>
      <c r="Q119" t="n">
        <v>6</v>
      </c>
      <c r="R119" s="2" t="inlineStr">
        <is>
          <t>Knärot
Backtimjan
Murgröna
Blåsippa
Gullviva
Revlummer</t>
        </is>
      </c>
      <c r="S119">
        <f>HYPERLINK("https://klasma.github.io/Logging_0880/artfynd/A 41999-2024 artfynd.xlsx", "A 41999-2024")</f>
        <v/>
      </c>
      <c r="T119">
        <f>HYPERLINK("https://klasma.github.io/Logging_0880/kartor/A 41999-2024 karta.png", "A 41999-2024")</f>
        <v/>
      </c>
      <c r="U119">
        <f>HYPERLINK("https://klasma.github.io/Logging_0880/knärot/A 41999-2024 karta knärot.png", "A 41999-2024")</f>
        <v/>
      </c>
      <c r="V119">
        <f>HYPERLINK("https://klasma.github.io/Logging_0880/klagomål/A 41999-2024 FSC-klagomål.docx", "A 41999-2024")</f>
        <v/>
      </c>
      <c r="W119">
        <f>HYPERLINK("https://klasma.github.io/Logging_0880/klagomålsmail/A 41999-2024 FSC-klagomål mail.docx", "A 41999-2024")</f>
        <v/>
      </c>
      <c r="X119">
        <f>HYPERLINK("https://klasma.github.io/Logging_0880/tillsyn/A 41999-2024 tillsynsbegäran.docx", "A 41999-2024")</f>
        <v/>
      </c>
      <c r="Y119">
        <f>HYPERLINK("https://klasma.github.io/Logging_0880/tillsynsmail/A 41999-2024 tillsynsbegäran mail.docx", "A 41999-2024")</f>
        <v/>
      </c>
    </row>
    <row r="120" ht="15" customHeight="1">
      <c r="A120" t="inlineStr">
        <is>
          <t>A 4456-2025</t>
        </is>
      </c>
      <c r="B120" s="1" t="n">
        <v>45686</v>
      </c>
      <c r="C120" s="1" t="n">
        <v>45884</v>
      </c>
      <c r="D120" t="inlineStr">
        <is>
          <t>KALMAR LÄN</t>
        </is>
      </c>
      <c r="E120" t="inlineStr">
        <is>
          <t>VÄSTERVIK</t>
        </is>
      </c>
      <c r="G120" t="n">
        <v>1.3</v>
      </c>
      <c r="H120" t="n">
        <v>2</v>
      </c>
      <c r="I120" t="n">
        <v>2</v>
      </c>
      <c r="J120" t="n">
        <v>3</v>
      </c>
      <c r="K120" t="n">
        <v>1</v>
      </c>
      <c r="L120" t="n">
        <v>0</v>
      </c>
      <c r="M120" t="n">
        <v>0</v>
      </c>
      <c r="N120" t="n">
        <v>0</v>
      </c>
      <c r="O120" t="n">
        <v>4</v>
      </c>
      <c r="P120" t="n">
        <v>1</v>
      </c>
      <c r="Q120" t="n">
        <v>6</v>
      </c>
      <c r="R120" s="2" t="inlineStr">
        <is>
          <t>Knärot
Spillkråka
Tallticka
Ullticka
Grovticka
Grönpyrola</t>
        </is>
      </c>
      <c r="S120">
        <f>HYPERLINK("https://klasma.github.io/Logging_0883/artfynd/A 4456-2025 artfynd.xlsx", "A 4456-2025")</f>
        <v/>
      </c>
      <c r="T120">
        <f>HYPERLINK("https://klasma.github.io/Logging_0883/kartor/A 4456-2025 karta.png", "A 4456-2025")</f>
        <v/>
      </c>
      <c r="U120">
        <f>HYPERLINK("https://klasma.github.io/Logging_0883/knärot/A 4456-2025 karta knärot.png", "A 4456-2025")</f>
        <v/>
      </c>
      <c r="V120">
        <f>HYPERLINK("https://klasma.github.io/Logging_0883/klagomål/A 4456-2025 FSC-klagomål.docx", "A 4456-2025")</f>
        <v/>
      </c>
      <c r="W120">
        <f>HYPERLINK("https://klasma.github.io/Logging_0883/klagomålsmail/A 4456-2025 FSC-klagomål mail.docx", "A 4456-2025")</f>
        <v/>
      </c>
      <c r="X120">
        <f>HYPERLINK("https://klasma.github.io/Logging_0883/tillsyn/A 4456-2025 tillsynsbegäran.docx", "A 4456-2025")</f>
        <v/>
      </c>
      <c r="Y120">
        <f>HYPERLINK("https://klasma.github.io/Logging_0883/tillsynsmail/A 4456-2025 tillsynsbegäran mail.docx", "A 4456-2025")</f>
        <v/>
      </c>
      <c r="Z120">
        <f>HYPERLINK("https://klasma.github.io/Logging_0883/fåglar/A 4456-2025 prioriterade fågelarter.docx", "A 4456-2025")</f>
        <v/>
      </c>
    </row>
    <row r="121" ht="15" customHeight="1">
      <c r="A121" t="inlineStr">
        <is>
          <t>A 47936-2023</t>
        </is>
      </c>
      <c r="B121" s="1" t="n">
        <v>45204</v>
      </c>
      <c r="C121" s="1" t="n">
        <v>45884</v>
      </c>
      <c r="D121" t="inlineStr">
        <is>
          <t>KALMAR LÄN</t>
        </is>
      </c>
      <c r="E121" t="inlineStr">
        <is>
          <t>VÄSTERVIK</t>
        </is>
      </c>
      <c r="G121" t="n">
        <v>6.3</v>
      </c>
      <c r="H121" t="n">
        <v>2</v>
      </c>
      <c r="I121" t="n">
        <v>4</v>
      </c>
      <c r="J121" t="n">
        <v>1</v>
      </c>
      <c r="K121" t="n">
        <v>1</v>
      </c>
      <c r="L121" t="n">
        <v>0</v>
      </c>
      <c r="M121" t="n">
        <v>0</v>
      </c>
      <c r="N121" t="n">
        <v>0</v>
      </c>
      <c r="O121" t="n">
        <v>2</v>
      </c>
      <c r="P121" t="n">
        <v>1</v>
      </c>
      <c r="Q121" t="n">
        <v>6</v>
      </c>
      <c r="R121" s="2" t="inlineStr">
        <is>
          <t>Knärot
Talltita
Blomkålssvamp
Blåmossa
Grovticka
Grönpyrola</t>
        </is>
      </c>
      <c r="S121">
        <f>HYPERLINK("https://klasma.github.io/Logging_0883/artfynd/A 47936-2023 artfynd.xlsx", "A 47936-2023")</f>
        <v/>
      </c>
      <c r="T121">
        <f>HYPERLINK("https://klasma.github.io/Logging_0883/kartor/A 47936-2023 karta.png", "A 47936-2023")</f>
        <v/>
      </c>
      <c r="U121">
        <f>HYPERLINK("https://klasma.github.io/Logging_0883/knärot/A 47936-2023 karta knärot.png", "A 47936-2023")</f>
        <v/>
      </c>
      <c r="V121">
        <f>HYPERLINK("https://klasma.github.io/Logging_0883/klagomål/A 47936-2023 FSC-klagomål.docx", "A 47936-2023")</f>
        <v/>
      </c>
      <c r="W121">
        <f>HYPERLINK("https://klasma.github.io/Logging_0883/klagomålsmail/A 47936-2023 FSC-klagomål mail.docx", "A 47936-2023")</f>
        <v/>
      </c>
      <c r="X121">
        <f>HYPERLINK("https://klasma.github.io/Logging_0883/tillsyn/A 47936-2023 tillsynsbegäran.docx", "A 47936-2023")</f>
        <v/>
      </c>
      <c r="Y121">
        <f>HYPERLINK("https://klasma.github.io/Logging_0883/tillsynsmail/A 47936-2023 tillsynsbegäran mail.docx", "A 47936-2023")</f>
        <v/>
      </c>
      <c r="Z121">
        <f>HYPERLINK("https://klasma.github.io/Logging_0883/fåglar/A 47936-2023 prioriterade fågelarter.docx", "A 47936-2023")</f>
        <v/>
      </c>
    </row>
    <row r="122" ht="15" customHeight="1">
      <c r="A122" t="inlineStr">
        <is>
          <t>A 2806-2025</t>
        </is>
      </c>
      <c r="B122" s="1" t="n">
        <v>45677</v>
      </c>
      <c r="C122" s="1" t="n">
        <v>45884</v>
      </c>
      <c r="D122" t="inlineStr">
        <is>
          <t>KALMAR LÄN</t>
        </is>
      </c>
      <c r="E122" t="inlineStr">
        <is>
          <t>VÄSTERVIK</t>
        </is>
      </c>
      <c r="G122" t="n">
        <v>1.5</v>
      </c>
      <c r="H122" t="n">
        <v>3</v>
      </c>
      <c r="I122" t="n">
        <v>1</v>
      </c>
      <c r="J122" t="n">
        <v>2</v>
      </c>
      <c r="K122" t="n">
        <v>1</v>
      </c>
      <c r="L122" t="n">
        <v>1</v>
      </c>
      <c r="M122" t="n">
        <v>0</v>
      </c>
      <c r="N122" t="n">
        <v>0</v>
      </c>
      <c r="O122" t="n">
        <v>4</v>
      </c>
      <c r="P122" t="n">
        <v>2</v>
      </c>
      <c r="Q122" t="n">
        <v>6</v>
      </c>
      <c r="R122" s="2" t="inlineStr">
        <is>
          <t>Ryl
Knärot
Talltita
Ullticka
Grönpyrola
Kungsfågel</t>
        </is>
      </c>
      <c r="S122">
        <f>HYPERLINK("https://klasma.github.io/Logging_0883/artfynd/A 2806-2025 artfynd.xlsx", "A 2806-2025")</f>
        <v/>
      </c>
      <c r="T122">
        <f>HYPERLINK("https://klasma.github.io/Logging_0883/kartor/A 2806-2025 karta.png", "A 2806-2025")</f>
        <v/>
      </c>
      <c r="U122">
        <f>HYPERLINK("https://klasma.github.io/Logging_0883/knärot/A 2806-2025 karta knärot.png", "A 2806-2025")</f>
        <v/>
      </c>
      <c r="V122">
        <f>HYPERLINK("https://klasma.github.io/Logging_0883/klagomål/A 2806-2025 FSC-klagomål.docx", "A 2806-2025")</f>
        <v/>
      </c>
      <c r="W122">
        <f>HYPERLINK("https://klasma.github.io/Logging_0883/klagomålsmail/A 2806-2025 FSC-klagomål mail.docx", "A 2806-2025")</f>
        <v/>
      </c>
      <c r="X122">
        <f>HYPERLINK("https://klasma.github.io/Logging_0883/tillsyn/A 2806-2025 tillsynsbegäran.docx", "A 2806-2025")</f>
        <v/>
      </c>
      <c r="Y122">
        <f>HYPERLINK("https://klasma.github.io/Logging_0883/tillsynsmail/A 2806-2025 tillsynsbegäran mail.docx", "A 2806-2025")</f>
        <v/>
      </c>
      <c r="Z122">
        <f>HYPERLINK("https://klasma.github.io/Logging_0883/fåglar/A 2806-2025 prioriterade fågelarter.docx", "A 2806-2025")</f>
        <v/>
      </c>
    </row>
    <row r="123" ht="15" customHeight="1">
      <c r="A123" t="inlineStr">
        <is>
          <t>A 26732-2025</t>
        </is>
      </c>
      <c r="B123" s="1" t="n">
        <v>45810.50783564815</v>
      </c>
      <c r="C123" s="1" t="n">
        <v>45884</v>
      </c>
      <c r="D123" t="inlineStr">
        <is>
          <t>KALMAR LÄN</t>
        </is>
      </c>
      <c r="E123" t="inlineStr">
        <is>
          <t>NYBRO</t>
        </is>
      </c>
      <c r="F123" t="inlineStr">
        <is>
          <t>Sveaskog</t>
        </is>
      </c>
      <c r="G123" t="n">
        <v>3.5</v>
      </c>
      <c r="H123" t="n">
        <v>6</v>
      </c>
      <c r="I123" t="n">
        <v>0</v>
      </c>
      <c r="J123" t="n">
        <v>5</v>
      </c>
      <c r="K123" t="n">
        <v>0</v>
      </c>
      <c r="L123" t="n">
        <v>0</v>
      </c>
      <c r="M123" t="n">
        <v>0</v>
      </c>
      <c r="N123" t="n">
        <v>0</v>
      </c>
      <c r="O123" t="n">
        <v>5</v>
      </c>
      <c r="P123" t="n">
        <v>0</v>
      </c>
      <c r="Q123" t="n">
        <v>6</v>
      </c>
      <c r="R123" s="2" t="inlineStr">
        <is>
          <t>Barbastell
Brunlångöra
Nordfladdermus
Spillkråka
Talltita
Större brunfladdermus</t>
        </is>
      </c>
      <c r="S123">
        <f>HYPERLINK("https://klasma.github.io/Logging_0881/artfynd/A 26732-2025 artfynd.xlsx", "A 26732-2025")</f>
        <v/>
      </c>
      <c r="T123">
        <f>HYPERLINK("https://klasma.github.io/Logging_0881/kartor/A 26732-2025 karta.png", "A 26732-2025")</f>
        <v/>
      </c>
      <c r="V123">
        <f>HYPERLINK("https://klasma.github.io/Logging_0881/klagomål/A 26732-2025 FSC-klagomål.docx", "A 26732-2025")</f>
        <v/>
      </c>
      <c r="W123">
        <f>HYPERLINK("https://klasma.github.io/Logging_0881/klagomålsmail/A 26732-2025 FSC-klagomål mail.docx", "A 26732-2025")</f>
        <v/>
      </c>
      <c r="X123">
        <f>HYPERLINK("https://klasma.github.io/Logging_0881/tillsyn/A 26732-2025 tillsynsbegäran.docx", "A 26732-2025")</f>
        <v/>
      </c>
      <c r="Y123">
        <f>HYPERLINK("https://klasma.github.io/Logging_0881/tillsynsmail/A 26732-2025 tillsynsbegäran mail.docx", "A 26732-2025")</f>
        <v/>
      </c>
      <c r="Z123">
        <f>HYPERLINK("https://klasma.github.io/Logging_0881/fåglar/A 26732-2025 prioriterade fågelarter.docx", "A 26732-2025")</f>
        <v/>
      </c>
    </row>
    <row r="124" ht="15" customHeight="1">
      <c r="A124" t="inlineStr">
        <is>
          <t>A 34642-2025</t>
        </is>
      </c>
      <c r="B124" s="1" t="n">
        <v>45848.32703703704</v>
      </c>
      <c r="C124" s="1" t="n">
        <v>45884</v>
      </c>
      <c r="D124" t="inlineStr">
        <is>
          <t>KALMAR LÄN</t>
        </is>
      </c>
      <c r="E124" t="inlineStr">
        <is>
          <t>VÄSTERVIK</t>
        </is>
      </c>
      <c r="G124" t="n">
        <v>1.8</v>
      </c>
      <c r="H124" t="n">
        <v>3</v>
      </c>
      <c r="I124" t="n">
        <v>2</v>
      </c>
      <c r="J124" t="n">
        <v>3</v>
      </c>
      <c r="K124" t="n">
        <v>1</v>
      </c>
      <c r="L124" t="n">
        <v>0</v>
      </c>
      <c r="M124" t="n">
        <v>0</v>
      </c>
      <c r="N124" t="n">
        <v>0</v>
      </c>
      <c r="O124" t="n">
        <v>4</v>
      </c>
      <c r="P124" t="n">
        <v>1</v>
      </c>
      <c r="Q124" t="n">
        <v>6</v>
      </c>
      <c r="R124" s="2" t="inlineStr">
        <is>
          <t>Knärot
Spillkråka
Tallticka
Talltita
Blåmossa
Grönpyrola</t>
        </is>
      </c>
      <c r="S124">
        <f>HYPERLINK("https://klasma.github.io/Logging_0883/artfynd/A 34642-2025 artfynd.xlsx", "A 34642-2025")</f>
        <v/>
      </c>
      <c r="T124">
        <f>HYPERLINK("https://klasma.github.io/Logging_0883/kartor/A 34642-2025 karta.png", "A 34642-2025")</f>
        <v/>
      </c>
      <c r="U124">
        <f>HYPERLINK("https://klasma.github.io/Logging_0883/knärot/A 34642-2025 karta knärot.png", "A 34642-2025")</f>
        <v/>
      </c>
      <c r="V124">
        <f>HYPERLINK("https://klasma.github.io/Logging_0883/klagomål/A 34642-2025 FSC-klagomål.docx", "A 34642-2025")</f>
        <v/>
      </c>
      <c r="W124">
        <f>HYPERLINK("https://klasma.github.io/Logging_0883/klagomålsmail/A 34642-2025 FSC-klagomål mail.docx", "A 34642-2025")</f>
        <v/>
      </c>
      <c r="X124">
        <f>HYPERLINK("https://klasma.github.io/Logging_0883/tillsyn/A 34642-2025 tillsynsbegäran.docx", "A 34642-2025")</f>
        <v/>
      </c>
      <c r="Y124">
        <f>HYPERLINK("https://klasma.github.io/Logging_0883/tillsynsmail/A 34642-2025 tillsynsbegäran mail.docx", "A 34642-2025")</f>
        <v/>
      </c>
      <c r="Z124">
        <f>HYPERLINK("https://klasma.github.io/Logging_0883/fåglar/A 34642-2025 prioriterade fågelarter.docx", "A 34642-2025")</f>
        <v/>
      </c>
    </row>
    <row r="125" ht="15" customHeight="1">
      <c r="A125" t="inlineStr">
        <is>
          <t>A 34337-2025</t>
        </is>
      </c>
      <c r="B125" s="1" t="n">
        <v>45846.45671296296</v>
      </c>
      <c r="C125" s="1" t="n">
        <v>45884</v>
      </c>
      <c r="D125" t="inlineStr">
        <is>
          <t>KALMAR LÄN</t>
        </is>
      </c>
      <c r="E125" t="inlineStr">
        <is>
          <t>MÖNSTERÅS</t>
        </is>
      </c>
      <c r="G125" t="n">
        <v>4.5</v>
      </c>
      <c r="H125" t="n">
        <v>5</v>
      </c>
      <c r="I125" t="n">
        <v>0</v>
      </c>
      <c r="J125" t="n">
        <v>4</v>
      </c>
      <c r="K125" t="n">
        <v>0</v>
      </c>
      <c r="L125" t="n">
        <v>0</v>
      </c>
      <c r="M125" t="n">
        <v>0</v>
      </c>
      <c r="N125" t="n">
        <v>0</v>
      </c>
      <c r="O125" t="n">
        <v>4</v>
      </c>
      <c r="P125" t="n">
        <v>0</v>
      </c>
      <c r="Q125" t="n">
        <v>6</v>
      </c>
      <c r="R125" s="2" t="inlineStr">
        <is>
          <t>Havsörn
Spillkråka
Talltita
Vedskivlav
Gråkråka
Kungsfågel</t>
        </is>
      </c>
      <c r="S125">
        <f>HYPERLINK("https://klasma.github.io/Logging_0861/artfynd/A 34337-2025 artfynd.xlsx", "A 34337-2025")</f>
        <v/>
      </c>
      <c r="T125">
        <f>HYPERLINK("https://klasma.github.io/Logging_0861/kartor/A 34337-2025 karta.png", "A 34337-2025")</f>
        <v/>
      </c>
      <c r="V125">
        <f>HYPERLINK("https://klasma.github.io/Logging_0861/klagomål/A 34337-2025 FSC-klagomål.docx", "A 34337-2025")</f>
        <v/>
      </c>
      <c r="W125">
        <f>HYPERLINK("https://klasma.github.io/Logging_0861/klagomålsmail/A 34337-2025 FSC-klagomål mail.docx", "A 34337-2025")</f>
        <v/>
      </c>
      <c r="X125">
        <f>HYPERLINK("https://klasma.github.io/Logging_0861/tillsyn/A 34337-2025 tillsynsbegäran.docx", "A 34337-2025")</f>
        <v/>
      </c>
      <c r="Y125">
        <f>HYPERLINK("https://klasma.github.io/Logging_0861/tillsynsmail/A 34337-2025 tillsynsbegäran mail.docx", "A 34337-2025")</f>
        <v/>
      </c>
      <c r="Z125">
        <f>HYPERLINK("https://klasma.github.io/Logging_0861/fåglar/A 34337-2025 prioriterade fågelarter.docx", "A 34337-2025")</f>
        <v/>
      </c>
    </row>
    <row r="126" ht="15" customHeight="1">
      <c r="A126" t="inlineStr">
        <is>
          <t>A 52046-2024</t>
        </is>
      </c>
      <c r="B126" s="1" t="n">
        <v>45608</v>
      </c>
      <c r="C126" s="1" t="n">
        <v>45884</v>
      </c>
      <c r="D126" t="inlineStr">
        <is>
          <t>KALMAR LÄN</t>
        </is>
      </c>
      <c r="E126" t="inlineStr">
        <is>
          <t>VÄSTERVIK</t>
        </is>
      </c>
      <c r="G126" t="n">
        <v>4.6</v>
      </c>
      <c r="H126" t="n">
        <v>1</v>
      </c>
      <c r="I126" t="n">
        <v>3</v>
      </c>
      <c r="J126" t="n">
        <v>3</v>
      </c>
      <c r="K126" t="n">
        <v>0</v>
      </c>
      <c r="L126" t="n">
        <v>0</v>
      </c>
      <c r="M126" t="n">
        <v>0</v>
      </c>
      <c r="N126" t="n">
        <v>0</v>
      </c>
      <c r="O126" t="n">
        <v>3</v>
      </c>
      <c r="P126" t="n">
        <v>0</v>
      </c>
      <c r="Q126" t="n">
        <v>6</v>
      </c>
      <c r="R126" s="2" t="inlineStr">
        <is>
          <t>Motaggsvamp
Tallticka
Talltita
Blåmossa
Dropptaggsvamp
Grovticka</t>
        </is>
      </c>
      <c r="S126">
        <f>HYPERLINK("https://klasma.github.io/Logging_0883/artfynd/A 52046-2024 artfynd.xlsx", "A 52046-2024")</f>
        <v/>
      </c>
      <c r="T126">
        <f>HYPERLINK("https://klasma.github.io/Logging_0883/kartor/A 52046-2024 karta.png", "A 52046-2024")</f>
        <v/>
      </c>
      <c r="V126">
        <f>HYPERLINK("https://klasma.github.io/Logging_0883/klagomål/A 52046-2024 FSC-klagomål.docx", "A 52046-2024")</f>
        <v/>
      </c>
      <c r="W126">
        <f>HYPERLINK("https://klasma.github.io/Logging_0883/klagomålsmail/A 52046-2024 FSC-klagomål mail.docx", "A 52046-2024")</f>
        <v/>
      </c>
      <c r="X126">
        <f>HYPERLINK("https://klasma.github.io/Logging_0883/tillsyn/A 52046-2024 tillsynsbegäran.docx", "A 52046-2024")</f>
        <v/>
      </c>
      <c r="Y126">
        <f>HYPERLINK("https://klasma.github.io/Logging_0883/tillsynsmail/A 52046-2024 tillsynsbegäran mail.docx", "A 52046-2024")</f>
        <v/>
      </c>
      <c r="Z126">
        <f>HYPERLINK("https://klasma.github.io/Logging_0883/fåglar/A 52046-2024 prioriterade fågelarter.docx", "A 52046-2024")</f>
        <v/>
      </c>
    </row>
    <row r="127" ht="15" customHeight="1">
      <c r="A127" t="inlineStr">
        <is>
          <t>A 31889-2025</t>
        </is>
      </c>
      <c r="B127" s="1" t="n">
        <v>45834.66194444444</v>
      </c>
      <c r="C127" s="1" t="n">
        <v>45884</v>
      </c>
      <c r="D127" t="inlineStr">
        <is>
          <t>KALMAR LÄN</t>
        </is>
      </c>
      <c r="E127" t="inlineStr">
        <is>
          <t>MÖNSTERÅS</t>
        </is>
      </c>
      <c r="G127" t="n">
        <v>4.3</v>
      </c>
      <c r="H127" t="n">
        <v>5</v>
      </c>
      <c r="I127" t="n">
        <v>1</v>
      </c>
      <c r="J127" t="n">
        <v>3</v>
      </c>
      <c r="K127" t="n">
        <v>0</v>
      </c>
      <c r="L127" t="n">
        <v>0</v>
      </c>
      <c r="M127" t="n">
        <v>0</v>
      </c>
      <c r="N127" t="n">
        <v>0</v>
      </c>
      <c r="O127" t="n">
        <v>3</v>
      </c>
      <c r="P127" t="n">
        <v>0</v>
      </c>
      <c r="Q127" t="n">
        <v>6</v>
      </c>
      <c r="R127" s="2" t="inlineStr">
        <is>
          <t>Havsörn
Spillkråka
Talltita
Fällmossa
Gråkråka
Kungsfågel</t>
        </is>
      </c>
      <c r="S127">
        <f>HYPERLINK("https://klasma.github.io/Logging_0861/artfynd/A 31889-2025 artfynd.xlsx", "A 31889-2025")</f>
        <v/>
      </c>
      <c r="T127">
        <f>HYPERLINK("https://klasma.github.io/Logging_0861/kartor/A 31889-2025 karta.png", "A 31889-2025")</f>
        <v/>
      </c>
      <c r="V127">
        <f>HYPERLINK("https://klasma.github.io/Logging_0861/klagomål/A 31889-2025 FSC-klagomål.docx", "A 31889-2025")</f>
        <v/>
      </c>
      <c r="W127">
        <f>HYPERLINK("https://klasma.github.io/Logging_0861/klagomålsmail/A 31889-2025 FSC-klagomål mail.docx", "A 31889-2025")</f>
        <v/>
      </c>
      <c r="X127">
        <f>HYPERLINK("https://klasma.github.io/Logging_0861/tillsyn/A 31889-2025 tillsynsbegäran.docx", "A 31889-2025")</f>
        <v/>
      </c>
      <c r="Y127">
        <f>HYPERLINK("https://klasma.github.io/Logging_0861/tillsynsmail/A 31889-2025 tillsynsbegäran mail.docx", "A 31889-2025")</f>
        <v/>
      </c>
      <c r="Z127">
        <f>HYPERLINK("https://klasma.github.io/Logging_0861/fåglar/A 31889-2025 prioriterade fågelarter.docx", "A 31889-2025")</f>
        <v/>
      </c>
    </row>
    <row r="128" ht="15" customHeight="1">
      <c r="A128" t="inlineStr">
        <is>
          <t>A 5067-2025</t>
        </is>
      </c>
      <c r="B128" s="1" t="n">
        <v>45691</v>
      </c>
      <c r="C128" s="1" t="n">
        <v>45884</v>
      </c>
      <c r="D128" t="inlineStr">
        <is>
          <t>KALMAR LÄN</t>
        </is>
      </c>
      <c r="E128" t="inlineStr">
        <is>
          <t>VÄSTERVIK</t>
        </is>
      </c>
      <c r="F128" t="inlineStr">
        <is>
          <t>Holmen skog AB</t>
        </is>
      </c>
      <c r="G128" t="n">
        <v>3.1</v>
      </c>
      <c r="H128" t="n">
        <v>4</v>
      </c>
      <c r="I128" t="n">
        <v>1</v>
      </c>
      <c r="J128" t="n">
        <v>3</v>
      </c>
      <c r="K128" t="n">
        <v>0</v>
      </c>
      <c r="L128" t="n">
        <v>0</v>
      </c>
      <c r="M128" t="n">
        <v>0</v>
      </c>
      <c r="N128" t="n">
        <v>0</v>
      </c>
      <c r="O128" t="n">
        <v>3</v>
      </c>
      <c r="P128" t="n">
        <v>0</v>
      </c>
      <c r="Q128" t="n">
        <v>6</v>
      </c>
      <c r="R128" s="2" t="inlineStr">
        <is>
          <t>Orange taggsvamp
Spillkråka
Talltita
Dropptaggsvamp
Kungsfågel
Revlummer</t>
        </is>
      </c>
      <c r="S128">
        <f>HYPERLINK("https://klasma.github.io/Logging_0883/artfynd/A 5067-2025 artfynd.xlsx", "A 5067-2025")</f>
        <v/>
      </c>
      <c r="T128">
        <f>HYPERLINK("https://klasma.github.io/Logging_0883/kartor/A 5067-2025 karta.png", "A 5067-2025")</f>
        <v/>
      </c>
      <c r="V128">
        <f>HYPERLINK("https://klasma.github.io/Logging_0883/klagomål/A 5067-2025 FSC-klagomål.docx", "A 5067-2025")</f>
        <v/>
      </c>
      <c r="W128">
        <f>HYPERLINK("https://klasma.github.io/Logging_0883/klagomålsmail/A 5067-2025 FSC-klagomål mail.docx", "A 5067-2025")</f>
        <v/>
      </c>
      <c r="X128">
        <f>HYPERLINK("https://klasma.github.io/Logging_0883/tillsyn/A 5067-2025 tillsynsbegäran.docx", "A 5067-2025")</f>
        <v/>
      </c>
      <c r="Y128">
        <f>HYPERLINK("https://klasma.github.io/Logging_0883/tillsynsmail/A 5067-2025 tillsynsbegäran mail.docx", "A 5067-2025")</f>
        <v/>
      </c>
      <c r="Z128">
        <f>HYPERLINK("https://klasma.github.io/Logging_0883/fåglar/A 5067-2025 prioriterade fågelarter.docx", "A 5067-2025")</f>
        <v/>
      </c>
    </row>
    <row r="129" ht="15" customHeight="1">
      <c r="A129" t="inlineStr">
        <is>
          <t>A 55371-2020</t>
        </is>
      </c>
      <c r="B129" s="1" t="n">
        <v>44130</v>
      </c>
      <c r="C129" s="1" t="n">
        <v>45884</v>
      </c>
      <c r="D129" t="inlineStr">
        <is>
          <t>KALMAR LÄN</t>
        </is>
      </c>
      <c r="E129" t="inlineStr">
        <is>
          <t>MÖNSTERÅS</t>
        </is>
      </c>
      <c r="F129" t="inlineStr">
        <is>
          <t>Övriga Aktiebolag</t>
        </is>
      </c>
      <c r="G129" t="n">
        <v>12.7</v>
      </c>
      <c r="H129" t="n">
        <v>4</v>
      </c>
      <c r="I129" t="n">
        <v>1</v>
      </c>
      <c r="J129" t="n">
        <v>3</v>
      </c>
      <c r="K129" t="n">
        <v>0</v>
      </c>
      <c r="L129" t="n">
        <v>0</v>
      </c>
      <c r="M129" t="n">
        <v>0</v>
      </c>
      <c r="N129" t="n">
        <v>0</v>
      </c>
      <c r="O129" t="n">
        <v>3</v>
      </c>
      <c r="P129" t="n">
        <v>0</v>
      </c>
      <c r="Q129" t="n">
        <v>5</v>
      </c>
      <c r="R129" s="2" t="inlineStr">
        <is>
          <t>Havsörn
Kungsörn
Spillkråka
Blomskägglav
Revlummer</t>
        </is>
      </c>
      <c r="S129">
        <f>HYPERLINK("https://klasma.github.io/Logging_0861/artfynd/A 55371-2020 artfynd.xlsx", "A 55371-2020")</f>
        <v/>
      </c>
      <c r="T129">
        <f>HYPERLINK("https://klasma.github.io/Logging_0861/kartor/A 55371-2020 karta.png", "A 55371-2020")</f>
        <v/>
      </c>
      <c r="V129">
        <f>HYPERLINK("https://klasma.github.io/Logging_0861/klagomål/A 55371-2020 FSC-klagomål.docx", "A 55371-2020")</f>
        <v/>
      </c>
      <c r="W129">
        <f>HYPERLINK("https://klasma.github.io/Logging_0861/klagomålsmail/A 55371-2020 FSC-klagomål mail.docx", "A 55371-2020")</f>
        <v/>
      </c>
      <c r="X129">
        <f>HYPERLINK("https://klasma.github.io/Logging_0861/tillsyn/A 55371-2020 tillsynsbegäran.docx", "A 55371-2020")</f>
        <v/>
      </c>
      <c r="Y129">
        <f>HYPERLINK("https://klasma.github.io/Logging_0861/tillsynsmail/A 55371-2020 tillsynsbegäran mail.docx", "A 55371-2020")</f>
        <v/>
      </c>
      <c r="Z129">
        <f>HYPERLINK("https://klasma.github.io/Logging_0861/fåglar/A 55371-2020 prioriterade fågelarter.docx", "A 55371-2020")</f>
        <v/>
      </c>
    </row>
    <row r="130" ht="15" customHeight="1">
      <c r="A130" t="inlineStr">
        <is>
          <t>A 12335-2025</t>
        </is>
      </c>
      <c r="B130" s="1" t="n">
        <v>45730</v>
      </c>
      <c r="C130" s="1" t="n">
        <v>45884</v>
      </c>
      <c r="D130" t="inlineStr">
        <is>
          <t>KALMAR LÄN</t>
        </is>
      </c>
      <c r="E130" t="inlineStr">
        <is>
          <t>VÄSTERVIK</t>
        </is>
      </c>
      <c r="G130" t="n">
        <v>3.1</v>
      </c>
      <c r="H130" t="n">
        <v>4</v>
      </c>
      <c r="I130" t="n">
        <v>1</v>
      </c>
      <c r="J130" t="n">
        <v>3</v>
      </c>
      <c r="K130" t="n">
        <v>0</v>
      </c>
      <c r="L130" t="n">
        <v>0</v>
      </c>
      <c r="M130" t="n">
        <v>0</v>
      </c>
      <c r="N130" t="n">
        <v>0</v>
      </c>
      <c r="O130" t="n">
        <v>3</v>
      </c>
      <c r="P130" t="n">
        <v>0</v>
      </c>
      <c r="Q130" t="n">
        <v>5</v>
      </c>
      <c r="R130" s="2" t="inlineStr">
        <is>
          <t>Mindre hackspett
Spillkråka
Talltita
Blåmossa
Grönsiska</t>
        </is>
      </c>
      <c r="S130">
        <f>HYPERLINK("https://klasma.github.io/Logging_0883/artfynd/A 12335-2025 artfynd.xlsx", "A 12335-2025")</f>
        <v/>
      </c>
      <c r="T130">
        <f>HYPERLINK("https://klasma.github.io/Logging_0883/kartor/A 12335-2025 karta.png", "A 12335-2025")</f>
        <v/>
      </c>
      <c r="V130">
        <f>HYPERLINK("https://klasma.github.io/Logging_0883/klagomål/A 12335-2025 FSC-klagomål.docx", "A 12335-2025")</f>
        <v/>
      </c>
      <c r="W130">
        <f>HYPERLINK("https://klasma.github.io/Logging_0883/klagomålsmail/A 12335-2025 FSC-klagomål mail.docx", "A 12335-2025")</f>
        <v/>
      </c>
      <c r="X130">
        <f>HYPERLINK("https://klasma.github.io/Logging_0883/tillsyn/A 12335-2025 tillsynsbegäran.docx", "A 12335-2025")</f>
        <v/>
      </c>
      <c r="Y130">
        <f>HYPERLINK("https://klasma.github.io/Logging_0883/tillsynsmail/A 12335-2025 tillsynsbegäran mail.docx", "A 12335-2025")</f>
        <v/>
      </c>
      <c r="Z130">
        <f>HYPERLINK("https://klasma.github.io/Logging_0883/fåglar/A 12335-2025 prioriterade fågelarter.docx", "A 12335-2025")</f>
        <v/>
      </c>
    </row>
    <row r="131" ht="15" customHeight="1">
      <c r="A131" t="inlineStr">
        <is>
          <t>A 41442-2023</t>
        </is>
      </c>
      <c r="B131" s="1" t="n">
        <v>45175</v>
      </c>
      <c r="C131" s="1" t="n">
        <v>45884</v>
      </c>
      <c r="D131" t="inlineStr">
        <is>
          <t>KALMAR LÄN</t>
        </is>
      </c>
      <c r="E131" t="inlineStr">
        <is>
          <t>OSKARSHAMN</t>
        </is>
      </c>
      <c r="G131" t="n">
        <v>5.1</v>
      </c>
      <c r="H131" t="n">
        <v>0</v>
      </c>
      <c r="I131" t="n">
        <v>0</v>
      </c>
      <c r="J131" t="n">
        <v>4</v>
      </c>
      <c r="K131" t="n">
        <v>1</v>
      </c>
      <c r="L131" t="n">
        <v>0</v>
      </c>
      <c r="M131" t="n">
        <v>0</v>
      </c>
      <c r="N131" t="n">
        <v>0</v>
      </c>
      <c r="O131" t="n">
        <v>5</v>
      </c>
      <c r="P131" t="n">
        <v>1</v>
      </c>
      <c r="Q131" t="n">
        <v>5</v>
      </c>
      <c r="R131" s="2" t="inlineStr">
        <is>
          <t>Flenörtskapuschongfly
Bredbrämad bastardsvärmare
Klubbsprötad bastardsvärmare
Mindre bastardsvärmare
Solvända</t>
        </is>
      </c>
      <c r="S131">
        <f>HYPERLINK("https://klasma.github.io/Logging_0882/artfynd/A 41442-2023 artfynd.xlsx", "A 41442-2023")</f>
        <v/>
      </c>
      <c r="T131">
        <f>HYPERLINK("https://klasma.github.io/Logging_0882/kartor/A 41442-2023 karta.png", "A 41442-2023")</f>
        <v/>
      </c>
      <c r="V131">
        <f>HYPERLINK("https://klasma.github.io/Logging_0882/klagomål/A 41442-2023 FSC-klagomål.docx", "A 41442-2023")</f>
        <v/>
      </c>
      <c r="W131">
        <f>HYPERLINK("https://klasma.github.io/Logging_0882/klagomålsmail/A 41442-2023 FSC-klagomål mail.docx", "A 41442-2023")</f>
        <v/>
      </c>
      <c r="X131">
        <f>HYPERLINK("https://klasma.github.io/Logging_0882/tillsyn/A 41442-2023 tillsynsbegäran.docx", "A 41442-2023")</f>
        <v/>
      </c>
      <c r="Y131">
        <f>HYPERLINK("https://klasma.github.io/Logging_0882/tillsynsmail/A 41442-2023 tillsynsbegäran mail.docx", "A 41442-2023")</f>
        <v/>
      </c>
    </row>
    <row r="132" ht="15" customHeight="1">
      <c r="A132" t="inlineStr">
        <is>
          <t>A 51923-2022</t>
        </is>
      </c>
      <c r="B132" s="1" t="n">
        <v>44868</v>
      </c>
      <c r="C132" s="1" t="n">
        <v>45884</v>
      </c>
      <c r="D132" t="inlineStr">
        <is>
          <t>KALMAR LÄN</t>
        </is>
      </c>
      <c r="E132" t="inlineStr">
        <is>
          <t>VÄSTERVIK</t>
        </is>
      </c>
      <c r="G132" t="n">
        <v>6.5</v>
      </c>
      <c r="H132" t="n">
        <v>2</v>
      </c>
      <c r="I132" t="n">
        <v>3</v>
      </c>
      <c r="J132" t="n">
        <v>1</v>
      </c>
      <c r="K132" t="n">
        <v>0</v>
      </c>
      <c r="L132" t="n">
        <v>0</v>
      </c>
      <c r="M132" t="n">
        <v>0</v>
      </c>
      <c r="N132" t="n">
        <v>0</v>
      </c>
      <c r="O132" t="n">
        <v>1</v>
      </c>
      <c r="P132" t="n">
        <v>0</v>
      </c>
      <c r="Q132" t="n">
        <v>5</v>
      </c>
      <c r="R132" s="2" t="inlineStr">
        <is>
          <t>Apollofjäril
Hasselticka
Svart trolldruva
Vätteros
Blåsippa</t>
        </is>
      </c>
      <c r="S132">
        <f>HYPERLINK("https://klasma.github.io/Logging_0883/artfynd/A 51923-2022 artfynd.xlsx", "A 51923-2022")</f>
        <v/>
      </c>
      <c r="T132">
        <f>HYPERLINK("https://klasma.github.io/Logging_0883/kartor/A 51923-2022 karta.png", "A 51923-2022")</f>
        <v/>
      </c>
      <c r="V132">
        <f>HYPERLINK("https://klasma.github.io/Logging_0883/klagomål/A 51923-2022 FSC-klagomål.docx", "A 51923-2022")</f>
        <v/>
      </c>
      <c r="W132">
        <f>HYPERLINK("https://klasma.github.io/Logging_0883/klagomålsmail/A 51923-2022 FSC-klagomål mail.docx", "A 51923-2022")</f>
        <v/>
      </c>
      <c r="X132">
        <f>HYPERLINK("https://klasma.github.io/Logging_0883/tillsyn/A 51923-2022 tillsynsbegäran.docx", "A 51923-2022")</f>
        <v/>
      </c>
      <c r="Y132">
        <f>HYPERLINK("https://klasma.github.io/Logging_0883/tillsynsmail/A 51923-2022 tillsynsbegäran mail.docx", "A 51923-2022")</f>
        <v/>
      </c>
    </row>
    <row r="133" ht="15" customHeight="1">
      <c r="A133" t="inlineStr">
        <is>
          <t>A 27727-2024</t>
        </is>
      </c>
      <c r="B133" s="1" t="n">
        <v>45475</v>
      </c>
      <c r="C133" s="1" t="n">
        <v>45884</v>
      </c>
      <c r="D133" t="inlineStr">
        <is>
          <t>KALMAR LÄN</t>
        </is>
      </c>
      <c r="E133" t="inlineStr">
        <is>
          <t>VÄSTERVIK</t>
        </is>
      </c>
      <c r="F133" t="inlineStr">
        <is>
          <t>Holmen skog AB</t>
        </is>
      </c>
      <c r="G133" t="n">
        <v>9.800000000000001</v>
      </c>
      <c r="H133" t="n">
        <v>3</v>
      </c>
      <c r="I133" t="n">
        <v>1</v>
      </c>
      <c r="J133" t="n">
        <v>4</v>
      </c>
      <c r="K133" t="n">
        <v>0</v>
      </c>
      <c r="L133" t="n">
        <v>0</v>
      </c>
      <c r="M133" t="n">
        <v>0</v>
      </c>
      <c r="N133" t="n">
        <v>0</v>
      </c>
      <c r="O133" t="n">
        <v>4</v>
      </c>
      <c r="P133" t="n">
        <v>0</v>
      </c>
      <c r="Q133" t="n">
        <v>5</v>
      </c>
      <c r="R133" s="2" t="inlineStr">
        <is>
          <t>Mindre hackspett
Spillkråka
Tallticka
Talltita
Blåmossa</t>
        </is>
      </c>
      <c r="S133">
        <f>HYPERLINK("https://klasma.github.io/Logging_0883/artfynd/A 27727-2024 artfynd.xlsx", "A 27727-2024")</f>
        <v/>
      </c>
      <c r="T133">
        <f>HYPERLINK("https://klasma.github.io/Logging_0883/kartor/A 27727-2024 karta.png", "A 27727-2024")</f>
        <v/>
      </c>
      <c r="V133">
        <f>HYPERLINK("https://klasma.github.io/Logging_0883/klagomål/A 27727-2024 FSC-klagomål.docx", "A 27727-2024")</f>
        <v/>
      </c>
      <c r="W133">
        <f>HYPERLINK("https://klasma.github.io/Logging_0883/klagomålsmail/A 27727-2024 FSC-klagomål mail.docx", "A 27727-2024")</f>
        <v/>
      </c>
      <c r="X133">
        <f>HYPERLINK("https://klasma.github.io/Logging_0883/tillsyn/A 27727-2024 tillsynsbegäran.docx", "A 27727-2024")</f>
        <v/>
      </c>
      <c r="Y133">
        <f>HYPERLINK("https://klasma.github.io/Logging_0883/tillsynsmail/A 27727-2024 tillsynsbegäran mail.docx", "A 27727-2024")</f>
        <v/>
      </c>
      <c r="Z133">
        <f>HYPERLINK("https://klasma.github.io/Logging_0883/fåglar/A 27727-2024 prioriterade fågelarter.docx", "A 27727-2024")</f>
        <v/>
      </c>
    </row>
    <row r="134" ht="15" customHeight="1">
      <c r="A134" t="inlineStr">
        <is>
          <t>A 4881-2021</t>
        </is>
      </c>
      <c r="B134" s="1" t="n">
        <v>44225</v>
      </c>
      <c r="C134" s="1" t="n">
        <v>45884</v>
      </c>
      <c r="D134" t="inlineStr">
        <is>
          <t>KALMAR LÄN</t>
        </is>
      </c>
      <c r="E134" t="inlineStr">
        <is>
          <t>BORGHOLM</t>
        </is>
      </c>
      <c r="G134" t="n">
        <v>5.3</v>
      </c>
      <c r="H134" t="n">
        <v>2</v>
      </c>
      <c r="I134" t="n">
        <v>3</v>
      </c>
      <c r="J134" t="n">
        <v>0</v>
      </c>
      <c r="K134" t="n">
        <v>1</v>
      </c>
      <c r="L134" t="n">
        <v>0</v>
      </c>
      <c r="M134" t="n">
        <v>0</v>
      </c>
      <c r="N134" t="n">
        <v>0</v>
      </c>
      <c r="O134" t="n">
        <v>1</v>
      </c>
      <c r="P134" t="n">
        <v>1</v>
      </c>
      <c r="Q134" t="n">
        <v>5</v>
      </c>
      <c r="R134" s="2" t="inlineStr">
        <is>
          <t>Olivfjällskivling
Droppklibbskivling
Murgröna
Skogsknipprot
Blåsippa</t>
        </is>
      </c>
      <c r="S134">
        <f>HYPERLINK("https://klasma.github.io/Logging_0885/artfynd/A 4881-2021 artfynd.xlsx", "A 4881-2021")</f>
        <v/>
      </c>
      <c r="T134">
        <f>HYPERLINK("https://klasma.github.io/Logging_0885/kartor/A 4881-2021 karta.png", "A 4881-2021")</f>
        <v/>
      </c>
      <c r="V134">
        <f>HYPERLINK("https://klasma.github.io/Logging_0885/klagomål/A 4881-2021 FSC-klagomål.docx", "A 4881-2021")</f>
        <v/>
      </c>
      <c r="W134">
        <f>HYPERLINK("https://klasma.github.io/Logging_0885/klagomålsmail/A 4881-2021 FSC-klagomål mail.docx", "A 4881-2021")</f>
        <v/>
      </c>
      <c r="X134">
        <f>HYPERLINK("https://klasma.github.io/Logging_0885/tillsyn/A 4881-2021 tillsynsbegäran.docx", "A 4881-2021")</f>
        <v/>
      </c>
      <c r="Y134">
        <f>HYPERLINK("https://klasma.github.io/Logging_0885/tillsynsmail/A 4881-2021 tillsynsbegäran mail.docx", "A 4881-2021")</f>
        <v/>
      </c>
    </row>
    <row r="135" ht="15" customHeight="1">
      <c r="A135" t="inlineStr">
        <is>
          <t>A 34948-2022</t>
        </is>
      </c>
      <c r="B135" s="1" t="n">
        <v>44796</v>
      </c>
      <c r="C135" s="1" t="n">
        <v>45884</v>
      </c>
      <c r="D135" t="inlineStr">
        <is>
          <t>KALMAR LÄN</t>
        </is>
      </c>
      <c r="E135" t="inlineStr">
        <is>
          <t>BORGHOLM</t>
        </is>
      </c>
      <c r="F135" t="inlineStr">
        <is>
          <t>Sveaskog</t>
        </is>
      </c>
      <c r="G135" t="n">
        <v>2.8</v>
      </c>
      <c r="H135" t="n">
        <v>1</v>
      </c>
      <c r="I135" t="n">
        <v>1</v>
      </c>
      <c r="J135" t="n">
        <v>2</v>
      </c>
      <c r="K135" t="n">
        <v>0</v>
      </c>
      <c r="L135" t="n">
        <v>1</v>
      </c>
      <c r="M135" t="n">
        <v>0</v>
      </c>
      <c r="N135" t="n">
        <v>0</v>
      </c>
      <c r="O135" t="n">
        <v>3</v>
      </c>
      <c r="P135" t="n">
        <v>1</v>
      </c>
      <c r="Q135" t="n">
        <v>5</v>
      </c>
      <c r="R135" s="2" t="inlineStr">
        <is>
          <t>Brödmusseron
Juvelspindling
Persiljespindling
Fransig jordstjärna
Blåsippa</t>
        </is>
      </c>
      <c r="S135">
        <f>HYPERLINK("https://klasma.github.io/Logging_0885/artfynd/A 34948-2022 artfynd.xlsx", "A 34948-2022")</f>
        <v/>
      </c>
      <c r="T135">
        <f>HYPERLINK("https://klasma.github.io/Logging_0885/kartor/A 34948-2022 karta.png", "A 34948-2022")</f>
        <v/>
      </c>
      <c r="V135">
        <f>HYPERLINK("https://klasma.github.io/Logging_0885/klagomål/A 34948-2022 FSC-klagomål.docx", "A 34948-2022")</f>
        <v/>
      </c>
      <c r="W135">
        <f>HYPERLINK("https://klasma.github.io/Logging_0885/klagomålsmail/A 34948-2022 FSC-klagomål mail.docx", "A 34948-2022")</f>
        <v/>
      </c>
      <c r="X135">
        <f>HYPERLINK("https://klasma.github.io/Logging_0885/tillsyn/A 34948-2022 tillsynsbegäran.docx", "A 34948-2022")</f>
        <v/>
      </c>
      <c r="Y135">
        <f>HYPERLINK("https://klasma.github.io/Logging_0885/tillsynsmail/A 34948-2022 tillsynsbegäran mail.docx", "A 34948-2022")</f>
        <v/>
      </c>
    </row>
    <row r="136" ht="15" customHeight="1">
      <c r="A136" t="inlineStr">
        <is>
          <t>A 37143-2024</t>
        </is>
      </c>
      <c r="B136" s="1" t="n">
        <v>45539.59673611111</v>
      </c>
      <c r="C136" s="1" t="n">
        <v>45884</v>
      </c>
      <c r="D136" t="inlineStr">
        <is>
          <t>KALMAR LÄN</t>
        </is>
      </c>
      <c r="E136" t="inlineStr">
        <is>
          <t>MÖNSTERÅS</t>
        </is>
      </c>
      <c r="G136" t="n">
        <v>0.9</v>
      </c>
      <c r="H136" t="n">
        <v>5</v>
      </c>
      <c r="I136" t="n">
        <v>0</v>
      </c>
      <c r="J136" t="n">
        <v>2</v>
      </c>
      <c r="K136" t="n">
        <v>0</v>
      </c>
      <c r="L136" t="n">
        <v>0</v>
      </c>
      <c r="M136" t="n">
        <v>0</v>
      </c>
      <c r="N136" t="n">
        <v>0</v>
      </c>
      <c r="O136" t="n">
        <v>2</v>
      </c>
      <c r="P136" t="n">
        <v>0</v>
      </c>
      <c r="Q136" t="n">
        <v>5</v>
      </c>
      <c r="R136" s="2" t="inlineStr">
        <is>
          <t>Brunlångöra
Nordfladdermus
Dvärgpipistrell
Större brunfladdermus
Vattenfladdermus</t>
        </is>
      </c>
      <c r="S136">
        <f>HYPERLINK("https://klasma.github.io/Logging_0861/artfynd/A 37143-2024 artfynd.xlsx", "A 37143-2024")</f>
        <v/>
      </c>
      <c r="T136">
        <f>HYPERLINK("https://klasma.github.io/Logging_0861/kartor/A 37143-2024 karta.png", "A 37143-2024")</f>
        <v/>
      </c>
      <c r="V136">
        <f>HYPERLINK("https://klasma.github.io/Logging_0861/klagomål/A 37143-2024 FSC-klagomål.docx", "A 37143-2024")</f>
        <v/>
      </c>
      <c r="W136">
        <f>HYPERLINK("https://klasma.github.io/Logging_0861/klagomålsmail/A 37143-2024 FSC-klagomål mail.docx", "A 37143-2024")</f>
        <v/>
      </c>
      <c r="X136">
        <f>HYPERLINK("https://klasma.github.io/Logging_0861/tillsyn/A 37143-2024 tillsynsbegäran.docx", "A 37143-2024")</f>
        <v/>
      </c>
      <c r="Y136">
        <f>HYPERLINK("https://klasma.github.io/Logging_0861/tillsynsmail/A 37143-2024 tillsynsbegäran mail.docx", "A 37143-2024")</f>
        <v/>
      </c>
    </row>
    <row r="137" ht="15" customHeight="1">
      <c r="A137" t="inlineStr">
        <is>
          <t>A 781-2023</t>
        </is>
      </c>
      <c r="B137" s="1" t="n">
        <v>44931</v>
      </c>
      <c r="C137" s="1" t="n">
        <v>45884</v>
      </c>
      <c r="D137" t="inlineStr">
        <is>
          <t>KALMAR LÄN</t>
        </is>
      </c>
      <c r="E137" t="inlineStr">
        <is>
          <t>VÄSTERVIK</t>
        </is>
      </c>
      <c r="F137" t="inlineStr">
        <is>
          <t>Holmen skog AB</t>
        </is>
      </c>
      <c r="G137" t="n">
        <v>4.3</v>
      </c>
      <c r="H137" t="n">
        <v>0</v>
      </c>
      <c r="I137" t="n">
        <v>3</v>
      </c>
      <c r="J137" t="n">
        <v>2</v>
      </c>
      <c r="K137" t="n">
        <v>0</v>
      </c>
      <c r="L137" t="n">
        <v>0</v>
      </c>
      <c r="M137" t="n">
        <v>0</v>
      </c>
      <c r="N137" t="n">
        <v>0</v>
      </c>
      <c r="O137" t="n">
        <v>2</v>
      </c>
      <c r="P137" t="n">
        <v>0</v>
      </c>
      <c r="Q137" t="n">
        <v>5</v>
      </c>
      <c r="R137" s="2" t="inlineStr">
        <is>
          <t>Ekticka
Oxtungssvamp
Hasselticka
Läderskål
Stor aspticka</t>
        </is>
      </c>
      <c r="S137">
        <f>HYPERLINK("https://klasma.github.io/Logging_0883/artfynd/A 781-2023 artfynd.xlsx", "A 781-2023")</f>
        <v/>
      </c>
      <c r="T137">
        <f>HYPERLINK("https://klasma.github.io/Logging_0883/kartor/A 781-2023 karta.png", "A 781-2023")</f>
        <v/>
      </c>
      <c r="V137">
        <f>HYPERLINK("https://klasma.github.io/Logging_0883/klagomål/A 781-2023 FSC-klagomål.docx", "A 781-2023")</f>
        <v/>
      </c>
      <c r="W137">
        <f>HYPERLINK("https://klasma.github.io/Logging_0883/klagomålsmail/A 781-2023 FSC-klagomål mail.docx", "A 781-2023")</f>
        <v/>
      </c>
      <c r="X137">
        <f>HYPERLINK("https://klasma.github.io/Logging_0883/tillsyn/A 781-2023 tillsynsbegäran.docx", "A 781-2023")</f>
        <v/>
      </c>
      <c r="Y137">
        <f>HYPERLINK("https://klasma.github.io/Logging_0883/tillsynsmail/A 781-2023 tillsynsbegäran mail.docx", "A 781-2023")</f>
        <v/>
      </c>
    </row>
    <row r="138" ht="15" customHeight="1">
      <c r="A138" t="inlineStr">
        <is>
          <t>A 27380-2024</t>
        </is>
      </c>
      <c r="B138" s="1" t="n">
        <v>45473</v>
      </c>
      <c r="C138" s="1" t="n">
        <v>45884</v>
      </c>
      <c r="D138" t="inlineStr">
        <is>
          <t>KALMAR LÄN</t>
        </is>
      </c>
      <c r="E138" t="inlineStr">
        <is>
          <t>VÄSTERVIK</t>
        </is>
      </c>
      <c r="G138" t="n">
        <v>1.4</v>
      </c>
      <c r="H138" t="n">
        <v>2</v>
      </c>
      <c r="I138" t="n">
        <v>2</v>
      </c>
      <c r="J138" t="n">
        <v>2</v>
      </c>
      <c r="K138" t="n">
        <v>1</v>
      </c>
      <c r="L138" t="n">
        <v>0</v>
      </c>
      <c r="M138" t="n">
        <v>0</v>
      </c>
      <c r="N138" t="n">
        <v>0</v>
      </c>
      <c r="O138" t="n">
        <v>3</v>
      </c>
      <c r="P138" t="n">
        <v>1</v>
      </c>
      <c r="Q138" t="n">
        <v>5</v>
      </c>
      <c r="R138" s="2" t="inlineStr">
        <is>
          <t>Knärot
Tallticka
Talltita
Dropptaggsvamp
Zontaggsvamp</t>
        </is>
      </c>
      <c r="S138">
        <f>HYPERLINK("https://klasma.github.io/Logging_0883/artfynd/A 27380-2024 artfynd.xlsx", "A 27380-2024")</f>
        <v/>
      </c>
      <c r="T138">
        <f>HYPERLINK("https://klasma.github.io/Logging_0883/kartor/A 27380-2024 karta.png", "A 27380-2024")</f>
        <v/>
      </c>
      <c r="U138">
        <f>HYPERLINK("https://klasma.github.io/Logging_0883/knärot/A 27380-2024 karta knärot.png", "A 27380-2024")</f>
        <v/>
      </c>
      <c r="V138">
        <f>HYPERLINK("https://klasma.github.io/Logging_0883/klagomål/A 27380-2024 FSC-klagomål.docx", "A 27380-2024")</f>
        <v/>
      </c>
      <c r="W138">
        <f>HYPERLINK("https://klasma.github.io/Logging_0883/klagomålsmail/A 27380-2024 FSC-klagomål mail.docx", "A 27380-2024")</f>
        <v/>
      </c>
      <c r="X138">
        <f>HYPERLINK("https://klasma.github.io/Logging_0883/tillsyn/A 27380-2024 tillsynsbegäran.docx", "A 27380-2024")</f>
        <v/>
      </c>
      <c r="Y138">
        <f>HYPERLINK("https://klasma.github.io/Logging_0883/tillsynsmail/A 27380-2024 tillsynsbegäran mail.docx", "A 27380-2024")</f>
        <v/>
      </c>
      <c r="Z138">
        <f>HYPERLINK("https://klasma.github.io/Logging_0883/fåglar/A 27380-2024 prioriterade fågelarter.docx", "A 27380-2024")</f>
        <v/>
      </c>
    </row>
    <row r="139" ht="15" customHeight="1">
      <c r="A139" t="inlineStr">
        <is>
          <t>A 26187-2024</t>
        </is>
      </c>
      <c r="B139" s="1" t="n">
        <v>45468</v>
      </c>
      <c r="C139" s="1" t="n">
        <v>45884</v>
      </c>
      <c r="D139" t="inlineStr">
        <is>
          <t>KALMAR LÄN</t>
        </is>
      </c>
      <c r="E139" t="inlineStr">
        <is>
          <t>OSKARSHAMN</t>
        </is>
      </c>
      <c r="F139" t="inlineStr">
        <is>
          <t>Kommuner</t>
        </is>
      </c>
      <c r="G139" t="n">
        <v>1.8</v>
      </c>
      <c r="H139" t="n">
        <v>2</v>
      </c>
      <c r="I139" t="n">
        <v>1</v>
      </c>
      <c r="J139" t="n">
        <v>3</v>
      </c>
      <c r="K139" t="n">
        <v>0</v>
      </c>
      <c r="L139" t="n">
        <v>0</v>
      </c>
      <c r="M139" t="n">
        <v>0</v>
      </c>
      <c r="N139" t="n">
        <v>0</v>
      </c>
      <c r="O139" t="n">
        <v>3</v>
      </c>
      <c r="P139" t="n">
        <v>0</v>
      </c>
      <c r="Q139" t="n">
        <v>5</v>
      </c>
      <c r="R139" s="2" t="inlineStr">
        <is>
          <t>Ekticka
Spillkråka
Vippärt
Murgröna
Blåsippa</t>
        </is>
      </c>
      <c r="S139">
        <f>HYPERLINK("https://klasma.github.io/Logging_0882/artfynd/A 26187-2024 artfynd.xlsx", "A 26187-2024")</f>
        <v/>
      </c>
      <c r="T139">
        <f>HYPERLINK("https://klasma.github.io/Logging_0882/kartor/A 26187-2024 karta.png", "A 26187-2024")</f>
        <v/>
      </c>
      <c r="V139">
        <f>HYPERLINK("https://klasma.github.io/Logging_0882/klagomål/A 26187-2024 FSC-klagomål.docx", "A 26187-2024")</f>
        <v/>
      </c>
      <c r="W139">
        <f>HYPERLINK("https://klasma.github.io/Logging_0882/klagomålsmail/A 26187-2024 FSC-klagomål mail.docx", "A 26187-2024")</f>
        <v/>
      </c>
      <c r="X139">
        <f>HYPERLINK("https://klasma.github.io/Logging_0882/tillsyn/A 26187-2024 tillsynsbegäran.docx", "A 26187-2024")</f>
        <v/>
      </c>
      <c r="Y139">
        <f>HYPERLINK("https://klasma.github.io/Logging_0882/tillsynsmail/A 26187-2024 tillsynsbegäran mail.docx", "A 26187-2024")</f>
        <v/>
      </c>
      <c r="Z139">
        <f>HYPERLINK("https://klasma.github.io/Logging_0882/fåglar/A 26187-2024 prioriterade fågelarter.docx", "A 26187-2024")</f>
        <v/>
      </c>
    </row>
    <row r="140" ht="15" customHeight="1">
      <c r="A140" t="inlineStr">
        <is>
          <t>A 45167-2024</t>
        </is>
      </c>
      <c r="B140" s="1" t="n">
        <v>45575</v>
      </c>
      <c r="C140" s="1" t="n">
        <v>45884</v>
      </c>
      <c r="D140" t="inlineStr">
        <is>
          <t>KALMAR LÄN</t>
        </is>
      </c>
      <c r="E140" t="inlineStr">
        <is>
          <t>HULTSFRED</t>
        </is>
      </c>
      <c r="G140" t="n">
        <v>0.8</v>
      </c>
      <c r="H140" t="n">
        <v>0</v>
      </c>
      <c r="I140" t="n">
        <v>1</v>
      </c>
      <c r="J140" t="n">
        <v>3</v>
      </c>
      <c r="K140" t="n">
        <v>0</v>
      </c>
      <c r="L140" t="n">
        <v>1</v>
      </c>
      <c r="M140" t="n">
        <v>0</v>
      </c>
      <c r="N140" t="n">
        <v>0</v>
      </c>
      <c r="O140" t="n">
        <v>4</v>
      </c>
      <c r="P140" t="n">
        <v>1</v>
      </c>
      <c r="Q140" t="n">
        <v>5</v>
      </c>
      <c r="R140" s="2" t="inlineStr">
        <is>
          <t>Karelsk maskros
Persiljespindling
Slåtterfibbla
Tallticka
Dvärgkällmossa</t>
        </is>
      </c>
      <c r="S140">
        <f>HYPERLINK("https://klasma.github.io/Logging_0860/artfynd/A 45167-2024 artfynd.xlsx", "A 45167-2024")</f>
        <v/>
      </c>
      <c r="T140">
        <f>HYPERLINK("https://klasma.github.io/Logging_0860/kartor/A 45167-2024 karta.png", "A 45167-2024")</f>
        <v/>
      </c>
      <c r="V140">
        <f>HYPERLINK("https://klasma.github.io/Logging_0860/klagomål/A 45167-2024 FSC-klagomål.docx", "A 45167-2024")</f>
        <v/>
      </c>
      <c r="W140">
        <f>HYPERLINK("https://klasma.github.io/Logging_0860/klagomålsmail/A 45167-2024 FSC-klagomål mail.docx", "A 45167-2024")</f>
        <v/>
      </c>
      <c r="X140">
        <f>HYPERLINK("https://klasma.github.io/Logging_0860/tillsyn/A 45167-2024 tillsynsbegäran.docx", "A 45167-2024")</f>
        <v/>
      </c>
      <c r="Y140">
        <f>HYPERLINK("https://klasma.github.io/Logging_0860/tillsynsmail/A 45167-2024 tillsynsbegäran mail.docx", "A 45167-2024")</f>
        <v/>
      </c>
    </row>
    <row r="141" ht="15" customHeight="1">
      <c r="A141" t="inlineStr">
        <is>
          <t>A 31060-2024</t>
        </is>
      </c>
      <c r="B141" s="1" t="n">
        <v>45502</v>
      </c>
      <c r="C141" s="1" t="n">
        <v>45884</v>
      </c>
      <c r="D141" t="inlineStr">
        <is>
          <t>KALMAR LÄN</t>
        </is>
      </c>
      <c r="E141" t="inlineStr">
        <is>
          <t>VÄSTERVIK</t>
        </is>
      </c>
      <c r="F141" t="inlineStr">
        <is>
          <t>Holmen skog AB</t>
        </is>
      </c>
      <c r="G141" t="n">
        <v>2.8</v>
      </c>
      <c r="H141" t="n">
        <v>3</v>
      </c>
      <c r="I141" t="n">
        <v>1</v>
      </c>
      <c r="J141" t="n">
        <v>3</v>
      </c>
      <c r="K141" t="n">
        <v>1</v>
      </c>
      <c r="L141" t="n">
        <v>0</v>
      </c>
      <c r="M141" t="n">
        <v>0</v>
      </c>
      <c r="N141" t="n">
        <v>0</v>
      </c>
      <c r="O141" t="n">
        <v>4</v>
      </c>
      <c r="P141" t="n">
        <v>1</v>
      </c>
      <c r="Q141" t="n">
        <v>5</v>
      </c>
      <c r="R141" s="2" t="inlineStr">
        <is>
          <t>Knärot
Spillkråka
Tallticka
Talltita
Blåmossa</t>
        </is>
      </c>
      <c r="S141">
        <f>HYPERLINK("https://klasma.github.io/Logging_0883/artfynd/A 31060-2024 artfynd.xlsx", "A 31060-2024")</f>
        <v/>
      </c>
      <c r="T141">
        <f>HYPERLINK("https://klasma.github.io/Logging_0883/kartor/A 31060-2024 karta.png", "A 31060-2024")</f>
        <v/>
      </c>
      <c r="U141">
        <f>HYPERLINK("https://klasma.github.io/Logging_0883/knärot/A 31060-2024 karta knärot.png", "A 31060-2024")</f>
        <v/>
      </c>
      <c r="V141">
        <f>HYPERLINK("https://klasma.github.io/Logging_0883/klagomål/A 31060-2024 FSC-klagomål.docx", "A 31060-2024")</f>
        <v/>
      </c>
      <c r="W141">
        <f>HYPERLINK("https://klasma.github.io/Logging_0883/klagomålsmail/A 31060-2024 FSC-klagomål mail.docx", "A 31060-2024")</f>
        <v/>
      </c>
      <c r="X141">
        <f>HYPERLINK("https://klasma.github.io/Logging_0883/tillsyn/A 31060-2024 tillsynsbegäran.docx", "A 31060-2024")</f>
        <v/>
      </c>
      <c r="Y141">
        <f>HYPERLINK("https://klasma.github.io/Logging_0883/tillsynsmail/A 31060-2024 tillsynsbegäran mail.docx", "A 31060-2024")</f>
        <v/>
      </c>
      <c r="Z141">
        <f>HYPERLINK("https://klasma.github.io/Logging_0883/fåglar/A 31060-2024 prioriterade fågelarter.docx", "A 31060-2024")</f>
        <v/>
      </c>
    </row>
    <row r="142" ht="15" customHeight="1">
      <c r="A142" t="inlineStr">
        <is>
          <t>A 27737-2024</t>
        </is>
      </c>
      <c r="B142" s="1" t="n">
        <v>45475</v>
      </c>
      <c r="C142" s="1" t="n">
        <v>45884</v>
      </c>
      <c r="D142" t="inlineStr">
        <is>
          <t>KALMAR LÄN</t>
        </is>
      </c>
      <c r="E142" t="inlineStr">
        <is>
          <t>VÄSTERVIK</t>
        </is>
      </c>
      <c r="F142" t="inlineStr">
        <is>
          <t>Holmen skog AB</t>
        </is>
      </c>
      <c r="G142" t="n">
        <v>2.7</v>
      </c>
      <c r="H142" t="n">
        <v>2</v>
      </c>
      <c r="I142" t="n">
        <v>0</v>
      </c>
      <c r="J142" t="n">
        <v>4</v>
      </c>
      <c r="K142" t="n">
        <v>0</v>
      </c>
      <c r="L142" t="n">
        <v>0</v>
      </c>
      <c r="M142" t="n">
        <v>0</v>
      </c>
      <c r="N142" t="n">
        <v>0</v>
      </c>
      <c r="O142" t="n">
        <v>4</v>
      </c>
      <c r="P142" t="n">
        <v>0</v>
      </c>
      <c r="Q142" t="n">
        <v>5</v>
      </c>
      <c r="R142" s="2" t="inlineStr">
        <is>
          <t>Ekticka
Oxtungssvamp
Spillkråka
Ullticka
Mattlummer</t>
        </is>
      </c>
      <c r="S142">
        <f>HYPERLINK("https://klasma.github.io/Logging_0883/artfynd/A 27737-2024 artfynd.xlsx", "A 27737-2024")</f>
        <v/>
      </c>
      <c r="T142">
        <f>HYPERLINK("https://klasma.github.io/Logging_0883/kartor/A 27737-2024 karta.png", "A 27737-2024")</f>
        <v/>
      </c>
      <c r="V142">
        <f>HYPERLINK("https://klasma.github.io/Logging_0883/klagomål/A 27737-2024 FSC-klagomål.docx", "A 27737-2024")</f>
        <v/>
      </c>
      <c r="W142">
        <f>HYPERLINK("https://klasma.github.io/Logging_0883/klagomålsmail/A 27737-2024 FSC-klagomål mail.docx", "A 27737-2024")</f>
        <v/>
      </c>
      <c r="X142">
        <f>HYPERLINK("https://klasma.github.io/Logging_0883/tillsyn/A 27737-2024 tillsynsbegäran.docx", "A 27737-2024")</f>
        <v/>
      </c>
      <c r="Y142">
        <f>HYPERLINK("https://klasma.github.io/Logging_0883/tillsynsmail/A 27737-2024 tillsynsbegäran mail.docx", "A 27737-2024")</f>
        <v/>
      </c>
      <c r="Z142">
        <f>HYPERLINK("https://klasma.github.io/Logging_0883/fåglar/A 27737-2024 prioriterade fågelarter.docx", "A 27737-2024")</f>
        <v/>
      </c>
    </row>
    <row r="143" ht="15" customHeight="1">
      <c r="A143" t="inlineStr">
        <is>
          <t>A 39320-2024</t>
        </is>
      </c>
      <c r="B143" s="1" t="n">
        <v>45551</v>
      </c>
      <c r="C143" s="1" t="n">
        <v>45884</v>
      </c>
      <c r="D143" t="inlineStr">
        <is>
          <t>KALMAR LÄN</t>
        </is>
      </c>
      <c r="E143" t="inlineStr">
        <is>
          <t>MÖRBYLÅNGA</t>
        </is>
      </c>
      <c r="G143" t="n">
        <v>3.3</v>
      </c>
      <c r="H143" t="n">
        <v>1</v>
      </c>
      <c r="I143" t="n">
        <v>2</v>
      </c>
      <c r="J143" t="n">
        <v>1</v>
      </c>
      <c r="K143" t="n">
        <v>1</v>
      </c>
      <c r="L143" t="n">
        <v>0</v>
      </c>
      <c r="M143" t="n">
        <v>0</v>
      </c>
      <c r="N143" t="n">
        <v>0</v>
      </c>
      <c r="O143" t="n">
        <v>2</v>
      </c>
      <c r="P143" t="n">
        <v>1</v>
      </c>
      <c r="Q143" t="n">
        <v>5</v>
      </c>
      <c r="R143" s="2" t="inlineStr">
        <is>
          <t>Toppjungfrulin
Korskovall
Underviol
Vårärt
Skogsduva</t>
        </is>
      </c>
      <c r="S143">
        <f>HYPERLINK("https://klasma.github.io/Logging_0840/artfynd/A 39320-2024 artfynd.xlsx", "A 39320-2024")</f>
        <v/>
      </c>
      <c r="T143">
        <f>HYPERLINK("https://klasma.github.io/Logging_0840/kartor/A 39320-2024 karta.png", "A 39320-2024")</f>
        <v/>
      </c>
      <c r="V143">
        <f>HYPERLINK("https://klasma.github.io/Logging_0840/klagomål/A 39320-2024 FSC-klagomål.docx", "A 39320-2024")</f>
        <v/>
      </c>
      <c r="W143">
        <f>HYPERLINK("https://klasma.github.io/Logging_0840/klagomålsmail/A 39320-2024 FSC-klagomål mail.docx", "A 39320-2024")</f>
        <v/>
      </c>
      <c r="X143">
        <f>HYPERLINK("https://klasma.github.io/Logging_0840/tillsyn/A 39320-2024 tillsynsbegäran.docx", "A 39320-2024")</f>
        <v/>
      </c>
      <c r="Y143">
        <f>HYPERLINK("https://klasma.github.io/Logging_0840/tillsynsmail/A 39320-2024 tillsynsbegäran mail.docx", "A 39320-2024")</f>
        <v/>
      </c>
      <c r="Z143">
        <f>HYPERLINK("https://klasma.github.io/Logging_0840/fåglar/A 39320-2024 prioriterade fågelarter.docx", "A 39320-2024")</f>
        <v/>
      </c>
    </row>
    <row r="144" ht="15" customHeight="1">
      <c r="A144" t="inlineStr">
        <is>
          <t>A 12081-2024</t>
        </is>
      </c>
      <c r="B144" s="1" t="n">
        <v>45377.54726851852</v>
      </c>
      <c r="C144" s="1" t="n">
        <v>45884</v>
      </c>
      <c r="D144" t="inlineStr">
        <is>
          <t>KALMAR LÄN</t>
        </is>
      </c>
      <c r="E144" t="inlineStr">
        <is>
          <t>VIMMERBY</t>
        </is>
      </c>
      <c r="G144" t="n">
        <v>1.5</v>
      </c>
      <c r="H144" t="n">
        <v>1</v>
      </c>
      <c r="I144" t="n">
        <v>4</v>
      </c>
      <c r="J144" t="n">
        <v>1</v>
      </c>
      <c r="K144" t="n">
        <v>0</v>
      </c>
      <c r="L144" t="n">
        <v>0</v>
      </c>
      <c r="M144" t="n">
        <v>0</v>
      </c>
      <c r="N144" t="n">
        <v>0</v>
      </c>
      <c r="O144" t="n">
        <v>1</v>
      </c>
      <c r="P144" t="n">
        <v>0</v>
      </c>
      <c r="Q144" t="n">
        <v>5</v>
      </c>
      <c r="R144" s="2" t="inlineStr">
        <is>
          <t>Gullklöver
Dvärghäxört
Springkorn
Tibast
Tvåblad</t>
        </is>
      </c>
      <c r="S144">
        <f>HYPERLINK("https://klasma.github.io/Logging_0884/artfynd/A 12081-2024 artfynd.xlsx", "A 12081-2024")</f>
        <v/>
      </c>
      <c r="T144">
        <f>HYPERLINK("https://klasma.github.io/Logging_0884/kartor/A 12081-2024 karta.png", "A 12081-2024")</f>
        <v/>
      </c>
      <c r="V144">
        <f>HYPERLINK("https://klasma.github.io/Logging_0884/klagomål/A 12081-2024 FSC-klagomål.docx", "A 12081-2024")</f>
        <v/>
      </c>
      <c r="W144">
        <f>HYPERLINK("https://klasma.github.io/Logging_0884/klagomålsmail/A 12081-2024 FSC-klagomål mail.docx", "A 12081-2024")</f>
        <v/>
      </c>
      <c r="X144">
        <f>HYPERLINK("https://klasma.github.io/Logging_0884/tillsyn/A 12081-2024 tillsynsbegäran.docx", "A 12081-2024")</f>
        <v/>
      </c>
      <c r="Y144">
        <f>HYPERLINK("https://klasma.github.io/Logging_0884/tillsynsmail/A 12081-2024 tillsynsbegäran mail.docx", "A 12081-2024")</f>
        <v/>
      </c>
    </row>
    <row r="145" ht="15" customHeight="1">
      <c r="A145" t="inlineStr">
        <is>
          <t>A 31431-2024</t>
        </is>
      </c>
      <c r="B145" s="1" t="n">
        <v>45505</v>
      </c>
      <c r="C145" s="1" t="n">
        <v>45884</v>
      </c>
      <c r="D145" t="inlineStr">
        <is>
          <t>KALMAR LÄN</t>
        </is>
      </c>
      <c r="E145" t="inlineStr">
        <is>
          <t>VÄSTERVIK</t>
        </is>
      </c>
      <c r="G145" t="n">
        <v>1.3</v>
      </c>
      <c r="H145" t="n">
        <v>0</v>
      </c>
      <c r="I145" t="n">
        <v>3</v>
      </c>
      <c r="J145" t="n">
        <v>2</v>
      </c>
      <c r="K145" t="n">
        <v>0</v>
      </c>
      <c r="L145" t="n">
        <v>0</v>
      </c>
      <c r="M145" t="n">
        <v>0</v>
      </c>
      <c r="N145" t="n">
        <v>0</v>
      </c>
      <c r="O145" t="n">
        <v>2</v>
      </c>
      <c r="P145" t="n">
        <v>0</v>
      </c>
      <c r="Q145" t="n">
        <v>5</v>
      </c>
      <c r="R145" s="2" t="inlineStr">
        <is>
          <t>Ekticka
Skeppsvarvsfluga
Fällmossa
Myskmadra
Trädporella</t>
        </is>
      </c>
      <c r="S145">
        <f>HYPERLINK("https://klasma.github.io/Logging_0883/artfynd/A 31431-2024 artfynd.xlsx", "A 31431-2024")</f>
        <v/>
      </c>
      <c r="T145">
        <f>HYPERLINK("https://klasma.github.io/Logging_0883/kartor/A 31431-2024 karta.png", "A 31431-2024")</f>
        <v/>
      </c>
      <c r="V145">
        <f>HYPERLINK("https://klasma.github.io/Logging_0883/klagomål/A 31431-2024 FSC-klagomål.docx", "A 31431-2024")</f>
        <v/>
      </c>
      <c r="W145">
        <f>HYPERLINK("https://klasma.github.io/Logging_0883/klagomålsmail/A 31431-2024 FSC-klagomål mail.docx", "A 31431-2024")</f>
        <v/>
      </c>
      <c r="X145">
        <f>HYPERLINK("https://klasma.github.io/Logging_0883/tillsyn/A 31431-2024 tillsynsbegäran.docx", "A 31431-2024")</f>
        <v/>
      </c>
      <c r="Y145">
        <f>HYPERLINK("https://klasma.github.io/Logging_0883/tillsynsmail/A 31431-2024 tillsynsbegäran mail.docx", "A 31431-2024")</f>
        <v/>
      </c>
    </row>
    <row r="146" ht="15" customHeight="1">
      <c r="A146" t="inlineStr">
        <is>
          <t>A 64870-2023</t>
        </is>
      </c>
      <c r="B146" s="1" t="n">
        <v>45282</v>
      </c>
      <c r="C146" s="1" t="n">
        <v>45884</v>
      </c>
      <c r="D146" t="inlineStr">
        <is>
          <t>KALMAR LÄN</t>
        </is>
      </c>
      <c r="E146" t="inlineStr">
        <is>
          <t>MÖNSTERÅS</t>
        </is>
      </c>
      <c r="G146" t="n">
        <v>12.3</v>
      </c>
      <c r="H146" t="n">
        <v>3</v>
      </c>
      <c r="I146" t="n">
        <v>2</v>
      </c>
      <c r="J146" t="n">
        <v>2</v>
      </c>
      <c r="K146" t="n">
        <v>1</v>
      </c>
      <c r="L146" t="n">
        <v>0</v>
      </c>
      <c r="M146" t="n">
        <v>0</v>
      </c>
      <c r="N146" t="n">
        <v>0</v>
      </c>
      <c r="O146" t="n">
        <v>3</v>
      </c>
      <c r="P146" t="n">
        <v>1</v>
      </c>
      <c r="Q146" t="n">
        <v>5</v>
      </c>
      <c r="R146" s="2" t="inlineStr">
        <is>
          <t>Knärot
Spillkråka
Talltita
Blåmossa
Grönpyrola</t>
        </is>
      </c>
      <c r="S146">
        <f>HYPERLINK("https://klasma.github.io/Logging_0861/artfynd/A 64870-2023 artfynd.xlsx", "A 64870-2023")</f>
        <v/>
      </c>
      <c r="T146">
        <f>HYPERLINK("https://klasma.github.io/Logging_0861/kartor/A 64870-2023 karta.png", "A 64870-2023")</f>
        <v/>
      </c>
      <c r="U146">
        <f>HYPERLINK("https://klasma.github.io/Logging_0861/knärot/A 64870-2023 karta knärot.png", "A 64870-2023")</f>
        <v/>
      </c>
      <c r="V146">
        <f>HYPERLINK("https://klasma.github.io/Logging_0861/klagomål/A 64870-2023 FSC-klagomål.docx", "A 64870-2023")</f>
        <v/>
      </c>
      <c r="W146">
        <f>HYPERLINK("https://klasma.github.io/Logging_0861/klagomålsmail/A 64870-2023 FSC-klagomål mail.docx", "A 64870-2023")</f>
        <v/>
      </c>
      <c r="X146">
        <f>HYPERLINK("https://klasma.github.io/Logging_0861/tillsyn/A 64870-2023 tillsynsbegäran.docx", "A 64870-2023")</f>
        <v/>
      </c>
      <c r="Y146">
        <f>HYPERLINK("https://klasma.github.io/Logging_0861/tillsynsmail/A 64870-2023 tillsynsbegäran mail.docx", "A 64870-2023")</f>
        <v/>
      </c>
      <c r="Z146">
        <f>HYPERLINK("https://klasma.github.io/Logging_0861/fåglar/A 64870-2023 prioriterade fågelarter.docx", "A 64870-2023")</f>
        <v/>
      </c>
    </row>
    <row r="147" ht="15" customHeight="1">
      <c r="A147" t="inlineStr">
        <is>
          <t>A 1779-2025</t>
        </is>
      </c>
      <c r="B147" s="1" t="n">
        <v>45671</v>
      </c>
      <c r="C147" s="1" t="n">
        <v>45884</v>
      </c>
      <c r="D147" t="inlineStr">
        <is>
          <t>KALMAR LÄN</t>
        </is>
      </c>
      <c r="E147" t="inlineStr">
        <is>
          <t>VÄSTERVIK</t>
        </is>
      </c>
      <c r="G147" t="n">
        <v>2.1</v>
      </c>
      <c r="H147" t="n">
        <v>2</v>
      </c>
      <c r="I147" t="n">
        <v>2</v>
      </c>
      <c r="J147" t="n">
        <v>2</v>
      </c>
      <c r="K147" t="n">
        <v>1</v>
      </c>
      <c r="L147" t="n">
        <v>0</v>
      </c>
      <c r="M147" t="n">
        <v>0</v>
      </c>
      <c r="N147" t="n">
        <v>0</v>
      </c>
      <c r="O147" t="n">
        <v>3</v>
      </c>
      <c r="P147" t="n">
        <v>1</v>
      </c>
      <c r="Q147" t="n">
        <v>5</v>
      </c>
      <c r="R147" s="2" t="inlineStr">
        <is>
          <t>Knärot
Fyrflikig jordstjärna
Spillkråka
Bronshjon
Granbräken</t>
        </is>
      </c>
      <c r="S147">
        <f>HYPERLINK("https://klasma.github.io/Logging_0883/artfynd/A 1779-2025 artfynd.xlsx", "A 1779-2025")</f>
        <v/>
      </c>
      <c r="T147">
        <f>HYPERLINK("https://klasma.github.io/Logging_0883/kartor/A 1779-2025 karta.png", "A 1779-2025")</f>
        <v/>
      </c>
      <c r="U147">
        <f>HYPERLINK("https://klasma.github.io/Logging_0883/knärot/A 1779-2025 karta knärot.png", "A 1779-2025")</f>
        <v/>
      </c>
      <c r="V147">
        <f>HYPERLINK("https://klasma.github.io/Logging_0883/klagomål/A 1779-2025 FSC-klagomål.docx", "A 1779-2025")</f>
        <v/>
      </c>
      <c r="W147">
        <f>HYPERLINK("https://klasma.github.io/Logging_0883/klagomålsmail/A 1779-2025 FSC-klagomål mail.docx", "A 1779-2025")</f>
        <v/>
      </c>
      <c r="X147">
        <f>HYPERLINK("https://klasma.github.io/Logging_0883/tillsyn/A 1779-2025 tillsynsbegäran.docx", "A 1779-2025")</f>
        <v/>
      </c>
      <c r="Y147">
        <f>HYPERLINK("https://klasma.github.io/Logging_0883/tillsynsmail/A 1779-2025 tillsynsbegäran mail.docx", "A 1779-2025")</f>
        <v/>
      </c>
      <c r="Z147">
        <f>HYPERLINK("https://klasma.github.io/Logging_0883/fåglar/A 1779-2025 prioriterade fågelarter.docx", "A 1779-2025")</f>
        <v/>
      </c>
    </row>
    <row r="148" ht="15" customHeight="1">
      <c r="A148" t="inlineStr">
        <is>
          <t>A 54334-2024</t>
        </is>
      </c>
      <c r="B148" s="1" t="n">
        <v>45617.38247685185</v>
      </c>
      <c r="C148" s="1" t="n">
        <v>45884</v>
      </c>
      <c r="D148" t="inlineStr">
        <is>
          <t>KALMAR LÄN</t>
        </is>
      </c>
      <c r="E148" t="inlineStr">
        <is>
          <t>VÄSTERVIK</t>
        </is>
      </c>
      <c r="F148" t="inlineStr">
        <is>
          <t>Kyrkan</t>
        </is>
      </c>
      <c r="G148" t="n">
        <v>2.6</v>
      </c>
      <c r="H148" t="n">
        <v>3</v>
      </c>
      <c r="I148" t="n">
        <v>3</v>
      </c>
      <c r="J148" t="n">
        <v>1</v>
      </c>
      <c r="K148" t="n">
        <v>1</v>
      </c>
      <c r="L148" t="n">
        <v>0</v>
      </c>
      <c r="M148" t="n">
        <v>0</v>
      </c>
      <c r="N148" t="n">
        <v>0</v>
      </c>
      <c r="O148" t="n">
        <v>2</v>
      </c>
      <c r="P148" t="n">
        <v>1</v>
      </c>
      <c r="Q148" t="n">
        <v>5</v>
      </c>
      <c r="R148" s="2" t="inlineStr">
        <is>
          <t>Knärot
Spillkråka
Fjällig taggsvamp s.str.
Grön sköldmossa
Grönpyrola</t>
        </is>
      </c>
      <c r="S148">
        <f>HYPERLINK("https://klasma.github.io/Logging_0883/artfynd/A 54334-2024 artfynd.xlsx", "A 54334-2024")</f>
        <v/>
      </c>
      <c r="T148">
        <f>HYPERLINK("https://klasma.github.io/Logging_0883/kartor/A 54334-2024 karta.png", "A 54334-2024")</f>
        <v/>
      </c>
      <c r="U148">
        <f>HYPERLINK("https://klasma.github.io/Logging_0883/knärot/A 54334-2024 karta knärot.png", "A 54334-2024")</f>
        <v/>
      </c>
      <c r="V148">
        <f>HYPERLINK("https://klasma.github.io/Logging_0883/klagomål/A 54334-2024 FSC-klagomål.docx", "A 54334-2024")</f>
        <v/>
      </c>
      <c r="W148">
        <f>HYPERLINK("https://klasma.github.io/Logging_0883/klagomålsmail/A 54334-2024 FSC-klagomål mail.docx", "A 54334-2024")</f>
        <v/>
      </c>
      <c r="X148">
        <f>HYPERLINK("https://klasma.github.io/Logging_0883/tillsyn/A 54334-2024 tillsynsbegäran.docx", "A 54334-2024")</f>
        <v/>
      </c>
      <c r="Y148">
        <f>HYPERLINK("https://klasma.github.io/Logging_0883/tillsynsmail/A 54334-2024 tillsynsbegäran mail.docx", "A 54334-2024")</f>
        <v/>
      </c>
      <c r="Z148">
        <f>HYPERLINK("https://klasma.github.io/Logging_0883/fåglar/A 54334-2024 prioriterade fågelarter.docx", "A 54334-2024")</f>
        <v/>
      </c>
    </row>
    <row r="149" ht="15" customHeight="1">
      <c r="A149" t="inlineStr">
        <is>
          <t>A 1023-2024</t>
        </is>
      </c>
      <c r="B149" s="1" t="n">
        <v>45301.67922453704</v>
      </c>
      <c r="C149" s="1" t="n">
        <v>45884</v>
      </c>
      <c r="D149" t="inlineStr">
        <is>
          <t>KALMAR LÄN</t>
        </is>
      </c>
      <c r="E149" t="inlineStr">
        <is>
          <t>VIMMERBY</t>
        </is>
      </c>
      <c r="G149" t="n">
        <v>4.4</v>
      </c>
      <c r="H149" t="n">
        <v>4</v>
      </c>
      <c r="I149" t="n">
        <v>0</v>
      </c>
      <c r="J149" t="n">
        <v>3</v>
      </c>
      <c r="K149" t="n">
        <v>1</v>
      </c>
      <c r="L149" t="n">
        <v>0</v>
      </c>
      <c r="M149" t="n">
        <v>0</v>
      </c>
      <c r="N149" t="n">
        <v>0</v>
      </c>
      <c r="O149" t="n">
        <v>4</v>
      </c>
      <c r="P149" t="n">
        <v>1</v>
      </c>
      <c r="Q149" t="n">
        <v>5</v>
      </c>
      <c r="R149" s="2" t="inlineStr">
        <is>
          <t>Knärot
Spillkråka
Talltita
Ullticka
Kungsfågel</t>
        </is>
      </c>
      <c r="S149">
        <f>HYPERLINK("https://klasma.github.io/Logging_0884/artfynd/A 1023-2024 artfynd.xlsx", "A 1023-2024")</f>
        <v/>
      </c>
      <c r="T149">
        <f>HYPERLINK("https://klasma.github.io/Logging_0884/kartor/A 1023-2024 karta.png", "A 1023-2024")</f>
        <v/>
      </c>
      <c r="U149">
        <f>HYPERLINK("https://klasma.github.io/Logging_0884/knärot/A 1023-2024 karta knärot.png", "A 1023-2024")</f>
        <v/>
      </c>
      <c r="V149">
        <f>HYPERLINK("https://klasma.github.io/Logging_0884/klagomål/A 1023-2024 FSC-klagomål.docx", "A 1023-2024")</f>
        <v/>
      </c>
      <c r="W149">
        <f>HYPERLINK("https://klasma.github.io/Logging_0884/klagomålsmail/A 1023-2024 FSC-klagomål mail.docx", "A 1023-2024")</f>
        <v/>
      </c>
      <c r="X149">
        <f>HYPERLINK("https://klasma.github.io/Logging_0884/tillsyn/A 1023-2024 tillsynsbegäran.docx", "A 1023-2024")</f>
        <v/>
      </c>
      <c r="Y149">
        <f>HYPERLINK("https://klasma.github.io/Logging_0884/tillsynsmail/A 1023-2024 tillsynsbegäran mail.docx", "A 1023-2024")</f>
        <v/>
      </c>
      <c r="Z149">
        <f>HYPERLINK("https://klasma.github.io/Logging_0884/fåglar/A 1023-2024 prioriterade fågelarter.docx", "A 1023-2024")</f>
        <v/>
      </c>
    </row>
    <row r="150" ht="15" customHeight="1">
      <c r="A150" t="inlineStr">
        <is>
          <t>A 16954-2025</t>
        </is>
      </c>
      <c r="B150" s="1" t="n">
        <v>45755</v>
      </c>
      <c r="C150" s="1" t="n">
        <v>45884</v>
      </c>
      <c r="D150" t="inlineStr">
        <is>
          <t>KALMAR LÄN</t>
        </is>
      </c>
      <c r="E150" t="inlineStr">
        <is>
          <t>VIMMERBY</t>
        </is>
      </c>
      <c r="G150" t="n">
        <v>3.5</v>
      </c>
      <c r="H150" t="n">
        <v>4</v>
      </c>
      <c r="I150" t="n">
        <v>0</v>
      </c>
      <c r="J150" t="n">
        <v>3</v>
      </c>
      <c r="K150" t="n">
        <v>1</v>
      </c>
      <c r="L150" t="n">
        <v>0</v>
      </c>
      <c r="M150" t="n">
        <v>0</v>
      </c>
      <c r="N150" t="n">
        <v>0</v>
      </c>
      <c r="O150" t="n">
        <v>4</v>
      </c>
      <c r="P150" t="n">
        <v>1</v>
      </c>
      <c r="Q150" t="n">
        <v>5</v>
      </c>
      <c r="R150" s="2" t="inlineStr">
        <is>
          <t>Knärot
Spillkråka
Talltita
Ullticka
Kungsfågel</t>
        </is>
      </c>
      <c r="S150">
        <f>HYPERLINK("https://klasma.github.io/Logging_0884/artfynd/A 16954-2025 artfynd.xlsx", "A 16954-2025")</f>
        <v/>
      </c>
      <c r="T150">
        <f>HYPERLINK("https://klasma.github.io/Logging_0884/kartor/A 16954-2025 karta.png", "A 16954-2025")</f>
        <v/>
      </c>
      <c r="U150">
        <f>HYPERLINK("https://klasma.github.io/Logging_0884/knärot/A 16954-2025 karta knärot.png", "A 16954-2025")</f>
        <v/>
      </c>
      <c r="V150">
        <f>HYPERLINK("https://klasma.github.io/Logging_0884/klagomål/A 16954-2025 FSC-klagomål.docx", "A 16954-2025")</f>
        <v/>
      </c>
      <c r="W150">
        <f>HYPERLINK("https://klasma.github.io/Logging_0884/klagomålsmail/A 16954-2025 FSC-klagomål mail.docx", "A 16954-2025")</f>
        <v/>
      </c>
      <c r="X150">
        <f>HYPERLINK("https://klasma.github.io/Logging_0884/tillsyn/A 16954-2025 tillsynsbegäran.docx", "A 16954-2025")</f>
        <v/>
      </c>
      <c r="Y150">
        <f>HYPERLINK("https://klasma.github.io/Logging_0884/tillsynsmail/A 16954-2025 tillsynsbegäran mail.docx", "A 16954-2025")</f>
        <v/>
      </c>
      <c r="Z150">
        <f>HYPERLINK("https://klasma.github.io/Logging_0884/fåglar/A 16954-2025 prioriterade fågelarter.docx", "A 16954-2025")</f>
        <v/>
      </c>
    </row>
    <row r="151" ht="15" customHeight="1">
      <c r="A151" t="inlineStr">
        <is>
          <t>A 12708-2025</t>
        </is>
      </c>
      <c r="B151" s="1" t="n">
        <v>45733</v>
      </c>
      <c r="C151" s="1" t="n">
        <v>45884</v>
      </c>
      <c r="D151" t="inlineStr">
        <is>
          <t>KALMAR LÄN</t>
        </is>
      </c>
      <c r="E151" t="inlineStr">
        <is>
          <t>MÖNSTERÅS</t>
        </is>
      </c>
      <c r="G151" t="n">
        <v>4.4</v>
      </c>
      <c r="H151" t="n">
        <v>3</v>
      </c>
      <c r="I151" t="n">
        <v>2</v>
      </c>
      <c r="J151" t="n">
        <v>2</v>
      </c>
      <c r="K151" t="n">
        <v>1</v>
      </c>
      <c r="L151" t="n">
        <v>0</v>
      </c>
      <c r="M151" t="n">
        <v>0</v>
      </c>
      <c r="N151" t="n">
        <v>0</v>
      </c>
      <c r="O151" t="n">
        <v>3</v>
      </c>
      <c r="P151" t="n">
        <v>1</v>
      </c>
      <c r="Q151" t="n">
        <v>5</v>
      </c>
      <c r="R151" s="2" t="inlineStr">
        <is>
          <t>Knärot
Spillkråka
Talltita
Blåmossa
Grönpyrola</t>
        </is>
      </c>
      <c r="S151">
        <f>HYPERLINK("https://klasma.github.io/Logging_0861/artfynd/A 12708-2025 artfynd.xlsx", "A 12708-2025")</f>
        <v/>
      </c>
      <c r="T151">
        <f>HYPERLINK("https://klasma.github.io/Logging_0861/kartor/A 12708-2025 karta.png", "A 12708-2025")</f>
        <v/>
      </c>
      <c r="U151">
        <f>HYPERLINK("https://klasma.github.io/Logging_0861/knärot/A 12708-2025 karta knärot.png", "A 12708-2025")</f>
        <v/>
      </c>
      <c r="V151">
        <f>HYPERLINK("https://klasma.github.io/Logging_0861/klagomål/A 12708-2025 FSC-klagomål.docx", "A 12708-2025")</f>
        <v/>
      </c>
      <c r="W151">
        <f>HYPERLINK("https://klasma.github.io/Logging_0861/klagomålsmail/A 12708-2025 FSC-klagomål mail.docx", "A 12708-2025")</f>
        <v/>
      </c>
      <c r="X151">
        <f>HYPERLINK("https://klasma.github.io/Logging_0861/tillsyn/A 12708-2025 tillsynsbegäran.docx", "A 12708-2025")</f>
        <v/>
      </c>
      <c r="Y151">
        <f>HYPERLINK("https://klasma.github.io/Logging_0861/tillsynsmail/A 12708-2025 tillsynsbegäran mail.docx", "A 12708-2025")</f>
        <v/>
      </c>
      <c r="Z151">
        <f>HYPERLINK("https://klasma.github.io/Logging_0861/fåglar/A 12708-2025 prioriterade fågelarter.docx", "A 12708-2025")</f>
        <v/>
      </c>
    </row>
    <row r="152" ht="15" customHeight="1">
      <c r="A152" t="inlineStr">
        <is>
          <t>A 33691-2025</t>
        </is>
      </c>
      <c r="B152" s="1" t="n">
        <v>45841.69503472222</v>
      </c>
      <c r="C152" s="1" t="n">
        <v>45884</v>
      </c>
      <c r="D152" t="inlineStr">
        <is>
          <t>KALMAR LÄN</t>
        </is>
      </c>
      <c r="E152" t="inlineStr">
        <is>
          <t>VÄSTERVIK</t>
        </is>
      </c>
      <c r="G152" t="n">
        <v>4.8</v>
      </c>
      <c r="H152" t="n">
        <v>4</v>
      </c>
      <c r="I152" t="n">
        <v>1</v>
      </c>
      <c r="J152" t="n">
        <v>1</v>
      </c>
      <c r="K152" t="n">
        <v>1</v>
      </c>
      <c r="L152" t="n">
        <v>0</v>
      </c>
      <c r="M152" t="n">
        <v>0</v>
      </c>
      <c r="N152" t="n">
        <v>0</v>
      </c>
      <c r="O152" t="n">
        <v>2</v>
      </c>
      <c r="P152" t="n">
        <v>1</v>
      </c>
      <c r="Q152" t="n">
        <v>5</v>
      </c>
      <c r="R152" s="2" t="inlineStr">
        <is>
          <t>Knärot
Talltita
Grönpyrola
Kungsfågel
Revlummer</t>
        </is>
      </c>
      <c r="S152">
        <f>HYPERLINK("https://klasma.github.io/Logging_0883/artfynd/A 33691-2025 artfynd.xlsx", "A 33691-2025")</f>
        <v/>
      </c>
      <c r="T152">
        <f>HYPERLINK("https://klasma.github.io/Logging_0883/kartor/A 33691-2025 karta.png", "A 33691-2025")</f>
        <v/>
      </c>
      <c r="U152">
        <f>HYPERLINK("https://klasma.github.io/Logging_0883/knärot/A 33691-2025 karta knärot.png", "A 33691-2025")</f>
        <v/>
      </c>
      <c r="V152">
        <f>HYPERLINK("https://klasma.github.io/Logging_0883/klagomål/A 33691-2025 FSC-klagomål.docx", "A 33691-2025")</f>
        <v/>
      </c>
      <c r="W152">
        <f>HYPERLINK("https://klasma.github.io/Logging_0883/klagomålsmail/A 33691-2025 FSC-klagomål mail.docx", "A 33691-2025")</f>
        <v/>
      </c>
      <c r="X152">
        <f>HYPERLINK("https://klasma.github.io/Logging_0883/tillsyn/A 33691-2025 tillsynsbegäran.docx", "A 33691-2025")</f>
        <v/>
      </c>
      <c r="Y152">
        <f>HYPERLINK("https://klasma.github.io/Logging_0883/tillsynsmail/A 33691-2025 tillsynsbegäran mail.docx", "A 33691-2025")</f>
        <v/>
      </c>
      <c r="Z152">
        <f>HYPERLINK("https://klasma.github.io/Logging_0883/fåglar/A 33691-2025 prioriterade fågelarter.docx", "A 33691-2025")</f>
        <v/>
      </c>
    </row>
    <row r="153" ht="15" customHeight="1">
      <c r="A153" t="inlineStr">
        <is>
          <t>A 48724-2024</t>
        </is>
      </c>
      <c r="B153" s="1" t="n">
        <v>45593.55731481482</v>
      </c>
      <c r="C153" s="1" t="n">
        <v>45884</v>
      </c>
      <c r="D153" t="inlineStr">
        <is>
          <t>KALMAR LÄN</t>
        </is>
      </c>
      <c r="E153" t="inlineStr">
        <is>
          <t>VÄSTERVIK</t>
        </is>
      </c>
      <c r="G153" t="n">
        <v>3.7</v>
      </c>
      <c r="H153" t="n">
        <v>2</v>
      </c>
      <c r="I153" t="n">
        <v>2</v>
      </c>
      <c r="J153" t="n">
        <v>2</v>
      </c>
      <c r="K153" t="n">
        <v>1</v>
      </c>
      <c r="L153" t="n">
        <v>0</v>
      </c>
      <c r="M153" t="n">
        <v>0</v>
      </c>
      <c r="N153" t="n">
        <v>0</v>
      </c>
      <c r="O153" t="n">
        <v>3</v>
      </c>
      <c r="P153" t="n">
        <v>1</v>
      </c>
      <c r="Q153" t="n">
        <v>5</v>
      </c>
      <c r="R153" s="2" t="inlineStr">
        <is>
          <t>Knärot
Tallticka
Talltita
Dropptaggsvamp
Grovticka</t>
        </is>
      </c>
      <c r="S153">
        <f>HYPERLINK("https://klasma.github.io/Logging_0883/artfynd/A 48724-2024 artfynd.xlsx", "A 48724-2024")</f>
        <v/>
      </c>
      <c r="T153">
        <f>HYPERLINK("https://klasma.github.io/Logging_0883/kartor/A 48724-2024 karta.png", "A 48724-2024")</f>
        <v/>
      </c>
      <c r="U153">
        <f>HYPERLINK("https://klasma.github.io/Logging_0883/knärot/A 48724-2024 karta knärot.png", "A 48724-2024")</f>
        <v/>
      </c>
      <c r="V153">
        <f>HYPERLINK("https://klasma.github.io/Logging_0883/klagomål/A 48724-2024 FSC-klagomål.docx", "A 48724-2024")</f>
        <v/>
      </c>
      <c r="W153">
        <f>HYPERLINK("https://klasma.github.io/Logging_0883/klagomålsmail/A 48724-2024 FSC-klagomål mail.docx", "A 48724-2024")</f>
        <v/>
      </c>
      <c r="X153">
        <f>HYPERLINK("https://klasma.github.io/Logging_0883/tillsyn/A 48724-2024 tillsynsbegäran.docx", "A 48724-2024")</f>
        <v/>
      </c>
      <c r="Y153">
        <f>HYPERLINK("https://klasma.github.io/Logging_0883/tillsynsmail/A 48724-2024 tillsynsbegäran mail.docx", "A 48724-2024")</f>
        <v/>
      </c>
      <c r="Z153">
        <f>HYPERLINK("https://klasma.github.io/Logging_0883/fåglar/A 48724-2024 prioriterade fågelarter.docx", "A 48724-2024")</f>
        <v/>
      </c>
    </row>
    <row r="154" ht="15" customHeight="1">
      <c r="A154" t="inlineStr">
        <is>
          <t>A 55210-2020</t>
        </is>
      </c>
      <c r="B154" s="1" t="n">
        <v>44130</v>
      </c>
      <c r="C154" s="1" t="n">
        <v>45884</v>
      </c>
      <c r="D154" t="inlineStr">
        <is>
          <t>KALMAR LÄN</t>
        </is>
      </c>
      <c r="E154" t="inlineStr">
        <is>
          <t>BORGHOLM</t>
        </is>
      </c>
      <c r="G154" t="n">
        <v>2.2</v>
      </c>
      <c r="H154" t="n">
        <v>1</v>
      </c>
      <c r="I154" t="n">
        <v>3</v>
      </c>
      <c r="J154" t="n">
        <v>1</v>
      </c>
      <c r="K154" t="n">
        <v>0</v>
      </c>
      <c r="L154" t="n">
        <v>0</v>
      </c>
      <c r="M154" t="n">
        <v>0</v>
      </c>
      <c r="N154" t="n">
        <v>0</v>
      </c>
      <c r="O154" t="n">
        <v>1</v>
      </c>
      <c r="P154" t="n">
        <v>0</v>
      </c>
      <c r="Q154" t="n">
        <v>4</v>
      </c>
      <c r="R154" s="2" t="inlineStr">
        <is>
          <t>Loppstarr
Murgröna
Nästrot
Sårläka</t>
        </is>
      </c>
      <c r="S154">
        <f>HYPERLINK("https://klasma.github.io/Logging_0885/artfynd/A 55210-2020 artfynd.xlsx", "A 55210-2020")</f>
        <v/>
      </c>
      <c r="T154">
        <f>HYPERLINK("https://klasma.github.io/Logging_0885/kartor/A 55210-2020 karta.png", "A 55210-2020")</f>
        <v/>
      </c>
      <c r="V154">
        <f>HYPERLINK("https://klasma.github.io/Logging_0885/klagomål/A 55210-2020 FSC-klagomål.docx", "A 55210-2020")</f>
        <v/>
      </c>
      <c r="W154">
        <f>HYPERLINK("https://klasma.github.io/Logging_0885/klagomålsmail/A 55210-2020 FSC-klagomål mail.docx", "A 55210-2020")</f>
        <v/>
      </c>
      <c r="X154">
        <f>HYPERLINK("https://klasma.github.io/Logging_0885/tillsyn/A 55210-2020 tillsynsbegäran.docx", "A 55210-2020")</f>
        <v/>
      </c>
      <c r="Y154">
        <f>HYPERLINK("https://klasma.github.io/Logging_0885/tillsynsmail/A 55210-2020 tillsynsbegäran mail.docx", "A 55210-2020")</f>
        <v/>
      </c>
    </row>
    <row r="155" ht="15" customHeight="1">
      <c r="A155" t="inlineStr">
        <is>
          <t>A 3238-2021</t>
        </is>
      </c>
      <c r="B155" s="1" t="n">
        <v>44215</v>
      </c>
      <c r="C155" s="1" t="n">
        <v>45884</v>
      </c>
      <c r="D155" t="inlineStr">
        <is>
          <t>KALMAR LÄN</t>
        </is>
      </c>
      <c r="E155" t="inlineStr">
        <is>
          <t>MÖNSTERÅS</t>
        </is>
      </c>
      <c r="G155" t="n">
        <v>17.1</v>
      </c>
      <c r="H155" t="n">
        <v>3</v>
      </c>
      <c r="I155" t="n">
        <v>1</v>
      </c>
      <c r="J155" t="n">
        <v>0</v>
      </c>
      <c r="K155" t="n">
        <v>0</v>
      </c>
      <c r="L155" t="n">
        <v>0</v>
      </c>
      <c r="M155" t="n">
        <v>0</v>
      </c>
      <c r="N155" t="n">
        <v>0</v>
      </c>
      <c r="O155" t="n">
        <v>0</v>
      </c>
      <c r="P155" t="n">
        <v>0</v>
      </c>
      <c r="Q155" t="n">
        <v>4</v>
      </c>
      <c r="R155" s="2" t="inlineStr">
        <is>
          <t>Granbarkgnagare
Dvärgpipistrell
Större brunfladdermus
Mattlummer</t>
        </is>
      </c>
      <c r="S155">
        <f>HYPERLINK("https://klasma.github.io/Logging_0861/artfynd/A 3238-2021 artfynd.xlsx", "A 3238-2021")</f>
        <v/>
      </c>
      <c r="T155">
        <f>HYPERLINK("https://klasma.github.io/Logging_0861/kartor/A 3238-2021 karta.png", "A 3238-2021")</f>
        <v/>
      </c>
      <c r="V155">
        <f>HYPERLINK("https://klasma.github.io/Logging_0861/klagomål/A 3238-2021 FSC-klagomål.docx", "A 3238-2021")</f>
        <v/>
      </c>
      <c r="W155">
        <f>HYPERLINK("https://klasma.github.io/Logging_0861/klagomålsmail/A 3238-2021 FSC-klagomål mail.docx", "A 3238-2021")</f>
        <v/>
      </c>
      <c r="X155">
        <f>HYPERLINK("https://klasma.github.io/Logging_0861/tillsyn/A 3238-2021 tillsynsbegäran.docx", "A 3238-2021")</f>
        <v/>
      </c>
      <c r="Y155">
        <f>HYPERLINK("https://klasma.github.io/Logging_0861/tillsynsmail/A 3238-2021 tillsynsbegäran mail.docx", "A 3238-2021")</f>
        <v/>
      </c>
    </row>
    <row r="156" ht="15" customHeight="1">
      <c r="A156" t="inlineStr">
        <is>
          <t>A 55135-2021</t>
        </is>
      </c>
      <c r="B156" s="1" t="n">
        <v>44474</v>
      </c>
      <c r="C156" s="1" t="n">
        <v>45884</v>
      </c>
      <c r="D156" t="inlineStr">
        <is>
          <t>KALMAR LÄN</t>
        </is>
      </c>
      <c r="E156" t="inlineStr">
        <is>
          <t>HULTSFRED</t>
        </is>
      </c>
      <c r="G156" t="n">
        <v>2.2</v>
      </c>
      <c r="H156" t="n">
        <v>1</v>
      </c>
      <c r="I156" t="n">
        <v>2</v>
      </c>
      <c r="J156" t="n">
        <v>1</v>
      </c>
      <c r="K156" t="n">
        <v>1</v>
      </c>
      <c r="L156" t="n">
        <v>0</v>
      </c>
      <c r="M156" t="n">
        <v>0</v>
      </c>
      <c r="N156" t="n">
        <v>0</v>
      </c>
      <c r="O156" t="n">
        <v>2</v>
      </c>
      <c r="P156" t="n">
        <v>1</v>
      </c>
      <c r="Q156" t="n">
        <v>4</v>
      </c>
      <c r="R156" s="2" t="inlineStr">
        <is>
          <t>Knärot
Druvfingersvamp
Grovticka
Skarp dropptaggsvamp</t>
        </is>
      </c>
      <c r="S156">
        <f>HYPERLINK("https://klasma.github.io/Logging_0860/artfynd/A 55135-2021 artfynd.xlsx", "A 55135-2021")</f>
        <v/>
      </c>
      <c r="T156">
        <f>HYPERLINK("https://klasma.github.io/Logging_0860/kartor/A 55135-2021 karta.png", "A 55135-2021")</f>
        <v/>
      </c>
      <c r="U156">
        <f>HYPERLINK("https://klasma.github.io/Logging_0860/knärot/A 55135-2021 karta knärot.png", "A 55135-2021")</f>
        <v/>
      </c>
      <c r="V156">
        <f>HYPERLINK("https://klasma.github.io/Logging_0860/klagomål/A 55135-2021 FSC-klagomål.docx", "A 55135-2021")</f>
        <v/>
      </c>
      <c r="W156">
        <f>HYPERLINK("https://klasma.github.io/Logging_0860/klagomålsmail/A 55135-2021 FSC-klagomål mail.docx", "A 55135-2021")</f>
        <v/>
      </c>
      <c r="X156">
        <f>HYPERLINK("https://klasma.github.io/Logging_0860/tillsyn/A 55135-2021 tillsynsbegäran.docx", "A 55135-2021")</f>
        <v/>
      </c>
      <c r="Y156">
        <f>HYPERLINK("https://klasma.github.io/Logging_0860/tillsynsmail/A 55135-2021 tillsynsbegäran mail.docx", "A 55135-2021")</f>
        <v/>
      </c>
    </row>
    <row r="157" ht="15" customHeight="1">
      <c r="A157" t="inlineStr">
        <is>
          <t>A 50720-2021</t>
        </is>
      </c>
      <c r="B157" s="1" t="n">
        <v>44459</v>
      </c>
      <c r="C157" s="1" t="n">
        <v>45884</v>
      </c>
      <c r="D157" t="inlineStr">
        <is>
          <t>KALMAR LÄN</t>
        </is>
      </c>
      <c r="E157" t="inlineStr">
        <is>
          <t>BORGHOLM</t>
        </is>
      </c>
      <c r="G157" t="n">
        <v>1.7</v>
      </c>
      <c r="H157" t="n">
        <v>0</v>
      </c>
      <c r="I157" t="n">
        <v>1</v>
      </c>
      <c r="J157" t="n">
        <v>3</v>
      </c>
      <c r="K157" t="n">
        <v>0</v>
      </c>
      <c r="L157" t="n">
        <v>0</v>
      </c>
      <c r="M157" t="n">
        <v>0</v>
      </c>
      <c r="N157" t="n">
        <v>0</v>
      </c>
      <c r="O157" t="n">
        <v>3</v>
      </c>
      <c r="P157" t="n">
        <v>0</v>
      </c>
      <c r="Q157" t="n">
        <v>4</v>
      </c>
      <c r="R157" s="2" t="inlineStr">
        <is>
          <t>Flentimotej
Grådådra
Sminkrot
Geastrum</t>
        </is>
      </c>
      <c r="S157">
        <f>HYPERLINK("https://klasma.github.io/Logging_0885/artfynd/A 50720-2021 artfynd.xlsx", "A 50720-2021")</f>
        <v/>
      </c>
      <c r="T157">
        <f>HYPERLINK("https://klasma.github.io/Logging_0885/kartor/A 50720-2021 karta.png", "A 50720-2021")</f>
        <v/>
      </c>
      <c r="V157">
        <f>HYPERLINK("https://klasma.github.io/Logging_0885/klagomål/A 50720-2021 FSC-klagomål.docx", "A 50720-2021")</f>
        <v/>
      </c>
      <c r="W157">
        <f>HYPERLINK("https://klasma.github.io/Logging_0885/klagomålsmail/A 50720-2021 FSC-klagomål mail.docx", "A 50720-2021")</f>
        <v/>
      </c>
      <c r="X157">
        <f>HYPERLINK("https://klasma.github.io/Logging_0885/tillsyn/A 50720-2021 tillsynsbegäran.docx", "A 50720-2021")</f>
        <v/>
      </c>
      <c r="Y157">
        <f>HYPERLINK("https://klasma.github.io/Logging_0885/tillsynsmail/A 50720-2021 tillsynsbegäran mail.docx", "A 50720-2021")</f>
        <v/>
      </c>
    </row>
    <row r="158" ht="15" customHeight="1">
      <c r="A158" t="inlineStr">
        <is>
          <t>A 61854-2020</t>
        </is>
      </c>
      <c r="B158" s="1" t="n">
        <v>44155</v>
      </c>
      <c r="C158" s="1" t="n">
        <v>45884</v>
      </c>
      <c r="D158" t="inlineStr">
        <is>
          <t>KALMAR LÄN</t>
        </is>
      </c>
      <c r="E158" t="inlineStr">
        <is>
          <t>MÖRBYLÅNGA</t>
        </is>
      </c>
      <c r="G158" t="n">
        <v>1.3</v>
      </c>
      <c r="H158" t="n">
        <v>1</v>
      </c>
      <c r="I158" t="n">
        <v>3</v>
      </c>
      <c r="J158" t="n">
        <v>0</v>
      </c>
      <c r="K158" t="n">
        <v>0</v>
      </c>
      <c r="L158" t="n">
        <v>0</v>
      </c>
      <c r="M158" t="n">
        <v>0</v>
      </c>
      <c r="N158" t="n">
        <v>0</v>
      </c>
      <c r="O158" t="n">
        <v>0</v>
      </c>
      <c r="P158" t="n">
        <v>0</v>
      </c>
      <c r="Q158" t="n">
        <v>4</v>
      </c>
      <c r="R158" s="2" t="inlineStr">
        <is>
          <t>Kalktallört
Murgröna
Scharlakansvårskål agg.
Blåsippa</t>
        </is>
      </c>
      <c r="S158">
        <f>HYPERLINK("https://klasma.github.io/Logging_0840/artfynd/A 61854-2020 artfynd.xlsx", "A 61854-2020")</f>
        <v/>
      </c>
      <c r="T158">
        <f>HYPERLINK("https://klasma.github.io/Logging_0840/kartor/A 61854-2020 karta.png", "A 61854-2020")</f>
        <v/>
      </c>
      <c r="V158">
        <f>HYPERLINK("https://klasma.github.io/Logging_0840/klagomål/A 61854-2020 FSC-klagomål.docx", "A 61854-2020")</f>
        <v/>
      </c>
      <c r="W158">
        <f>HYPERLINK("https://klasma.github.io/Logging_0840/klagomålsmail/A 61854-2020 FSC-klagomål mail.docx", "A 61854-2020")</f>
        <v/>
      </c>
      <c r="X158">
        <f>HYPERLINK("https://klasma.github.io/Logging_0840/tillsyn/A 61854-2020 tillsynsbegäran.docx", "A 61854-2020")</f>
        <v/>
      </c>
      <c r="Y158">
        <f>HYPERLINK("https://klasma.github.io/Logging_0840/tillsynsmail/A 61854-2020 tillsynsbegäran mail.docx", "A 61854-2020")</f>
        <v/>
      </c>
    </row>
    <row r="159" ht="15" customHeight="1">
      <c r="A159" t="inlineStr">
        <is>
          <t>A 25280-2021</t>
        </is>
      </c>
      <c r="B159" s="1" t="n">
        <v>44342</v>
      </c>
      <c r="C159" s="1" t="n">
        <v>45884</v>
      </c>
      <c r="D159" t="inlineStr">
        <is>
          <t>KALMAR LÄN</t>
        </is>
      </c>
      <c r="E159" t="inlineStr">
        <is>
          <t>VÄSTERVIK</t>
        </is>
      </c>
      <c r="G159" t="n">
        <v>6.5</v>
      </c>
      <c r="H159" t="n">
        <v>3</v>
      </c>
      <c r="I159" t="n">
        <v>0</v>
      </c>
      <c r="J159" t="n">
        <v>3</v>
      </c>
      <c r="K159" t="n">
        <v>1</v>
      </c>
      <c r="L159" t="n">
        <v>0</v>
      </c>
      <c r="M159" t="n">
        <v>0</v>
      </c>
      <c r="N159" t="n">
        <v>0</v>
      </c>
      <c r="O159" t="n">
        <v>4</v>
      </c>
      <c r="P159" t="n">
        <v>1</v>
      </c>
      <c r="Q159" t="n">
        <v>4</v>
      </c>
      <c r="R159" s="2" t="inlineStr">
        <is>
          <t>Knärot
Smalsprötad bastardsvärmare
Spillkråka
Talltita</t>
        </is>
      </c>
      <c r="S159">
        <f>HYPERLINK("https://klasma.github.io/Logging_0883/artfynd/A 25280-2021 artfynd.xlsx", "A 25280-2021")</f>
        <v/>
      </c>
      <c r="T159">
        <f>HYPERLINK("https://klasma.github.io/Logging_0883/kartor/A 25280-2021 karta.png", "A 25280-2021")</f>
        <v/>
      </c>
      <c r="U159">
        <f>HYPERLINK("https://klasma.github.io/Logging_0883/knärot/A 25280-2021 karta knärot.png", "A 25280-2021")</f>
        <v/>
      </c>
      <c r="V159">
        <f>HYPERLINK("https://klasma.github.io/Logging_0883/klagomål/A 25280-2021 FSC-klagomål.docx", "A 25280-2021")</f>
        <v/>
      </c>
      <c r="W159">
        <f>HYPERLINK("https://klasma.github.io/Logging_0883/klagomålsmail/A 25280-2021 FSC-klagomål mail.docx", "A 25280-2021")</f>
        <v/>
      </c>
      <c r="X159">
        <f>HYPERLINK("https://klasma.github.io/Logging_0883/tillsyn/A 25280-2021 tillsynsbegäran.docx", "A 25280-2021")</f>
        <v/>
      </c>
      <c r="Y159">
        <f>HYPERLINK("https://klasma.github.io/Logging_0883/tillsynsmail/A 25280-2021 tillsynsbegäran mail.docx", "A 25280-2021")</f>
        <v/>
      </c>
      <c r="Z159">
        <f>HYPERLINK("https://klasma.github.io/Logging_0883/fåglar/A 25280-2021 prioriterade fågelarter.docx", "A 25280-2021")</f>
        <v/>
      </c>
    </row>
    <row r="160" ht="15" customHeight="1">
      <c r="A160" t="inlineStr">
        <is>
          <t>A 54062-2024</t>
        </is>
      </c>
      <c r="B160" s="1" t="n">
        <v>45616</v>
      </c>
      <c r="C160" s="1" t="n">
        <v>45884</v>
      </c>
      <c r="D160" t="inlineStr">
        <is>
          <t>KALMAR LÄN</t>
        </is>
      </c>
      <c r="E160" t="inlineStr">
        <is>
          <t>NYBRO</t>
        </is>
      </c>
      <c r="G160" t="n">
        <v>2.9</v>
      </c>
      <c r="H160" t="n">
        <v>1</v>
      </c>
      <c r="I160" t="n">
        <v>3</v>
      </c>
      <c r="J160" t="n">
        <v>0</v>
      </c>
      <c r="K160" t="n">
        <v>0</v>
      </c>
      <c r="L160" t="n">
        <v>0</v>
      </c>
      <c r="M160" t="n">
        <v>0</v>
      </c>
      <c r="N160" t="n">
        <v>0</v>
      </c>
      <c r="O160" t="n">
        <v>0</v>
      </c>
      <c r="P160" t="n">
        <v>0</v>
      </c>
      <c r="Q160" t="n">
        <v>4</v>
      </c>
      <c r="R160" s="2" t="inlineStr">
        <is>
          <t>Fjällig taggsvamp s.str.
Skarp dropptaggsvamp
Zontaggsvamp
Blåsippa</t>
        </is>
      </c>
      <c r="S160">
        <f>HYPERLINK("https://klasma.github.io/Logging_0881/artfynd/A 54062-2024 artfynd.xlsx", "A 54062-2024")</f>
        <v/>
      </c>
      <c r="T160">
        <f>HYPERLINK("https://klasma.github.io/Logging_0881/kartor/A 54062-2024 karta.png", "A 54062-2024")</f>
        <v/>
      </c>
      <c r="V160">
        <f>HYPERLINK("https://klasma.github.io/Logging_0881/klagomål/A 54062-2024 FSC-klagomål.docx", "A 54062-2024")</f>
        <v/>
      </c>
      <c r="W160">
        <f>HYPERLINK("https://klasma.github.io/Logging_0881/klagomålsmail/A 54062-2024 FSC-klagomål mail.docx", "A 54062-2024")</f>
        <v/>
      </c>
      <c r="X160">
        <f>HYPERLINK("https://klasma.github.io/Logging_0881/tillsyn/A 54062-2024 tillsynsbegäran.docx", "A 54062-2024")</f>
        <v/>
      </c>
      <c r="Y160">
        <f>HYPERLINK("https://klasma.github.io/Logging_0881/tillsynsmail/A 54062-2024 tillsynsbegäran mail.docx", "A 54062-2024")</f>
        <v/>
      </c>
    </row>
    <row r="161" ht="15" customHeight="1">
      <c r="A161" t="inlineStr">
        <is>
          <t>A 51578-2020</t>
        </is>
      </c>
      <c r="B161" s="1" t="n">
        <v>44109</v>
      </c>
      <c r="C161" s="1" t="n">
        <v>45884</v>
      </c>
      <c r="D161" t="inlineStr">
        <is>
          <t>KALMAR LÄN</t>
        </is>
      </c>
      <c r="E161" t="inlineStr">
        <is>
          <t>HÖGSBY</t>
        </is>
      </c>
      <c r="G161" t="n">
        <v>12.3</v>
      </c>
      <c r="H161" t="n">
        <v>1</v>
      </c>
      <c r="I161" t="n">
        <v>2</v>
      </c>
      <c r="J161" t="n">
        <v>1</v>
      </c>
      <c r="K161" t="n">
        <v>1</v>
      </c>
      <c r="L161" t="n">
        <v>0</v>
      </c>
      <c r="M161" t="n">
        <v>0</v>
      </c>
      <c r="N161" t="n">
        <v>0</v>
      </c>
      <c r="O161" t="n">
        <v>2</v>
      </c>
      <c r="P161" t="n">
        <v>1</v>
      </c>
      <c r="Q161" t="n">
        <v>4</v>
      </c>
      <c r="R161" s="2" t="inlineStr">
        <is>
          <t>Rynkskinn
Spillkråka
Bronshjon
Vågbandad barkbock</t>
        </is>
      </c>
      <c r="S161">
        <f>HYPERLINK("https://klasma.github.io/Logging_0821/artfynd/A 51578-2020 artfynd.xlsx", "A 51578-2020")</f>
        <v/>
      </c>
      <c r="T161">
        <f>HYPERLINK("https://klasma.github.io/Logging_0821/kartor/A 51578-2020 karta.png", "A 51578-2020")</f>
        <v/>
      </c>
      <c r="V161">
        <f>HYPERLINK("https://klasma.github.io/Logging_0821/klagomål/A 51578-2020 FSC-klagomål.docx", "A 51578-2020")</f>
        <v/>
      </c>
      <c r="W161">
        <f>HYPERLINK("https://klasma.github.io/Logging_0821/klagomålsmail/A 51578-2020 FSC-klagomål mail.docx", "A 51578-2020")</f>
        <v/>
      </c>
      <c r="X161">
        <f>HYPERLINK("https://klasma.github.io/Logging_0821/tillsyn/A 51578-2020 tillsynsbegäran.docx", "A 51578-2020")</f>
        <v/>
      </c>
      <c r="Y161">
        <f>HYPERLINK("https://klasma.github.io/Logging_0821/tillsynsmail/A 51578-2020 tillsynsbegäran mail.docx", "A 51578-2020")</f>
        <v/>
      </c>
      <c r="Z161">
        <f>HYPERLINK("https://klasma.github.io/Logging_0821/fåglar/A 51578-2020 prioriterade fågelarter.docx", "A 51578-2020")</f>
        <v/>
      </c>
    </row>
    <row r="162" ht="15" customHeight="1">
      <c r="A162" t="inlineStr">
        <is>
          <t>A 18397-2024</t>
        </is>
      </c>
      <c r="B162" s="1" t="n">
        <v>45425</v>
      </c>
      <c r="C162" s="1" t="n">
        <v>45884</v>
      </c>
      <c r="D162" t="inlineStr">
        <is>
          <t>KALMAR LÄN</t>
        </is>
      </c>
      <c r="E162" t="inlineStr">
        <is>
          <t>VÄSTERVIK</t>
        </is>
      </c>
      <c r="F162" t="inlineStr">
        <is>
          <t>Holmen skog AB</t>
        </is>
      </c>
      <c r="G162" t="n">
        <v>3.5</v>
      </c>
      <c r="H162" t="n">
        <v>3</v>
      </c>
      <c r="I162" t="n">
        <v>1</v>
      </c>
      <c r="J162" t="n">
        <v>2</v>
      </c>
      <c r="K162" t="n">
        <v>1</v>
      </c>
      <c r="L162" t="n">
        <v>0</v>
      </c>
      <c r="M162" t="n">
        <v>0</v>
      </c>
      <c r="N162" t="n">
        <v>0</v>
      </c>
      <c r="O162" t="n">
        <v>3</v>
      </c>
      <c r="P162" t="n">
        <v>1</v>
      </c>
      <c r="Q162" t="n">
        <v>4</v>
      </c>
      <c r="R162" s="2" t="inlineStr">
        <is>
          <t>Knärot
Spillkråka
Talltita
Grönpyrola</t>
        </is>
      </c>
      <c r="S162">
        <f>HYPERLINK("https://klasma.github.io/Logging_0883/artfynd/A 18397-2024 artfynd.xlsx", "A 18397-2024")</f>
        <v/>
      </c>
      <c r="T162">
        <f>HYPERLINK("https://klasma.github.io/Logging_0883/kartor/A 18397-2024 karta.png", "A 18397-2024")</f>
        <v/>
      </c>
      <c r="U162">
        <f>HYPERLINK("https://klasma.github.io/Logging_0883/knärot/A 18397-2024 karta knärot.png", "A 18397-2024")</f>
        <v/>
      </c>
      <c r="V162">
        <f>HYPERLINK("https://klasma.github.io/Logging_0883/klagomål/A 18397-2024 FSC-klagomål.docx", "A 18397-2024")</f>
        <v/>
      </c>
      <c r="W162">
        <f>HYPERLINK("https://klasma.github.io/Logging_0883/klagomålsmail/A 18397-2024 FSC-klagomål mail.docx", "A 18397-2024")</f>
        <v/>
      </c>
      <c r="X162">
        <f>HYPERLINK("https://klasma.github.io/Logging_0883/tillsyn/A 18397-2024 tillsynsbegäran.docx", "A 18397-2024")</f>
        <v/>
      </c>
      <c r="Y162">
        <f>HYPERLINK("https://klasma.github.io/Logging_0883/tillsynsmail/A 18397-2024 tillsynsbegäran mail.docx", "A 18397-2024")</f>
        <v/>
      </c>
      <c r="Z162">
        <f>HYPERLINK("https://klasma.github.io/Logging_0883/fåglar/A 18397-2024 prioriterade fågelarter.docx", "A 18397-2024")</f>
        <v/>
      </c>
    </row>
    <row r="163" ht="15" customHeight="1">
      <c r="A163" t="inlineStr">
        <is>
          <t>A 15808-2025</t>
        </is>
      </c>
      <c r="B163" s="1" t="n">
        <v>45748</v>
      </c>
      <c r="C163" s="1" t="n">
        <v>45884</v>
      </c>
      <c r="D163" t="inlineStr">
        <is>
          <t>KALMAR LÄN</t>
        </is>
      </c>
      <c r="E163" t="inlineStr">
        <is>
          <t>VIMMERBY</t>
        </is>
      </c>
      <c r="G163" t="n">
        <v>6.1</v>
      </c>
      <c r="H163" t="n">
        <v>4</v>
      </c>
      <c r="I163" t="n">
        <v>0</v>
      </c>
      <c r="J163" t="n">
        <v>1</v>
      </c>
      <c r="K163" t="n">
        <v>0</v>
      </c>
      <c r="L163" t="n">
        <v>0</v>
      </c>
      <c r="M163" t="n">
        <v>0</v>
      </c>
      <c r="N163" t="n">
        <v>0</v>
      </c>
      <c r="O163" t="n">
        <v>1</v>
      </c>
      <c r="P163" t="n">
        <v>0</v>
      </c>
      <c r="Q163" t="n">
        <v>4</v>
      </c>
      <c r="R163" s="2" t="inlineStr">
        <is>
          <t>Talltita
Kungsfågel
Åkergroda
Mattlummer</t>
        </is>
      </c>
      <c r="S163">
        <f>HYPERLINK("https://klasma.github.io/Logging_0884/artfynd/A 15808-2025 artfynd.xlsx", "A 15808-2025")</f>
        <v/>
      </c>
      <c r="T163">
        <f>HYPERLINK("https://klasma.github.io/Logging_0884/kartor/A 15808-2025 karta.png", "A 15808-2025")</f>
        <v/>
      </c>
      <c r="V163">
        <f>HYPERLINK("https://klasma.github.io/Logging_0884/klagomål/A 15808-2025 FSC-klagomål.docx", "A 15808-2025")</f>
        <v/>
      </c>
      <c r="W163">
        <f>HYPERLINK("https://klasma.github.io/Logging_0884/klagomålsmail/A 15808-2025 FSC-klagomål mail.docx", "A 15808-2025")</f>
        <v/>
      </c>
      <c r="X163">
        <f>HYPERLINK("https://klasma.github.io/Logging_0884/tillsyn/A 15808-2025 tillsynsbegäran.docx", "A 15808-2025")</f>
        <v/>
      </c>
      <c r="Y163">
        <f>HYPERLINK("https://klasma.github.io/Logging_0884/tillsynsmail/A 15808-2025 tillsynsbegäran mail.docx", "A 15808-2025")</f>
        <v/>
      </c>
      <c r="Z163">
        <f>HYPERLINK("https://klasma.github.io/Logging_0884/fåglar/A 15808-2025 prioriterade fågelarter.docx", "A 15808-2025")</f>
        <v/>
      </c>
    </row>
    <row r="164" ht="15" customHeight="1">
      <c r="A164" t="inlineStr">
        <is>
          <t>A 56995-2024</t>
        </is>
      </c>
      <c r="B164" s="1" t="n">
        <v>45626</v>
      </c>
      <c r="C164" s="1" t="n">
        <v>45884</v>
      </c>
      <c r="D164" t="inlineStr">
        <is>
          <t>KALMAR LÄN</t>
        </is>
      </c>
      <c r="E164" t="inlineStr">
        <is>
          <t>HÖGSBY</t>
        </is>
      </c>
      <c r="G164" t="n">
        <v>2</v>
      </c>
      <c r="H164" t="n">
        <v>3</v>
      </c>
      <c r="I164" t="n">
        <v>1</v>
      </c>
      <c r="J164" t="n">
        <v>1</v>
      </c>
      <c r="K164" t="n">
        <v>0</v>
      </c>
      <c r="L164" t="n">
        <v>0</v>
      </c>
      <c r="M164" t="n">
        <v>0</v>
      </c>
      <c r="N164" t="n">
        <v>0</v>
      </c>
      <c r="O164" t="n">
        <v>1</v>
      </c>
      <c r="P164" t="n">
        <v>0</v>
      </c>
      <c r="Q164" t="n">
        <v>4</v>
      </c>
      <c r="R164" s="2" t="inlineStr">
        <is>
          <t>Spillkråka
Underviol
Blåsippa
Gullviva</t>
        </is>
      </c>
      <c r="S164">
        <f>HYPERLINK("https://klasma.github.io/Logging_0821/artfynd/A 56995-2024 artfynd.xlsx", "A 56995-2024")</f>
        <v/>
      </c>
      <c r="T164">
        <f>HYPERLINK("https://klasma.github.io/Logging_0821/kartor/A 56995-2024 karta.png", "A 56995-2024")</f>
        <v/>
      </c>
      <c r="V164">
        <f>HYPERLINK("https://klasma.github.io/Logging_0821/klagomål/A 56995-2024 FSC-klagomål.docx", "A 56995-2024")</f>
        <v/>
      </c>
      <c r="W164">
        <f>HYPERLINK("https://klasma.github.io/Logging_0821/klagomålsmail/A 56995-2024 FSC-klagomål mail.docx", "A 56995-2024")</f>
        <v/>
      </c>
      <c r="X164">
        <f>HYPERLINK("https://klasma.github.io/Logging_0821/tillsyn/A 56995-2024 tillsynsbegäran.docx", "A 56995-2024")</f>
        <v/>
      </c>
      <c r="Y164">
        <f>HYPERLINK("https://klasma.github.io/Logging_0821/tillsynsmail/A 56995-2024 tillsynsbegäran mail.docx", "A 56995-2024")</f>
        <v/>
      </c>
      <c r="Z164">
        <f>HYPERLINK("https://klasma.github.io/Logging_0821/fåglar/A 56995-2024 prioriterade fågelarter.docx", "A 56995-2024")</f>
        <v/>
      </c>
    </row>
    <row r="165" ht="15" customHeight="1">
      <c r="A165" t="inlineStr">
        <is>
          <t>A 37438-2021</t>
        </is>
      </c>
      <c r="B165" s="1" t="n">
        <v>44398</v>
      </c>
      <c r="C165" s="1" t="n">
        <v>45884</v>
      </c>
      <c r="D165" t="inlineStr">
        <is>
          <t>KALMAR LÄN</t>
        </is>
      </c>
      <c r="E165" t="inlineStr">
        <is>
          <t>VÄSTERVIK</t>
        </is>
      </c>
      <c r="G165" t="n">
        <v>14.3</v>
      </c>
      <c r="H165" t="n">
        <v>2</v>
      </c>
      <c r="I165" t="n">
        <v>2</v>
      </c>
      <c r="J165" t="n">
        <v>0</v>
      </c>
      <c r="K165" t="n">
        <v>1</v>
      </c>
      <c r="L165" t="n">
        <v>0</v>
      </c>
      <c r="M165" t="n">
        <v>0</v>
      </c>
      <c r="N165" t="n">
        <v>0</v>
      </c>
      <c r="O165" t="n">
        <v>1</v>
      </c>
      <c r="P165" t="n">
        <v>1</v>
      </c>
      <c r="Q165" t="n">
        <v>4</v>
      </c>
      <c r="R165" s="2" t="inlineStr">
        <is>
          <t>Knärot
Grönpyrola
Kambräken
Tjäder</t>
        </is>
      </c>
      <c r="S165">
        <f>HYPERLINK("https://klasma.github.io/Logging_0883/artfynd/A 37438-2021 artfynd.xlsx", "A 37438-2021")</f>
        <v/>
      </c>
      <c r="T165">
        <f>HYPERLINK("https://klasma.github.io/Logging_0883/kartor/A 37438-2021 karta.png", "A 37438-2021")</f>
        <v/>
      </c>
      <c r="U165">
        <f>HYPERLINK("https://klasma.github.io/Logging_0883/knärot/A 37438-2021 karta knärot.png", "A 37438-2021")</f>
        <v/>
      </c>
      <c r="V165">
        <f>HYPERLINK("https://klasma.github.io/Logging_0883/klagomål/A 37438-2021 FSC-klagomål.docx", "A 37438-2021")</f>
        <v/>
      </c>
      <c r="W165">
        <f>HYPERLINK("https://klasma.github.io/Logging_0883/klagomålsmail/A 37438-2021 FSC-klagomål mail.docx", "A 37438-2021")</f>
        <v/>
      </c>
      <c r="X165">
        <f>HYPERLINK("https://klasma.github.io/Logging_0883/tillsyn/A 37438-2021 tillsynsbegäran.docx", "A 37438-2021")</f>
        <v/>
      </c>
      <c r="Y165">
        <f>HYPERLINK("https://klasma.github.io/Logging_0883/tillsynsmail/A 37438-2021 tillsynsbegäran mail.docx", "A 37438-2021")</f>
        <v/>
      </c>
      <c r="Z165">
        <f>HYPERLINK("https://klasma.github.io/Logging_0883/fåglar/A 37438-2021 prioriterade fågelarter.docx", "A 37438-2021")</f>
        <v/>
      </c>
    </row>
    <row r="166" ht="15" customHeight="1">
      <c r="A166" t="inlineStr">
        <is>
          <t>A 7029-2025</t>
        </is>
      </c>
      <c r="B166" s="1" t="n">
        <v>45701.63065972222</v>
      </c>
      <c r="C166" s="1" t="n">
        <v>45884</v>
      </c>
      <c r="D166" t="inlineStr">
        <is>
          <t>KALMAR LÄN</t>
        </is>
      </c>
      <c r="E166" t="inlineStr">
        <is>
          <t>OSKARSHAMN</t>
        </is>
      </c>
      <c r="G166" t="n">
        <v>4.8</v>
      </c>
      <c r="H166" t="n">
        <v>2</v>
      </c>
      <c r="I166" t="n">
        <v>2</v>
      </c>
      <c r="J166" t="n">
        <v>1</v>
      </c>
      <c r="K166" t="n">
        <v>0</v>
      </c>
      <c r="L166" t="n">
        <v>0</v>
      </c>
      <c r="M166" t="n">
        <v>0</v>
      </c>
      <c r="N166" t="n">
        <v>0</v>
      </c>
      <c r="O166" t="n">
        <v>1</v>
      </c>
      <c r="P166" t="n">
        <v>0</v>
      </c>
      <c r="Q166" t="n">
        <v>4</v>
      </c>
      <c r="R166" s="2" t="inlineStr">
        <is>
          <t>Spillkråka
Blåmossa
Jättesvampmal
Blåsippa</t>
        </is>
      </c>
      <c r="S166">
        <f>HYPERLINK("https://klasma.github.io/Logging_0882/artfynd/A 7029-2025 artfynd.xlsx", "A 7029-2025")</f>
        <v/>
      </c>
      <c r="T166">
        <f>HYPERLINK("https://klasma.github.io/Logging_0882/kartor/A 7029-2025 karta.png", "A 7029-2025")</f>
        <v/>
      </c>
      <c r="V166">
        <f>HYPERLINK("https://klasma.github.io/Logging_0882/klagomål/A 7029-2025 FSC-klagomål.docx", "A 7029-2025")</f>
        <v/>
      </c>
      <c r="W166">
        <f>HYPERLINK("https://klasma.github.io/Logging_0882/klagomålsmail/A 7029-2025 FSC-klagomål mail.docx", "A 7029-2025")</f>
        <v/>
      </c>
      <c r="X166">
        <f>HYPERLINK("https://klasma.github.io/Logging_0882/tillsyn/A 7029-2025 tillsynsbegäran.docx", "A 7029-2025")</f>
        <v/>
      </c>
      <c r="Y166">
        <f>HYPERLINK("https://klasma.github.io/Logging_0882/tillsynsmail/A 7029-2025 tillsynsbegäran mail.docx", "A 7029-2025")</f>
        <v/>
      </c>
      <c r="Z166">
        <f>HYPERLINK("https://klasma.github.io/Logging_0882/fåglar/A 7029-2025 prioriterade fågelarter.docx", "A 7029-2025")</f>
        <v/>
      </c>
    </row>
    <row r="167" ht="15" customHeight="1">
      <c r="A167" t="inlineStr">
        <is>
          <t>A 63366-2023</t>
        </is>
      </c>
      <c r="B167" s="1" t="n">
        <v>45274</v>
      </c>
      <c r="C167" s="1" t="n">
        <v>45884</v>
      </c>
      <c r="D167" t="inlineStr">
        <is>
          <t>KALMAR LÄN</t>
        </is>
      </c>
      <c r="E167" t="inlineStr">
        <is>
          <t>VÄSTERVIK</t>
        </is>
      </c>
      <c r="G167" t="n">
        <v>4.1</v>
      </c>
      <c r="H167" t="n">
        <v>3</v>
      </c>
      <c r="I167" t="n">
        <v>0</v>
      </c>
      <c r="J167" t="n">
        <v>3</v>
      </c>
      <c r="K167" t="n">
        <v>1</v>
      </c>
      <c r="L167" t="n">
        <v>0</v>
      </c>
      <c r="M167" t="n">
        <v>0</v>
      </c>
      <c r="N167" t="n">
        <v>0</v>
      </c>
      <c r="O167" t="n">
        <v>4</v>
      </c>
      <c r="P167" t="n">
        <v>1</v>
      </c>
      <c r="Q167" t="n">
        <v>4</v>
      </c>
      <c r="R167" s="2" t="inlineStr">
        <is>
          <t>Knärot
Spillkråka
Tallticka
Talltita</t>
        </is>
      </c>
      <c r="S167">
        <f>HYPERLINK("https://klasma.github.io/Logging_0883/artfynd/A 63366-2023 artfynd.xlsx", "A 63366-2023")</f>
        <v/>
      </c>
      <c r="T167">
        <f>HYPERLINK("https://klasma.github.io/Logging_0883/kartor/A 63366-2023 karta.png", "A 63366-2023")</f>
        <v/>
      </c>
      <c r="U167">
        <f>HYPERLINK("https://klasma.github.io/Logging_0883/knärot/A 63366-2023 karta knärot.png", "A 63366-2023")</f>
        <v/>
      </c>
      <c r="V167">
        <f>HYPERLINK("https://klasma.github.io/Logging_0883/klagomål/A 63366-2023 FSC-klagomål.docx", "A 63366-2023")</f>
        <v/>
      </c>
      <c r="W167">
        <f>HYPERLINK("https://klasma.github.io/Logging_0883/klagomålsmail/A 63366-2023 FSC-klagomål mail.docx", "A 63366-2023")</f>
        <v/>
      </c>
      <c r="X167">
        <f>HYPERLINK("https://klasma.github.io/Logging_0883/tillsyn/A 63366-2023 tillsynsbegäran.docx", "A 63366-2023")</f>
        <v/>
      </c>
      <c r="Y167">
        <f>HYPERLINK("https://klasma.github.io/Logging_0883/tillsynsmail/A 63366-2023 tillsynsbegäran mail.docx", "A 63366-2023")</f>
        <v/>
      </c>
      <c r="Z167">
        <f>HYPERLINK("https://klasma.github.io/Logging_0883/fåglar/A 63366-2023 prioriterade fågelarter.docx", "A 63366-2023")</f>
        <v/>
      </c>
    </row>
    <row r="168" ht="15" customHeight="1">
      <c r="A168" t="inlineStr">
        <is>
          <t>A 6993-2025</t>
        </is>
      </c>
      <c r="B168" s="1" t="n">
        <v>45701.583125</v>
      </c>
      <c r="C168" s="1" t="n">
        <v>45884</v>
      </c>
      <c r="D168" t="inlineStr">
        <is>
          <t>KALMAR LÄN</t>
        </is>
      </c>
      <c r="E168" t="inlineStr">
        <is>
          <t>OSKARSHAMN</t>
        </is>
      </c>
      <c r="G168" t="n">
        <v>5.8</v>
      </c>
      <c r="H168" t="n">
        <v>2</v>
      </c>
      <c r="I168" t="n">
        <v>1</v>
      </c>
      <c r="J168" t="n">
        <v>2</v>
      </c>
      <c r="K168" t="n">
        <v>0</v>
      </c>
      <c r="L168" t="n">
        <v>0</v>
      </c>
      <c r="M168" t="n">
        <v>0</v>
      </c>
      <c r="N168" t="n">
        <v>0</v>
      </c>
      <c r="O168" t="n">
        <v>2</v>
      </c>
      <c r="P168" t="n">
        <v>0</v>
      </c>
      <c r="Q168" t="n">
        <v>4</v>
      </c>
      <c r="R168" s="2" t="inlineStr">
        <is>
          <t>Spillkråka
Tallticka
Blåmossa
Trädlärka</t>
        </is>
      </c>
      <c r="S168">
        <f>HYPERLINK("https://klasma.github.io/Logging_0882/artfynd/A 6993-2025 artfynd.xlsx", "A 6993-2025")</f>
        <v/>
      </c>
      <c r="T168">
        <f>HYPERLINK("https://klasma.github.io/Logging_0882/kartor/A 6993-2025 karta.png", "A 6993-2025")</f>
        <v/>
      </c>
      <c r="V168">
        <f>HYPERLINK("https://klasma.github.io/Logging_0882/klagomål/A 6993-2025 FSC-klagomål.docx", "A 6993-2025")</f>
        <v/>
      </c>
      <c r="W168">
        <f>HYPERLINK("https://klasma.github.io/Logging_0882/klagomålsmail/A 6993-2025 FSC-klagomål mail.docx", "A 6993-2025")</f>
        <v/>
      </c>
      <c r="X168">
        <f>HYPERLINK("https://klasma.github.io/Logging_0882/tillsyn/A 6993-2025 tillsynsbegäran.docx", "A 6993-2025")</f>
        <v/>
      </c>
      <c r="Y168">
        <f>HYPERLINK("https://klasma.github.io/Logging_0882/tillsynsmail/A 6993-2025 tillsynsbegäran mail.docx", "A 6993-2025")</f>
        <v/>
      </c>
      <c r="Z168">
        <f>HYPERLINK("https://klasma.github.io/Logging_0882/fåglar/A 6993-2025 prioriterade fågelarter.docx", "A 6993-2025")</f>
        <v/>
      </c>
    </row>
    <row r="169" ht="15" customHeight="1">
      <c r="A169" t="inlineStr">
        <is>
          <t>A 9975-2024</t>
        </is>
      </c>
      <c r="B169" s="1" t="n">
        <v>45363</v>
      </c>
      <c r="C169" s="1" t="n">
        <v>45884</v>
      </c>
      <c r="D169" t="inlineStr">
        <is>
          <t>KALMAR LÄN</t>
        </is>
      </c>
      <c r="E169" t="inlineStr">
        <is>
          <t>VÄSTERVIK</t>
        </is>
      </c>
      <c r="G169" t="n">
        <v>2.2</v>
      </c>
      <c r="H169" t="n">
        <v>3</v>
      </c>
      <c r="I169" t="n">
        <v>0</v>
      </c>
      <c r="J169" t="n">
        <v>3</v>
      </c>
      <c r="K169" t="n">
        <v>1</v>
      </c>
      <c r="L169" t="n">
        <v>0</v>
      </c>
      <c r="M169" t="n">
        <v>0</v>
      </c>
      <c r="N169" t="n">
        <v>0</v>
      </c>
      <c r="O169" t="n">
        <v>4</v>
      </c>
      <c r="P169" t="n">
        <v>1</v>
      </c>
      <c r="Q169" t="n">
        <v>4</v>
      </c>
      <c r="R169" s="2" t="inlineStr">
        <is>
          <t>Knärot
Spillkråka
Tallticka
Talltita</t>
        </is>
      </c>
      <c r="S169">
        <f>HYPERLINK("https://klasma.github.io/Logging_0883/artfynd/A 9975-2024 artfynd.xlsx", "A 9975-2024")</f>
        <v/>
      </c>
      <c r="T169">
        <f>HYPERLINK("https://klasma.github.io/Logging_0883/kartor/A 9975-2024 karta.png", "A 9975-2024")</f>
        <v/>
      </c>
      <c r="U169">
        <f>HYPERLINK("https://klasma.github.io/Logging_0883/knärot/A 9975-2024 karta knärot.png", "A 9975-2024")</f>
        <v/>
      </c>
      <c r="V169">
        <f>HYPERLINK("https://klasma.github.io/Logging_0883/klagomål/A 9975-2024 FSC-klagomål.docx", "A 9975-2024")</f>
        <v/>
      </c>
      <c r="W169">
        <f>HYPERLINK("https://klasma.github.io/Logging_0883/klagomålsmail/A 9975-2024 FSC-klagomål mail.docx", "A 9975-2024")</f>
        <v/>
      </c>
      <c r="X169">
        <f>HYPERLINK("https://klasma.github.io/Logging_0883/tillsyn/A 9975-2024 tillsynsbegäran.docx", "A 9975-2024")</f>
        <v/>
      </c>
      <c r="Y169">
        <f>HYPERLINK("https://klasma.github.io/Logging_0883/tillsynsmail/A 9975-2024 tillsynsbegäran mail.docx", "A 9975-2024")</f>
        <v/>
      </c>
      <c r="Z169">
        <f>HYPERLINK("https://klasma.github.io/Logging_0883/fåglar/A 9975-2024 prioriterade fågelarter.docx", "A 9975-2024")</f>
        <v/>
      </c>
    </row>
    <row r="170" ht="15" customHeight="1">
      <c r="A170" t="inlineStr">
        <is>
          <t>A 20714-2024</t>
        </is>
      </c>
      <c r="B170" s="1" t="n">
        <v>45436</v>
      </c>
      <c r="C170" s="1" t="n">
        <v>45884</v>
      </c>
      <c r="D170" t="inlineStr">
        <is>
          <t>KALMAR LÄN</t>
        </is>
      </c>
      <c r="E170" t="inlineStr">
        <is>
          <t>HÖGSBY</t>
        </is>
      </c>
      <c r="G170" t="n">
        <v>3.8</v>
      </c>
      <c r="H170" t="n">
        <v>1</v>
      </c>
      <c r="I170" t="n">
        <v>2</v>
      </c>
      <c r="J170" t="n">
        <v>1</v>
      </c>
      <c r="K170" t="n">
        <v>1</v>
      </c>
      <c r="L170" t="n">
        <v>0</v>
      </c>
      <c r="M170" t="n">
        <v>0</v>
      </c>
      <c r="N170" t="n">
        <v>0</v>
      </c>
      <c r="O170" t="n">
        <v>2</v>
      </c>
      <c r="P170" t="n">
        <v>1</v>
      </c>
      <c r="Q170" t="n">
        <v>4</v>
      </c>
      <c r="R170" s="2" t="inlineStr">
        <is>
          <t>Knärot
Ullticka
Dropptaggsvamp
Kornknutmossa</t>
        </is>
      </c>
      <c r="S170">
        <f>HYPERLINK("https://klasma.github.io/Logging_0821/artfynd/A 20714-2024 artfynd.xlsx", "A 20714-2024")</f>
        <v/>
      </c>
      <c r="T170">
        <f>HYPERLINK("https://klasma.github.io/Logging_0821/kartor/A 20714-2024 karta.png", "A 20714-2024")</f>
        <v/>
      </c>
      <c r="U170">
        <f>HYPERLINK("https://klasma.github.io/Logging_0821/knärot/A 20714-2024 karta knärot.png", "A 20714-2024")</f>
        <v/>
      </c>
      <c r="V170">
        <f>HYPERLINK("https://klasma.github.io/Logging_0821/klagomål/A 20714-2024 FSC-klagomål.docx", "A 20714-2024")</f>
        <v/>
      </c>
      <c r="W170">
        <f>HYPERLINK("https://klasma.github.io/Logging_0821/klagomålsmail/A 20714-2024 FSC-klagomål mail.docx", "A 20714-2024")</f>
        <v/>
      </c>
      <c r="X170">
        <f>HYPERLINK("https://klasma.github.io/Logging_0821/tillsyn/A 20714-2024 tillsynsbegäran.docx", "A 20714-2024")</f>
        <v/>
      </c>
      <c r="Y170">
        <f>HYPERLINK("https://klasma.github.io/Logging_0821/tillsynsmail/A 20714-2024 tillsynsbegäran mail.docx", "A 20714-2024")</f>
        <v/>
      </c>
    </row>
    <row r="171" ht="15" customHeight="1">
      <c r="A171" t="inlineStr">
        <is>
          <t>A 54233-2023</t>
        </is>
      </c>
      <c r="B171" s="1" t="n">
        <v>45232</v>
      </c>
      <c r="C171" s="1" t="n">
        <v>45884</v>
      </c>
      <c r="D171" t="inlineStr">
        <is>
          <t>KALMAR LÄN</t>
        </is>
      </c>
      <c r="E171" t="inlineStr">
        <is>
          <t>VÄSTERVIK</t>
        </is>
      </c>
      <c r="G171" t="n">
        <v>1.9</v>
      </c>
      <c r="H171" t="n">
        <v>2</v>
      </c>
      <c r="I171" t="n">
        <v>1</v>
      </c>
      <c r="J171" t="n">
        <v>2</v>
      </c>
      <c r="K171" t="n">
        <v>1</v>
      </c>
      <c r="L171" t="n">
        <v>0</v>
      </c>
      <c r="M171" t="n">
        <v>0</v>
      </c>
      <c r="N171" t="n">
        <v>0</v>
      </c>
      <c r="O171" t="n">
        <v>3</v>
      </c>
      <c r="P171" t="n">
        <v>1</v>
      </c>
      <c r="Q171" t="n">
        <v>4</v>
      </c>
      <c r="R171" s="2" t="inlineStr">
        <is>
          <t>Knärot
Tallticka
Talltita
Blåmossa</t>
        </is>
      </c>
      <c r="S171">
        <f>HYPERLINK("https://klasma.github.io/Logging_0883/artfynd/A 54233-2023 artfynd.xlsx", "A 54233-2023")</f>
        <v/>
      </c>
      <c r="T171">
        <f>HYPERLINK("https://klasma.github.io/Logging_0883/kartor/A 54233-2023 karta.png", "A 54233-2023")</f>
        <v/>
      </c>
      <c r="U171">
        <f>HYPERLINK("https://klasma.github.io/Logging_0883/knärot/A 54233-2023 karta knärot.png", "A 54233-2023")</f>
        <v/>
      </c>
      <c r="V171">
        <f>HYPERLINK("https://klasma.github.io/Logging_0883/klagomål/A 54233-2023 FSC-klagomål.docx", "A 54233-2023")</f>
        <v/>
      </c>
      <c r="W171">
        <f>HYPERLINK("https://klasma.github.io/Logging_0883/klagomålsmail/A 54233-2023 FSC-klagomål mail.docx", "A 54233-2023")</f>
        <v/>
      </c>
      <c r="X171">
        <f>HYPERLINK("https://klasma.github.io/Logging_0883/tillsyn/A 54233-2023 tillsynsbegäran.docx", "A 54233-2023")</f>
        <v/>
      </c>
      <c r="Y171">
        <f>HYPERLINK("https://klasma.github.io/Logging_0883/tillsynsmail/A 54233-2023 tillsynsbegäran mail.docx", "A 54233-2023")</f>
        <v/>
      </c>
      <c r="Z171">
        <f>HYPERLINK("https://klasma.github.io/Logging_0883/fåglar/A 54233-2023 prioriterade fågelarter.docx", "A 54233-2023")</f>
        <v/>
      </c>
    </row>
    <row r="172" ht="15" customHeight="1">
      <c r="A172" t="inlineStr">
        <is>
          <t>A 6933-2023</t>
        </is>
      </c>
      <c r="B172" s="1" t="n">
        <v>44951</v>
      </c>
      <c r="C172" s="1" t="n">
        <v>45884</v>
      </c>
      <c r="D172" t="inlineStr">
        <is>
          <t>KALMAR LÄN</t>
        </is>
      </c>
      <c r="E172" t="inlineStr">
        <is>
          <t>KALMAR</t>
        </is>
      </c>
      <c r="G172" t="n">
        <v>9.6</v>
      </c>
      <c r="H172" t="n">
        <v>1</v>
      </c>
      <c r="I172" t="n">
        <v>1</v>
      </c>
      <c r="J172" t="n">
        <v>2</v>
      </c>
      <c r="K172" t="n">
        <v>1</v>
      </c>
      <c r="L172" t="n">
        <v>0</v>
      </c>
      <c r="M172" t="n">
        <v>0</v>
      </c>
      <c r="N172" t="n">
        <v>0</v>
      </c>
      <c r="O172" t="n">
        <v>3</v>
      </c>
      <c r="P172" t="n">
        <v>1</v>
      </c>
      <c r="Q172" t="n">
        <v>4</v>
      </c>
      <c r="R172" s="2" t="inlineStr">
        <is>
          <t>Knärot
Aspstumpbagge
Fyrflikig jordstjärna
Blåmossa</t>
        </is>
      </c>
      <c r="S172">
        <f>HYPERLINK("https://klasma.github.io/Logging_0880/artfynd/A 6933-2023 artfynd.xlsx", "A 6933-2023")</f>
        <v/>
      </c>
      <c r="T172">
        <f>HYPERLINK("https://klasma.github.io/Logging_0880/kartor/A 6933-2023 karta.png", "A 6933-2023")</f>
        <v/>
      </c>
      <c r="U172">
        <f>HYPERLINK("https://klasma.github.io/Logging_0880/knärot/A 6933-2023 karta knärot.png", "A 6933-2023")</f>
        <v/>
      </c>
      <c r="V172">
        <f>HYPERLINK("https://klasma.github.io/Logging_0880/klagomål/A 6933-2023 FSC-klagomål.docx", "A 6933-2023")</f>
        <v/>
      </c>
      <c r="W172">
        <f>HYPERLINK("https://klasma.github.io/Logging_0880/klagomålsmail/A 6933-2023 FSC-klagomål mail.docx", "A 6933-2023")</f>
        <v/>
      </c>
      <c r="X172">
        <f>HYPERLINK("https://klasma.github.io/Logging_0880/tillsyn/A 6933-2023 tillsynsbegäran.docx", "A 6933-2023")</f>
        <v/>
      </c>
      <c r="Y172">
        <f>HYPERLINK("https://klasma.github.io/Logging_0880/tillsynsmail/A 6933-2023 tillsynsbegäran mail.docx", "A 6933-2023")</f>
        <v/>
      </c>
    </row>
    <row r="173" ht="15" customHeight="1">
      <c r="A173" t="inlineStr">
        <is>
          <t>A 53138-2022</t>
        </is>
      </c>
      <c r="B173" s="1" t="n">
        <v>44876</v>
      </c>
      <c r="C173" s="1" t="n">
        <v>45884</v>
      </c>
      <c r="D173" t="inlineStr">
        <is>
          <t>KALMAR LÄN</t>
        </is>
      </c>
      <c r="E173" t="inlineStr">
        <is>
          <t>KALMAR</t>
        </is>
      </c>
      <c r="G173" t="n">
        <v>4</v>
      </c>
      <c r="H173" t="n">
        <v>3</v>
      </c>
      <c r="I173" t="n">
        <v>1</v>
      </c>
      <c r="J173" t="n">
        <v>2</v>
      </c>
      <c r="K173" t="n">
        <v>1</v>
      </c>
      <c r="L173" t="n">
        <v>0</v>
      </c>
      <c r="M173" t="n">
        <v>0</v>
      </c>
      <c r="N173" t="n">
        <v>0</v>
      </c>
      <c r="O173" t="n">
        <v>3</v>
      </c>
      <c r="P173" t="n">
        <v>1</v>
      </c>
      <c r="Q173" t="n">
        <v>4</v>
      </c>
      <c r="R173" s="2" t="inlineStr">
        <is>
          <t>Knärot
Spillkråka
Talltita
Blomkålssvamp</t>
        </is>
      </c>
      <c r="S173">
        <f>HYPERLINK("https://klasma.github.io/Logging_0880/artfynd/A 53138-2022 artfynd.xlsx", "A 53138-2022")</f>
        <v/>
      </c>
      <c r="T173">
        <f>HYPERLINK("https://klasma.github.io/Logging_0880/kartor/A 53138-2022 karta.png", "A 53138-2022")</f>
        <v/>
      </c>
      <c r="U173">
        <f>HYPERLINK("https://klasma.github.io/Logging_0880/knärot/A 53138-2022 karta knärot.png", "A 53138-2022")</f>
        <v/>
      </c>
      <c r="V173">
        <f>HYPERLINK("https://klasma.github.io/Logging_0880/klagomål/A 53138-2022 FSC-klagomål.docx", "A 53138-2022")</f>
        <v/>
      </c>
      <c r="W173">
        <f>HYPERLINK("https://klasma.github.io/Logging_0880/klagomålsmail/A 53138-2022 FSC-klagomål mail.docx", "A 53138-2022")</f>
        <v/>
      </c>
      <c r="X173">
        <f>HYPERLINK("https://klasma.github.io/Logging_0880/tillsyn/A 53138-2022 tillsynsbegäran.docx", "A 53138-2022")</f>
        <v/>
      </c>
      <c r="Y173">
        <f>HYPERLINK("https://klasma.github.io/Logging_0880/tillsynsmail/A 53138-2022 tillsynsbegäran mail.docx", "A 53138-2022")</f>
        <v/>
      </c>
      <c r="Z173">
        <f>HYPERLINK("https://klasma.github.io/Logging_0880/fåglar/A 53138-2022 prioriterade fågelarter.docx", "A 53138-2022")</f>
        <v/>
      </c>
    </row>
    <row r="174" ht="15" customHeight="1">
      <c r="A174" t="inlineStr">
        <is>
          <t>A 24774-2021</t>
        </is>
      </c>
      <c r="B174" s="1" t="n">
        <v>44340</v>
      </c>
      <c r="C174" s="1" t="n">
        <v>45884</v>
      </c>
      <c r="D174" t="inlineStr">
        <is>
          <t>KALMAR LÄN</t>
        </is>
      </c>
      <c r="E174" t="inlineStr">
        <is>
          <t>OSKARSHAMN</t>
        </is>
      </c>
      <c r="G174" t="n">
        <v>3.8</v>
      </c>
      <c r="H174" t="n">
        <v>2</v>
      </c>
      <c r="I174" t="n">
        <v>2</v>
      </c>
      <c r="J174" t="n">
        <v>2</v>
      </c>
      <c r="K174" t="n">
        <v>0</v>
      </c>
      <c r="L174" t="n">
        <v>0</v>
      </c>
      <c r="M174" t="n">
        <v>0</v>
      </c>
      <c r="N174" t="n">
        <v>0</v>
      </c>
      <c r="O174" t="n">
        <v>2</v>
      </c>
      <c r="P174" t="n">
        <v>0</v>
      </c>
      <c r="Q174" t="n">
        <v>4</v>
      </c>
      <c r="R174" s="2" t="inlineStr">
        <is>
          <t>Spillkråka
Talltita
Blåmossa
Kornknutmossa</t>
        </is>
      </c>
      <c r="S174">
        <f>HYPERLINK("https://klasma.github.io/Logging_0882/artfynd/A 24774-2021 artfynd.xlsx", "A 24774-2021")</f>
        <v/>
      </c>
      <c r="T174">
        <f>HYPERLINK("https://klasma.github.io/Logging_0882/kartor/A 24774-2021 karta.png", "A 24774-2021")</f>
        <v/>
      </c>
      <c r="U174">
        <f>HYPERLINK("https://klasma.github.io/Logging_0882/knärot/A 24774-2021 karta knärot.png", "A 24774-2021")</f>
        <v/>
      </c>
      <c r="V174">
        <f>HYPERLINK("https://klasma.github.io/Logging_0882/klagomål/A 24774-2021 FSC-klagomål.docx", "A 24774-2021")</f>
        <v/>
      </c>
      <c r="W174">
        <f>HYPERLINK("https://klasma.github.io/Logging_0882/klagomålsmail/A 24774-2021 FSC-klagomål mail.docx", "A 24774-2021")</f>
        <v/>
      </c>
      <c r="X174">
        <f>HYPERLINK("https://klasma.github.io/Logging_0882/tillsyn/A 24774-2021 tillsynsbegäran.docx", "A 24774-2021")</f>
        <v/>
      </c>
      <c r="Y174">
        <f>HYPERLINK("https://klasma.github.io/Logging_0882/tillsynsmail/A 24774-2021 tillsynsbegäran mail.docx", "A 24774-2021")</f>
        <v/>
      </c>
      <c r="Z174">
        <f>HYPERLINK("https://klasma.github.io/Logging_0882/fåglar/A 24774-2021 prioriterade fågelarter.docx", "A 24774-2021")</f>
        <v/>
      </c>
    </row>
    <row r="175" ht="15" customHeight="1">
      <c r="A175" t="inlineStr">
        <is>
          <t>A 11299-2024</t>
        </is>
      </c>
      <c r="B175" s="1" t="n">
        <v>45371.85241898148</v>
      </c>
      <c r="C175" s="1" t="n">
        <v>45884</v>
      </c>
      <c r="D175" t="inlineStr">
        <is>
          <t>KALMAR LÄN</t>
        </is>
      </c>
      <c r="E175" t="inlineStr">
        <is>
          <t>OSKARSHAMN</t>
        </is>
      </c>
      <c r="F175" t="inlineStr">
        <is>
          <t>Sveaskog</t>
        </is>
      </c>
      <c r="G175" t="n">
        <v>4.5</v>
      </c>
      <c r="H175" t="n">
        <v>4</v>
      </c>
      <c r="I175" t="n">
        <v>0</v>
      </c>
      <c r="J175" t="n">
        <v>2</v>
      </c>
      <c r="K175" t="n">
        <v>0</v>
      </c>
      <c r="L175" t="n">
        <v>0</v>
      </c>
      <c r="M175" t="n">
        <v>0</v>
      </c>
      <c r="N175" t="n">
        <v>0</v>
      </c>
      <c r="O175" t="n">
        <v>2</v>
      </c>
      <c r="P175" t="n">
        <v>0</v>
      </c>
      <c r="Q175" t="n">
        <v>4</v>
      </c>
      <c r="R175" s="2" t="inlineStr">
        <is>
          <t>Brunlångöra
Nordfladdermus
Dvärgpipistrell
Större brunfladdermus</t>
        </is>
      </c>
      <c r="S175">
        <f>HYPERLINK("https://klasma.github.io/Logging_0882/artfynd/A 11299-2024 artfynd.xlsx", "A 11299-2024")</f>
        <v/>
      </c>
      <c r="T175">
        <f>HYPERLINK("https://klasma.github.io/Logging_0882/kartor/A 11299-2024 karta.png", "A 11299-2024")</f>
        <v/>
      </c>
      <c r="V175">
        <f>HYPERLINK("https://klasma.github.io/Logging_0882/klagomål/A 11299-2024 FSC-klagomål.docx", "A 11299-2024")</f>
        <v/>
      </c>
      <c r="W175">
        <f>HYPERLINK("https://klasma.github.io/Logging_0882/klagomålsmail/A 11299-2024 FSC-klagomål mail.docx", "A 11299-2024")</f>
        <v/>
      </c>
      <c r="X175">
        <f>HYPERLINK("https://klasma.github.io/Logging_0882/tillsyn/A 11299-2024 tillsynsbegäran.docx", "A 11299-2024")</f>
        <v/>
      </c>
      <c r="Y175">
        <f>HYPERLINK("https://klasma.github.io/Logging_0882/tillsynsmail/A 11299-2024 tillsynsbegäran mail.docx", "A 11299-2024")</f>
        <v/>
      </c>
    </row>
    <row r="176" ht="15" customHeight="1">
      <c r="A176" t="inlineStr">
        <is>
          <t>A 35939-2024</t>
        </is>
      </c>
      <c r="B176" s="1" t="n">
        <v>45533.45459490741</v>
      </c>
      <c r="C176" s="1" t="n">
        <v>45884</v>
      </c>
      <c r="D176" t="inlineStr">
        <is>
          <t>KALMAR LÄN</t>
        </is>
      </c>
      <c r="E176" t="inlineStr">
        <is>
          <t>VÄSTERVIK</t>
        </is>
      </c>
      <c r="G176" t="n">
        <v>3.8</v>
      </c>
      <c r="H176" t="n">
        <v>1</v>
      </c>
      <c r="I176" t="n">
        <v>1</v>
      </c>
      <c r="J176" t="n">
        <v>3</v>
      </c>
      <c r="K176" t="n">
        <v>0</v>
      </c>
      <c r="L176" t="n">
        <v>0</v>
      </c>
      <c r="M176" t="n">
        <v>0</v>
      </c>
      <c r="N176" t="n">
        <v>0</v>
      </c>
      <c r="O176" t="n">
        <v>3</v>
      </c>
      <c r="P176" t="n">
        <v>0</v>
      </c>
      <c r="Q176" t="n">
        <v>4</v>
      </c>
      <c r="R176" s="2" t="inlineStr">
        <is>
          <t>Svart taggsvamp
Tallticka
Talltita
Blåmossa</t>
        </is>
      </c>
      <c r="S176">
        <f>HYPERLINK("https://klasma.github.io/Logging_0883/artfynd/A 35939-2024 artfynd.xlsx", "A 35939-2024")</f>
        <v/>
      </c>
      <c r="T176">
        <f>HYPERLINK("https://klasma.github.io/Logging_0883/kartor/A 35939-2024 karta.png", "A 35939-2024")</f>
        <v/>
      </c>
      <c r="V176">
        <f>HYPERLINK("https://klasma.github.io/Logging_0883/klagomål/A 35939-2024 FSC-klagomål.docx", "A 35939-2024")</f>
        <v/>
      </c>
      <c r="W176">
        <f>HYPERLINK("https://klasma.github.io/Logging_0883/klagomålsmail/A 35939-2024 FSC-klagomål mail.docx", "A 35939-2024")</f>
        <v/>
      </c>
      <c r="X176">
        <f>HYPERLINK("https://klasma.github.io/Logging_0883/tillsyn/A 35939-2024 tillsynsbegäran.docx", "A 35939-2024")</f>
        <v/>
      </c>
      <c r="Y176">
        <f>HYPERLINK("https://klasma.github.io/Logging_0883/tillsynsmail/A 35939-2024 tillsynsbegäran mail.docx", "A 35939-2024")</f>
        <v/>
      </c>
      <c r="Z176">
        <f>HYPERLINK("https://klasma.github.io/Logging_0883/fåglar/A 35939-2024 prioriterade fågelarter.docx", "A 35939-2024")</f>
        <v/>
      </c>
    </row>
    <row r="177" ht="15" customHeight="1">
      <c r="A177" t="inlineStr">
        <is>
          <t>A 38673-2020</t>
        </is>
      </c>
      <c r="B177" s="1" t="n">
        <v>44061</v>
      </c>
      <c r="C177" s="1" t="n">
        <v>45884</v>
      </c>
      <c r="D177" t="inlineStr">
        <is>
          <t>KALMAR LÄN</t>
        </is>
      </c>
      <c r="E177" t="inlineStr">
        <is>
          <t>HULTSFRED</t>
        </is>
      </c>
      <c r="F177" t="inlineStr">
        <is>
          <t>Kyrkan</t>
        </is>
      </c>
      <c r="G177" t="n">
        <v>2.7</v>
      </c>
      <c r="H177" t="n">
        <v>1</v>
      </c>
      <c r="I177" t="n">
        <v>3</v>
      </c>
      <c r="J177" t="n">
        <v>0</v>
      </c>
      <c r="K177" t="n">
        <v>0</v>
      </c>
      <c r="L177" t="n">
        <v>0</v>
      </c>
      <c r="M177" t="n">
        <v>0</v>
      </c>
      <c r="N177" t="n">
        <v>0</v>
      </c>
      <c r="O177" t="n">
        <v>0</v>
      </c>
      <c r="P177" t="n">
        <v>0</v>
      </c>
      <c r="Q177" t="n">
        <v>4</v>
      </c>
      <c r="R177" s="2" t="inlineStr">
        <is>
          <t>Fällmossa
Grov fjädermossa
Platt fjädermossa
Blåsippa</t>
        </is>
      </c>
      <c r="S177">
        <f>HYPERLINK("https://klasma.github.io/Logging_0860/artfynd/A 38673-2020 artfynd.xlsx", "A 38673-2020")</f>
        <v/>
      </c>
      <c r="T177">
        <f>HYPERLINK("https://klasma.github.io/Logging_0860/kartor/A 38673-2020 karta.png", "A 38673-2020")</f>
        <v/>
      </c>
      <c r="V177">
        <f>HYPERLINK("https://klasma.github.io/Logging_0860/klagomål/A 38673-2020 FSC-klagomål.docx", "A 38673-2020")</f>
        <v/>
      </c>
      <c r="W177">
        <f>HYPERLINK("https://klasma.github.io/Logging_0860/klagomålsmail/A 38673-2020 FSC-klagomål mail.docx", "A 38673-2020")</f>
        <v/>
      </c>
      <c r="X177">
        <f>HYPERLINK("https://klasma.github.io/Logging_0860/tillsyn/A 38673-2020 tillsynsbegäran.docx", "A 38673-2020")</f>
        <v/>
      </c>
      <c r="Y177">
        <f>HYPERLINK("https://klasma.github.io/Logging_0860/tillsynsmail/A 38673-2020 tillsynsbegäran mail.docx", "A 38673-2020")</f>
        <v/>
      </c>
    </row>
    <row r="178" ht="15" customHeight="1">
      <c r="A178" t="inlineStr">
        <is>
          <t>A 938-2024</t>
        </is>
      </c>
      <c r="B178" s="1" t="n">
        <v>45301</v>
      </c>
      <c r="C178" s="1" t="n">
        <v>45884</v>
      </c>
      <c r="D178" t="inlineStr">
        <is>
          <t>KALMAR LÄN</t>
        </is>
      </c>
      <c r="E178" t="inlineStr">
        <is>
          <t>VÄSTERVIK</t>
        </is>
      </c>
      <c r="G178" t="n">
        <v>10</v>
      </c>
      <c r="H178" t="n">
        <v>1</v>
      </c>
      <c r="I178" t="n">
        <v>0</v>
      </c>
      <c r="J178" t="n">
        <v>3</v>
      </c>
      <c r="K178" t="n">
        <v>0</v>
      </c>
      <c r="L178" t="n">
        <v>0</v>
      </c>
      <c r="M178" t="n">
        <v>0</v>
      </c>
      <c r="N178" t="n">
        <v>0</v>
      </c>
      <c r="O178" t="n">
        <v>3</v>
      </c>
      <c r="P178" t="n">
        <v>0</v>
      </c>
      <c r="Q178" t="n">
        <v>4</v>
      </c>
      <c r="R178" s="2" t="inlineStr">
        <is>
          <t>Reliktbock
Tallticka
Vintertagging
Tjäder</t>
        </is>
      </c>
      <c r="S178">
        <f>HYPERLINK("https://klasma.github.io/Logging_0883/artfynd/A 938-2024 artfynd.xlsx", "A 938-2024")</f>
        <v/>
      </c>
      <c r="T178">
        <f>HYPERLINK("https://klasma.github.io/Logging_0883/kartor/A 938-2024 karta.png", "A 938-2024")</f>
        <v/>
      </c>
      <c r="V178">
        <f>HYPERLINK("https://klasma.github.io/Logging_0883/klagomål/A 938-2024 FSC-klagomål.docx", "A 938-2024")</f>
        <v/>
      </c>
      <c r="W178">
        <f>HYPERLINK("https://klasma.github.io/Logging_0883/klagomålsmail/A 938-2024 FSC-klagomål mail.docx", "A 938-2024")</f>
        <v/>
      </c>
      <c r="X178">
        <f>HYPERLINK("https://klasma.github.io/Logging_0883/tillsyn/A 938-2024 tillsynsbegäran.docx", "A 938-2024")</f>
        <v/>
      </c>
      <c r="Y178">
        <f>HYPERLINK("https://klasma.github.io/Logging_0883/tillsynsmail/A 938-2024 tillsynsbegäran mail.docx", "A 938-2024")</f>
        <v/>
      </c>
      <c r="Z178">
        <f>HYPERLINK("https://klasma.github.io/Logging_0883/fåglar/A 938-2024 prioriterade fågelarter.docx", "A 938-2024")</f>
        <v/>
      </c>
    </row>
    <row r="179" ht="15" customHeight="1">
      <c r="A179" t="inlineStr">
        <is>
          <t>A 59319-2023</t>
        </is>
      </c>
      <c r="B179" s="1" t="n">
        <v>45253</v>
      </c>
      <c r="C179" s="1" t="n">
        <v>45884</v>
      </c>
      <c r="D179" t="inlineStr">
        <is>
          <t>KALMAR LÄN</t>
        </is>
      </c>
      <c r="E179" t="inlineStr">
        <is>
          <t>VÄSTERVIK</t>
        </is>
      </c>
      <c r="G179" t="n">
        <v>1</v>
      </c>
      <c r="H179" t="n">
        <v>1</v>
      </c>
      <c r="I179" t="n">
        <v>2</v>
      </c>
      <c r="J179" t="n">
        <v>0</v>
      </c>
      <c r="K179" t="n">
        <v>1</v>
      </c>
      <c r="L179" t="n">
        <v>1</v>
      </c>
      <c r="M179" t="n">
        <v>0</v>
      </c>
      <c r="N179" t="n">
        <v>0</v>
      </c>
      <c r="O179" t="n">
        <v>2</v>
      </c>
      <c r="P179" t="n">
        <v>2</v>
      </c>
      <c r="Q179" t="n">
        <v>4</v>
      </c>
      <c r="R179" s="2" t="inlineStr">
        <is>
          <t>Tallharticka
Knärot
Blomkålssvamp
Grönpyrola</t>
        </is>
      </c>
      <c r="S179">
        <f>HYPERLINK("https://klasma.github.io/Logging_0883/artfynd/A 59319-2023 artfynd.xlsx", "A 59319-2023")</f>
        <v/>
      </c>
      <c r="T179">
        <f>HYPERLINK("https://klasma.github.io/Logging_0883/kartor/A 59319-2023 karta.png", "A 59319-2023")</f>
        <v/>
      </c>
      <c r="U179">
        <f>HYPERLINK("https://klasma.github.io/Logging_0883/knärot/A 59319-2023 karta knärot.png", "A 59319-2023")</f>
        <v/>
      </c>
      <c r="V179">
        <f>HYPERLINK("https://klasma.github.io/Logging_0883/klagomål/A 59319-2023 FSC-klagomål.docx", "A 59319-2023")</f>
        <v/>
      </c>
      <c r="W179">
        <f>HYPERLINK("https://klasma.github.io/Logging_0883/klagomålsmail/A 59319-2023 FSC-klagomål mail.docx", "A 59319-2023")</f>
        <v/>
      </c>
      <c r="X179">
        <f>HYPERLINK("https://klasma.github.io/Logging_0883/tillsyn/A 59319-2023 tillsynsbegäran.docx", "A 59319-2023")</f>
        <v/>
      </c>
      <c r="Y179">
        <f>HYPERLINK("https://klasma.github.io/Logging_0883/tillsynsmail/A 59319-2023 tillsynsbegäran mail.docx", "A 59319-2023")</f>
        <v/>
      </c>
    </row>
    <row r="180" ht="15" customHeight="1">
      <c r="A180" t="inlineStr">
        <is>
          <t>A 25534-2024</t>
        </is>
      </c>
      <c r="B180" s="1" t="n">
        <v>45463</v>
      </c>
      <c r="C180" s="1" t="n">
        <v>45884</v>
      </c>
      <c r="D180" t="inlineStr">
        <is>
          <t>KALMAR LÄN</t>
        </is>
      </c>
      <c r="E180" t="inlineStr">
        <is>
          <t>VÄSTERVIK</t>
        </is>
      </c>
      <c r="F180" t="inlineStr">
        <is>
          <t>Holmen skog AB</t>
        </is>
      </c>
      <c r="G180" t="n">
        <v>9.5</v>
      </c>
      <c r="H180" t="n">
        <v>1</v>
      </c>
      <c r="I180" t="n">
        <v>2</v>
      </c>
      <c r="J180" t="n">
        <v>1</v>
      </c>
      <c r="K180" t="n">
        <v>1</v>
      </c>
      <c r="L180" t="n">
        <v>0</v>
      </c>
      <c r="M180" t="n">
        <v>0</v>
      </c>
      <c r="N180" t="n">
        <v>0</v>
      </c>
      <c r="O180" t="n">
        <v>2</v>
      </c>
      <c r="P180" t="n">
        <v>1</v>
      </c>
      <c r="Q180" t="n">
        <v>4</v>
      </c>
      <c r="R180" s="2" t="inlineStr">
        <is>
          <t>Knärot
Tallticka
Brandticka
Bronshjon</t>
        </is>
      </c>
      <c r="S180">
        <f>HYPERLINK("https://klasma.github.io/Logging_0883/artfynd/A 25534-2024 artfynd.xlsx", "A 25534-2024")</f>
        <v/>
      </c>
      <c r="T180">
        <f>HYPERLINK("https://klasma.github.io/Logging_0883/kartor/A 25534-2024 karta.png", "A 25534-2024")</f>
        <v/>
      </c>
      <c r="U180">
        <f>HYPERLINK("https://klasma.github.io/Logging_0883/knärot/A 25534-2024 karta knärot.png", "A 25534-2024")</f>
        <v/>
      </c>
      <c r="V180">
        <f>HYPERLINK("https://klasma.github.io/Logging_0883/klagomål/A 25534-2024 FSC-klagomål.docx", "A 25534-2024")</f>
        <v/>
      </c>
      <c r="W180">
        <f>HYPERLINK("https://klasma.github.io/Logging_0883/klagomålsmail/A 25534-2024 FSC-klagomål mail.docx", "A 25534-2024")</f>
        <v/>
      </c>
      <c r="X180">
        <f>HYPERLINK("https://klasma.github.io/Logging_0883/tillsyn/A 25534-2024 tillsynsbegäran.docx", "A 25534-2024")</f>
        <v/>
      </c>
      <c r="Y180">
        <f>HYPERLINK("https://klasma.github.io/Logging_0883/tillsynsmail/A 25534-2024 tillsynsbegäran mail.docx", "A 25534-2024")</f>
        <v/>
      </c>
    </row>
    <row r="181" ht="15" customHeight="1">
      <c r="A181" t="inlineStr">
        <is>
          <t>A 53167-2022</t>
        </is>
      </c>
      <c r="B181" s="1" t="n">
        <v>44873</v>
      </c>
      <c r="C181" s="1" t="n">
        <v>45884</v>
      </c>
      <c r="D181" t="inlineStr">
        <is>
          <t>KALMAR LÄN</t>
        </is>
      </c>
      <c r="E181" t="inlineStr">
        <is>
          <t>MÖNSTERÅS</t>
        </is>
      </c>
      <c r="F181" t="inlineStr">
        <is>
          <t>Kyrkan</t>
        </is>
      </c>
      <c r="G181" t="n">
        <v>2</v>
      </c>
      <c r="H181" t="n">
        <v>1</v>
      </c>
      <c r="I181" t="n">
        <v>3</v>
      </c>
      <c r="J181" t="n">
        <v>1</v>
      </c>
      <c r="K181" t="n">
        <v>0</v>
      </c>
      <c r="L181" t="n">
        <v>0</v>
      </c>
      <c r="M181" t="n">
        <v>0</v>
      </c>
      <c r="N181" t="n">
        <v>0</v>
      </c>
      <c r="O181" t="n">
        <v>1</v>
      </c>
      <c r="P181" t="n">
        <v>0</v>
      </c>
      <c r="Q181" t="n">
        <v>4</v>
      </c>
      <c r="R181" s="2" t="inlineStr">
        <is>
          <t>Spillkråka
Blåmossa
Flagellkvastmossa
Vågbandad barkbock</t>
        </is>
      </c>
      <c r="S181">
        <f>HYPERLINK("https://klasma.github.io/Logging_0861/artfynd/A 53167-2022 artfynd.xlsx", "A 53167-2022")</f>
        <v/>
      </c>
      <c r="T181">
        <f>HYPERLINK("https://klasma.github.io/Logging_0861/kartor/A 53167-2022 karta.png", "A 53167-2022")</f>
        <v/>
      </c>
      <c r="V181">
        <f>HYPERLINK("https://klasma.github.io/Logging_0861/klagomål/A 53167-2022 FSC-klagomål.docx", "A 53167-2022")</f>
        <v/>
      </c>
      <c r="W181">
        <f>HYPERLINK("https://klasma.github.io/Logging_0861/klagomålsmail/A 53167-2022 FSC-klagomål mail.docx", "A 53167-2022")</f>
        <v/>
      </c>
      <c r="X181">
        <f>HYPERLINK("https://klasma.github.io/Logging_0861/tillsyn/A 53167-2022 tillsynsbegäran.docx", "A 53167-2022")</f>
        <v/>
      </c>
      <c r="Y181">
        <f>HYPERLINK("https://klasma.github.io/Logging_0861/tillsynsmail/A 53167-2022 tillsynsbegäran mail.docx", "A 53167-2022")</f>
        <v/>
      </c>
      <c r="Z181">
        <f>HYPERLINK("https://klasma.github.io/Logging_0861/fåglar/A 53167-2022 prioriterade fågelarter.docx", "A 53167-2022")</f>
        <v/>
      </c>
    </row>
    <row r="182" ht="15" customHeight="1">
      <c r="A182" t="inlineStr">
        <is>
          <t>A 40522-2023</t>
        </is>
      </c>
      <c r="B182" s="1" t="n">
        <v>45170</v>
      </c>
      <c r="C182" s="1" t="n">
        <v>45884</v>
      </c>
      <c r="D182" t="inlineStr">
        <is>
          <t>KALMAR LÄN</t>
        </is>
      </c>
      <c r="E182" t="inlineStr">
        <is>
          <t>OSKARSHAMN</t>
        </is>
      </c>
      <c r="F182" t="inlineStr">
        <is>
          <t>Kyrkan</t>
        </is>
      </c>
      <c r="G182" t="n">
        <v>6</v>
      </c>
      <c r="H182" t="n">
        <v>2</v>
      </c>
      <c r="I182" t="n">
        <v>1</v>
      </c>
      <c r="J182" t="n">
        <v>1</v>
      </c>
      <c r="K182" t="n">
        <v>0</v>
      </c>
      <c r="L182" t="n">
        <v>0</v>
      </c>
      <c r="M182" t="n">
        <v>0</v>
      </c>
      <c r="N182" t="n">
        <v>0</v>
      </c>
      <c r="O182" t="n">
        <v>1</v>
      </c>
      <c r="P182" t="n">
        <v>0</v>
      </c>
      <c r="Q182" t="n">
        <v>4</v>
      </c>
      <c r="R182" s="2" t="inlineStr">
        <is>
          <t>Vedtrappmossa
Fällmossa
Blåsippa
Mattlummer</t>
        </is>
      </c>
      <c r="S182">
        <f>HYPERLINK("https://klasma.github.io/Logging_0882/artfynd/A 40522-2023 artfynd.xlsx", "A 40522-2023")</f>
        <v/>
      </c>
      <c r="T182">
        <f>HYPERLINK("https://klasma.github.io/Logging_0882/kartor/A 40522-2023 karta.png", "A 40522-2023")</f>
        <v/>
      </c>
      <c r="V182">
        <f>HYPERLINK("https://klasma.github.io/Logging_0882/klagomål/A 40522-2023 FSC-klagomål.docx", "A 40522-2023")</f>
        <v/>
      </c>
      <c r="W182">
        <f>HYPERLINK("https://klasma.github.io/Logging_0882/klagomålsmail/A 40522-2023 FSC-klagomål mail.docx", "A 40522-2023")</f>
        <v/>
      </c>
      <c r="X182">
        <f>HYPERLINK("https://klasma.github.io/Logging_0882/tillsyn/A 40522-2023 tillsynsbegäran.docx", "A 40522-2023")</f>
        <v/>
      </c>
      <c r="Y182">
        <f>HYPERLINK("https://klasma.github.io/Logging_0882/tillsynsmail/A 40522-2023 tillsynsbegäran mail.docx", "A 40522-2023")</f>
        <v/>
      </c>
    </row>
    <row r="183" ht="15" customHeight="1">
      <c r="A183" t="inlineStr">
        <is>
          <t>A 18164-2025</t>
        </is>
      </c>
      <c r="B183" s="1" t="n">
        <v>45761</v>
      </c>
      <c r="C183" s="1" t="n">
        <v>45884</v>
      </c>
      <c r="D183" t="inlineStr">
        <is>
          <t>KALMAR LÄN</t>
        </is>
      </c>
      <c r="E183" t="inlineStr">
        <is>
          <t>VÄSTERVIK</t>
        </is>
      </c>
      <c r="G183" t="n">
        <v>3.9</v>
      </c>
      <c r="H183" t="n">
        <v>3</v>
      </c>
      <c r="I183" t="n">
        <v>1</v>
      </c>
      <c r="J183" t="n">
        <v>1</v>
      </c>
      <c r="K183" t="n">
        <v>0</v>
      </c>
      <c r="L183" t="n">
        <v>0</v>
      </c>
      <c r="M183" t="n">
        <v>0</v>
      </c>
      <c r="N183" t="n">
        <v>0</v>
      </c>
      <c r="O183" t="n">
        <v>1</v>
      </c>
      <c r="P183" t="n">
        <v>0</v>
      </c>
      <c r="Q183" t="n">
        <v>4</v>
      </c>
      <c r="R183" s="2" t="inlineStr">
        <is>
          <t>Spillkråka
Vätteros
Kungsfågel
Fläcknycklar</t>
        </is>
      </c>
      <c r="S183">
        <f>HYPERLINK("https://klasma.github.io/Logging_0883/artfynd/A 18164-2025 artfynd.xlsx", "A 18164-2025")</f>
        <v/>
      </c>
      <c r="T183">
        <f>HYPERLINK("https://klasma.github.io/Logging_0883/kartor/A 18164-2025 karta.png", "A 18164-2025")</f>
        <v/>
      </c>
      <c r="V183">
        <f>HYPERLINK("https://klasma.github.io/Logging_0883/klagomål/A 18164-2025 FSC-klagomål.docx", "A 18164-2025")</f>
        <v/>
      </c>
      <c r="W183">
        <f>HYPERLINK("https://klasma.github.io/Logging_0883/klagomålsmail/A 18164-2025 FSC-klagomål mail.docx", "A 18164-2025")</f>
        <v/>
      </c>
      <c r="X183">
        <f>HYPERLINK("https://klasma.github.io/Logging_0883/tillsyn/A 18164-2025 tillsynsbegäran.docx", "A 18164-2025")</f>
        <v/>
      </c>
      <c r="Y183">
        <f>HYPERLINK("https://klasma.github.io/Logging_0883/tillsynsmail/A 18164-2025 tillsynsbegäran mail.docx", "A 18164-2025")</f>
        <v/>
      </c>
      <c r="Z183">
        <f>HYPERLINK("https://klasma.github.io/Logging_0883/fåglar/A 18164-2025 prioriterade fågelarter.docx", "A 18164-2025")</f>
        <v/>
      </c>
    </row>
    <row r="184" ht="15" customHeight="1">
      <c r="A184" t="inlineStr">
        <is>
          <t>A 3781-2025</t>
        </is>
      </c>
      <c r="B184" s="1" t="n">
        <v>45681.62086805556</v>
      </c>
      <c r="C184" s="1" t="n">
        <v>45884</v>
      </c>
      <c r="D184" t="inlineStr">
        <is>
          <t>KALMAR LÄN</t>
        </is>
      </c>
      <c r="E184" t="inlineStr">
        <is>
          <t>VÄSTERVIK</t>
        </is>
      </c>
      <c r="G184" t="n">
        <v>1.4</v>
      </c>
      <c r="H184" t="n">
        <v>4</v>
      </c>
      <c r="I184" t="n">
        <v>0</v>
      </c>
      <c r="J184" t="n">
        <v>2</v>
      </c>
      <c r="K184" t="n">
        <v>0</v>
      </c>
      <c r="L184" t="n">
        <v>0</v>
      </c>
      <c r="M184" t="n">
        <v>0</v>
      </c>
      <c r="N184" t="n">
        <v>0</v>
      </c>
      <c r="O184" t="n">
        <v>2</v>
      </c>
      <c r="P184" t="n">
        <v>0</v>
      </c>
      <c r="Q184" t="n">
        <v>4</v>
      </c>
      <c r="R184" s="2" t="inlineStr">
        <is>
          <t>Spillkråka
Talltita
Kungsfågel
Revlummer</t>
        </is>
      </c>
      <c r="S184">
        <f>HYPERLINK("https://klasma.github.io/Logging_0883/artfynd/A 3781-2025 artfynd.xlsx", "A 3781-2025")</f>
        <v/>
      </c>
      <c r="T184">
        <f>HYPERLINK("https://klasma.github.io/Logging_0883/kartor/A 3781-2025 karta.png", "A 3781-2025")</f>
        <v/>
      </c>
      <c r="V184">
        <f>HYPERLINK("https://klasma.github.io/Logging_0883/klagomål/A 3781-2025 FSC-klagomål.docx", "A 3781-2025")</f>
        <v/>
      </c>
      <c r="W184">
        <f>HYPERLINK("https://klasma.github.io/Logging_0883/klagomålsmail/A 3781-2025 FSC-klagomål mail.docx", "A 3781-2025")</f>
        <v/>
      </c>
      <c r="X184">
        <f>HYPERLINK("https://klasma.github.io/Logging_0883/tillsyn/A 3781-2025 tillsynsbegäran.docx", "A 3781-2025")</f>
        <v/>
      </c>
      <c r="Y184">
        <f>HYPERLINK("https://klasma.github.io/Logging_0883/tillsynsmail/A 3781-2025 tillsynsbegäran mail.docx", "A 3781-2025")</f>
        <v/>
      </c>
      <c r="Z184">
        <f>HYPERLINK("https://klasma.github.io/Logging_0883/fåglar/A 3781-2025 prioriterade fågelarter.docx", "A 3781-2025")</f>
        <v/>
      </c>
    </row>
    <row r="185" ht="15" customHeight="1">
      <c r="A185" t="inlineStr">
        <is>
          <t>A 73465-2021</t>
        </is>
      </c>
      <c r="B185" s="1" t="n">
        <v>44551</v>
      </c>
      <c r="C185" s="1" t="n">
        <v>45884</v>
      </c>
      <c r="D185" t="inlineStr">
        <is>
          <t>KALMAR LÄN</t>
        </is>
      </c>
      <c r="E185" t="inlineStr">
        <is>
          <t>HULTSFRED</t>
        </is>
      </c>
      <c r="G185" t="n">
        <v>1.4</v>
      </c>
      <c r="H185" t="n">
        <v>3</v>
      </c>
      <c r="I185" t="n">
        <v>1</v>
      </c>
      <c r="J185" t="n">
        <v>0</v>
      </c>
      <c r="K185" t="n">
        <v>1</v>
      </c>
      <c r="L185" t="n">
        <v>0</v>
      </c>
      <c r="M185" t="n">
        <v>0</v>
      </c>
      <c r="N185" t="n">
        <v>0</v>
      </c>
      <c r="O185" t="n">
        <v>1</v>
      </c>
      <c r="P185" t="n">
        <v>1</v>
      </c>
      <c r="Q185" t="n">
        <v>4</v>
      </c>
      <c r="R185" s="2" t="inlineStr">
        <is>
          <t>Knärot
Dropptaggsvamp
Blåsippa
Revlummer</t>
        </is>
      </c>
      <c r="S185">
        <f>HYPERLINK("https://klasma.github.io/Logging_0860/artfynd/A 73465-2021 artfynd.xlsx", "A 73465-2021")</f>
        <v/>
      </c>
      <c r="T185">
        <f>HYPERLINK("https://klasma.github.io/Logging_0860/kartor/A 73465-2021 karta.png", "A 73465-2021")</f>
        <v/>
      </c>
      <c r="U185">
        <f>HYPERLINK("https://klasma.github.io/Logging_0860/knärot/A 73465-2021 karta knärot.png", "A 73465-2021")</f>
        <v/>
      </c>
      <c r="V185">
        <f>HYPERLINK("https://klasma.github.io/Logging_0860/klagomål/A 73465-2021 FSC-klagomål.docx", "A 73465-2021")</f>
        <v/>
      </c>
      <c r="W185">
        <f>HYPERLINK("https://klasma.github.io/Logging_0860/klagomålsmail/A 73465-2021 FSC-klagomål mail.docx", "A 73465-2021")</f>
        <v/>
      </c>
      <c r="X185">
        <f>HYPERLINK("https://klasma.github.io/Logging_0860/tillsyn/A 73465-2021 tillsynsbegäran.docx", "A 73465-2021")</f>
        <v/>
      </c>
      <c r="Y185">
        <f>HYPERLINK("https://klasma.github.io/Logging_0860/tillsynsmail/A 73465-2021 tillsynsbegäran mail.docx", "A 73465-2021")</f>
        <v/>
      </c>
    </row>
    <row r="186" ht="15" customHeight="1">
      <c r="A186" t="inlineStr">
        <is>
          <t>A 57171-2022</t>
        </is>
      </c>
      <c r="B186" s="1" t="n">
        <v>44895</v>
      </c>
      <c r="C186" s="1" t="n">
        <v>45884</v>
      </c>
      <c r="D186" t="inlineStr">
        <is>
          <t>KALMAR LÄN</t>
        </is>
      </c>
      <c r="E186" t="inlineStr">
        <is>
          <t>HÖGSBY</t>
        </is>
      </c>
      <c r="G186" t="n">
        <v>4.3</v>
      </c>
      <c r="H186" t="n">
        <v>3</v>
      </c>
      <c r="I186" t="n">
        <v>0</v>
      </c>
      <c r="J186" t="n">
        <v>3</v>
      </c>
      <c r="K186" t="n">
        <v>0</v>
      </c>
      <c r="L186" t="n">
        <v>0</v>
      </c>
      <c r="M186" t="n">
        <v>0</v>
      </c>
      <c r="N186" t="n">
        <v>0</v>
      </c>
      <c r="O186" t="n">
        <v>3</v>
      </c>
      <c r="P186" t="n">
        <v>0</v>
      </c>
      <c r="Q186" t="n">
        <v>4</v>
      </c>
      <c r="R186" s="2" t="inlineStr">
        <is>
          <t>Gulsparv
Mindre träfjäril
Talltita
Gröngöling</t>
        </is>
      </c>
      <c r="S186">
        <f>HYPERLINK("https://klasma.github.io/Logging_0821/artfynd/A 57171-2022 artfynd.xlsx", "A 57171-2022")</f>
        <v/>
      </c>
      <c r="T186">
        <f>HYPERLINK("https://klasma.github.io/Logging_0821/kartor/A 57171-2022 karta.png", "A 57171-2022")</f>
        <v/>
      </c>
      <c r="V186">
        <f>HYPERLINK("https://klasma.github.io/Logging_0821/klagomål/A 57171-2022 FSC-klagomål.docx", "A 57171-2022")</f>
        <v/>
      </c>
      <c r="W186">
        <f>HYPERLINK("https://klasma.github.io/Logging_0821/klagomålsmail/A 57171-2022 FSC-klagomål mail.docx", "A 57171-2022")</f>
        <v/>
      </c>
      <c r="X186">
        <f>HYPERLINK("https://klasma.github.io/Logging_0821/tillsyn/A 57171-2022 tillsynsbegäran.docx", "A 57171-2022")</f>
        <v/>
      </c>
      <c r="Y186">
        <f>HYPERLINK("https://klasma.github.io/Logging_0821/tillsynsmail/A 57171-2022 tillsynsbegäran mail.docx", "A 57171-2022")</f>
        <v/>
      </c>
      <c r="Z186">
        <f>HYPERLINK("https://klasma.github.io/Logging_0821/fåglar/A 57171-2022 prioriterade fågelarter.docx", "A 57171-2022")</f>
        <v/>
      </c>
    </row>
    <row r="187" ht="15" customHeight="1">
      <c r="A187" t="inlineStr">
        <is>
          <t>A 10511-2021</t>
        </is>
      </c>
      <c r="B187" s="1" t="n">
        <v>44258</v>
      </c>
      <c r="C187" s="1" t="n">
        <v>45884</v>
      </c>
      <c r="D187" t="inlineStr">
        <is>
          <t>KALMAR LÄN</t>
        </is>
      </c>
      <c r="E187" t="inlineStr">
        <is>
          <t>HULTSFRED</t>
        </is>
      </c>
      <c r="G187" t="n">
        <v>4.7</v>
      </c>
      <c r="H187" t="n">
        <v>3</v>
      </c>
      <c r="I187" t="n">
        <v>1</v>
      </c>
      <c r="J187" t="n">
        <v>1</v>
      </c>
      <c r="K187" t="n">
        <v>1</v>
      </c>
      <c r="L187" t="n">
        <v>0</v>
      </c>
      <c r="M187" t="n">
        <v>0</v>
      </c>
      <c r="N187" t="n">
        <v>0</v>
      </c>
      <c r="O187" t="n">
        <v>2</v>
      </c>
      <c r="P187" t="n">
        <v>1</v>
      </c>
      <c r="Q187" t="n">
        <v>4</v>
      </c>
      <c r="R187" s="2" t="inlineStr">
        <is>
          <t>Knärot
Talltita
Grovticka
Blåsippa</t>
        </is>
      </c>
      <c r="S187">
        <f>HYPERLINK("https://klasma.github.io/Logging_0860/artfynd/A 10511-2021 artfynd.xlsx", "A 10511-2021")</f>
        <v/>
      </c>
      <c r="T187">
        <f>HYPERLINK("https://klasma.github.io/Logging_0860/kartor/A 10511-2021 karta.png", "A 10511-2021")</f>
        <v/>
      </c>
      <c r="U187">
        <f>HYPERLINK("https://klasma.github.io/Logging_0860/knärot/A 10511-2021 karta knärot.png", "A 10511-2021")</f>
        <v/>
      </c>
      <c r="V187">
        <f>HYPERLINK("https://klasma.github.io/Logging_0860/klagomål/A 10511-2021 FSC-klagomål.docx", "A 10511-2021")</f>
        <v/>
      </c>
      <c r="W187">
        <f>HYPERLINK("https://klasma.github.io/Logging_0860/klagomålsmail/A 10511-2021 FSC-klagomål mail.docx", "A 10511-2021")</f>
        <v/>
      </c>
      <c r="X187">
        <f>HYPERLINK("https://klasma.github.io/Logging_0860/tillsyn/A 10511-2021 tillsynsbegäran.docx", "A 10511-2021")</f>
        <v/>
      </c>
      <c r="Y187">
        <f>HYPERLINK("https://klasma.github.io/Logging_0860/tillsynsmail/A 10511-2021 tillsynsbegäran mail.docx", "A 10511-2021")</f>
        <v/>
      </c>
      <c r="Z187">
        <f>HYPERLINK("https://klasma.github.io/Logging_0860/fåglar/A 10511-2021 prioriterade fågelarter.docx", "A 10511-2021")</f>
        <v/>
      </c>
    </row>
    <row r="188" ht="15" customHeight="1">
      <c r="A188" t="inlineStr">
        <is>
          <t>A 15307-2024</t>
        </is>
      </c>
      <c r="B188" s="1" t="n">
        <v>45400.64700231481</v>
      </c>
      <c r="C188" s="1" t="n">
        <v>45884</v>
      </c>
      <c r="D188" t="inlineStr">
        <is>
          <t>KALMAR LÄN</t>
        </is>
      </c>
      <c r="E188" t="inlineStr">
        <is>
          <t>MÖNSTERÅS</t>
        </is>
      </c>
      <c r="G188" t="n">
        <v>7</v>
      </c>
      <c r="H188" t="n">
        <v>3</v>
      </c>
      <c r="I188" t="n">
        <v>1</v>
      </c>
      <c r="J188" t="n">
        <v>1</v>
      </c>
      <c r="K188" t="n">
        <v>1</v>
      </c>
      <c r="L188" t="n">
        <v>0</v>
      </c>
      <c r="M188" t="n">
        <v>0</v>
      </c>
      <c r="N188" t="n">
        <v>0</v>
      </c>
      <c r="O188" t="n">
        <v>2</v>
      </c>
      <c r="P188" t="n">
        <v>1</v>
      </c>
      <c r="Q188" t="n">
        <v>4</v>
      </c>
      <c r="R188" s="2" t="inlineStr">
        <is>
          <t>Knärot
Spillkråka
Grönpyrola
Blåsippa</t>
        </is>
      </c>
      <c r="S188">
        <f>HYPERLINK("https://klasma.github.io/Logging_0861/artfynd/A 15307-2024 artfynd.xlsx", "A 15307-2024")</f>
        <v/>
      </c>
      <c r="T188">
        <f>HYPERLINK("https://klasma.github.io/Logging_0861/kartor/A 15307-2024 karta.png", "A 15307-2024")</f>
        <v/>
      </c>
      <c r="U188">
        <f>HYPERLINK("https://klasma.github.io/Logging_0861/knärot/A 15307-2024 karta knärot.png", "A 15307-2024")</f>
        <v/>
      </c>
      <c r="V188">
        <f>HYPERLINK("https://klasma.github.io/Logging_0861/klagomål/A 15307-2024 FSC-klagomål.docx", "A 15307-2024")</f>
        <v/>
      </c>
      <c r="W188">
        <f>HYPERLINK("https://klasma.github.io/Logging_0861/klagomålsmail/A 15307-2024 FSC-klagomål mail.docx", "A 15307-2024")</f>
        <v/>
      </c>
      <c r="X188">
        <f>HYPERLINK("https://klasma.github.io/Logging_0861/tillsyn/A 15307-2024 tillsynsbegäran.docx", "A 15307-2024")</f>
        <v/>
      </c>
      <c r="Y188">
        <f>HYPERLINK("https://klasma.github.io/Logging_0861/tillsynsmail/A 15307-2024 tillsynsbegäran mail.docx", "A 15307-2024")</f>
        <v/>
      </c>
      <c r="Z188">
        <f>HYPERLINK("https://klasma.github.io/Logging_0861/fåglar/A 15307-2024 prioriterade fågelarter.docx", "A 15307-2024")</f>
        <v/>
      </c>
    </row>
    <row r="189" ht="15" customHeight="1">
      <c r="A189" t="inlineStr">
        <is>
          <t>A 4645-2023</t>
        </is>
      </c>
      <c r="B189" s="1" t="n">
        <v>44952</v>
      </c>
      <c r="C189" s="1" t="n">
        <v>45884</v>
      </c>
      <c r="D189" t="inlineStr">
        <is>
          <t>KALMAR LÄN</t>
        </is>
      </c>
      <c r="E189" t="inlineStr">
        <is>
          <t>OSKARSHAMN</t>
        </is>
      </c>
      <c r="F189" t="inlineStr">
        <is>
          <t>Kyrkan</t>
        </is>
      </c>
      <c r="G189" t="n">
        <v>0.7</v>
      </c>
      <c r="H189" t="n">
        <v>2</v>
      </c>
      <c r="I189" t="n">
        <v>1</v>
      </c>
      <c r="J189" t="n">
        <v>2</v>
      </c>
      <c r="K189" t="n">
        <v>0</v>
      </c>
      <c r="L189" t="n">
        <v>0</v>
      </c>
      <c r="M189" t="n">
        <v>0</v>
      </c>
      <c r="N189" t="n">
        <v>0</v>
      </c>
      <c r="O189" t="n">
        <v>2</v>
      </c>
      <c r="P189" t="n">
        <v>0</v>
      </c>
      <c r="Q189" t="n">
        <v>4</v>
      </c>
      <c r="R189" s="2" t="inlineStr">
        <is>
          <t>Spillkråka
Tallticka
Blåmossa
Kungsfågel</t>
        </is>
      </c>
      <c r="S189">
        <f>HYPERLINK("https://klasma.github.io/Logging_0882/artfynd/A 4645-2023 artfynd.xlsx", "A 4645-2023")</f>
        <v/>
      </c>
      <c r="T189">
        <f>HYPERLINK("https://klasma.github.io/Logging_0882/kartor/A 4645-2023 karta.png", "A 4645-2023")</f>
        <v/>
      </c>
      <c r="V189">
        <f>HYPERLINK("https://klasma.github.io/Logging_0882/klagomål/A 4645-2023 FSC-klagomål.docx", "A 4645-2023")</f>
        <v/>
      </c>
      <c r="W189">
        <f>HYPERLINK("https://klasma.github.io/Logging_0882/klagomålsmail/A 4645-2023 FSC-klagomål mail.docx", "A 4645-2023")</f>
        <v/>
      </c>
      <c r="X189">
        <f>HYPERLINK("https://klasma.github.io/Logging_0882/tillsyn/A 4645-2023 tillsynsbegäran.docx", "A 4645-2023")</f>
        <v/>
      </c>
      <c r="Y189">
        <f>HYPERLINK("https://klasma.github.io/Logging_0882/tillsynsmail/A 4645-2023 tillsynsbegäran mail.docx", "A 4645-2023")</f>
        <v/>
      </c>
      <c r="Z189">
        <f>HYPERLINK("https://klasma.github.io/Logging_0882/fåglar/A 4645-2023 prioriterade fågelarter.docx", "A 4645-2023")</f>
        <v/>
      </c>
    </row>
    <row r="190" ht="15" customHeight="1">
      <c r="A190" t="inlineStr">
        <is>
          <t>A 62412-2023</t>
        </is>
      </c>
      <c r="B190" s="1" t="n">
        <v>45268</v>
      </c>
      <c r="C190" s="1" t="n">
        <v>45884</v>
      </c>
      <c r="D190" t="inlineStr">
        <is>
          <t>KALMAR LÄN</t>
        </is>
      </c>
      <c r="E190" t="inlineStr">
        <is>
          <t>HÖGSBY</t>
        </is>
      </c>
      <c r="G190" t="n">
        <v>7.7</v>
      </c>
      <c r="H190" t="n">
        <v>0</v>
      </c>
      <c r="I190" t="n">
        <v>3</v>
      </c>
      <c r="J190" t="n">
        <v>1</v>
      </c>
      <c r="K190" t="n">
        <v>0</v>
      </c>
      <c r="L190" t="n">
        <v>0</v>
      </c>
      <c r="M190" t="n">
        <v>0</v>
      </c>
      <c r="N190" t="n">
        <v>0</v>
      </c>
      <c r="O190" t="n">
        <v>1</v>
      </c>
      <c r="P190" t="n">
        <v>0</v>
      </c>
      <c r="Q190" t="n">
        <v>4</v>
      </c>
      <c r="R190" s="2" t="inlineStr">
        <is>
          <t>Vedtrappmossa
Bronshjon
Flagellkvastmossa
Vågbandad barkbock</t>
        </is>
      </c>
      <c r="S190">
        <f>HYPERLINK("https://klasma.github.io/Logging_0821/artfynd/A 62412-2023 artfynd.xlsx", "A 62412-2023")</f>
        <v/>
      </c>
      <c r="T190">
        <f>HYPERLINK("https://klasma.github.io/Logging_0821/kartor/A 62412-2023 karta.png", "A 62412-2023")</f>
        <v/>
      </c>
      <c r="V190">
        <f>HYPERLINK("https://klasma.github.io/Logging_0821/klagomål/A 62412-2023 FSC-klagomål.docx", "A 62412-2023")</f>
        <v/>
      </c>
      <c r="W190">
        <f>HYPERLINK("https://klasma.github.io/Logging_0821/klagomålsmail/A 62412-2023 FSC-klagomål mail.docx", "A 62412-2023")</f>
        <v/>
      </c>
      <c r="X190">
        <f>HYPERLINK("https://klasma.github.io/Logging_0821/tillsyn/A 62412-2023 tillsynsbegäran.docx", "A 62412-2023")</f>
        <v/>
      </c>
      <c r="Y190">
        <f>HYPERLINK("https://klasma.github.io/Logging_0821/tillsynsmail/A 62412-2023 tillsynsbegäran mail.docx", "A 62412-2023")</f>
        <v/>
      </c>
    </row>
    <row r="191" ht="15" customHeight="1">
      <c r="A191" t="inlineStr">
        <is>
          <t>A 41571-2024</t>
        </is>
      </c>
      <c r="B191" s="1" t="n">
        <v>45560.54571759259</v>
      </c>
      <c r="C191" s="1" t="n">
        <v>45884</v>
      </c>
      <c r="D191" t="inlineStr">
        <is>
          <t>KALMAR LÄN</t>
        </is>
      </c>
      <c r="E191" t="inlineStr">
        <is>
          <t>VÄSTERVIK</t>
        </is>
      </c>
      <c r="G191" t="n">
        <v>5.2</v>
      </c>
      <c r="H191" t="n">
        <v>1</v>
      </c>
      <c r="I191" t="n">
        <v>2</v>
      </c>
      <c r="J191" t="n">
        <v>2</v>
      </c>
      <c r="K191" t="n">
        <v>0</v>
      </c>
      <c r="L191" t="n">
        <v>0</v>
      </c>
      <c r="M191" t="n">
        <v>0</v>
      </c>
      <c r="N191" t="n">
        <v>0</v>
      </c>
      <c r="O191" t="n">
        <v>2</v>
      </c>
      <c r="P191" t="n">
        <v>0</v>
      </c>
      <c r="Q191" t="n">
        <v>4</v>
      </c>
      <c r="R191" s="2" t="inlineStr">
        <is>
          <t>Tallticka
Talltita
Blåmossa
Dropptaggsvamp</t>
        </is>
      </c>
      <c r="S191">
        <f>HYPERLINK("https://klasma.github.io/Logging_0883/artfynd/A 41571-2024 artfynd.xlsx", "A 41571-2024")</f>
        <v/>
      </c>
      <c r="T191">
        <f>HYPERLINK("https://klasma.github.io/Logging_0883/kartor/A 41571-2024 karta.png", "A 41571-2024")</f>
        <v/>
      </c>
      <c r="U191">
        <f>HYPERLINK("https://klasma.github.io/Logging_0883/knärot/A 41571-2024 karta knärot.png", "A 41571-2024")</f>
        <v/>
      </c>
      <c r="V191">
        <f>HYPERLINK("https://klasma.github.io/Logging_0883/klagomål/A 41571-2024 FSC-klagomål.docx", "A 41571-2024")</f>
        <v/>
      </c>
      <c r="W191">
        <f>HYPERLINK("https://klasma.github.io/Logging_0883/klagomålsmail/A 41571-2024 FSC-klagomål mail.docx", "A 41571-2024")</f>
        <v/>
      </c>
      <c r="X191">
        <f>HYPERLINK("https://klasma.github.io/Logging_0883/tillsyn/A 41571-2024 tillsynsbegäran.docx", "A 41571-2024")</f>
        <v/>
      </c>
      <c r="Y191">
        <f>HYPERLINK("https://klasma.github.io/Logging_0883/tillsynsmail/A 41571-2024 tillsynsbegäran mail.docx", "A 41571-2024")</f>
        <v/>
      </c>
      <c r="Z191">
        <f>HYPERLINK("https://klasma.github.io/Logging_0883/fåglar/A 41571-2024 prioriterade fågelarter.docx", "A 41571-2024")</f>
        <v/>
      </c>
    </row>
    <row r="192" ht="15" customHeight="1">
      <c r="A192" t="inlineStr">
        <is>
          <t>A 46007-2023</t>
        </is>
      </c>
      <c r="B192" s="1" t="n">
        <v>45189</v>
      </c>
      <c r="C192" s="1" t="n">
        <v>45884</v>
      </c>
      <c r="D192" t="inlineStr">
        <is>
          <t>KALMAR LÄN</t>
        </is>
      </c>
      <c r="E192" t="inlineStr">
        <is>
          <t>NYBRO</t>
        </is>
      </c>
      <c r="F192" t="inlineStr">
        <is>
          <t>Kyrkan</t>
        </is>
      </c>
      <c r="G192" t="n">
        <v>0.5</v>
      </c>
      <c r="H192" t="n">
        <v>4</v>
      </c>
      <c r="I192" t="n">
        <v>0</v>
      </c>
      <c r="J192" t="n">
        <v>2</v>
      </c>
      <c r="K192" t="n">
        <v>0</v>
      </c>
      <c r="L192" t="n">
        <v>0</v>
      </c>
      <c r="M192" t="n">
        <v>0</v>
      </c>
      <c r="N192" t="n">
        <v>0</v>
      </c>
      <c r="O192" t="n">
        <v>2</v>
      </c>
      <c r="P192" t="n">
        <v>0</v>
      </c>
      <c r="Q192" t="n">
        <v>4</v>
      </c>
      <c r="R192" s="2" t="inlineStr">
        <is>
          <t>Brunlångöra
Nordfladdermus
Dvärgpipistrell
Större brunfladdermus</t>
        </is>
      </c>
      <c r="S192">
        <f>HYPERLINK("https://klasma.github.io/Logging_0881/artfynd/A 46007-2023 artfynd.xlsx", "A 46007-2023")</f>
        <v/>
      </c>
      <c r="T192">
        <f>HYPERLINK("https://klasma.github.io/Logging_0881/kartor/A 46007-2023 karta.png", "A 46007-2023")</f>
        <v/>
      </c>
      <c r="V192">
        <f>HYPERLINK("https://klasma.github.io/Logging_0881/klagomål/A 46007-2023 FSC-klagomål.docx", "A 46007-2023")</f>
        <v/>
      </c>
      <c r="W192">
        <f>HYPERLINK("https://klasma.github.io/Logging_0881/klagomålsmail/A 46007-2023 FSC-klagomål mail.docx", "A 46007-2023")</f>
        <v/>
      </c>
      <c r="X192">
        <f>HYPERLINK("https://klasma.github.io/Logging_0881/tillsyn/A 46007-2023 tillsynsbegäran.docx", "A 46007-2023")</f>
        <v/>
      </c>
      <c r="Y192">
        <f>HYPERLINK("https://klasma.github.io/Logging_0881/tillsynsmail/A 46007-2023 tillsynsbegäran mail.docx", "A 46007-2023")</f>
        <v/>
      </c>
    </row>
    <row r="193" ht="15" customHeight="1">
      <c r="A193" t="inlineStr">
        <is>
          <t>A 54167-2024</t>
        </is>
      </c>
      <c r="B193" s="1" t="n">
        <v>45616.62196759259</v>
      </c>
      <c r="C193" s="1" t="n">
        <v>45884</v>
      </c>
      <c r="D193" t="inlineStr">
        <is>
          <t>KALMAR LÄN</t>
        </is>
      </c>
      <c r="E193" t="inlineStr">
        <is>
          <t>MÖRBYLÅNGA</t>
        </is>
      </c>
      <c r="G193" t="n">
        <v>1.5</v>
      </c>
      <c r="H193" t="n">
        <v>2</v>
      </c>
      <c r="I193" t="n">
        <v>2</v>
      </c>
      <c r="J193" t="n">
        <v>0</v>
      </c>
      <c r="K193" t="n">
        <v>0</v>
      </c>
      <c r="L193" t="n">
        <v>1</v>
      </c>
      <c r="M193" t="n">
        <v>0</v>
      </c>
      <c r="N193" t="n">
        <v>0</v>
      </c>
      <c r="O193" t="n">
        <v>1</v>
      </c>
      <c r="P193" t="n">
        <v>1</v>
      </c>
      <c r="Q193" t="n">
        <v>4</v>
      </c>
      <c r="R193" s="2" t="inlineStr">
        <is>
          <t>Ask
Murgröna
Tvåblad
Blåsippa</t>
        </is>
      </c>
      <c r="S193">
        <f>HYPERLINK("https://klasma.github.io/Logging_0840/artfynd/A 54167-2024 artfynd.xlsx", "A 54167-2024")</f>
        <v/>
      </c>
      <c r="T193">
        <f>HYPERLINK("https://klasma.github.io/Logging_0840/kartor/A 54167-2024 karta.png", "A 54167-2024")</f>
        <v/>
      </c>
      <c r="V193">
        <f>HYPERLINK("https://klasma.github.io/Logging_0840/klagomål/A 54167-2024 FSC-klagomål.docx", "A 54167-2024")</f>
        <v/>
      </c>
      <c r="W193">
        <f>HYPERLINK("https://klasma.github.io/Logging_0840/klagomålsmail/A 54167-2024 FSC-klagomål mail.docx", "A 54167-2024")</f>
        <v/>
      </c>
      <c r="X193">
        <f>HYPERLINK("https://klasma.github.io/Logging_0840/tillsyn/A 54167-2024 tillsynsbegäran.docx", "A 54167-2024")</f>
        <v/>
      </c>
      <c r="Y193">
        <f>HYPERLINK("https://klasma.github.io/Logging_0840/tillsynsmail/A 54167-2024 tillsynsbegäran mail.docx", "A 54167-2024")</f>
        <v/>
      </c>
    </row>
    <row r="194" ht="15" customHeight="1">
      <c r="A194" t="inlineStr">
        <is>
          <t>A 58727-2024</t>
        </is>
      </c>
      <c r="B194" s="1" t="n">
        <v>45635</v>
      </c>
      <c r="C194" s="1" t="n">
        <v>45884</v>
      </c>
      <c r="D194" t="inlineStr">
        <is>
          <t>KALMAR LÄN</t>
        </is>
      </c>
      <c r="E194" t="inlineStr">
        <is>
          <t>VÄSTERVIK</t>
        </is>
      </c>
      <c r="F194" t="inlineStr">
        <is>
          <t>Holmen skog AB</t>
        </is>
      </c>
      <c r="G194" t="n">
        <v>2.8</v>
      </c>
      <c r="H194" t="n">
        <v>3</v>
      </c>
      <c r="I194" t="n">
        <v>1</v>
      </c>
      <c r="J194" t="n">
        <v>3</v>
      </c>
      <c r="K194" t="n">
        <v>0</v>
      </c>
      <c r="L194" t="n">
        <v>0</v>
      </c>
      <c r="M194" t="n">
        <v>0</v>
      </c>
      <c r="N194" t="n">
        <v>0</v>
      </c>
      <c r="O194" t="n">
        <v>3</v>
      </c>
      <c r="P194" t="n">
        <v>0</v>
      </c>
      <c r="Q194" t="n">
        <v>4</v>
      </c>
      <c r="R194" s="2" t="inlineStr">
        <is>
          <t>Havsörn
Spillkråka
Talltita
Blåmossa</t>
        </is>
      </c>
      <c r="S194">
        <f>HYPERLINK("https://klasma.github.io/Logging_0883/artfynd/A 58727-2024 artfynd.xlsx", "A 58727-2024")</f>
        <v/>
      </c>
      <c r="T194">
        <f>HYPERLINK("https://klasma.github.io/Logging_0883/kartor/A 58727-2024 karta.png", "A 58727-2024")</f>
        <v/>
      </c>
      <c r="V194">
        <f>HYPERLINK("https://klasma.github.io/Logging_0883/klagomål/A 58727-2024 FSC-klagomål.docx", "A 58727-2024")</f>
        <v/>
      </c>
      <c r="W194">
        <f>HYPERLINK("https://klasma.github.io/Logging_0883/klagomålsmail/A 58727-2024 FSC-klagomål mail.docx", "A 58727-2024")</f>
        <v/>
      </c>
      <c r="X194">
        <f>HYPERLINK("https://klasma.github.io/Logging_0883/tillsyn/A 58727-2024 tillsynsbegäran.docx", "A 58727-2024")</f>
        <v/>
      </c>
      <c r="Y194">
        <f>HYPERLINK("https://klasma.github.io/Logging_0883/tillsynsmail/A 58727-2024 tillsynsbegäran mail.docx", "A 58727-2024")</f>
        <v/>
      </c>
      <c r="Z194">
        <f>HYPERLINK("https://klasma.github.io/Logging_0883/fåglar/A 58727-2024 prioriterade fågelarter.docx", "A 58727-2024")</f>
        <v/>
      </c>
    </row>
    <row r="195" ht="15" customHeight="1">
      <c r="A195" t="inlineStr">
        <is>
          <t>A 24660-2025</t>
        </is>
      </c>
      <c r="B195" s="1" t="n">
        <v>45798.64248842592</v>
      </c>
      <c r="C195" s="1" t="n">
        <v>45884</v>
      </c>
      <c r="D195" t="inlineStr">
        <is>
          <t>KALMAR LÄN</t>
        </is>
      </c>
      <c r="E195" t="inlineStr">
        <is>
          <t>TORSÅS</t>
        </is>
      </c>
      <c r="G195" t="n">
        <v>2.3</v>
      </c>
      <c r="H195" t="n">
        <v>4</v>
      </c>
      <c r="I195" t="n">
        <v>0</v>
      </c>
      <c r="J195" t="n">
        <v>1</v>
      </c>
      <c r="K195" t="n">
        <v>1</v>
      </c>
      <c r="L195" t="n">
        <v>0</v>
      </c>
      <c r="M195" t="n">
        <v>0</v>
      </c>
      <c r="N195" t="n">
        <v>0</v>
      </c>
      <c r="O195" t="n">
        <v>2</v>
      </c>
      <c r="P195" t="n">
        <v>1</v>
      </c>
      <c r="Q195" t="n">
        <v>4</v>
      </c>
      <c r="R195" s="2" t="inlineStr">
        <is>
          <t>Sydpipistrell
Nordfladdermus
Dvärgpipistrell
Större brunfladdermus</t>
        </is>
      </c>
      <c r="S195">
        <f>HYPERLINK("https://klasma.github.io/Logging_0834/artfynd/A 24660-2025 artfynd.xlsx", "A 24660-2025")</f>
        <v/>
      </c>
      <c r="T195">
        <f>HYPERLINK("https://klasma.github.io/Logging_0834/kartor/A 24660-2025 karta.png", "A 24660-2025")</f>
        <v/>
      </c>
      <c r="V195">
        <f>HYPERLINK("https://klasma.github.io/Logging_0834/klagomål/A 24660-2025 FSC-klagomål.docx", "A 24660-2025")</f>
        <v/>
      </c>
      <c r="W195">
        <f>HYPERLINK("https://klasma.github.io/Logging_0834/klagomålsmail/A 24660-2025 FSC-klagomål mail.docx", "A 24660-2025")</f>
        <v/>
      </c>
      <c r="X195">
        <f>HYPERLINK("https://klasma.github.io/Logging_0834/tillsyn/A 24660-2025 tillsynsbegäran.docx", "A 24660-2025")</f>
        <v/>
      </c>
      <c r="Y195">
        <f>HYPERLINK("https://klasma.github.io/Logging_0834/tillsynsmail/A 24660-2025 tillsynsbegäran mail.docx", "A 24660-2025")</f>
        <v/>
      </c>
    </row>
    <row r="196" ht="15" customHeight="1">
      <c r="A196" t="inlineStr">
        <is>
          <t>A 1650-2022</t>
        </is>
      </c>
      <c r="B196" s="1" t="n">
        <v>44574</v>
      </c>
      <c r="C196" s="1" t="n">
        <v>45884</v>
      </c>
      <c r="D196" t="inlineStr">
        <is>
          <t>KALMAR LÄN</t>
        </is>
      </c>
      <c r="E196" t="inlineStr">
        <is>
          <t>OSKARSHAMN</t>
        </is>
      </c>
      <c r="F196" t="inlineStr">
        <is>
          <t>Kommuner</t>
        </is>
      </c>
      <c r="G196" t="n">
        <v>4</v>
      </c>
      <c r="H196" t="n">
        <v>3</v>
      </c>
      <c r="I196" t="n">
        <v>1</v>
      </c>
      <c r="J196" t="n">
        <v>2</v>
      </c>
      <c r="K196" t="n">
        <v>1</v>
      </c>
      <c r="L196" t="n">
        <v>0</v>
      </c>
      <c r="M196" t="n">
        <v>0</v>
      </c>
      <c r="N196" t="n">
        <v>0</v>
      </c>
      <c r="O196" t="n">
        <v>3</v>
      </c>
      <c r="P196" t="n">
        <v>1</v>
      </c>
      <c r="Q196" t="n">
        <v>4</v>
      </c>
      <c r="R196" s="2" t="inlineStr">
        <is>
          <t>Knärot
Spillkråka
Talltita
Grönpyrola</t>
        </is>
      </c>
      <c r="S196">
        <f>HYPERLINK("https://klasma.github.io/Logging_0882/artfynd/A 1650-2022 artfynd.xlsx", "A 1650-2022")</f>
        <v/>
      </c>
      <c r="T196">
        <f>HYPERLINK("https://klasma.github.io/Logging_0882/kartor/A 1650-2022 karta.png", "A 1650-2022")</f>
        <v/>
      </c>
      <c r="U196">
        <f>HYPERLINK("https://klasma.github.io/Logging_0882/knärot/A 1650-2022 karta knärot.png", "A 1650-2022")</f>
        <v/>
      </c>
      <c r="V196">
        <f>HYPERLINK("https://klasma.github.io/Logging_0882/klagomål/A 1650-2022 FSC-klagomål.docx", "A 1650-2022")</f>
        <v/>
      </c>
      <c r="W196">
        <f>HYPERLINK("https://klasma.github.io/Logging_0882/klagomålsmail/A 1650-2022 FSC-klagomål mail.docx", "A 1650-2022")</f>
        <v/>
      </c>
      <c r="X196">
        <f>HYPERLINK("https://klasma.github.io/Logging_0882/tillsyn/A 1650-2022 tillsynsbegäran.docx", "A 1650-2022")</f>
        <v/>
      </c>
      <c r="Y196">
        <f>HYPERLINK("https://klasma.github.io/Logging_0882/tillsynsmail/A 1650-2022 tillsynsbegäran mail.docx", "A 1650-2022")</f>
        <v/>
      </c>
      <c r="Z196">
        <f>HYPERLINK("https://klasma.github.io/Logging_0882/fåglar/A 1650-2022 prioriterade fågelarter.docx", "A 1650-2022")</f>
        <v/>
      </c>
    </row>
    <row r="197" ht="15" customHeight="1">
      <c r="A197" t="inlineStr">
        <is>
          <t>A 24839-2025</t>
        </is>
      </c>
      <c r="B197" s="1" t="n">
        <v>45799.4640625</v>
      </c>
      <c r="C197" s="1" t="n">
        <v>45884</v>
      </c>
      <c r="D197" t="inlineStr">
        <is>
          <t>KALMAR LÄN</t>
        </is>
      </c>
      <c r="E197" t="inlineStr">
        <is>
          <t>VÄSTERVIK</t>
        </is>
      </c>
      <c r="F197" t="inlineStr">
        <is>
          <t>Holmen skog AB</t>
        </is>
      </c>
      <c r="G197" t="n">
        <v>8.300000000000001</v>
      </c>
      <c r="H197" t="n">
        <v>2</v>
      </c>
      <c r="I197" t="n">
        <v>1</v>
      </c>
      <c r="J197" t="n">
        <v>2</v>
      </c>
      <c r="K197" t="n">
        <v>0</v>
      </c>
      <c r="L197" t="n">
        <v>0</v>
      </c>
      <c r="M197" t="n">
        <v>0</v>
      </c>
      <c r="N197" t="n">
        <v>0</v>
      </c>
      <c r="O197" t="n">
        <v>2</v>
      </c>
      <c r="P197" t="n">
        <v>0</v>
      </c>
      <c r="Q197" t="n">
        <v>4</v>
      </c>
      <c r="R197" s="2" t="inlineStr">
        <is>
          <t>Grönsångare
Tallticka
Murgröna
Kungsfågel</t>
        </is>
      </c>
      <c r="S197">
        <f>HYPERLINK("https://klasma.github.io/Logging_0883/artfynd/A 24839-2025 artfynd.xlsx", "A 24839-2025")</f>
        <v/>
      </c>
      <c r="T197">
        <f>HYPERLINK("https://klasma.github.io/Logging_0883/kartor/A 24839-2025 karta.png", "A 24839-2025")</f>
        <v/>
      </c>
      <c r="V197">
        <f>HYPERLINK("https://klasma.github.io/Logging_0883/klagomål/A 24839-2025 FSC-klagomål.docx", "A 24839-2025")</f>
        <v/>
      </c>
      <c r="W197">
        <f>HYPERLINK("https://klasma.github.io/Logging_0883/klagomålsmail/A 24839-2025 FSC-klagomål mail.docx", "A 24839-2025")</f>
        <v/>
      </c>
      <c r="X197">
        <f>HYPERLINK("https://klasma.github.io/Logging_0883/tillsyn/A 24839-2025 tillsynsbegäran.docx", "A 24839-2025")</f>
        <v/>
      </c>
      <c r="Y197">
        <f>HYPERLINK("https://klasma.github.io/Logging_0883/tillsynsmail/A 24839-2025 tillsynsbegäran mail.docx", "A 24839-2025")</f>
        <v/>
      </c>
      <c r="Z197">
        <f>HYPERLINK("https://klasma.github.io/Logging_0883/fåglar/A 24839-2025 prioriterade fågelarter.docx", "A 24839-2025")</f>
        <v/>
      </c>
    </row>
    <row r="198" ht="15" customHeight="1">
      <c r="A198" t="inlineStr">
        <is>
          <t>A 10781-2025</t>
        </is>
      </c>
      <c r="B198" s="1" t="n">
        <v>45722</v>
      </c>
      <c r="C198" s="1" t="n">
        <v>45884</v>
      </c>
      <c r="D198" t="inlineStr">
        <is>
          <t>KALMAR LÄN</t>
        </is>
      </c>
      <c r="E198" t="inlineStr">
        <is>
          <t>VÄSTERVIK</t>
        </is>
      </c>
      <c r="G198" t="n">
        <v>2.8</v>
      </c>
      <c r="H198" t="n">
        <v>3</v>
      </c>
      <c r="I198" t="n">
        <v>1</v>
      </c>
      <c r="J198" t="n">
        <v>2</v>
      </c>
      <c r="K198" t="n">
        <v>0</v>
      </c>
      <c r="L198" t="n">
        <v>0</v>
      </c>
      <c r="M198" t="n">
        <v>0</v>
      </c>
      <c r="N198" t="n">
        <v>0</v>
      </c>
      <c r="O198" t="n">
        <v>2</v>
      </c>
      <c r="P198" t="n">
        <v>0</v>
      </c>
      <c r="Q198" t="n">
        <v>4</v>
      </c>
      <c r="R198" s="2" t="inlineStr">
        <is>
          <t>Spillkråka
Talltita
Grovticka
Kungsfågel</t>
        </is>
      </c>
      <c r="S198">
        <f>HYPERLINK("https://klasma.github.io/Logging_0883/artfynd/A 10781-2025 artfynd.xlsx", "A 10781-2025")</f>
        <v/>
      </c>
      <c r="T198">
        <f>HYPERLINK("https://klasma.github.io/Logging_0883/kartor/A 10781-2025 karta.png", "A 10781-2025")</f>
        <v/>
      </c>
      <c r="V198">
        <f>HYPERLINK("https://klasma.github.io/Logging_0883/klagomål/A 10781-2025 FSC-klagomål.docx", "A 10781-2025")</f>
        <v/>
      </c>
      <c r="W198">
        <f>HYPERLINK("https://klasma.github.io/Logging_0883/klagomålsmail/A 10781-2025 FSC-klagomål mail.docx", "A 10781-2025")</f>
        <v/>
      </c>
      <c r="X198">
        <f>HYPERLINK("https://klasma.github.io/Logging_0883/tillsyn/A 10781-2025 tillsynsbegäran.docx", "A 10781-2025")</f>
        <v/>
      </c>
      <c r="Y198">
        <f>HYPERLINK("https://klasma.github.io/Logging_0883/tillsynsmail/A 10781-2025 tillsynsbegäran mail.docx", "A 10781-2025")</f>
        <v/>
      </c>
      <c r="Z198">
        <f>HYPERLINK("https://klasma.github.io/Logging_0883/fåglar/A 10781-2025 prioriterade fågelarter.docx", "A 10781-2025")</f>
        <v/>
      </c>
    </row>
    <row r="199" ht="15" customHeight="1">
      <c r="A199" t="inlineStr">
        <is>
          <t>A 34644-2025</t>
        </is>
      </c>
      <c r="B199" s="1" t="n">
        <v>45848.33202546297</v>
      </c>
      <c r="C199" s="1" t="n">
        <v>45884</v>
      </c>
      <c r="D199" t="inlineStr">
        <is>
          <t>KALMAR LÄN</t>
        </is>
      </c>
      <c r="E199" t="inlineStr">
        <is>
          <t>VÄSTERVIK</t>
        </is>
      </c>
      <c r="G199" t="n">
        <v>0.5</v>
      </c>
      <c r="H199" t="n">
        <v>2</v>
      </c>
      <c r="I199" t="n">
        <v>1</v>
      </c>
      <c r="J199" t="n">
        <v>2</v>
      </c>
      <c r="K199" t="n">
        <v>1</v>
      </c>
      <c r="L199" t="n">
        <v>0</v>
      </c>
      <c r="M199" t="n">
        <v>0</v>
      </c>
      <c r="N199" t="n">
        <v>0</v>
      </c>
      <c r="O199" t="n">
        <v>3</v>
      </c>
      <c r="P199" t="n">
        <v>1</v>
      </c>
      <c r="Q199" t="n">
        <v>4</v>
      </c>
      <c r="R199" s="2" t="inlineStr">
        <is>
          <t>Knärot
Fyrflikig jordstjärna
Talltita
Blåmossa</t>
        </is>
      </c>
      <c r="S199">
        <f>HYPERLINK("https://klasma.github.io/Logging_0883/artfynd/A 34644-2025 artfynd.xlsx", "A 34644-2025")</f>
        <v/>
      </c>
      <c r="T199">
        <f>HYPERLINK("https://klasma.github.io/Logging_0883/kartor/A 34644-2025 karta.png", "A 34644-2025")</f>
        <v/>
      </c>
      <c r="U199">
        <f>HYPERLINK("https://klasma.github.io/Logging_0883/knärot/A 34644-2025 karta knärot.png", "A 34644-2025")</f>
        <v/>
      </c>
      <c r="V199">
        <f>HYPERLINK("https://klasma.github.io/Logging_0883/klagomål/A 34644-2025 FSC-klagomål.docx", "A 34644-2025")</f>
        <v/>
      </c>
      <c r="W199">
        <f>HYPERLINK("https://klasma.github.io/Logging_0883/klagomålsmail/A 34644-2025 FSC-klagomål mail.docx", "A 34644-2025")</f>
        <v/>
      </c>
      <c r="X199">
        <f>HYPERLINK("https://klasma.github.io/Logging_0883/tillsyn/A 34644-2025 tillsynsbegäran.docx", "A 34644-2025")</f>
        <v/>
      </c>
      <c r="Y199">
        <f>HYPERLINK("https://klasma.github.io/Logging_0883/tillsynsmail/A 34644-2025 tillsynsbegäran mail.docx", "A 34644-2025")</f>
        <v/>
      </c>
      <c r="Z199">
        <f>HYPERLINK("https://klasma.github.io/Logging_0883/fåglar/A 34644-2025 prioriterade fågelarter.docx", "A 34644-2025")</f>
        <v/>
      </c>
    </row>
    <row r="200" ht="15" customHeight="1">
      <c r="A200" t="inlineStr">
        <is>
          <t>A 26985-2025</t>
        </is>
      </c>
      <c r="B200" s="1" t="n">
        <v>45811</v>
      </c>
      <c r="C200" s="1" t="n">
        <v>45884</v>
      </c>
      <c r="D200" t="inlineStr">
        <is>
          <t>KALMAR LÄN</t>
        </is>
      </c>
      <c r="E200" t="inlineStr">
        <is>
          <t>VÄSTERVIK</t>
        </is>
      </c>
      <c r="G200" t="n">
        <v>2.5</v>
      </c>
      <c r="H200" t="n">
        <v>3</v>
      </c>
      <c r="I200" t="n">
        <v>0</v>
      </c>
      <c r="J200" t="n">
        <v>3</v>
      </c>
      <c r="K200" t="n">
        <v>0</v>
      </c>
      <c r="L200" t="n">
        <v>0</v>
      </c>
      <c r="M200" t="n">
        <v>0</v>
      </c>
      <c r="N200" t="n">
        <v>0</v>
      </c>
      <c r="O200" t="n">
        <v>3</v>
      </c>
      <c r="P200" t="n">
        <v>0</v>
      </c>
      <c r="Q200" t="n">
        <v>4</v>
      </c>
      <c r="R200" s="2" t="inlineStr">
        <is>
          <t>Entita
Spillkråka
Tallticka
Gröngöling</t>
        </is>
      </c>
      <c r="S200">
        <f>HYPERLINK("https://klasma.github.io/Logging_0883/artfynd/A 26985-2025 artfynd.xlsx", "A 26985-2025")</f>
        <v/>
      </c>
      <c r="T200">
        <f>HYPERLINK("https://klasma.github.io/Logging_0883/kartor/A 26985-2025 karta.png", "A 26985-2025")</f>
        <v/>
      </c>
      <c r="V200">
        <f>HYPERLINK("https://klasma.github.io/Logging_0883/klagomål/A 26985-2025 FSC-klagomål.docx", "A 26985-2025")</f>
        <v/>
      </c>
      <c r="W200">
        <f>HYPERLINK("https://klasma.github.io/Logging_0883/klagomålsmail/A 26985-2025 FSC-klagomål mail.docx", "A 26985-2025")</f>
        <v/>
      </c>
      <c r="X200">
        <f>HYPERLINK("https://klasma.github.io/Logging_0883/tillsyn/A 26985-2025 tillsynsbegäran.docx", "A 26985-2025")</f>
        <v/>
      </c>
      <c r="Y200">
        <f>HYPERLINK("https://klasma.github.io/Logging_0883/tillsynsmail/A 26985-2025 tillsynsbegäran mail.docx", "A 26985-2025")</f>
        <v/>
      </c>
      <c r="Z200">
        <f>HYPERLINK("https://klasma.github.io/Logging_0883/fåglar/A 26985-2025 prioriterade fågelarter.docx", "A 26985-2025")</f>
        <v/>
      </c>
    </row>
    <row r="201" ht="15" customHeight="1">
      <c r="A201" t="inlineStr">
        <is>
          <t>A 32645-2023</t>
        </is>
      </c>
      <c r="B201" s="1" t="n">
        <v>45121.60543981481</v>
      </c>
      <c r="C201" s="1" t="n">
        <v>45884</v>
      </c>
      <c r="D201" t="inlineStr">
        <is>
          <t>KALMAR LÄN</t>
        </is>
      </c>
      <c r="E201" t="inlineStr">
        <is>
          <t>VIMMERBY</t>
        </is>
      </c>
      <c r="F201" t="inlineStr">
        <is>
          <t>Sveaskog</t>
        </is>
      </c>
      <c r="G201" t="n">
        <v>1.5</v>
      </c>
      <c r="H201" t="n">
        <v>2</v>
      </c>
      <c r="I201" t="n">
        <v>1</v>
      </c>
      <c r="J201" t="n">
        <v>3</v>
      </c>
      <c r="K201" t="n">
        <v>0</v>
      </c>
      <c r="L201" t="n">
        <v>0</v>
      </c>
      <c r="M201" t="n">
        <v>0</v>
      </c>
      <c r="N201" t="n">
        <v>0</v>
      </c>
      <c r="O201" t="n">
        <v>3</v>
      </c>
      <c r="P201" t="n">
        <v>0</v>
      </c>
      <c r="Q201" t="n">
        <v>4</v>
      </c>
      <c r="R201" s="2" t="inlineStr">
        <is>
          <t>Dvärgbägarlav
Spillkråka
Talltita
Mindre märgborre</t>
        </is>
      </c>
      <c r="S201">
        <f>HYPERLINK("https://klasma.github.io/Logging_0884/artfynd/A 32645-2023 artfynd.xlsx", "A 32645-2023")</f>
        <v/>
      </c>
      <c r="T201">
        <f>HYPERLINK("https://klasma.github.io/Logging_0884/kartor/A 32645-2023 karta.png", "A 32645-2023")</f>
        <v/>
      </c>
      <c r="V201">
        <f>HYPERLINK("https://klasma.github.io/Logging_0884/klagomål/A 32645-2023 FSC-klagomål.docx", "A 32645-2023")</f>
        <v/>
      </c>
      <c r="W201">
        <f>HYPERLINK("https://klasma.github.io/Logging_0884/klagomålsmail/A 32645-2023 FSC-klagomål mail.docx", "A 32645-2023")</f>
        <v/>
      </c>
      <c r="X201">
        <f>HYPERLINK("https://klasma.github.io/Logging_0884/tillsyn/A 32645-2023 tillsynsbegäran.docx", "A 32645-2023")</f>
        <v/>
      </c>
      <c r="Y201">
        <f>HYPERLINK("https://klasma.github.io/Logging_0884/tillsynsmail/A 32645-2023 tillsynsbegäran mail.docx", "A 32645-2023")</f>
        <v/>
      </c>
      <c r="Z201">
        <f>HYPERLINK("https://klasma.github.io/Logging_0884/fåglar/A 32645-2023 prioriterade fågelarter.docx", "A 32645-2023")</f>
        <v/>
      </c>
    </row>
    <row r="202" ht="15" customHeight="1">
      <c r="A202" t="inlineStr">
        <is>
          <t>A 20366-2024</t>
        </is>
      </c>
      <c r="B202" s="1" t="n">
        <v>45435</v>
      </c>
      <c r="C202" s="1" t="n">
        <v>45884</v>
      </c>
      <c r="D202" t="inlineStr">
        <is>
          <t>KALMAR LÄN</t>
        </is>
      </c>
      <c r="E202" t="inlineStr">
        <is>
          <t>VÄSTERVIK</t>
        </is>
      </c>
      <c r="G202" t="n">
        <v>0.8</v>
      </c>
      <c r="H202" t="n">
        <v>3</v>
      </c>
      <c r="I202" t="n">
        <v>1</v>
      </c>
      <c r="J202" t="n">
        <v>3</v>
      </c>
      <c r="K202" t="n">
        <v>0</v>
      </c>
      <c r="L202" t="n">
        <v>0</v>
      </c>
      <c r="M202" t="n">
        <v>0</v>
      </c>
      <c r="N202" t="n">
        <v>0</v>
      </c>
      <c r="O202" t="n">
        <v>3</v>
      </c>
      <c r="P202" t="n">
        <v>0</v>
      </c>
      <c r="Q202" t="n">
        <v>4</v>
      </c>
      <c r="R202" s="2" t="inlineStr">
        <is>
          <t>Entita
Spillkråka
Tallticka
Purpurknipprot</t>
        </is>
      </c>
      <c r="S202">
        <f>HYPERLINK("https://klasma.github.io/Logging_0883/artfynd/A 20366-2024 artfynd.xlsx", "A 20366-2024")</f>
        <v/>
      </c>
      <c r="T202">
        <f>HYPERLINK("https://klasma.github.io/Logging_0883/kartor/A 20366-2024 karta.png", "A 20366-2024")</f>
        <v/>
      </c>
      <c r="V202">
        <f>HYPERLINK("https://klasma.github.io/Logging_0883/klagomål/A 20366-2024 FSC-klagomål.docx", "A 20366-2024")</f>
        <v/>
      </c>
      <c r="W202">
        <f>HYPERLINK("https://klasma.github.io/Logging_0883/klagomålsmail/A 20366-2024 FSC-klagomål mail.docx", "A 20366-2024")</f>
        <v/>
      </c>
      <c r="X202">
        <f>HYPERLINK("https://klasma.github.io/Logging_0883/tillsyn/A 20366-2024 tillsynsbegäran.docx", "A 20366-2024")</f>
        <v/>
      </c>
      <c r="Y202">
        <f>HYPERLINK("https://klasma.github.io/Logging_0883/tillsynsmail/A 20366-2024 tillsynsbegäran mail.docx", "A 20366-2024")</f>
        <v/>
      </c>
      <c r="Z202">
        <f>HYPERLINK("https://klasma.github.io/Logging_0883/fåglar/A 20366-2024 prioriterade fågelarter.docx", "A 20366-2024")</f>
        <v/>
      </c>
    </row>
    <row r="203" ht="15" customHeight="1">
      <c r="A203" t="inlineStr">
        <is>
          <t>A 31914-2025</t>
        </is>
      </c>
      <c r="B203" s="1" t="n">
        <v>45834</v>
      </c>
      <c r="C203" s="1" t="n">
        <v>45884</v>
      </c>
      <c r="D203" t="inlineStr">
        <is>
          <t>KALMAR LÄN</t>
        </is>
      </c>
      <c r="E203" t="inlineStr">
        <is>
          <t>VÄSTERVIK</t>
        </is>
      </c>
      <c r="F203" t="inlineStr">
        <is>
          <t>Holmen skog AB</t>
        </is>
      </c>
      <c r="G203" t="n">
        <v>4.9</v>
      </c>
      <c r="H203" t="n">
        <v>1</v>
      </c>
      <c r="I203" t="n">
        <v>0</v>
      </c>
      <c r="J203" t="n">
        <v>4</v>
      </c>
      <c r="K203" t="n">
        <v>0</v>
      </c>
      <c r="L203" t="n">
        <v>0</v>
      </c>
      <c r="M203" t="n">
        <v>0</v>
      </c>
      <c r="N203" t="n">
        <v>0</v>
      </c>
      <c r="O203" t="n">
        <v>4</v>
      </c>
      <c r="P203" t="n">
        <v>0</v>
      </c>
      <c r="Q203" t="n">
        <v>4</v>
      </c>
      <c r="R203" s="2" t="inlineStr">
        <is>
          <t>Mindre bastardsvärmare
Sexfläckig bastardsvärmare
Smalsprötad bastardsvärmare
Spillkråka</t>
        </is>
      </c>
      <c r="S203">
        <f>HYPERLINK("https://klasma.github.io/Logging_0883/artfynd/A 31914-2025 artfynd.xlsx", "A 31914-2025")</f>
        <v/>
      </c>
      <c r="T203">
        <f>HYPERLINK("https://klasma.github.io/Logging_0883/kartor/A 31914-2025 karta.png", "A 31914-2025")</f>
        <v/>
      </c>
      <c r="V203">
        <f>HYPERLINK("https://klasma.github.io/Logging_0883/klagomål/A 31914-2025 FSC-klagomål.docx", "A 31914-2025")</f>
        <v/>
      </c>
      <c r="W203">
        <f>HYPERLINK("https://klasma.github.io/Logging_0883/klagomålsmail/A 31914-2025 FSC-klagomål mail.docx", "A 31914-2025")</f>
        <v/>
      </c>
      <c r="X203">
        <f>HYPERLINK("https://klasma.github.io/Logging_0883/tillsyn/A 31914-2025 tillsynsbegäran.docx", "A 31914-2025")</f>
        <v/>
      </c>
      <c r="Y203">
        <f>HYPERLINK("https://klasma.github.io/Logging_0883/tillsynsmail/A 31914-2025 tillsynsbegäran mail.docx", "A 31914-2025")</f>
        <v/>
      </c>
      <c r="Z203">
        <f>HYPERLINK("https://klasma.github.io/Logging_0883/fåglar/A 31914-2025 prioriterade fågelarter.docx", "A 31914-2025")</f>
        <v/>
      </c>
    </row>
    <row r="204" ht="15" customHeight="1">
      <c r="A204" t="inlineStr">
        <is>
          <t>A 28946-2025</t>
        </is>
      </c>
      <c r="B204" s="1" t="n">
        <v>45820.77337962963</v>
      </c>
      <c r="C204" s="1" t="n">
        <v>45884</v>
      </c>
      <c r="D204" t="inlineStr">
        <is>
          <t>KALMAR LÄN</t>
        </is>
      </c>
      <c r="E204" t="inlineStr">
        <is>
          <t>TORSÅS</t>
        </is>
      </c>
      <c r="G204" t="n">
        <v>4.1</v>
      </c>
      <c r="H204" t="n">
        <v>1</v>
      </c>
      <c r="I204" t="n">
        <v>0</v>
      </c>
      <c r="J204" t="n">
        <v>3</v>
      </c>
      <c r="K204" t="n">
        <v>0</v>
      </c>
      <c r="L204" t="n">
        <v>0</v>
      </c>
      <c r="M204" t="n">
        <v>0</v>
      </c>
      <c r="N204" t="n">
        <v>0</v>
      </c>
      <c r="O204" t="n">
        <v>3</v>
      </c>
      <c r="P204" t="n">
        <v>0</v>
      </c>
      <c r="Q204" t="n">
        <v>4</v>
      </c>
      <c r="R204" s="2" t="inlineStr">
        <is>
          <t>Korskovall
Krusfrö
Vippärt
Blåsippa</t>
        </is>
      </c>
      <c r="S204">
        <f>HYPERLINK("https://klasma.github.io/Logging_0834/artfynd/A 28946-2025 artfynd.xlsx", "A 28946-2025")</f>
        <v/>
      </c>
      <c r="T204">
        <f>HYPERLINK("https://klasma.github.io/Logging_0834/kartor/A 28946-2025 karta.png", "A 28946-2025")</f>
        <v/>
      </c>
      <c r="V204">
        <f>HYPERLINK("https://klasma.github.io/Logging_0834/klagomål/A 28946-2025 FSC-klagomål.docx", "A 28946-2025")</f>
        <v/>
      </c>
      <c r="W204">
        <f>HYPERLINK("https://klasma.github.io/Logging_0834/klagomålsmail/A 28946-2025 FSC-klagomål mail.docx", "A 28946-2025")</f>
        <v/>
      </c>
      <c r="X204">
        <f>HYPERLINK("https://klasma.github.io/Logging_0834/tillsyn/A 28946-2025 tillsynsbegäran.docx", "A 28946-2025")</f>
        <v/>
      </c>
      <c r="Y204">
        <f>HYPERLINK("https://klasma.github.io/Logging_0834/tillsynsmail/A 28946-2025 tillsynsbegäran mail.docx", "A 28946-2025")</f>
        <v/>
      </c>
    </row>
    <row r="205" ht="15" customHeight="1">
      <c r="A205" t="inlineStr">
        <is>
          <t>A 31909-2025</t>
        </is>
      </c>
      <c r="B205" s="1" t="n">
        <v>45834.69547453704</v>
      </c>
      <c r="C205" s="1" t="n">
        <v>45884</v>
      </c>
      <c r="D205" t="inlineStr">
        <is>
          <t>KALMAR LÄN</t>
        </is>
      </c>
      <c r="E205" t="inlineStr">
        <is>
          <t>MÖNSTERÅS</t>
        </is>
      </c>
      <c r="G205" t="n">
        <v>2</v>
      </c>
      <c r="H205" t="n">
        <v>1</v>
      </c>
      <c r="I205" t="n">
        <v>3</v>
      </c>
      <c r="J205" t="n">
        <v>1</v>
      </c>
      <c r="K205" t="n">
        <v>0</v>
      </c>
      <c r="L205" t="n">
        <v>0</v>
      </c>
      <c r="M205" t="n">
        <v>0</v>
      </c>
      <c r="N205" t="n">
        <v>0</v>
      </c>
      <c r="O205" t="n">
        <v>1</v>
      </c>
      <c r="P205" t="n">
        <v>0</v>
      </c>
      <c r="Q205" t="n">
        <v>4</v>
      </c>
      <c r="R205" s="2" t="inlineStr">
        <is>
          <t>Spillkråka
Blåmossa
Grovticka
Grönpyrola</t>
        </is>
      </c>
      <c r="S205">
        <f>HYPERLINK("https://klasma.github.io/Logging_0861/artfynd/A 31909-2025 artfynd.xlsx", "A 31909-2025")</f>
        <v/>
      </c>
      <c r="T205">
        <f>HYPERLINK("https://klasma.github.io/Logging_0861/kartor/A 31909-2025 karta.png", "A 31909-2025")</f>
        <v/>
      </c>
      <c r="V205">
        <f>HYPERLINK("https://klasma.github.io/Logging_0861/klagomål/A 31909-2025 FSC-klagomål.docx", "A 31909-2025")</f>
        <v/>
      </c>
      <c r="W205">
        <f>HYPERLINK("https://klasma.github.io/Logging_0861/klagomålsmail/A 31909-2025 FSC-klagomål mail.docx", "A 31909-2025")</f>
        <v/>
      </c>
      <c r="X205">
        <f>HYPERLINK("https://klasma.github.io/Logging_0861/tillsyn/A 31909-2025 tillsynsbegäran.docx", "A 31909-2025")</f>
        <v/>
      </c>
      <c r="Y205">
        <f>HYPERLINK("https://klasma.github.io/Logging_0861/tillsynsmail/A 31909-2025 tillsynsbegäran mail.docx", "A 31909-2025")</f>
        <v/>
      </c>
      <c r="Z205">
        <f>HYPERLINK("https://klasma.github.io/Logging_0861/fåglar/A 31909-2025 prioriterade fågelarter.docx", "A 31909-2025")</f>
        <v/>
      </c>
    </row>
    <row r="206" ht="15" customHeight="1">
      <c r="A206" t="inlineStr">
        <is>
          <t>A 3075-2025</t>
        </is>
      </c>
      <c r="B206" s="1" t="n">
        <v>45678.64175925926</v>
      </c>
      <c r="C206" s="1" t="n">
        <v>45884</v>
      </c>
      <c r="D206" t="inlineStr">
        <is>
          <t>KALMAR LÄN</t>
        </is>
      </c>
      <c r="E206" t="inlineStr">
        <is>
          <t>VIMMERBY</t>
        </is>
      </c>
      <c r="G206" t="n">
        <v>4.5</v>
      </c>
      <c r="H206" t="n">
        <v>4</v>
      </c>
      <c r="I206" t="n">
        <v>0</v>
      </c>
      <c r="J206" t="n">
        <v>2</v>
      </c>
      <c r="K206" t="n">
        <v>1</v>
      </c>
      <c r="L206" t="n">
        <v>0</v>
      </c>
      <c r="M206" t="n">
        <v>0</v>
      </c>
      <c r="N206" t="n">
        <v>0</v>
      </c>
      <c r="O206" t="n">
        <v>3</v>
      </c>
      <c r="P206" t="n">
        <v>1</v>
      </c>
      <c r="Q206" t="n">
        <v>4</v>
      </c>
      <c r="R206" s="2" t="inlineStr">
        <is>
          <t>Knärot
Spillkråka
Talltita
Kungsfågel</t>
        </is>
      </c>
      <c r="S206">
        <f>HYPERLINK("https://klasma.github.io/Logging_0884/artfynd/A 3075-2025 artfynd.xlsx", "A 3075-2025")</f>
        <v/>
      </c>
      <c r="T206">
        <f>HYPERLINK("https://klasma.github.io/Logging_0884/kartor/A 3075-2025 karta.png", "A 3075-2025")</f>
        <v/>
      </c>
      <c r="U206">
        <f>HYPERLINK("https://klasma.github.io/Logging_0884/knärot/A 3075-2025 karta knärot.png", "A 3075-2025")</f>
        <v/>
      </c>
      <c r="V206">
        <f>HYPERLINK("https://klasma.github.io/Logging_0884/klagomål/A 3075-2025 FSC-klagomål.docx", "A 3075-2025")</f>
        <v/>
      </c>
      <c r="W206">
        <f>HYPERLINK("https://klasma.github.io/Logging_0884/klagomålsmail/A 3075-2025 FSC-klagomål mail.docx", "A 3075-2025")</f>
        <v/>
      </c>
      <c r="X206">
        <f>HYPERLINK("https://klasma.github.io/Logging_0884/tillsyn/A 3075-2025 tillsynsbegäran.docx", "A 3075-2025")</f>
        <v/>
      </c>
      <c r="Y206">
        <f>HYPERLINK("https://klasma.github.io/Logging_0884/tillsynsmail/A 3075-2025 tillsynsbegäran mail.docx", "A 3075-2025")</f>
        <v/>
      </c>
      <c r="Z206">
        <f>HYPERLINK("https://klasma.github.io/Logging_0884/fåglar/A 3075-2025 prioriterade fågelarter.docx", "A 3075-2025")</f>
        <v/>
      </c>
    </row>
    <row r="207" ht="15" customHeight="1">
      <c r="A207" t="inlineStr">
        <is>
          <t>A 6472-2025</t>
        </is>
      </c>
      <c r="B207" s="1" t="n">
        <v>45699</v>
      </c>
      <c r="C207" s="1" t="n">
        <v>45884</v>
      </c>
      <c r="D207" t="inlineStr">
        <is>
          <t>KALMAR LÄN</t>
        </is>
      </c>
      <c r="E207" t="inlineStr">
        <is>
          <t>VÄSTERVIK</t>
        </is>
      </c>
      <c r="F207" t="inlineStr">
        <is>
          <t>Holmen skog AB</t>
        </is>
      </c>
      <c r="G207" t="n">
        <v>4.3</v>
      </c>
      <c r="H207" t="n">
        <v>4</v>
      </c>
      <c r="I207" t="n">
        <v>0</v>
      </c>
      <c r="J207" t="n">
        <v>2</v>
      </c>
      <c r="K207" t="n">
        <v>0</v>
      </c>
      <c r="L207" t="n">
        <v>0</v>
      </c>
      <c r="M207" t="n">
        <v>0</v>
      </c>
      <c r="N207" t="n">
        <v>0</v>
      </c>
      <c r="O207" t="n">
        <v>2</v>
      </c>
      <c r="P207" t="n">
        <v>0</v>
      </c>
      <c r="Q207" t="n">
        <v>4</v>
      </c>
      <c r="R207" s="2" t="inlineStr">
        <is>
          <t>Spillkråka
Talltita
Kungsfågel
Revlummer</t>
        </is>
      </c>
      <c r="S207">
        <f>HYPERLINK("https://klasma.github.io/Logging_0883/artfynd/A 6472-2025 artfynd.xlsx", "A 6472-2025")</f>
        <v/>
      </c>
      <c r="T207">
        <f>HYPERLINK("https://klasma.github.io/Logging_0883/kartor/A 6472-2025 karta.png", "A 6472-2025")</f>
        <v/>
      </c>
      <c r="V207">
        <f>HYPERLINK("https://klasma.github.io/Logging_0883/klagomål/A 6472-2025 FSC-klagomål.docx", "A 6472-2025")</f>
        <v/>
      </c>
      <c r="W207">
        <f>HYPERLINK("https://klasma.github.io/Logging_0883/klagomålsmail/A 6472-2025 FSC-klagomål mail.docx", "A 6472-2025")</f>
        <v/>
      </c>
      <c r="X207">
        <f>HYPERLINK("https://klasma.github.io/Logging_0883/tillsyn/A 6472-2025 tillsynsbegäran.docx", "A 6472-2025")</f>
        <v/>
      </c>
      <c r="Y207">
        <f>HYPERLINK("https://klasma.github.io/Logging_0883/tillsynsmail/A 6472-2025 tillsynsbegäran mail.docx", "A 6472-2025")</f>
        <v/>
      </c>
      <c r="Z207">
        <f>HYPERLINK("https://klasma.github.io/Logging_0883/fåglar/A 6472-2025 prioriterade fågelarter.docx", "A 6472-2025")</f>
        <v/>
      </c>
    </row>
    <row r="208" ht="15" customHeight="1">
      <c r="A208" t="inlineStr">
        <is>
          <t>A 58955-2022</t>
        </is>
      </c>
      <c r="B208" s="1" t="n">
        <v>44896</v>
      </c>
      <c r="C208" s="1" t="n">
        <v>45884</v>
      </c>
      <c r="D208" t="inlineStr">
        <is>
          <t>KALMAR LÄN</t>
        </is>
      </c>
      <c r="E208" t="inlineStr">
        <is>
          <t>VÄSTERVIK</t>
        </is>
      </c>
      <c r="G208" t="n">
        <v>4.5</v>
      </c>
      <c r="H208" t="n">
        <v>2</v>
      </c>
      <c r="I208" t="n">
        <v>1</v>
      </c>
      <c r="J208" t="n">
        <v>1</v>
      </c>
      <c r="K208" t="n">
        <v>1</v>
      </c>
      <c r="L208" t="n">
        <v>0</v>
      </c>
      <c r="M208" t="n">
        <v>0</v>
      </c>
      <c r="N208" t="n">
        <v>0</v>
      </c>
      <c r="O208" t="n">
        <v>2</v>
      </c>
      <c r="P208" t="n">
        <v>1</v>
      </c>
      <c r="Q208" t="n">
        <v>4</v>
      </c>
      <c r="R208" s="2" t="inlineStr">
        <is>
          <t>Knärot
Tallticka
Hasselticka
Blåsippa</t>
        </is>
      </c>
      <c r="S208">
        <f>HYPERLINK("https://klasma.github.io/Logging_0883/artfynd/A 58955-2022 artfynd.xlsx", "A 58955-2022")</f>
        <v/>
      </c>
      <c r="T208">
        <f>HYPERLINK("https://klasma.github.io/Logging_0883/kartor/A 58955-2022 karta.png", "A 58955-2022")</f>
        <v/>
      </c>
      <c r="U208">
        <f>HYPERLINK("https://klasma.github.io/Logging_0883/knärot/A 58955-2022 karta knärot.png", "A 58955-2022")</f>
        <v/>
      </c>
      <c r="V208">
        <f>HYPERLINK("https://klasma.github.io/Logging_0883/klagomål/A 58955-2022 FSC-klagomål.docx", "A 58955-2022")</f>
        <v/>
      </c>
      <c r="W208">
        <f>HYPERLINK("https://klasma.github.io/Logging_0883/klagomålsmail/A 58955-2022 FSC-klagomål mail.docx", "A 58955-2022")</f>
        <v/>
      </c>
      <c r="X208">
        <f>HYPERLINK("https://klasma.github.io/Logging_0883/tillsyn/A 58955-2022 tillsynsbegäran.docx", "A 58955-2022")</f>
        <v/>
      </c>
      <c r="Y208">
        <f>HYPERLINK("https://klasma.github.io/Logging_0883/tillsynsmail/A 58955-2022 tillsynsbegäran mail.docx", "A 58955-2022")</f>
        <v/>
      </c>
    </row>
    <row r="209" ht="15" customHeight="1">
      <c r="A209" t="inlineStr">
        <is>
          <t>A 33105-2025</t>
        </is>
      </c>
      <c r="B209" s="1" t="n">
        <v>45840.48475694445</v>
      </c>
      <c r="C209" s="1" t="n">
        <v>45884</v>
      </c>
      <c r="D209" t="inlineStr">
        <is>
          <t>KALMAR LÄN</t>
        </is>
      </c>
      <c r="E209" t="inlineStr">
        <is>
          <t>MÖNSTERÅS</t>
        </is>
      </c>
      <c r="G209" t="n">
        <v>6</v>
      </c>
      <c r="H209" t="n">
        <v>1</v>
      </c>
      <c r="I209" t="n">
        <v>1</v>
      </c>
      <c r="J209" t="n">
        <v>3</v>
      </c>
      <c r="K209" t="n">
        <v>0</v>
      </c>
      <c r="L209" t="n">
        <v>0</v>
      </c>
      <c r="M209" t="n">
        <v>0</v>
      </c>
      <c r="N209" t="n">
        <v>0</v>
      </c>
      <c r="O209" t="n">
        <v>3</v>
      </c>
      <c r="P209" t="n">
        <v>0</v>
      </c>
      <c r="Q209" t="n">
        <v>4</v>
      </c>
      <c r="R209" s="2" t="inlineStr">
        <is>
          <t>Spillkråka
Tallticka
Vedskivlav
Grovticka</t>
        </is>
      </c>
      <c r="S209">
        <f>HYPERLINK("https://klasma.github.io/Logging_0861/artfynd/A 33105-2025 artfynd.xlsx", "A 33105-2025")</f>
        <v/>
      </c>
      <c r="T209">
        <f>HYPERLINK("https://klasma.github.io/Logging_0861/kartor/A 33105-2025 karta.png", "A 33105-2025")</f>
        <v/>
      </c>
      <c r="V209">
        <f>HYPERLINK("https://klasma.github.io/Logging_0861/klagomål/A 33105-2025 FSC-klagomål.docx", "A 33105-2025")</f>
        <v/>
      </c>
      <c r="W209">
        <f>HYPERLINK("https://klasma.github.io/Logging_0861/klagomålsmail/A 33105-2025 FSC-klagomål mail.docx", "A 33105-2025")</f>
        <v/>
      </c>
      <c r="X209">
        <f>HYPERLINK("https://klasma.github.io/Logging_0861/tillsyn/A 33105-2025 tillsynsbegäran.docx", "A 33105-2025")</f>
        <v/>
      </c>
      <c r="Y209">
        <f>HYPERLINK("https://klasma.github.io/Logging_0861/tillsynsmail/A 33105-2025 tillsynsbegäran mail.docx", "A 33105-2025")</f>
        <v/>
      </c>
      <c r="Z209">
        <f>HYPERLINK("https://klasma.github.io/Logging_0861/fåglar/A 33105-2025 prioriterade fågelarter.docx", "A 33105-2025")</f>
        <v/>
      </c>
    </row>
    <row r="210" ht="15" customHeight="1">
      <c r="A210" t="inlineStr">
        <is>
          <t>A 29112-2025</t>
        </is>
      </c>
      <c r="B210" s="1" t="n">
        <v>45821</v>
      </c>
      <c r="C210" s="1" t="n">
        <v>45884</v>
      </c>
      <c r="D210" t="inlineStr">
        <is>
          <t>KALMAR LÄN</t>
        </is>
      </c>
      <c r="E210" t="inlineStr">
        <is>
          <t>VIMMERBY</t>
        </is>
      </c>
      <c r="G210" t="n">
        <v>10.4</v>
      </c>
      <c r="H210" t="n">
        <v>2</v>
      </c>
      <c r="I210" t="n">
        <v>2</v>
      </c>
      <c r="J210" t="n">
        <v>0</v>
      </c>
      <c r="K210" t="n">
        <v>1</v>
      </c>
      <c r="L210" t="n">
        <v>0</v>
      </c>
      <c r="M210" t="n">
        <v>0</v>
      </c>
      <c r="N210" t="n">
        <v>0</v>
      </c>
      <c r="O210" t="n">
        <v>1</v>
      </c>
      <c r="P210" t="n">
        <v>1</v>
      </c>
      <c r="Q210" t="n">
        <v>4</v>
      </c>
      <c r="R210" s="2" t="inlineStr">
        <is>
          <t>Knärot
Grovticka
Grönpyrola
Åkergroda</t>
        </is>
      </c>
      <c r="S210">
        <f>HYPERLINK("https://klasma.github.io/Logging_0884/artfynd/A 29112-2025 artfynd.xlsx", "A 29112-2025")</f>
        <v/>
      </c>
      <c r="T210">
        <f>HYPERLINK("https://klasma.github.io/Logging_0884/kartor/A 29112-2025 karta.png", "A 29112-2025")</f>
        <v/>
      </c>
      <c r="U210">
        <f>HYPERLINK("https://klasma.github.io/Logging_0884/knärot/A 29112-2025 karta knärot.png", "A 29112-2025")</f>
        <v/>
      </c>
      <c r="V210">
        <f>HYPERLINK("https://klasma.github.io/Logging_0884/klagomål/A 29112-2025 FSC-klagomål.docx", "A 29112-2025")</f>
        <v/>
      </c>
      <c r="W210">
        <f>HYPERLINK("https://klasma.github.io/Logging_0884/klagomålsmail/A 29112-2025 FSC-klagomål mail.docx", "A 29112-2025")</f>
        <v/>
      </c>
      <c r="X210">
        <f>HYPERLINK("https://klasma.github.io/Logging_0884/tillsyn/A 29112-2025 tillsynsbegäran.docx", "A 29112-2025")</f>
        <v/>
      </c>
      <c r="Y210">
        <f>HYPERLINK("https://klasma.github.io/Logging_0884/tillsynsmail/A 29112-2025 tillsynsbegäran mail.docx", "A 29112-2025")</f>
        <v/>
      </c>
    </row>
    <row r="211" ht="15" customHeight="1">
      <c r="A211" t="inlineStr">
        <is>
          <t>A 4574-2021</t>
        </is>
      </c>
      <c r="B211" s="1" t="n">
        <v>44224</v>
      </c>
      <c r="C211" s="1" t="n">
        <v>45884</v>
      </c>
      <c r="D211" t="inlineStr">
        <is>
          <t>KALMAR LÄN</t>
        </is>
      </c>
      <c r="E211" t="inlineStr">
        <is>
          <t>HULTSFRED</t>
        </is>
      </c>
      <c r="G211" t="n">
        <v>7.2</v>
      </c>
      <c r="H211" t="n">
        <v>3</v>
      </c>
      <c r="I211" t="n">
        <v>0</v>
      </c>
      <c r="J211" t="n">
        <v>0</v>
      </c>
      <c r="K211" t="n">
        <v>0</v>
      </c>
      <c r="L211" t="n">
        <v>0</v>
      </c>
      <c r="M211" t="n">
        <v>0</v>
      </c>
      <c r="N211" t="n">
        <v>0</v>
      </c>
      <c r="O211" t="n">
        <v>0</v>
      </c>
      <c r="P211" t="n">
        <v>0</v>
      </c>
      <c r="Q211" t="n">
        <v>3</v>
      </c>
      <c r="R211" s="2" t="inlineStr">
        <is>
          <t>Fläcknycklar
Grönvit nattviol
Mattlummer</t>
        </is>
      </c>
      <c r="S211">
        <f>HYPERLINK("https://klasma.github.io/Logging_0860/artfynd/A 4574-2021 artfynd.xlsx", "A 4574-2021")</f>
        <v/>
      </c>
      <c r="T211">
        <f>HYPERLINK("https://klasma.github.io/Logging_0860/kartor/A 4574-2021 karta.png", "A 4574-2021")</f>
        <v/>
      </c>
      <c r="V211">
        <f>HYPERLINK("https://klasma.github.io/Logging_0860/klagomål/A 4574-2021 FSC-klagomål.docx", "A 4574-2021")</f>
        <v/>
      </c>
      <c r="W211">
        <f>HYPERLINK("https://klasma.github.io/Logging_0860/klagomålsmail/A 4574-2021 FSC-klagomål mail.docx", "A 4574-2021")</f>
        <v/>
      </c>
      <c r="X211">
        <f>HYPERLINK("https://klasma.github.io/Logging_0860/tillsyn/A 4574-2021 tillsynsbegäran.docx", "A 4574-2021")</f>
        <v/>
      </c>
      <c r="Y211">
        <f>HYPERLINK("https://klasma.github.io/Logging_0860/tillsynsmail/A 4574-2021 tillsynsbegäran mail.docx", "A 4574-2021")</f>
        <v/>
      </c>
    </row>
    <row r="212" ht="15" customHeight="1">
      <c r="A212" t="inlineStr">
        <is>
          <t>A 52906-2021</t>
        </is>
      </c>
      <c r="B212" s="1" t="n">
        <v>44467</v>
      </c>
      <c r="C212" s="1" t="n">
        <v>45884</v>
      </c>
      <c r="D212" t="inlineStr">
        <is>
          <t>KALMAR LÄN</t>
        </is>
      </c>
      <c r="E212" t="inlineStr">
        <is>
          <t>MÖRBYLÅNGA</t>
        </is>
      </c>
      <c r="G212" t="n">
        <v>2.1</v>
      </c>
      <c r="H212" t="n">
        <v>2</v>
      </c>
      <c r="I212" t="n">
        <v>1</v>
      </c>
      <c r="J212" t="n">
        <v>2</v>
      </c>
      <c r="K212" t="n">
        <v>0</v>
      </c>
      <c r="L212" t="n">
        <v>0</v>
      </c>
      <c r="M212" t="n">
        <v>0</v>
      </c>
      <c r="N212" t="n">
        <v>0</v>
      </c>
      <c r="O212" t="n">
        <v>2</v>
      </c>
      <c r="P212" t="n">
        <v>0</v>
      </c>
      <c r="Q212" t="n">
        <v>3</v>
      </c>
      <c r="R212" s="2" t="inlineStr">
        <is>
          <t>Gulsparv
Rödvingetrast
Lindspindling</t>
        </is>
      </c>
      <c r="S212">
        <f>HYPERLINK("https://klasma.github.io/Logging_0840/artfynd/A 52906-2021 artfynd.xlsx", "A 52906-2021")</f>
        <v/>
      </c>
      <c r="T212">
        <f>HYPERLINK("https://klasma.github.io/Logging_0840/kartor/A 52906-2021 karta.png", "A 52906-2021")</f>
        <v/>
      </c>
      <c r="V212">
        <f>HYPERLINK("https://klasma.github.io/Logging_0840/klagomål/A 52906-2021 FSC-klagomål.docx", "A 52906-2021")</f>
        <v/>
      </c>
      <c r="W212">
        <f>HYPERLINK("https://klasma.github.io/Logging_0840/klagomålsmail/A 52906-2021 FSC-klagomål mail.docx", "A 52906-2021")</f>
        <v/>
      </c>
      <c r="X212">
        <f>HYPERLINK("https://klasma.github.io/Logging_0840/tillsyn/A 52906-2021 tillsynsbegäran.docx", "A 52906-2021")</f>
        <v/>
      </c>
      <c r="Y212">
        <f>HYPERLINK("https://klasma.github.io/Logging_0840/tillsynsmail/A 52906-2021 tillsynsbegäran mail.docx", "A 52906-2021")</f>
        <v/>
      </c>
      <c r="Z212">
        <f>HYPERLINK("https://klasma.github.io/Logging_0840/fåglar/A 52906-2021 prioriterade fågelarter.docx", "A 52906-2021")</f>
        <v/>
      </c>
    </row>
    <row r="213" ht="15" customHeight="1">
      <c r="A213" t="inlineStr">
        <is>
          <t>A 59111-2021</t>
        </is>
      </c>
      <c r="B213" s="1" t="n">
        <v>44490</v>
      </c>
      <c r="C213" s="1" t="n">
        <v>45884</v>
      </c>
      <c r="D213" t="inlineStr">
        <is>
          <t>KALMAR LÄN</t>
        </is>
      </c>
      <c r="E213" t="inlineStr">
        <is>
          <t>NYBRO</t>
        </is>
      </c>
      <c r="F213" t="inlineStr">
        <is>
          <t>Kommuner</t>
        </is>
      </c>
      <c r="G213" t="n">
        <v>3.2</v>
      </c>
      <c r="H213" t="n">
        <v>0</v>
      </c>
      <c r="I213" t="n">
        <v>3</v>
      </c>
      <c r="J213" t="n">
        <v>0</v>
      </c>
      <c r="K213" t="n">
        <v>0</v>
      </c>
      <c r="L213" t="n">
        <v>0</v>
      </c>
      <c r="M213" t="n">
        <v>0</v>
      </c>
      <c r="N213" t="n">
        <v>0</v>
      </c>
      <c r="O213" t="n">
        <v>0</v>
      </c>
      <c r="P213" t="n">
        <v>0</v>
      </c>
      <c r="Q213" t="n">
        <v>3</v>
      </c>
      <c r="R213" s="2" t="inlineStr">
        <is>
          <t>Brandticka
Grovticka
Tjockfotad fingersvamp</t>
        </is>
      </c>
      <c r="S213">
        <f>HYPERLINK("https://klasma.github.io/Logging_0881/artfynd/A 59111-2021 artfynd.xlsx", "A 59111-2021")</f>
        <v/>
      </c>
      <c r="T213">
        <f>HYPERLINK("https://klasma.github.io/Logging_0881/kartor/A 59111-2021 karta.png", "A 59111-2021")</f>
        <v/>
      </c>
      <c r="V213">
        <f>HYPERLINK("https://klasma.github.io/Logging_0881/klagomål/A 59111-2021 FSC-klagomål.docx", "A 59111-2021")</f>
        <v/>
      </c>
      <c r="W213">
        <f>HYPERLINK("https://klasma.github.io/Logging_0881/klagomålsmail/A 59111-2021 FSC-klagomål mail.docx", "A 59111-2021")</f>
        <v/>
      </c>
      <c r="X213">
        <f>HYPERLINK("https://klasma.github.io/Logging_0881/tillsyn/A 59111-2021 tillsynsbegäran.docx", "A 59111-2021")</f>
        <v/>
      </c>
      <c r="Y213">
        <f>HYPERLINK("https://klasma.github.io/Logging_0881/tillsynsmail/A 59111-2021 tillsynsbegäran mail.docx", "A 59111-2021")</f>
        <v/>
      </c>
    </row>
    <row r="214" ht="15" customHeight="1">
      <c r="A214" t="inlineStr">
        <is>
          <t>A 12711-2022</t>
        </is>
      </c>
      <c r="B214" s="1" t="n">
        <v>44641</v>
      </c>
      <c r="C214" s="1" t="n">
        <v>45884</v>
      </c>
      <c r="D214" t="inlineStr">
        <is>
          <t>KALMAR LÄN</t>
        </is>
      </c>
      <c r="E214" t="inlineStr">
        <is>
          <t>HULTSFRED</t>
        </is>
      </c>
      <c r="F214" t="inlineStr">
        <is>
          <t>Kommuner</t>
        </is>
      </c>
      <c r="G214" t="n">
        <v>0.4</v>
      </c>
      <c r="H214" t="n">
        <v>2</v>
      </c>
      <c r="I214" t="n">
        <v>1</v>
      </c>
      <c r="J214" t="n">
        <v>0</v>
      </c>
      <c r="K214" t="n">
        <v>1</v>
      </c>
      <c r="L214" t="n">
        <v>0</v>
      </c>
      <c r="M214" t="n">
        <v>0</v>
      </c>
      <c r="N214" t="n">
        <v>0</v>
      </c>
      <c r="O214" t="n">
        <v>1</v>
      </c>
      <c r="P214" t="n">
        <v>1</v>
      </c>
      <c r="Q214" t="n">
        <v>3</v>
      </c>
      <c r="R214" s="2" t="inlineStr">
        <is>
          <t>Kungsfiskare
Tibast
Gullviva</t>
        </is>
      </c>
      <c r="S214">
        <f>HYPERLINK("https://klasma.github.io/Logging_0860/artfynd/A 12711-2022 artfynd.xlsx", "A 12711-2022")</f>
        <v/>
      </c>
      <c r="T214">
        <f>HYPERLINK("https://klasma.github.io/Logging_0860/kartor/A 12711-2022 karta.png", "A 12711-2022")</f>
        <v/>
      </c>
      <c r="V214">
        <f>HYPERLINK("https://klasma.github.io/Logging_0860/klagomål/A 12711-2022 FSC-klagomål.docx", "A 12711-2022")</f>
        <v/>
      </c>
      <c r="W214">
        <f>HYPERLINK("https://klasma.github.io/Logging_0860/klagomålsmail/A 12711-2022 FSC-klagomål mail.docx", "A 12711-2022")</f>
        <v/>
      </c>
      <c r="X214">
        <f>HYPERLINK("https://klasma.github.io/Logging_0860/tillsyn/A 12711-2022 tillsynsbegäran.docx", "A 12711-2022")</f>
        <v/>
      </c>
      <c r="Y214">
        <f>HYPERLINK("https://klasma.github.io/Logging_0860/tillsynsmail/A 12711-2022 tillsynsbegäran mail.docx", "A 12711-2022")</f>
        <v/>
      </c>
    </row>
    <row r="215" ht="15" customHeight="1">
      <c r="A215" t="inlineStr">
        <is>
          <t>A 8411-2021</t>
        </is>
      </c>
      <c r="B215" s="1" t="n">
        <v>44245</v>
      </c>
      <c r="C215" s="1" t="n">
        <v>45884</v>
      </c>
      <c r="D215" t="inlineStr">
        <is>
          <t>KALMAR LÄN</t>
        </is>
      </c>
      <c r="E215" t="inlineStr">
        <is>
          <t>VIMMERBY</t>
        </is>
      </c>
      <c r="G215" t="n">
        <v>12.5</v>
      </c>
      <c r="H215" t="n">
        <v>1</v>
      </c>
      <c r="I215" t="n">
        <v>1</v>
      </c>
      <c r="J215" t="n">
        <v>1</v>
      </c>
      <c r="K215" t="n">
        <v>0</v>
      </c>
      <c r="L215" t="n">
        <v>0</v>
      </c>
      <c r="M215" t="n">
        <v>0</v>
      </c>
      <c r="N215" t="n">
        <v>0</v>
      </c>
      <c r="O215" t="n">
        <v>1</v>
      </c>
      <c r="P215" t="n">
        <v>0</v>
      </c>
      <c r="Q215" t="n">
        <v>3</v>
      </c>
      <c r="R215" s="2" t="inlineStr">
        <is>
          <t>Motaggsvamp
Svart trolldruva
Revlummer</t>
        </is>
      </c>
      <c r="S215">
        <f>HYPERLINK("https://klasma.github.io/Logging_0884/artfynd/A 8411-2021 artfynd.xlsx", "A 8411-2021")</f>
        <v/>
      </c>
      <c r="T215">
        <f>HYPERLINK("https://klasma.github.io/Logging_0884/kartor/A 8411-2021 karta.png", "A 8411-2021")</f>
        <v/>
      </c>
      <c r="V215">
        <f>HYPERLINK("https://klasma.github.io/Logging_0884/klagomål/A 8411-2021 FSC-klagomål.docx", "A 8411-2021")</f>
        <v/>
      </c>
      <c r="W215">
        <f>HYPERLINK("https://klasma.github.io/Logging_0884/klagomålsmail/A 8411-2021 FSC-klagomål mail.docx", "A 8411-2021")</f>
        <v/>
      </c>
      <c r="X215">
        <f>HYPERLINK("https://klasma.github.io/Logging_0884/tillsyn/A 8411-2021 tillsynsbegäran.docx", "A 8411-2021")</f>
        <v/>
      </c>
      <c r="Y215">
        <f>HYPERLINK("https://klasma.github.io/Logging_0884/tillsynsmail/A 8411-2021 tillsynsbegäran mail.docx", "A 8411-2021")</f>
        <v/>
      </c>
    </row>
    <row r="216" ht="15" customHeight="1">
      <c r="A216" t="inlineStr">
        <is>
          <t>A 48581-2020</t>
        </is>
      </c>
      <c r="B216" s="1" t="n">
        <v>44103</v>
      </c>
      <c r="C216" s="1" t="n">
        <v>45884</v>
      </c>
      <c r="D216" t="inlineStr">
        <is>
          <t>KALMAR LÄN</t>
        </is>
      </c>
      <c r="E216" t="inlineStr">
        <is>
          <t>KALMAR</t>
        </is>
      </c>
      <c r="G216" t="n">
        <v>2.1</v>
      </c>
      <c r="H216" t="n">
        <v>0</v>
      </c>
      <c r="I216" t="n">
        <v>2</v>
      </c>
      <c r="J216" t="n">
        <v>1</v>
      </c>
      <c r="K216" t="n">
        <v>0</v>
      </c>
      <c r="L216" t="n">
        <v>0</v>
      </c>
      <c r="M216" t="n">
        <v>0</v>
      </c>
      <c r="N216" t="n">
        <v>0</v>
      </c>
      <c r="O216" t="n">
        <v>1</v>
      </c>
      <c r="P216" t="n">
        <v>0</v>
      </c>
      <c r="Q216" t="n">
        <v>3</v>
      </c>
      <c r="R216" s="2" t="inlineStr">
        <is>
          <t>Leptoporus erubescens
Blomkålssvamp
Tallfingersvamp</t>
        </is>
      </c>
      <c r="S216">
        <f>HYPERLINK("https://klasma.github.io/Logging_0880/artfynd/A 48581-2020 artfynd.xlsx", "A 48581-2020")</f>
        <v/>
      </c>
      <c r="T216">
        <f>HYPERLINK("https://klasma.github.io/Logging_0880/kartor/A 48581-2020 karta.png", "A 48581-2020")</f>
        <v/>
      </c>
      <c r="V216">
        <f>HYPERLINK("https://klasma.github.io/Logging_0880/klagomål/A 48581-2020 FSC-klagomål.docx", "A 48581-2020")</f>
        <v/>
      </c>
      <c r="W216">
        <f>HYPERLINK("https://klasma.github.io/Logging_0880/klagomålsmail/A 48581-2020 FSC-klagomål mail.docx", "A 48581-2020")</f>
        <v/>
      </c>
      <c r="X216">
        <f>HYPERLINK("https://klasma.github.io/Logging_0880/tillsyn/A 48581-2020 tillsynsbegäran.docx", "A 48581-2020")</f>
        <v/>
      </c>
      <c r="Y216">
        <f>HYPERLINK("https://klasma.github.io/Logging_0880/tillsynsmail/A 48581-2020 tillsynsbegäran mail.docx", "A 48581-2020")</f>
        <v/>
      </c>
    </row>
    <row r="217" ht="15" customHeight="1">
      <c r="A217" t="inlineStr">
        <is>
          <t>A 9097-2021</t>
        </is>
      </c>
      <c r="B217" s="1" t="n">
        <v>44249</v>
      </c>
      <c r="C217" s="1" t="n">
        <v>45884</v>
      </c>
      <c r="D217" t="inlineStr">
        <is>
          <t>KALMAR LÄN</t>
        </is>
      </c>
      <c r="E217" t="inlineStr">
        <is>
          <t>VÄSTERVIK</t>
        </is>
      </c>
      <c r="F217" t="inlineStr">
        <is>
          <t>Sveaskog</t>
        </is>
      </c>
      <c r="G217" t="n">
        <v>1.9</v>
      </c>
      <c r="H217" t="n">
        <v>0</v>
      </c>
      <c r="I217" t="n">
        <v>1</v>
      </c>
      <c r="J217" t="n">
        <v>2</v>
      </c>
      <c r="K217" t="n">
        <v>0</v>
      </c>
      <c r="L217" t="n">
        <v>0</v>
      </c>
      <c r="M217" t="n">
        <v>0</v>
      </c>
      <c r="N217" t="n">
        <v>0</v>
      </c>
      <c r="O217" t="n">
        <v>2</v>
      </c>
      <c r="P217" t="n">
        <v>0</v>
      </c>
      <c r="Q217" t="n">
        <v>3</v>
      </c>
      <c r="R217" s="2" t="inlineStr">
        <is>
          <t>Tallticka
Vedskivlav
Vätteros</t>
        </is>
      </c>
      <c r="S217">
        <f>HYPERLINK("https://klasma.github.io/Logging_0883/artfynd/A 9097-2021 artfynd.xlsx", "A 9097-2021")</f>
        <v/>
      </c>
      <c r="T217">
        <f>HYPERLINK("https://klasma.github.io/Logging_0883/kartor/A 9097-2021 karta.png", "A 9097-2021")</f>
        <v/>
      </c>
      <c r="V217">
        <f>HYPERLINK("https://klasma.github.io/Logging_0883/klagomål/A 9097-2021 FSC-klagomål.docx", "A 9097-2021")</f>
        <v/>
      </c>
      <c r="W217">
        <f>HYPERLINK("https://klasma.github.io/Logging_0883/klagomålsmail/A 9097-2021 FSC-klagomål mail.docx", "A 9097-2021")</f>
        <v/>
      </c>
      <c r="X217">
        <f>HYPERLINK("https://klasma.github.io/Logging_0883/tillsyn/A 9097-2021 tillsynsbegäran.docx", "A 9097-2021")</f>
        <v/>
      </c>
      <c r="Y217">
        <f>HYPERLINK("https://klasma.github.io/Logging_0883/tillsynsmail/A 9097-2021 tillsynsbegäran mail.docx", "A 9097-2021")</f>
        <v/>
      </c>
    </row>
    <row r="218" ht="15" customHeight="1">
      <c r="A218" t="inlineStr">
        <is>
          <t>A 50351-2021</t>
        </is>
      </c>
      <c r="B218" s="1" t="n">
        <v>44459</v>
      </c>
      <c r="C218" s="1" t="n">
        <v>45884</v>
      </c>
      <c r="D218" t="inlineStr">
        <is>
          <t>KALMAR LÄN</t>
        </is>
      </c>
      <c r="E218" t="inlineStr">
        <is>
          <t>TORSÅS</t>
        </is>
      </c>
      <c r="G218" t="n">
        <v>1.9</v>
      </c>
      <c r="H218" t="n">
        <v>3</v>
      </c>
      <c r="I218" t="n">
        <v>0</v>
      </c>
      <c r="J218" t="n">
        <v>1</v>
      </c>
      <c r="K218" t="n">
        <v>0</v>
      </c>
      <c r="L218" t="n">
        <v>0</v>
      </c>
      <c r="M218" t="n">
        <v>0</v>
      </c>
      <c r="N218" t="n">
        <v>0</v>
      </c>
      <c r="O218" t="n">
        <v>1</v>
      </c>
      <c r="P218" t="n">
        <v>0</v>
      </c>
      <c r="Q218" t="n">
        <v>3</v>
      </c>
      <c r="R218" s="2" t="inlineStr">
        <is>
          <t>Nordfladdermus
Dvärgpipistrell
Större brunfladdermus</t>
        </is>
      </c>
      <c r="S218">
        <f>HYPERLINK("https://klasma.github.io/Logging_0834/artfynd/A 50351-2021 artfynd.xlsx", "A 50351-2021")</f>
        <v/>
      </c>
      <c r="T218">
        <f>HYPERLINK("https://klasma.github.io/Logging_0834/kartor/A 50351-2021 karta.png", "A 50351-2021")</f>
        <v/>
      </c>
      <c r="V218">
        <f>HYPERLINK("https://klasma.github.io/Logging_0834/klagomål/A 50351-2021 FSC-klagomål.docx", "A 50351-2021")</f>
        <v/>
      </c>
      <c r="W218">
        <f>HYPERLINK("https://klasma.github.io/Logging_0834/klagomålsmail/A 50351-2021 FSC-klagomål mail.docx", "A 50351-2021")</f>
        <v/>
      </c>
      <c r="X218">
        <f>HYPERLINK("https://klasma.github.io/Logging_0834/tillsyn/A 50351-2021 tillsynsbegäran.docx", "A 50351-2021")</f>
        <v/>
      </c>
      <c r="Y218">
        <f>HYPERLINK("https://klasma.github.io/Logging_0834/tillsynsmail/A 50351-2021 tillsynsbegäran mail.docx", "A 50351-2021")</f>
        <v/>
      </c>
    </row>
    <row r="219" ht="15" customHeight="1">
      <c r="A219" t="inlineStr">
        <is>
          <t>A 32640-2022</t>
        </is>
      </c>
      <c r="B219" s="1" t="n">
        <v>44783</v>
      </c>
      <c r="C219" s="1" t="n">
        <v>45884</v>
      </c>
      <c r="D219" t="inlineStr">
        <is>
          <t>KALMAR LÄN</t>
        </is>
      </c>
      <c r="E219" t="inlineStr">
        <is>
          <t>BORGHOLM</t>
        </is>
      </c>
      <c r="F219" t="inlineStr">
        <is>
          <t>Sveaskog</t>
        </is>
      </c>
      <c r="G219" t="n">
        <v>1.2</v>
      </c>
      <c r="H219" t="n">
        <v>0</v>
      </c>
      <c r="I219" t="n">
        <v>3</v>
      </c>
      <c r="J219" t="n">
        <v>0</v>
      </c>
      <c r="K219" t="n">
        <v>0</v>
      </c>
      <c r="L219" t="n">
        <v>0</v>
      </c>
      <c r="M219" t="n">
        <v>0</v>
      </c>
      <c r="N219" t="n">
        <v>0</v>
      </c>
      <c r="O219" t="n">
        <v>0</v>
      </c>
      <c r="P219" t="n">
        <v>0</v>
      </c>
      <c r="Q219" t="n">
        <v>3</v>
      </c>
      <c r="R219" s="2" t="inlineStr">
        <is>
          <t>Kornknutmossa
Murgröna
Svart trolldruva</t>
        </is>
      </c>
      <c r="S219">
        <f>HYPERLINK("https://klasma.github.io/Logging_0885/artfynd/A 32640-2022 artfynd.xlsx", "A 32640-2022")</f>
        <v/>
      </c>
      <c r="T219">
        <f>HYPERLINK("https://klasma.github.io/Logging_0885/kartor/A 32640-2022 karta.png", "A 32640-2022")</f>
        <v/>
      </c>
      <c r="V219">
        <f>HYPERLINK("https://klasma.github.io/Logging_0885/klagomål/A 32640-2022 FSC-klagomål.docx", "A 32640-2022")</f>
        <v/>
      </c>
      <c r="W219">
        <f>HYPERLINK("https://klasma.github.io/Logging_0885/klagomålsmail/A 32640-2022 FSC-klagomål mail.docx", "A 32640-2022")</f>
        <v/>
      </c>
      <c r="X219">
        <f>HYPERLINK("https://klasma.github.io/Logging_0885/tillsyn/A 32640-2022 tillsynsbegäran.docx", "A 32640-2022")</f>
        <v/>
      </c>
      <c r="Y219">
        <f>HYPERLINK("https://klasma.github.io/Logging_0885/tillsynsmail/A 32640-2022 tillsynsbegäran mail.docx", "A 32640-2022")</f>
        <v/>
      </c>
    </row>
    <row r="220" ht="15" customHeight="1">
      <c r="A220" t="inlineStr">
        <is>
          <t>A 46995-2021</t>
        </is>
      </c>
      <c r="B220" s="1" t="n">
        <v>44446</v>
      </c>
      <c r="C220" s="1" t="n">
        <v>45884</v>
      </c>
      <c r="D220" t="inlineStr">
        <is>
          <t>KALMAR LÄN</t>
        </is>
      </c>
      <c r="E220" t="inlineStr">
        <is>
          <t>MÖNSTERÅS</t>
        </is>
      </c>
      <c r="G220" t="n">
        <v>2.6</v>
      </c>
      <c r="H220" t="n">
        <v>2</v>
      </c>
      <c r="I220" t="n">
        <v>1</v>
      </c>
      <c r="J220" t="n">
        <v>0</v>
      </c>
      <c r="K220" t="n">
        <v>1</v>
      </c>
      <c r="L220" t="n">
        <v>0</v>
      </c>
      <c r="M220" t="n">
        <v>0</v>
      </c>
      <c r="N220" t="n">
        <v>0</v>
      </c>
      <c r="O220" t="n">
        <v>1</v>
      </c>
      <c r="P220" t="n">
        <v>1</v>
      </c>
      <c r="Q220" t="n">
        <v>3</v>
      </c>
      <c r="R220" s="2" t="inlineStr">
        <is>
          <t>Knärot
Murgröna
Blåsippa</t>
        </is>
      </c>
      <c r="S220">
        <f>HYPERLINK("https://klasma.github.io/Logging_0861/artfynd/A 46995-2021 artfynd.xlsx", "A 46995-2021")</f>
        <v/>
      </c>
      <c r="T220">
        <f>HYPERLINK("https://klasma.github.io/Logging_0861/kartor/A 46995-2021 karta.png", "A 46995-2021")</f>
        <v/>
      </c>
      <c r="U220">
        <f>HYPERLINK("https://klasma.github.io/Logging_0861/knärot/A 46995-2021 karta knärot.png", "A 46995-2021")</f>
        <v/>
      </c>
      <c r="V220">
        <f>HYPERLINK("https://klasma.github.io/Logging_0861/klagomål/A 46995-2021 FSC-klagomål.docx", "A 46995-2021")</f>
        <v/>
      </c>
      <c r="W220">
        <f>HYPERLINK("https://klasma.github.io/Logging_0861/klagomålsmail/A 46995-2021 FSC-klagomål mail.docx", "A 46995-2021")</f>
        <v/>
      </c>
      <c r="X220">
        <f>HYPERLINK("https://klasma.github.io/Logging_0861/tillsyn/A 46995-2021 tillsynsbegäran.docx", "A 46995-2021")</f>
        <v/>
      </c>
      <c r="Y220">
        <f>HYPERLINK("https://klasma.github.io/Logging_0861/tillsynsmail/A 46995-2021 tillsynsbegäran mail.docx", "A 46995-2021")</f>
        <v/>
      </c>
    </row>
    <row r="221" ht="15" customHeight="1">
      <c r="A221" t="inlineStr">
        <is>
          <t>A 58231-2020</t>
        </is>
      </c>
      <c r="B221" s="1" t="n">
        <v>44144</v>
      </c>
      <c r="C221" s="1" t="n">
        <v>45884</v>
      </c>
      <c r="D221" t="inlineStr">
        <is>
          <t>KALMAR LÄN</t>
        </is>
      </c>
      <c r="E221" t="inlineStr">
        <is>
          <t>BORGHOLM</t>
        </is>
      </c>
      <c r="F221" t="inlineStr">
        <is>
          <t>Sveaskog</t>
        </is>
      </c>
      <c r="G221" t="n">
        <v>8.5</v>
      </c>
      <c r="H221" t="n">
        <v>1</v>
      </c>
      <c r="I221" t="n">
        <v>2</v>
      </c>
      <c r="J221" t="n">
        <v>1</v>
      </c>
      <c r="K221" t="n">
        <v>0</v>
      </c>
      <c r="L221" t="n">
        <v>0</v>
      </c>
      <c r="M221" t="n">
        <v>0</v>
      </c>
      <c r="N221" t="n">
        <v>0</v>
      </c>
      <c r="O221" t="n">
        <v>1</v>
      </c>
      <c r="P221" t="n">
        <v>0</v>
      </c>
      <c r="Q221" t="n">
        <v>3</v>
      </c>
      <c r="R221" s="2" t="inlineStr">
        <is>
          <t>Skugglosta
Skogsknipprot
Strävlosta</t>
        </is>
      </c>
      <c r="S221">
        <f>HYPERLINK("https://klasma.github.io/Logging_0885/artfynd/A 58231-2020 artfynd.xlsx", "A 58231-2020")</f>
        <v/>
      </c>
      <c r="T221">
        <f>HYPERLINK("https://klasma.github.io/Logging_0885/kartor/A 58231-2020 karta.png", "A 58231-2020")</f>
        <v/>
      </c>
      <c r="V221">
        <f>HYPERLINK("https://klasma.github.io/Logging_0885/klagomål/A 58231-2020 FSC-klagomål.docx", "A 58231-2020")</f>
        <v/>
      </c>
      <c r="W221">
        <f>HYPERLINK("https://klasma.github.io/Logging_0885/klagomålsmail/A 58231-2020 FSC-klagomål mail.docx", "A 58231-2020")</f>
        <v/>
      </c>
      <c r="X221">
        <f>HYPERLINK("https://klasma.github.io/Logging_0885/tillsyn/A 58231-2020 tillsynsbegäran.docx", "A 58231-2020")</f>
        <v/>
      </c>
      <c r="Y221">
        <f>HYPERLINK("https://klasma.github.io/Logging_0885/tillsynsmail/A 58231-2020 tillsynsbegäran mail.docx", "A 58231-2020")</f>
        <v/>
      </c>
    </row>
    <row r="222" ht="15" customHeight="1">
      <c r="A222" t="inlineStr">
        <is>
          <t>A 57704-2020</t>
        </is>
      </c>
      <c r="B222" s="1" t="n">
        <v>44140</v>
      </c>
      <c r="C222" s="1" t="n">
        <v>45884</v>
      </c>
      <c r="D222" t="inlineStr">
        <is>
          <t>KALMAR LÄN</t>
        </is>
      </c>
      <c r="E222" t="inlineStr">
        <is>
          <t>MÖRBYLÅNGA</t>
        </is>
      </c>
      <c r="G222" t="n">
        <v>2.5</v>
      </c>
      <c r="H222" t="n">
        <v>0</v>
      </c>
      <c r="I222" t="n">
        <v>0</v>
      </c>
      <c r="J222" t="n">
        <v>3</v>
      </c>
      <c r="K222" t="n">
        <v>0</v>
      </c>
      <c r="L222" t="n">
        <v>0</v>
      </c>
      <c r="M222" t="n">
        <v>0</v>
      </c>
      <c r="N222" t="n">
        <v>0</v>
      </c>
      <c r="O222" t="n">
        <v>3</v>
      </c>
      <c r="P222" t="n">
        <v>0</v>
      </c>
      <c r="Q222" t="n">
        <v>3</v>
      </c>
      <c r="R222" s="2" t="inlineStr">
        <is>
          <t>Ekträdlöpare
Jordtistel
Vanlig sandviol</t>
        </is>
      </c>
      <c r="S222">
        <f>HYPERLINK("https://klasma.github.io/Logging_0840/artfynd/A 57704-2020 artfynd.xlsx", "A 57704-2020")</f>
        <v/>
      </c>
      <c r="T222">
        <f>HYPERLINK("https://klasma.github.io/Logging_0840/kartor/A 57704-2020 karta.png", "A 57704-2020")</f>
        <v/>
      </c>
      <c r="V222">
        <f>HYPERLINK("https://klasma.github.io/Logging_0840/klagomål/A 57704-2020 FSC-klagomål.docx", "A 57704-2020")</f>
        <v/>
      </c>
      <c r="W222">
        <f>HYPERLINK("https://klasma.github.io/Logging_0840/klagomålsmail/A 57704-2020 FSC-klagomål mail.docx", "A 57704-2020")</f>
        <v/>
      </c>
      <c r="X222">
        <f>HYPERLINK("https://klasma.github.io/Logging_0840/tillsyn/A 57704-2020 tillsynsbegäran.docx", "A 57704-2020")</f>
        <v/>
      </c>
      <c r="Y222">
        <f>HYPERLINK("https://klasma.github.io/Logging_0840/tillsynsmail/A 57704-2020 tillsynsbegäran mail.docx", "A 57704-2020")</f>
        <v/>
      </c>
    </row>
    <row r="223" ht="15" customHeight="1">
      <c r="A223" t="inlineStr">
        <is>
          <t>A 32026-2021</t>
        </is>
      </c>
      <c r="B223" s="1" t="n">
        <v>44370</v>
      </c>
      <c r="C223" s="1" t="n">
        <v>45884</v>
      </c>
      <c r="D223" t="inlineStr">
        <is>
          <t>KALMAR LÄN</t>
        </is>
      </c>
      <c r="E223" t="inlineStr">
        <is>
          <t>NYBRO</t>
        </is>
      </c>
      <c r="G223" t="n">
        <v>6.2</v>
      </c>
      <c r="H223" t="n">
        <v>3</v>
      </c>
      <c r="I223" t="n">
        <v>0</v>
      </c>
      <c r="J223" t="n">
        <v>2</v>
      </c>
      <c r="K223" t="n">
        <v>0</v>
      </c>
      <c r="L223" t="n">
        <v>0</v>
      </c>
      <c r="M223" t="n">
        <v>0</v>
      </c>
      <c r="N223" t="n">
        <v>0</v>
      </c>
      <c r="O223" t="n">
        <v>2</v>
      </c>
      <c r="P223" t="n">
        <v>0</v>
      </c>
      <c r="Q223" t="n">
        <v>3</v>
      </c>
      <c r="R223" s="2" t="inlineStr">
        <is>
          <t>Entita
Talltita
Gröngöling</t>
        </is>
      </c>
      <c r="S223">
        <f>HYPERLINK("https://klasma.github.io/Logging_0881/artfynd/A 32026-2021 artfynd.xlsx", "A 32026-2021")</f>
        <v/>
      </c>
      <c r="T223">
        <f>HYPERLINK("https://klasma.github.io/Logging_0881/kartor/A 32026-2021 karta.png", "A 32026-2021")</f>
        <v/>
      </c>
      <c r="V223">
        <f>HYPERLINK("https://klasma.github.io/Logging_0881/klagomål/A 32026-2021 FSC-klagomål.docx", "A 32026-2021")</f>
        <v/>
      </c>
      <c r="W223">
        <f>HYPERLINK("https://klasma.github.io/Logging_0881/klagomålsmail/A 32026-2021 FSC-klagomål mail.docx", "A 32026-2021")</f>
        <v/>
      </c>
      <c r="X223">
        <f>HYPERLINK("https://klasma.github.io/Logging_0881/tillsyn/A 32026-2021 tillsynsbegäran.docx", "A 32026-2021")</f>
        <v/>
      </c>
      <c r="Y223">
        <f>HYPERLINK("https://klasma.github.io/Logging_0881/tillsynsmail/A 32026-2021 tillsynsbegäran mail.docx", "A 32026-2021")</f>
        <v/>
      </c>
      <c r="Z223">
        <f>HYPERLINK("https://klasma.github.io/Logging_0881/fåglar/A 32026-2021 prioriterade fågelarter.docx", "A 32026-2021")</f>
        <v/>
      </c>
    </row>
    <row r="224" ht="15" customHeight="1">
      <c r="A224" t="inlineStr">
        <is>
          <t>A 55506-2022</t>
        </is>
      </c>
      <c r="B224" s="1" t="n">
        <v>44887</v>
      </c>
      <c r="C224" s="1" t="n">
        <v>45884</v>
      </c>
      <c r="D224" t="inlineStr">
        <is>
          <t>KALMAR LÄN</t>
        </is>
      </c>
      <c r="E224" t="inlineStr">
        <is>
          <t>VÄSTERVIK</t>
        </is>
      </c>
      <c r="G224" t="n">
        <v>3.4</v>
      </c>
      <c r="H224" t="n">
        <v>0</v>
      </c>
      <c r="I224" t="n">
        <v>1</v>
      </c>
      <c r="J224" t="n">
        <v>2</v>
      </c>
      <c r="K224" t="n">
        <v>0</v>
      </c>
      <c r="L224" t="n">
        <v>0</v>
      </c>
      <c r="M224" t="n">
        <v>0</v>
      </c>
      <c r="N224" t="n">
        <v>0</v>
      </c>
      <c r="O224" t="n">
        <v>2</v>
      </c>
      <c r="P224" t="n">
        <v>0</v>
      </c>
      <c r="Q224" t="n">
        <v>3</v>
      </c>
      <c r="R224" s="2" t="inlineStr">
        <is>
          <t>Tallticka
Ullticka
Trädporella</t>
        </is>
      </c>
      <c r="S224">
        <f>HYPERLINK("https://klasma.github.io/Logging_0883/artfynd/A 55506-2022 artfynd.xlsx", "A 55506-2022")</f>
        <v/>
      </c>
      <c r="T224">
        <f>HYPERLINK("https://klasma.github.io/Logging_0883/kartor/A 55506-2022 karta.png", "A 55506-2022")</f>
        <v/>
      </c>
      <c r="V224">
        <f>HYPERLINK("https://klasma.github.io/Logging_0883/klagomål/A 55506-2022 FSC-klagomål.docx", "A 55506-2022")</f>
        <v/>
      </c>
      <c r="W224">
        <f>HYPERLINK("https://klasma.github.io/Logging_0883/klagomålsmail/A 55506-2022 FSC-klagomål mail.docx", "A 55506-2022")</f>
        <v/>
      </c>
      <c r="X224">
        <f>HYPERLINK("https://klasma.github.io/Logging_0883/tillsyn/A 55506-2022 tillsynsbegäran.docx", "A 55506-2022")</f>
        <v/>
      </c>
      <c r="Y224">
        <f>HYPERLINK("https://klasma.github.io/Logging_0883/tillsynsmail/A 55506-2022 tillsynsbegäran mail.docx", "A 55506-2022")</f>
        <v/>
      </c>
    </row>
    <row r="225" ht="15" customHeight="1">
      <c r="A225" t="inlineStr">
        <is>
          <t>A 37901-2022</t>
        </is>
      </c>
      <c r="B225" s="1" t="n">
        <v>44811</v>
      </c>
      <c r="C225" s="1" t="n">
        <v>45884</v>
      </c>
      <c r="D225" t="inlineStr">
        <is>
          <t>KALMAR LÄN</t>
        </is>
      </c>
      <c r="E225" t="inlineStr">
        <is>
          <t>VIMMERBY</t>
        </is>
      </c>
      <c r="G225" t="n">
        <v>3.9</v>
      </c>
      <c r="H225" t="n">
        <v>1</v>
      </c>
      <c r="I225" t="n">
        <v>1</v>
      </c>
      <c r="J225" t="n">
        <v>1</v>
      </c>
      <c r="K225" t="n">
        <v>0</v>
      </c>
      <c r="L225" t="n">
        <v>0</v>
      </c>
      <c r="M225" t="n">
        <v>0</v>
      </c>
      <c r="N225" t="n">
        <v>0</v>
      </c>
      <c r="O225" t="n">
        <v>1</v>
      </c>
      <c r="P225" t="n">
        <v>0</v>
      </c>
      <c r="Q225" t="n">
        <v>3</v>
      </c>
      <c r="R225" s="2" t="inlineStr">
        <is>
          <t>Tallticka
Kornig nållav
Revlummer</t>
        </is>
      </c>
      <c r="S225">
        <f>HYPERLINK("https://klasma.github.io/Logging_0884/artfynd/A 37901-2022 artfynd.xlsx", "A 37901-2022")</f>
        <v/>
      </c>
      <c r="T225">
        <f>HYPERLINK("https://klasma.github.io/Logging_0884/kartor/A 37901-2022 karta.png", "A 37901-2022")</f>
        <v/>
      </c>
      <c r="V225">
        <f>HYPERLINK("https://klasma.github.io/Logging_0884/klagomål/A 37901-2022 FSC-klagomål.docx", "A 37901-2022")</f>
        <v/>
      </c>
      <c r="W225">
        <f>HYPERLINK("https://klasma.github.io/Logging_0884/klagomålsmail/A 37901-2022 FSC-klagomål mail.docx", "A 37901-2022")</f>
        <v/>
      </c>
      <c r="X225">
        <f>HYPERLINK("https://klasma.github.io/Logging_0884/tillsyn/A 37901-2022 tillsynsbegäran.docx", "A 37901-2022")</f>
        <v/>
      </c>
      <c r="Y225">
        <f>HYPERLINK("https://klasma.github.io/Logging_0884/tillsynsmail/A 37901-2022 tillsynsbegäran mail.docx", "A 37901-2022")</f>
        <v/>
      </c>
    </row>
    <row r="226" ht="15" customHeight="1">
      <c r="A226" t="inlineStr">
        <is>
          <t>A 8620-2024</t>
        </is>
      </c>
      <c r="B226" s="1" t="n">
        <v>45355.74270833333</v>
      </c>
      <c r="C226" s="1" t="n">
        <v>45884</v>
      </c>
      <c r="D226" t="inlineStr">
        <is>
          <t>KALMAR LÄN</t>
        </is>
      </c>
      <c r="E226" t="inlineStr">
        <is>
          <t>VÄSTERVIK</t>
        </is>
      </c>
      <c r="G226" t="n">
        <v>0.9</v>
      </c>
      <c r="H226" t="n">
        <v>2</v>
      </c>
      <c r="I226" t="n">
        <v>1</v>
      </c>
      <c r="J226" t="n">
        <v>1</v>
      </c>
      <c r="K226" t="n">
        <v>1</v>
      </c>
      <c r="L226" t="n">
        <v>0</v>
      </c>
      <c r="M226" t="n">
        <v>0</v>
      </c>
      <c r="N226" t="n">
        <v>0</v>
      </c>
      <c r="O226" t="n">
        <v>2</v>
      </c>
      <c r="P226" t="n">
        <v>1</v>
      </c>
      <c r="Q226" t="n">
        <v>3</v>
      </c>
      <c r="R226" s="2" t="inlineStr">
        <is>
          <t>Knärot
Talltita
Blodticka</t>
        </is>
      </c>
      <c r="S226">
        <f>HYPERLINK("https://klasma.github.io/Logging_0883/artfynd/A 8620-2024 artfynd.xlsx", "A 8620-2024")</f>
        <v/>
      </c>
      <c r="T226">
        <f>HYPERLINK("https://klasma.github.io/Logging_0883/kartor/A 8620-2024 karta.png", "A 8620-2024")</f>
        <v/>
      </c>
      <c r="U226">
        <f>HYPERLINK("https://klasma.github.io/Logging_0883/knärot/A 8620-2024 karta knärot.png", "A 8620-2024")</f>
        <v/>
      </c>
      <c r="V226">
        <f>HYPERLINK("https://klasma.github.io/Logging_0883/klagomål/A 8620-2024 FSC-klagomål.docx", "A 8620-2024")</f>
        <v/>
      </c>
      <c r="W226">
        <f>HYPERLINK("https://klasma.github.io/Logging_0883/klagomålsmail/A 8620-2024 FSC-klagomål mail.docx", "A 8620-2024")</f>
        <v/>
      </c>
      <c r="X226">
        <f>HYPERLINK("https://klasma.github.io/Logging_0883/tillsyn/A 8620-2024 tillsynsbegäran.docx", "A 8620-2024")</f>
        <v/>
      </c>
      <c r="Y226">
        <f>HYPERLINK("https://klasma.github.io/Logging_0883/tillsynsmail/A 8620-2024 tillsynsbegäran mail.docx", "A 8620-2024")</f>
        <v/>
      </c>
      <c r="Z226">
        <f>HYPERLINK("https://klasma.github.io/Logging_0883/fåglar/A 8620-2024 prioriterade fågelarter.docx", "A 8620-2024")</f>
        <v/>
      </c>
    </row>
    <row r="227" ht="15" customHeight="1">
      <c r="A227" t="inlineStr">
        <is>
          <t>A 50759-2022</t>
        </is>
      </c>
      <c r="B227" s="1" t="n">
        <v>44867</v>
      </c>
      <c r="C227" s="1" t="n">
        <v>45884</v>
      </c>
      <c r="D227" t="inlineStr">
        <is>
          <t>KALMAR LÄN</t>
        </is>
      </c>
      <c r="E227" t="inlineStr">
        <is>
          <t>NYBRO</t>
        </is>
      </c>
      <c r="G227" t="n">
        <v>5.1</v>
      </c>
      <c r="H227" t="n">
        <v>0</v>
      </c>
      <c r="I227" t="n">
        <v>3</v>
      </c>
      <c r="J227" t="n">
        <v>0</v>
      </c>
      <c r="K227" t="n">
        <v>0</v>
      </c>
      <c r="L227" t="n">
        <v>0</v>
      </c>
      <c r="M227" t="n">
        <v>0</v>
      </c>
      <c r="N227" t="n">
        <v>0</v>
      </c>
      <c r="O227" t="n">
        <v>0</v>
      </c>
      <c r="P227" t="n">
        <v>0</v>
      </c>
      <c r="Q227" t="n">
        <v>3</v>
      </c>
      <c r="R227" s="2" t="inlineStr">
        <is>
          <t>Blåmossa
Ljus vedstrit
Mindre märgborre</t>
        </is>
      </c>
      <c r="S227">
        <f>HYPERLINK("https://klasma.github.io/Logging_0881/artfynd/A 50759-2022 artfynd.xlsx", "A 50759-2022")</f>
        <v/>
      </c>
      <c r="T227">
        <f>HYPERLINK("https://klasma.github.io/Logging_0881/kartor/A 50759-2022 karta.png", "A 50759-2022")</f>
        <v/>
      </c>
      <c r="V227">
        <f>HYPERLINK("https://klasma.github.io/Logging_0881/klagomål/A 50759-2022 FSC-klagomål.docx", "A 50759-2022")</f>
        <v/>
      </c>
      <c r="W227">
        <f>HYPERLINK("https://klasma.github.io/Logging_0881/klagomålsmail/A 50759-2022 FSC-klagomål mail.docx", "A 50759-2022")</f>
        <v/>
      </c>
      <c r="X227">
        <f>HYPERLINK("https://klasma.github.io/Logging_0881/tillsyn/A 50759-2022 tillsynsbegäran.docx", "A 50759-2022")</f>
        <v/>
      </c>
      <c r="Y227">
        <f>HYPERLINK("https://klasma.github.io/Logging_0881/tillsynsmail/A 50759-2022 tillsynsbegäran mail.docx", "A 50759-2022")</f>
        <v/>
      </c>
    </row>
    <row r="228" ht="15" customHeight="1">
      <c r="A228" t="inlineStr">
        <is>
          <t>A 8303-2024</t>
        </is>
      </c>
      <c r="B228" s="1" t="n">
        <v>45352.45320601852</v>
      </c>
      <c r="C228" s="1" t="n">
        <v>45884</v>
      </c>
      <c r="D228" t="inlineStr">
        <is>
          <t>KALMAR LÄN</t>
        </is>
      </c>
      <c r="E228" t="inlineStr">
        <is>
          <t>NYBRO</t>
        </is>
      </c>
      <c r="G228" t="n">
        <v>1.9</v>
      </c>
      <c r="H228" t="n">
        <v>0</v>
      </c>
      <c r="I228" t="n">
        <v>0</v>
      </c>
      <c r="J228" t="n">
        <v>1</v>
      </c>
      <c r="K228" t="n">
        <v>2</v>
      </c>
      <c r="L228" t="n">
        <v>0</v>
      </c>
      <c r="M228" t="n">
        <v>0</v>
      </c>
      <c r="N228" t="n">
        <v>0</v>
      </c>
      <c r="O228" t="n">
        <v>3</v>
      </c>
      <c r="P228" t="n">
        <v>2</v>
      </c>
      <c r="Q228" t="n">
        <v>3</v>
      </c>
      <c r="R228" s="2" t="inlineStr">
        <is>
          <t>Slåttergubbe
Slåttergubbemal
Spindelört</t>
        </is>
      </c>
      <c r="S228">
        <f>HYPERLINK("https://klasma.github.io/Logging_0881/artfynd/A 8303-2024 artfynd.xlsx", "A 8303-2024")</f>
        <v/>
      </c>
      <c r="T228">
        <f>HYPERLINK("https://klasma.github.io/Logging_0881/kartor/A 8303-2024 karta.png", "A 8303-2024")</f>
        <v/>
      </c>
      <c r="V228">
        <f>HYPERLINK("https://klasma.github.io/Logging_0881/klagomål/A 8303-2024 FSC-klagomål.docx", "A 8303-2024")</f>
        <v/>
      </c>
      <c r="W228">
        <f>HYPERLINK("https://klasma.github.io/Logging_0881/klagomålsmail/A 8303-2024 FSC-klagomål mail.docx", "A 8303-2024")</f>
        <v/>
      </c>
      <c r="X228">
        <f>HYPERLINK("https://klasma.github.io/Logging_0881/tillsyn/A 8303-2024 tillsynsbegäran.docx", "A 8303-2024")</f>
        <v/>
      </c>
      <c r="Y228">
        <f>HYPERLINK("https://klasma.github.io/Logging_0881/tillsynsmail/A 8303-2024 tillsynsbegäran mail.docx", "A 8303-2024")</f>
        <v/>
      </c>
    </row>
    <row r="229" ht="15" customHeight="1">
      <c r="A229" t="inlineStr">
        <is>
          <t>A 39190-2024</t>
        </is>
      </c>
      <c r="B229" s="1" t="n">
        <v>45548</v>
      </c>
      <c r="C229" s="1" t="n">
        <v>45884</v>
      </c>
      <c r="D229" t="inlineStr">
        <is>
          <t>KALMAR LÄN</t>
        </is>
      </c>
      <c r="E229" t="inlineStr">
        <is>
          <t>VÄSTERVIK</t>
        </is>
      </c>
      <c r="G229" t="n">
        <v>1.7</v>
      </c>
      <c r="H229" t="n">
        <v>2</v>
      </c>
      <c r="I229" t="n">
        <v>0</v>
      </c>
      <c r="J229" t="n">
        <v>2</v>
      </c>
      <c r="K229" t="n">
        <v>1</v>
      </c>
      <c r="L229" t="n">
        <v>0</v>
      </c>
      <c r="M229" t="n">
        <v>0</v>
      </c>
      <c r="N229" t="n">
        <v>0</v>
      </c>
      <c r="O229" t="n">
        <v>3</v>
      </c>
      <c r="P229" t="n">
        <v>1</v>
      </c>
      <c r="Q229" t="n">
        <v>3</v>
      </c>
      <c r="R229" s="2" t="inlineStr">
        <is>
          <t>Knärot
Svart taggsvamp
Talltita</t>
        </is>
      </c>
      <c r="S229">
        <f>HYPERLINK("https://klasma.github.io/Logging_0883/artfynd/A 39190-2024 artfynd.xlsx", "A 39190-2024")</f>
        <v/>
      </c>
      <c r="T229">
        <f>HYPERLINK("https://klasma.github.io/Logging_0883/kartor/A 39190-2024 karta.png", "A 39190-2024")</f>
        <v/>
      </c>
      <c r="U229">
        <f>HYPERLINK("https://klasma.github.io/Logging_0883/knärot/A 39190-2024 karta knärot.png", "A 39190-2024")</f>
        <v/>
      </c>
      <c r="V229">
        <f>HYPERLINK("https://klasma.github.io/Logging_0883/klagomål/A 39190-2024 FSC-klagomål.docx", "A 39190-2024")</f>
        <v/>
      </c>
      <c r="W229">
        <f>HYPERLINK("https://klasma.github.io/Logging_0883/klagomålsmail/A 39190-2024 FSC-klagomål mail.docx", "A 39190-2024")</f>
        <v/>
      </c>
      <c r="X229">
        <f>HYPERLINK("https://klasma.github.io/Logging_0883/tillsyn/A 39190-2024 tillsynsbegäran.docx", "A 39190-2024")</f>
        <v/>
      </c>
      <c r="Y229">
        <f>HYPERLINK("https://klasma.github.io/Logging_0883/tillsynsmail/A 39190-2024 tillsynsbegäran mail.docx", "A 39190-2024")</f>
        <v/>
      </c>
      <c r="Z229">
        <f>HYPERLINK("https://klasma.github.io/Logging_0883/fåglar/A 39190-2024 prioriterade fågelarter.docx", "A 39190-2024")</f>
        <v/>
      </c>
    </row>
    <row r="230" ht="15" customHeight="1">
      <c r="A230" t="inlineStr">
        <is>
          <t>A 2340-2025</t>
        </is>
      </c>
      <c r="B230" s="1" t="n">
        <v>45673</v>
      </c>
      <c r="C230" s="1" t="n">
        <v>45884</v>
      </c>
      <c r="D230" t="inlineStr">
        <is>
          <t>KALMAR LÄN</t>
        </is>
      </c>
      <c r="E230" t="inlineStr">
        <is>
          <t>VÄSTERVIK</t>
        </is>
      </c>
      <c r="G230" t="n">
        <v>3.5</v>
      </c>
      <c r="H230" t="n">
        <v>3</v>
      </c>
      <c r="I230" t="n">
        <v>0</v>
      </c>
      <c r="J230" t="n">
        <v>2</v>
      </c>
      <c r="K230" t="n">
        <v>0</v>
      </c>
      <c r="L230" t="n">
        <v>0</v>
      </c>
      <c r="M230" t="n">
        <v>0</v>
      </c>
      <c r="N230" t="n">
        <v>0</v>
      </c>
      <c r="O230" t="n">
        <v>2</v>
      </c>
      <c r="P230" t="n">
        <v>0</v>
      </c>
      <c r="Q230" t="n">
        <v>3</v>
      </c>
      <c r="R230" s="2" t="inlineStr">
        <is>
          <t>Spillkråka
Talltita
Kungsfågel</t>
        </is>
      </c>
      <c r="S230">
        <f>HYPERLINK("https://klasma.github.io/Logging_0883/artfynd/A 2340-2025 artfynd.xlsx", "A 2340-2025")</f>
        <v/>
      </c>
      <c r="T230">
        <f>HYPERLINK("https://klasma.github.io/Logging_0883/kartor/A 2340-2025 karta.png", "A 2340-2025")</f>
        <v/>
      </c>
      <c r="U230">
        <f>HYPERLINK("https://klasma.github.io/Logging_0883/knärot/A 2340-2025 karta knärot.png", "A 2340-2025")</f>
        <v/>
      </c>
      <c r="V230">
        <f>HYPERLINK("https://klasma.github.io/Logging_0883/klagomål/A 2340-2025 FSC-klagomål.docx", "A 2340-2025")</f>
        <v/>
      </c>
      <c r="W230">
        <f>HYPERLINK("https://klasma.github.io/Logging_0883/klagomålsmail/A 2340-2025 FSC-klagomål mail.docx", "A 2340-2025")</f>
        <v/>
      </c>
      <c r="X230">
        <f>HYPERLINK("https://klasma.github.io/Logging_0883/tillsyn/A 2340-2025 tillsynsbegäran.docx", "A 2340-2025")</f>
        <v/>
      </c>
      <c r="Y230">
        <f>HYPERLINK("https://klasma.github.io/Logging_0883/tillsynsmail/A 2340-2025 tillsynsbegäran mail.docx", "A 2340-2025")</f>
        <v/>
      </c>
      <c r="Z230">
        <f>HYPERLINK("https://klasma.github.io/Logging_0883/fåglar/A 2340-2025 prioriterade fågelarter.docx", "A 2340-2025")</f>
        <v/>
      </c>
    </row>
    <row r="231" ht="15" customHeight="1">
      <c r="A231" t="inlineStr">
        <is>
          <t>A 16948-2024</t>
        </is>
      </c>
      <c r="B231" s="1" t="n">
        <v>45411</v>
      </c>
      <c r="C231" s="1" t="n">
        <v>45884</v>
      </c>
      <c r="D231" t="inlineStr">
        <is>
          <t>KALMAR LÄN</t>
        </is>
      </c>
      <c r="E231" t="inlineStr">
        <is>
          <t>VÄSTERVIK</t>
        </is>
      </c>
      <c r="G231" t="n">
        <v>13.3</v>
      </c>
      <c r="H231" t="n">
        <v>2</v>
      </c>
      <c r="I231" t="n">
        <v>0</v>
      </c>
      <c r="J231" t="n">
        <v>2</v>
      </c>
      <c r="K231" t="n">
        <v>1</v>
      </c>
      <c r="L231" t="n">
        <v>0</v>
      </c>
      <c r="M231" t="n">
        <v>0</v>
      </c>
      <c r="N231" t="n">
        <v>0</v>
      </c>
      <c r="O231" t="n">
        <v>3</v>
      </c>
      <c r="P231" t="n">
        <v>1</v>
      </c>
      <c r="Q231" t="n">
        <v>3</v>
      </c>
      <c r="R231" s="2" t="inlineStr">
        <is>
          <t>Knärot
Spillkråka
Tallticka</t>
        </is>
      </c>
      <c r="S231">
        <f>HYPERLINK("https://klasma.github.io/Logging_0883/artfynd/A 16948-2024 artfynd.xlsx", "A 16948-2024")</f>
        <v/>
      </c>
      <c r="T231">
        <f>HYPERLINK("https://klasma.github.io/Logging_0883/kartor/A 16948-2024 karta.png", "A 16948-2024")</f>
        <v/>
      </c>
      <c r="U231">
        <f>HYPERLINK("https://klasma.github.io/Logging_0883/knärot/A 16948-2024 karta knärot.png", "A 16948-2024")</f>
        <v/>
      </c>
      <c r="V231">
        <f>HYPERLINK("https://klasma.github.io/Logging_0883/klagomål/A 16948-2024 FSC-klagomål.docx", "A 16948-2024")</f>
        <v/>
      </c>
      <c r="W231">
        <f>HYPERLINK("https://klasma.github.io/Logging_0883/klagomålsmail/A 16948-2024 FSC-klagomål mail.docx", "A 16948-2024")</f>
        <v/>
      </c>
      <c r="X231">
        <f>HYPERLINK("https://klasma.github.io/Logging_0883/tillsyn/A 16948-2024 tillsynsbegäran.docx", "A 16948-2024")</f>
        <v/>
      </c>
      <c r="Y231">
        <f>HYPERLINK("https://klasma.github.io/Logging_0883/tillsynsmail/A 16948-2024 tillsynsbegäran mail.docx", "A 16948-2024")</f>
        <v/>
      </c>
      <c r="Z231">
        <f>HYPERLINK("https://klasma.github.io/Logging_0883/fåglar/A 16948-2024 prioriterade fågelarter.docx", "A 16948-2024")</f>
        <v/>
      </c>
    </row>
    <row r="232" ht="15" customHeight="1">
      <c r="A232" t="inlineStr">
        <is>
          <t>A 12708-2023</t>
        </is>
      </c>
      <c r="B232" s="1" t="n">
        <v>45000</v>
      </c>
      <c r="C232" s="1" t="n">
        <v>45884</v>
      </c>
      <c r="D232" t="inlineStr">
        <is>
          <t>KALMAR LÄN</t>
        </is>
      </c>
      <c r="E232" t="inlineStr">
        <is>
          <t>VÄSTERVIK</t>
        </is>
      </c>
      <c r="G232" t="n">
        <v>8.6</v>
      </c>
      <c r="H232" t="n">
        <v>2</v>
      </c>
      <c r="I232" t="n">
        <v>0</v>
      </c>
      <c r="J232" t="n">
        <v>2</v>
      </c>
      <c r="K232" t="n">
        <v>1</v>
      </c>
      <c r="L232" t="n">
        <v>0</v>
      </c>
      <c r="M232" t="n">
        <v>0</v>
      </c>
      <c r="N232" t="n">
        <v>0</v>
      </c>
      <c r="O232" t="n">
        <v>3</v>
      </c>
      <c r="P232" t="n">
        <v>1</v>
      </c>
      <c r="Q232" t="n">
        <v>3</v>
      </c>
      <c r="R232" s="2" t="inlineStr">
        <is>
          <t>Knärot
Tallticka
Talltita</t>
        </is>
      </c>
      <c r="S232">
        <f>HYPERLINK("https://klasma.github.io/Logging_0883/artfynd/A 12708-2023 artfynd.xlsx", "A 12708-2023")</f>
        <v/>
      </c>
      <c r="T232">
        <f>HYPERLINK("https://klasma.github.io/Logging_0883/kartor/A 12708-2023 karta.png", "A 12708-2023")</f>
        <v/>
      </c>
      <c r="U232">
        <f>HYPERLINK("https://klasma.github.io/Logging_0883/knärot/A 12708-2023 karta knärot.png", "A 12708-2023")</f>
        <v/>
      </c>
      <c r="V232">
        <f>HYPERLINK("https://klasma.github.io/Logging_0883/klagomål/A 12708-2023 FSC-klagomål.docx", "A 12708-2023")</f>
        <v/>
      </c>
      <c r="W232">
        <f>HYPERLINK("https://klasma.github.io/Logging_0883/klagomålsmail/A 12708-2023 FSC-klagomål mail.docx", "A 12708-2023")</f>
        <v/>
      </c>
      <c r="X232">
        <f>HYPERLINK("https://klasma.github.io/Logging_0883/tillsyn/A 12708-2023 tillsynsbegäran.docx", "A 12708-2023")</f>
        <v/>
      </c>
      <c r="Y232">
        <f>HYPERLINK("https://klasma.github.io/Logging_0883/tillsynsmail/A 12708-2023 tillsynsbegäran mail.docx", "A 12708-2023")</f>
        <v/>
      </c>
      <c r="Z232">
        <f>HYPERLINK("https://klasma.github.io/Logging_0883/fåglar/A 12708-2023 prioriterade fågelarter.docx", "A 12708-2023")</f>
        <v/>
      </c>
    </row>
    <row r="233" ht="15" customHeight="1">
      <c r="A233" t="inlineStr">
        <is>
          <t>A 1933-2022</t>
        </is>
      </c>
      <c r="B233" s="1" t="n">
        <v>44575</v>
      </c>
      <c r="C233" s="1" t="n">
        <v>45884</v>
      </c>
      <c r="D233" t="inlineStr">
        <is>
          <t>KALMAR LÄN</t>
        </is>
      </c>
      <c r="E233" t="inlineStr">
        <is>
          <t>KALMAR</t>
        </is>
      </c>
      <c r="G233" t="n">
        <v>3.3</v>
      </c>
      <c r="H233" t="n">
        <v>1</v>
      </c>
      <c r="I233" t="n">
        <v>2</v>
      </c>
      <c r="J233" t="n">
        <v>0</v>
      </c>
      <c r="K233" t="n">
        <v>1</v>
      </c>
      <c r="L233" t="n">
        <v>0</v>
      </c>
      <c r="M233" t="n">
        <v>0</v>
      </c>
      <c r="N233" t="n">
        <v>0</v>
      </c>
      <c r="O233" t="n">
        <v>1</v>
      </c>
      <c r="P233" t="n">
        <v>1</v>
      </c>
      <c r="Q233" t="n">
        <v>3</v>
      </c>
      <c r="R233" s="2" t="inlineStr">
        <is>
          <t>Knärot
Brandticka
Grovticka</t>
        </is>
      </c>
      <c r="S233">
        <f>HYPERLINK("https://klasma.github.io/Logging_0880/artfynd/A 1933-2022 artfynd.xlsx", "A 1933-2022")</f>
        <v/>
      </c>
      <c r="T233">
        <f>HYPERLINK("https://klasma.github.io/Logging_0880/kartor/A 1933-2022 karta.png", "A 1933-2022")</f>
        <v/>
      </c>
      <c r="U233">
        <f>HYPERLINK("https://klasma.github.io/Logging_0880/knärot/A 1933-2022 karta knärot.png", "A 1933-2022")</f>
        <v/>
      </c>
      <c r="V233">
        <f>HYPERLINK("https://klasma.github.io/Logging_0880/klagomål/A 1933-2022 FSC-klagomål.docx", "A 1933-2022")</f>
        <v/>
      </c>
      <c r="W233">
        <f>HYPERLINK("https://klasma.github.io/Logging_0880/klagomålsmail/A 1933-2022 FSC-klagomål mail.docx", "A 1933-2022")</f>
        <v/>
      </c>
      <c r="X233">
        <f>HYPERLINK("https://klasma.github.io/Logging_0880/tillsyn/A 1933-2022 tillsynsbegäran.docx", "A 1933-2022")</f>
        <v/>
      </c>
      <c r="Y233">
        <f>HYPERLINK("https://klasma.github.io/Logging_0880/tillsynsmail/A 1933-2022 tillsynsbegäran mail.docx", "A 1933-2022")</f>
        <v/>
      </c>
    </row>
    <row r="234" ht="15" customHeight="1">
      <c r="A234" t="inlineStr">
        <is>
          <t>A 39857-2020</t>
        </is>
      </c>
      <c r="B234" s="1" t="n">
        <v>44064</v>
      </c>
      <c r="C234" s="1" t="n">
        <v>45884</v>
      </c>
      <c r="D234" t="inlineStr">
        <is>
          <t>KALMAR LÄN</t>
        </is>
      </c>
      <c r="E234" t="inlineStr">
        <is>
          <t>VÄSTERVIK</t>
        </is>
      </c>
      <c r="G234" t="n">
        <v>7.6</v>
      </c>
      <c r="H234" t="n">
        <v>0</v>
      </c>
      <c r="I234" t="n">
        <v>0</v>
      </c>
      <c r="J234" t="n">
        <v>2</v>
      </c>
      <c r="K234" t="n">
        <v>1</v>
      </c>
      <c r="L234" t="n">
        <v>0</v>
      </c>
      <c r="M234" t="n">
        <v>0</v>
      </c>
      <c r="N234" t="n">
        <v>0</v>
      </c>
      <c r="O234" t="n">
        <v>3</v>
      </c>
      <c r="P234" t="n">
        <v>1</v>
      </c>
      <c r="Q234" t="n">
        <v>3</v>
      </c>
      <c r="R234" s="2" t="inlineStr">
        <is>
          <t>Slåttergubbe
Spindelört
Svinrot</t>
        </is>
      </c>
      <c r="S234">
        <f>HYPERLINK("https://klasma.github.io/Logging_0883/artfynd/A 39857-2020 artfynd.xlsx", "A 39857-2020")</f>
        <v/>
      </c>
      <c r="T234">
        <f>HYPERLINK("https://klasma.github.io/Logging_0883/kartor/A 39857-2020 karta.png", "A 39857-2020")</f>
        <v/>
      </c>
      <c r="V234">
        <f>HYPERLINK("https://klasma.github.io/Logging_0883/klagomål/A 39857-2020 FSC-klagomål.docx", "A 39857-2020")</f>
        <v/>
      </c>
      <c r="W234">
        <f>HYPERLINK("https://klasma.github.io/Logging_0883/klagomålsmail/A 39857-2020 FSC-klagomål mail.docx", "A 39857-2020")</f>
        <v/>
      </c>
      <c r="X234">
        <f>HYPERLINK("https://klasma.github.io/Logging_0883/tillsyn/A 39857-2020 tillsynsbegäran.docx", "A 39857-2020")</f>
        <v/>
      </c>
      <c r="Y234">
        <f>HYPERLINK("https://klasma.github.io/Logging_0883/tillsynsmail/A 39857-2020 tillsynsbegäran mail.docx", "A 39857-2020")</f>
        <v/>
      </c>
    </row>
    <row r="235" ht="15" customHeight="1">
      <c r="A235" t="inlineStr">
        <is>
          <t>A 73602-2021</t>
        </is>
      </c>
      <c r="B235" s="1" t="n">
        <v>44552</v>
      </c>
      <c r="C235" s="1" t="n">
        <v>45884</v>
      </c>
      <c r="D235" t="inlineStr">
        <is>
          <t>KALMAR LÄN</t>
        </is>
      </c>
      <c r="E235" t="inlineStr">
        <is>
          <t>OSKARSHAMN</t>
        </is>
      </c>
      <c r="G235" t="n">
        <v>4.5</v>
      </c>
      <c r="H235" t="n">
        <v>1</v>
      </c>
      <c r="I235" t="n">
        <v>0</v>
      </c>
      <c r="J235" t="n">
        <v>2</v>
      </c>
      <c r="K235" t="n">
        <v>0</v>
      </c>
      <c r="L235" t="n">
        <v>0</v>
      </c>
      <c r="M235" t="n">
        <v>0</v>
      </c>
      <c r="N235" t="n">
        <v>0</v>
      </c>
      <c r="O235" t="n">
        <v>2</v>
      </c>
      <c r="P235" t="n">
        <v>0</v>
      </c>
      <c r="Q235" t="n">
        <v>3</v>
      </c>
      <c r="R235" s="2" t="inlineStr">
        <is>
          <t>Skogssvingel
Svedjenäva
Blåsippa</t>
        </is>
      </c>
      <c r="S235">
        <f>HYPERLINK("https://klasma.github.io/Logging_0882/artfynd/A 73602-2021 artfynd.xlsx", "A 73602-2021")</f>
        <v/>
      </c>
      <c r="T235">
        <f>HYPERLINK("https://klasma.github.io/Logging_0882/kartor/A 73602-2021 karta.png", "A 73602-2021")</f>
        <v/>
      </c>
      <c r="V235">
        <f>HYPERLINK("https://klasma.github.io/Logging_0882/klagomål/A 73602-2021 FSC-klagomål.docx", "A 73602-2021")</f>
        <v/>
      </c>
      <c r="W235">
        <f>HYPERLINK("https://klasma.github.io/Logging_0882/klagomålsmail/A 73602-2021 FSC-klagomål mail.docx", "A 73602-2021")</f>
        <v/>
      </c>
      <c r="X235">
        <f>HYPERLINK("https://klasma.github.io/Logging_0882/tillsyn/A 73602-2021 tillsynsbegäran.docx", "A 73602-2021")</f>
        <v/>
      </c>
      <c r="Y235">
        <f>HYPERLINK("https://klasma.github.io/Logging_0882/tillsynsmail/A 73602-2021 tillsynsbegäran mail.docx", "A 73602-2021")</f>
        <v/>
      </c>
    </row>
    <row r="236" ht="15" customHeight="1">
      <c r="A236" t="inlineStr">
        <is>
          <t>A 10673-2024</t>
        </is>
      </c>
      <c r="B236" s="1" t="n">
        <v>45369.35270833333</v>
      </c>
      <c r="C236" s="1" t="n">
        <v>45884</v>
      </c>
      <c r="D236" t="inlineStr">
        <is>
          <t>KALMAR LÄN</t>
        </is>
      </c>
      <c r="E236" t="inlineStr">
        <is>
          <t>HULTSFRED</t>
        </is>
      </c>
      <c r="G236" t="n">
        <v>2</v>
      </c>
      <c r="H236" t="n">
        <v>3</v>
      </c>
      <c r="I236" t="n">
        <v>0</v>
      </c>
      <c r="J236" t="n">
        <v>1</v>
      </c>
      <c r="K236" t="n">
        <v>1</v>
      </c>
      <c r="L236" t="n">
        <v>0</v>
      </c>
      <c r="M236" t="n">
        <v>0</v>
      </c>
      <c r="N236" t="n">
        <v>0</v>
      </c>
      <c r="O236" t="n">
        <v>2</v>
      </c>
      <c r="P236" t="n">
        <v>1</v>
      </c>
      <c r="Q236" t="n">
        <v>3</v>
      </c>
      <c r="R236" s="2" t="inlineStr">
        <is>
          <t>Knärot
Spillkråka
Blåsippa</t>
        </is>
      </c>
      <c r="S236">
        <f>HYPERLINK("https://klasma.github.io/Logging_0860/artfynd/A 10673-2024 artfynd.xlsx", "A 10673-2024")</f>
        <v/>
      </c>
      <c r="T236">
        <f>HYPERLINK("https://klasma.github.io/Logging_0860/kartor/A 10673-2024 karta.png", "A 10673-2024")</f>
        <v/>
      </c>
      <c r="U236">
        <f>HYPERLINK("https://klasma.github.io/Logging_0860/knärot/A 10673-2024 karta knärot.png", "A 10673-2024")</f>
        <v/>
      </c>
      <c r="V236">
        <f>HYPERLINK("https://klasma.github.io/Logging_0860/klagomål/A 10673-2024 FSC-klagomål.docx", "A 10673-2024")</f>
        <v/>
      </c>
      <c r="W236">
        <f>HYPERLINK("https://klasma.github.io/Logging_0860/klagomålsmail/A 10673-2024 FSC-klagomål mail.docx", "A 10673-2024")</f>
        <v/>
      </c>
      <c r="X236">
        <f>HYPERLINK("https://klasma.github.io/Logging_0860/tillsyn/A 10673-2024 tillsynsbegäran.docx", "A 10673-2024")</f>
        <v/>
      </c>
      <c r="Y236">
        <f>HYPERLINK("https://klasma.github.io/Logging_0860/tillsynsmail/A 10673-2024 tillsynsbegäran mail.docx", "A 10673-2024")</f>
        <v/>
      </c>
      <c r="Z236">
        <f>HYPERLINK("https://klasma.github.io/Logging_0860/fåglar/A 10673-2024 prioriterade fågelarter.docx", "A 10673-2024")</f>
        <v/>
      </c>
    </row>
    <row r="237" ht="15" customHeight="1">
      <c r="A237" t="inlineStr">
        <is>
          <t>A 51595-2020</t>
        </is>
      </c>
      <c r="B237" s="1" t="n">
        <v>44109</v>
      </c>
      <c r="C237" s="1" t="n">
        <v>45884</v>
      </c>
      <c r="D237" t="inlineStr">
        <is>
          <t>KALMAR LÄN</t>
        </is>
      </c>
      <c r="E237" t="inlineStr">
        <is>
          <t>HÖGSBY</t>
        </is>
      </c>
      <c r="G237" t="n">
        <v>8.1</v>
      </c>
      <c r="H237" t="n">
        <v>1</v>
      </c>
      <c r="I237" t="n">
        <v>1</v>
      </c>
      <c r="J237" t="n">
        <v>0</v>
      </c>
      <c r="K237" t="n">
        <v>1</v>
      </c>
      <c r="L237" t="n">
        <v>0</v>
      </c>
      <c r="M237" t="n">
        <v>0</v>
      </c>
      <c r="N237" t="n">
        <v>0</v>
      </c>
      <c r="O237" t="n">
        <v>1</v>
      </c>
      <c r="P237" t="n">
        <v>1</v>
      </c>
      <c r="Q237" t="n">
        <v>3</v>
      </c>
      <c r="R237" s="2" t="inlineStr">
        <is>
          <t>Vågticka
Blodticka
Blåsippa</t>
        </is>
      </c>
      <c r="S237">
        <f>HYPERLINK("https://klasma.github.io/Logging_0821/artfynd/A 51595-2020 artfynd.xlsx", "A 51595-2020")</f>
        <v/>
      </c>
      <c r="T237">
        <f>HYPERLINK("https://klasma.github.io/Logging_0821/kartor/A 51595-2020 karta.png", "A 51595-2020")</f>
        <v/>
      </c>
      <c r="V237">
        <f>HYPERLINK("https://klasma.github.io/Logging_0821/klagomål/A 51595-2020 FSC-klagomål.docx", "A 51595-2020")</f>
        <v/>
      </c>
      <c r="W237">
        <f>HYPERLINK("https://klasma.github.io/Logging_0821/klagomålsmail/A 51595-2020 FSC-klagomål mail.docx", "A 51595-2020")</f>
        <v/>
      </c>
      <c r="X237">
        <f>HYPERLINK("https://klasma.github.io/Logging_0821/tillsyn/A 51595-2020 tillsynsbegäran.docx", "A 51595-2020")</f>
        <v/>
      </c>
      <c r="Y237">
        <f>HYPERLINK("https://klasma.github.io/Logging_0821/tillsynsmail/A 51595-2020 tillsynsbegäran mail.docx", "A 51595-2020")</f>
        <v/>
      </c>
    </row>
    <row r="238" ht="15" customHeight="1">
      <c r="A238" t="inlineStr">
        <is>
          <t>A 35242-2024</t>
        </is>
      </c>
      <c r="B238" s="1" t="n">
        <v>45530.55440972222</v>
      </c>
      <c r="C238" s="1" t="n">
        <v>45884</v>
      </c>
      <c r="D238" t="inlineStr">
        <is>
          <t>KALMAR LÄN</t>
        </is>
      </c>
      <c r="E238" t="inlineStr">
        <is>
          <t>MÖRBYLÅNGA</t>
        </is>
      </c>
      <c r="G238" t="n">
        <v>0.9</v>
      </c>
      <c r="H238" t="n">
        <v>1</v>
      </c>
      <c r="I238" t="n">
        <v>2</v>
      </c>
      <c r="J238" t="n">
        <v>0</v>
      </c>
      <c r="K238" t="n">
        <v>0</v>
      </c>
      <c r="L238" t="n">
        <v>1</v>
      </c>
      <c r="M238" t="n">
        <v>0</v>
      </c>
      <c r="N238" t="n">
        <v>0</v>
      </c>
      <c r="O238" t="n">
        <v>1</v>
      </c>
      <c r="P238" t="n">
        <v>1</v>
      </c>
      <c r="Q238" t="n">
        <v>3</v>
      </c>
      <c r="R238" s="2" t="inlineStr">
        <is>
          <t>Ryl
Grönpyrola
Skogsknipprot</t>
        </is>
      </c>
      <c r="S238">
        <f>HYPERLINK("https://klasma.github.io/Logging_0840/artfynd/A 35242-2024 artfynd.xlsx", "A 35242-2024")</f>
        <v/>
      </c>
      <c r="T238">
        <f>HYPERLINK("https://klasma.github.io/Logging_0840/kartor/A 35242-2024 karta.png", "A 35242-2024")</f>
        <v/>
      </c>
      <c r="V238">
        <f>HYPERLINK("https://klasma.github.io/Logging_0840/klagomål/A 35242-2024 FSC-klagomål.docx", "A 35242-2024")</f>
        <v/>
      </c>
      <c r="W238">
        <f>HYPERLINK("https://klasma.github.io/Logging_0840/klagomålsmail/A 35242-2024 FSC-klagomål mail.docx", "A 35242-2024")</f>
        <v/>
      </c>
      <c r="X238">
        <f>HYPERLINK("https://klasma.github.io/Logging_0840/tillsyn/A 35242-2024 tillsynsbegäran.docx", "A 35242-2024")</f>
        <v/>
      </c>
      <c r="Y238">
        <f>HYPERLINK("https://klasma.github.io/Logging_0840/tillsynsmail/A 35242-2024 tillsynsbegäran mail.docx", "A 35242-2024")</f>
        <v/>
      </c>
    </row>
    <row r="239" ht="15" customHeight="1">
      <c r="A239" t="inlineStr">
        <is>
          <t>A 27700-2024</t>
        </is>
      </c>
      <c r="B239" s="1" t="n">
        <v>45475.35597222222</v>
      </c>
      <c r="C239" s="1" t="n">
        <v>45884</v>
      </c>
      <c r="D239" t="inlineStr">
        <is>
          <t>KALMAR LÄN</t>
        </is>
      </c>
      <c r="E239" t="inlineStr">
        <is>
          <t>VÄSTERVIK</t>
        </is>
      </c>
      <c r="F239" t="inlineStr">
        <is>
          <t>Holmen skog AB</t>
        </is>
      </c>
      <c r="G239" t="n">
        <v>1.1</v>
      </c>
      <c r="H239" t="n">
        <v>1</v>
      </c>
      <c r="I239" t="n">
        <v>2</v>
      </c>
      <c r="J239" t="n">
        <v>1</v>
      </c>
      <c r="K239" t="n">
        <v>0</v>
      </c>
      <c r="L239" t="n">
        <v>0</v>
      </c>
      <c r="M239" t="n">
        <v>0</v>
      </c>
      <c r="N239" t="n">
        <v>0</v>
      </c>
      <c r="O239" t="n">
        <v>1</v>
      </c>
      <c r="P239" t="n">
        <v>0</v>
      </c>
      <c r="Q239" t="n">
        <v>3</v>
      </c>
      <c r="R239" s="2" t="inlineStr">
        <is>
          <t>Spillkråka
Blåmossa
Zontaggsvamp</t>
        </is>
      </c>
      <c r="S239">
        <f>HYPERLINK("https://klasma.github.io/Logging_0883/artfynd/A 27700-2024 artfynd.xlsx", "A 27700-2024")</f>
        <v/>
      </c>
      <c r="T239">
        <f>HYPERLINK("https://klasma.github.io/Logging_0883/kartor/A 27700-2024 karta.png", "A 27700-2024")</f>
        <v/>
      </c>
      <c r="V239">
        <f>HYPERLINK("https://klasma.github.io/Logging_0883/klagomål/A 27700-2024 FSC-klagomål.docx", "A 27700-2024")</f>
        <v/>
      </c>
      <c r="W239">
        <f>HYPERLINK("https://klasma.github.io/Logging_0883/klagomålsmail/A 27700-2024 FSC-klagomål mail.docx", "A 27700-2024")</f>
        <v/>
      </c>
      <c r="X239">
        <f>HYPERLINK("https://klasma.github.io/Logging_0883/tillsyn/A 27700-2024 tillsynsbegäran.docx", "A 27700-2024")</f>
        <v/>
      </c>
      <c r="Y239">
        <f>HYPERLINK("https://klasma.github.io/Logging_0883/tillsynsmail/A 27700-2024 tillsynsbegäran mail.docx", "A 27700-2024")</f>
        <v/>
      </c>
      <c r="Z239">
        <f>HYPERLINK("https://klasma.github.io/Logging_0883/fåglar/A 27700-2024 prioriterade fågelarter.docx", "A 27700-2024")</f>
        <v/>
      </c>
    </row>
    <row r="240" ht="15" customHeight="1">
      <c r="A240" t="inlineStr">
        <is>
          <t>A 34207-2022</t>
        </is>
      </c>
      <c r="B240" s="1" t="n">
        <v>44791.65466435185</v>
      </c>
      <c r="C240" s="1" t="n">
        <v>45884</v>
      </c>
      <c r="D240" t="inlineStr">
        <is>
          <t>KALMAR LÄN</t>
        </is>
      </c>
      <c r="E240" t="inlineStr">
        <is>
          <t>MÖNSTERÅS</t>
        </is>
      </c>
      <c r="G240" t="n">
        <v>3.5</v>
      </c>
      <c r="H240" t="n">
        <v>3</v>
      </c>
      <c r="I240" t="n">
        <v>0</v>
      </c>
      <c r="J240" t="n">
        <v>1</v>
      </c>
      <c r="K240" t="n">
        <v>0</v>
      </c>
      <c r="L240" t="n">
        <v>0</v>
      </c>
      <c r="M240" t="n">
        <v>0</v>
      </c>
      <c r="N240" t="n">
        <v>0</v>
      </c>
      <c r="O240" t="n">
        <v>1</v>
      </c>
      <c r="P240" t="n">
        <v>0</v>
      </c>
      <c r="Q240" t="n">
        <v>3</v>
      </c>
      <c r="R240" s="2" t="inlineStr">
        <is>
          <t>Sävsparv
Röd glada
Trädlärka</t>
        </is>
      </c>
      <c r="S240">
        <f>HYPERLINK("https://klasma.github.io/Logging_0861/artfynd/A 34207-2022 artfynd.xlsx", "A 34207-2022")</f>
        <v/>
      </c>
      <c r="T240">
        <f>HYPERLINK("https://klasma.github.io/Logging_0861/kartor/A 34207-2022 karta.png", "A 34207-2022")</f>
        <v/>
      </c>
      <c r="V240">
        <f>HYPERLINK("https://klasma.github.io/Logging_0861/klagomål/A 34207-2022 FSC-klagomål.docx", "A 34207-2022")</f>
        <v/>
      </c>
      <c r="W240">
        <f>HYPERLINK("https://klasma.github.io/Logging_0861/klagomålsmail/A 34207-2022 FSC-klagomål mail.docx", "A 34207-2022")</f>
        <v/>
      </c>
      <c r="X240">
        <f>HYPERLINK("https://klasma.github.io/Logging_0861/tillsyn/A 34207-2022 tillsynsbegäran.docx", "A 34207-2022")</f>
        <v/>
      </c>
      <c r="Y240">
        <f>HYPERLINK("https://klasma.github.io/Logging_0861/tillsynsmail/A 34207-2022 tillsynsbegäran mail.docx", "A 34207-2022")</f>
        <v/>
      </c>
      <c r="Z240">
        <f>HYPERLINK("https://klasma.github.io/Logging_0861/fåglar/A 34207-2022 prioriterade fågelarter.docx", "A 34207-2022")</f>
        <v/>
      </c>
    </row>
    <row r="241" ht="15" customHeight="1">
      <c r="A241" t="inlineStr">
        <is>
          <t>A 2719-2024</t>
        </is>
      </c>
      <c r="B241" s="1" t="n">
        <v>45314</v>
      </c>
      <c r="C241" s="1" t="n">
        <v>45884</v>
      </c>
      <c r="D241" t="inlineStr">
        <is>
          <t>KALMAR LÄN</t>
        </is>
      </c>
      <c r="E241" t="inlineStr">
        <is>
          <t>MÖNSTERÅS</t>
        </is>
      </c>
      <c r="G241" t="n">
        <v>3.4</v>
      </c>
      <c r="H241" t="n">
        <v>3</v>
      </c>
      <c r="I241" t="n">
        <v>0</v>
      </c>
      <c r="J241" t="n">
        <v>1</v>
      </c>
      <c r="K241" t="n">
        <v>0</v>
      </c>
      <c r="L241" t="n">
        <v>0</v>
      </c>
      <c r="M241" t="n">
        <v>0</v>
      </c>
      <c r="N241" t="n">
        <v>0</v>
      </c>
      <c r="O241" t="n">
        <v>1</v>
      </c>
      <c r="P241" t="n">
        <v>0</v>
      </c>
      <c r="Q241" t="n">
        <v>3</v>
      </c>
      <c r="R241" s="2" t="inlineStr">
        <is>
          <t>Nordfladdermus
Dvärgpipistrell
Större brunfladdermus</t>
        </is>
      </c>
      <c r="S241">
        <f>HYPERLINK("https://klasma.github.io/Logging_0861/artfynd/A 2719-2024 artfynd.xlsx", "A 2719-2024")</f>
        <v/>
      </c>
      <c r="T241">
        <f>HYPERLINK("https://klasma.github.io/Logging_0861/kartor/A 2719-2024 karta.png", "A 2719-2024")</f>
        <v/>
      </c>
      <c r="V241">
        <f>HYPERLINK("https://klasma.github.io/Logging_0861/klagomål/A 2719-2024 FSC-klagomål.docx", "A 2719-2024")</f>
        <v/>
      </c>
      <c r="W241">
        <f>HYPERLINK("https://klasma.github.io/Logging_0861/klagomålsmail/A 2719-2024 FSC-klagomål mail.docx", "A 2719-2024")</f>
        <v/>
      </c>
      <c r="X241">
        <f>HYPERLINK("https://klasma.github.io/Logging_0861/tillsyn/A 2719-2024 tillsynsbegäran.docx", "A 2719-2024")</f>
        <v/>
      </c>
      <c r="Y241">
        <f>HYPERLINK("https://klasma.github.io/Logging_0861/tillsynsmail/A 2719-2024 tillsynsbegäran mail.docx", "A 2719-2024")</f>
        <v/>
      </c>
    </row>
    <row r="242" ht="15" customHeight="1">
      <c r="A242" t="inlineStr">
        <is>
          <t>A 27067-2024</t>
        </is>
      </c>
      <c r="B242" s="1" t="n">
        <v>45471</v>
      </c>
      <c r="C242" s="1" t="n">
        <v>45884</v>
      </c>
      <c r="D242" t="inlineStr">
        <is>
          <t>KALMAR LÄN</t>
        </is>
      </c>
      <c r="E242" t="inlineStr">
        <is>
          <t>VÄSTERVIK</t>
        </is>
      </c>
      <c r="F242" t="inlineStr">
        <is>
          <t>Holmen skog AB</t>
        </is>
      </c>
      <c r="G242" t="n">
        <v>8.4</v>
      </c>
      <c r="H242" t="n">
        <v>2</v>
      </c>
      <c r="I242" t="n">
        <v>0</v>
      </c>
      <c r="J242" t="n">
        <v>3</v>
      </c>
      <c r="K242" t="n">
        <v>0</v>
      </c>
      <c r="L242" t="n">
        <v>0</v>
      </c>
      <c r="M242" t="n">
        <v>0</v>
      </c>
      <c r="N242" t="n">
        <v>0</v>
      </c>
      <c r="O242" t="n">
        <v>3</v>
      </c>
      <c r="P242" t="n">
        <v>0</v>
      </c>
      <c r="Q242" t="n">
        <v>3</v>
      </c>
      <c r="R242" s="2" t="inlineStr">
        <is>
          <t>Ekticka
Spillkråka
Talltita</t>
        </is>
      </c>
      <c r="S242">
        <f>HYPERLINK("https://klasma.github.io/Logging_0883/artfynd/A 27067-2024 artfynd.xlsx", "A 27067-2024")</f>
        <v/>
      </c>
      <c r="T242">
        <f>HYPERLINK("https://klasma.github.io/Logging_0883/kartor/A 27067-2024 karta.png", "A 27067-2024")</f>
        <v/>
      </c>
      <c r="V242">
        <f>HYPERLINK("https://klasma.github.io/Logging_0883/klagomål/A 27067-2024 FSC-klagomål.docx", "A 27067-2024")</f>
        <v/>
      </c>
      <c r="W242">
        <f>HYPERLINK("https://klasma.github.io/Logging_0883/klagomålsmail/A 27067-2024 FSC-klagomål mail.docx", "A 27067-2024")</f>
        <v/>
      </c>
      <c r="X242">
        <f>HYPERLINK("https://klasma.github.io/Logging_0883/tillsyn/A 27067-2024 tillsynsbegäran.docx", "A 27067-2024")</f>
        <v/>
      </c>
      <c r="Y242">
        <f>HYPERLINK("https://klasma.github.io/Logging_0883/tillsynsmail/A 27067-2024 tillsynsbegäran mail.docx", "A 27067-2024")</f>
        <v/>
      </c>
      <c r="Z242">
        <f>HYPERLINK("https://klasma.github.io/Logging_0883/fåglar/A 27067-2024 prioriterade fågelarter.docx", "A 27067-2024")</f>
        <v/>
      </c>
    </row>
    <row r="243" ht="15" customHeight="1">
      <c r="A243" t="inlineStr">
        <is>
          <t>A 55060-2023</t>
        </is>
      </c>
      <c r="B243" s="1" t="n">
        <v>45230</v>
      </c>
      <c r="C243" s="1" t="n">
        <v>45884</v>
      </c>
      <c r="D243" t="inlineStr">
        <is>
          <t>KALMAR LÄN</t>
        </is>
      </c>
      <c r="E243" t="inlineStr">
        <is>
          <t>HÖGSBY</t>
        </is>
      </c>
      <c r="G243" t="n">
        <v>3.6</v>
      </c>
      <c r="H243" t="n">
        <v>1</v>
      </c>
      <c r="I243" t="n">
        <v>1</v>
      </c>
      <c r="J243" t="n">
        <v>2</v>
      </c>
      <c r="K243" t="n">
        <v>0</v>
      </c>
      <c r="L243" t="n">
        <v>0</v>
      </c>
      <c r="M243" t="n">
        <v>0</v>
      </c>
      <c r="N243" t="n">
        <v>0</v>
      </c>
      <c r="O243" t="n">
        <v>2</v>
      </c>
      <c r="P243" t="n">
        <v>0</v>
      </c>
      <c r="Q243" t="n">
        <v>3</v>
      </c>
      <c r="R243" s="2" t="inlineStr">
        <is>
          <t>Spillkråka
Tallticka
Blodticka</t>
        </is>
      </c>
      <c r="S243">
        <f>HYPERLINK("https://klasma.github.io/Logging_0821/artfynd/A 55060-2023 artfynd.xlsx", "A 55060-2023")</f>
        <v/>
      </c>
      <c r="T243">
        <f>HYPERLINK("https://klasma.github.io/Logging_0821/kartor/A 55060-2023 karta.png", "A 55060-2023")</f>
        <v/>
      </c>
      <c r="V243">
        <f>HYPERLINK("https://klasma.github.io/Logging_0821/klagomål/A 55060-2023 FSC-klagomål.docx", "A 55060-2023")</f>
        <v/>
      </c>
      <c r="W243">
        <f>HYPERLINK("https://klasma.github.io/Logging_0821/klagomålsmail/A 55060-2023 FSC-klagomål mail.docx", "A 55060-2023")</f>
        <v/>
      </c>
      <c r="X243">
        <f>HYPERLINK("https://klasma.github.io/Logging_0821/tillsyn/A 55060-2023 tillsynsbegäran.docx", "A 55060-2023")</f>
        <v/>
      </c>
      <c r="Y243">
        <f>HYPERLINK("https://klasma.github.io/Logging_0821/tillsynsmail/A 55060-2023 tillsynsbegäran mail.docx", "A 55060-2023")</f>
        <v/>
      </c>
      <c r="Z243">
        <f>HYPERLINK("https://klasma.github.io/Logging_0821/fåglar/A 55060-2023 prioriterade fågelarter.docx", "A 55060-2023")</f>
        <v/>
      </c>
    </row>
    <row r="244" ht="15" customHeight="1">
      <c r="A244" t="inlineStr">
        <is>
          <t>A 49122-2021</t>
        </is>
      </c>
      <c r="B244" s="1" t="n">
        <v>44453.79184027778</v>
      </c>
      <c r="C244" s="1" t="n">
        <v>45884</v>
      </c>
      <c r="D244" t="inlineStr">
        <is>
          <t>KALMAR LÄN</t>
        </is>
      </c>
      <c r="E244" t="inlineStr">
        <is>
          <t>MÖNSTERÅS</t>
        </is>
      </c>
      <c r="G244" t="n">
        <v>1.6</v>
      </c>
      <c r="H244" t="n">
        <v>1</v>
      </c>
      <c r="I244" t="n">
        <v>0</v>
      </c>
      <c r="J244" t="n">
        <v>2</v>
      </c>
      <c r="K244" t="n">
        <v>0</v>
      </c>
      <c r="L244" t="n">
        <v>1</v>
      </c>
      <c r="M244" t="n">
        <v>0</v>
      </c>
      <c r="N244" t="n">
        <v>0</v>
      </c>
      <c r="O244" t="n">
        <v>3</v>
      </c>
      <c r="P244" t="n">
        <v>1</v>
      </c>
      <c r="Q244" t="n">
        <v>3</v>
      </c>
      <c r="R244" s="2" t="inlineStr">
        <is>
          <t>Brandnäva
Spillkråka
Svedjenäva</t>
        </is>
      </c>
      <c r="S244">
        <f>HYPERLINK("https://klasma.github.io/Logging_0861/artfynd/A 49122-2021 artfynd.xlsx", "A 49122-2021")</f>
        <v/>
      </c>
      <c r="T244">
        <f>HYPERLINK("https://klasma.github.io/Logging_0861/kartor/A 49122-2021 karta.png", "A 49122-2021")</f>
        <v/>
      </c>
      <c r="V244">
        <f>HYPERLINK("https://klasma.github.io/Logging_0861/klagomål/A 49122-2021 FSC-klagomål.docx", "A 49122-2021")</f>
        <v/>
      </c>
      <c r="W244">
        <f>HYPERLINK("https://klasma.github.io/Logging_0861/klagomålsmail/A 49122-2021 FSC-klagomål mail.docx", "A 49122-2021")</f>
        <v/>
      </c>
      <c r="X244">
        <f>HYPERLINK("https://klasma.github.io/Logging_0861/tillsyn/A 49122-2021 tillsynsbegäran.docx", "A 49122-2021")</f>
        <v/>
      </c>
      <c r="Y244">
        <f>HYPERLINK("https://klasma.github.io/Logging_0861/tillsynsmail/A 49122-2021 tillsynsbegäran mail.docx", "A 49122-2021")</f>
        <v/>
      </c>
      <c r="Z244">
        <f>HYPERLINK("https://klasma.github.io/Logging_0861/fåglar/A 49122-2021 prioriterade fågelarter.docx", "A 49122-2021")</f>
        <v/>
      </c>
    </row>
    <row r="245" ht="15" customHeight="1">
      <c r="A245" t="inlineStr">
        <is>
          <t>A 804-2023</t>
        </is>
      </c>
      <c r="B245" s="1" t="n">
        <v>44931</v>
      </c>
      <c r="C245" s="1" t="n">
        <v>45884</v>
      </c>
      <c r="D245" t="inlineStr">
        <is>
          <t>KALMAR LÄN</t>
        </is>
      </c>
      <c r="E245" t="inlineStr">
        <is>
          <t>VÄSTERVIK</t>
        </is>
      </c>
      <c r="F245" t="inlineStr">
        <is>
          <t>Holmen skog AB</t>
        </is>
      </c>
      <c r="G245" t="n">
        <v>5.2</v>
      </c>
      <c r="H245" t="n">
        <v>1</v>
      </c>
      <c r="I245" t="n">
        <v>1</v>
      </c>
      <c r="J245" t="n">
        <v>1</v>
      </c>
      <c r="K245" t="n">
        <v>1</v>
      </c>
      <c r="L245" t="n">
        <v>0</v>
      </c>
      <c r="M245" t="n">
        <v>0</v>
      </c>
      <c r="N245" t="n">
        <v>0</v>
      </c>
      <c r="O245" t="n">
        <v>2</v>
      </c>
      <c r="P245" t="n">
        <v>1</v>
      </c>
      <c r="Q245" t="n">
        <v>3</v>
      </c>
      <c r="R245" s="2" t="inlineStr">
        <is>
          <t>Violett fingersvamp
Ekticka
Ekoxe</t>
        </is>
      </c>
      <c r="S245">
        <f>HYPERLINK("https://klasma.github.io/Logging_0883/artfynd/A 804-2023 artfynd.xlsx", "A 804-2023")</f>
        <v/>
      </c>
      <c r="T245">
        <f>HYPERLINK("https://klasma.github.io/Logging_0883/kartor/A 804-2023 karta.png", "A 804-2023")</f>
        <v/>
      </c>
      <c r="V245">
        <f>HYPERLINK("https://klasma.github.io/Logging_0883/klagomål/A 804-2023 FSC-klagomål.docx", "A 804-2023")</f>
        <v/>
      </c>
      <c r="W245">
        <f>HYPERLINK("https://klasma.github.io/Logging_0883/klagomålsmail/A 804-2023 FSC-klagomål mail.docx", "A 804-2023")</f>
        <v/>
      </c>
      <c r="X245">
        <f>HYPERLINK("https://klasma.github.io/Logging_0883/tillsyn/A 804-2023 tillsynsbegäran.docx", "A 804-2023")</f>
        <v/>
      </c>
      <c r="Y245">
        <f>HYPERLINK("https://klasma.github.io/Logging_0883/tillsynsmail/A 804-2023 tillsynsbegäran mail.docx", "A 804-2023")</f>
        <v/>
      </c>
    </row>
    <row r="246" ht="15" customHeight="1">
      <c r="A246" t="inlineStr">
        <is>
          <t>A 59457-2023</t>
        </is>
      </c>
      <c r="B246" s="1" t="n">
        <v>45254</v>
      </c>
      <c r="C246" s="1" t="n">
        <v>45884</v>
      </c>
      <c r="D246" t="inlineStr">
        <is>
          <t>KALMAR LÄN</t>
        </is>
      </c>
      <c r="E246" t="inlineStr">
        <is>
          <t>KALMAR</t>
        </is>
      </c>
      <c r="G246" t="n">
        <v>3.3</v>
      </c>
      <c r="H246" t="n">
        <v>1</v>
      </c>
      <c r="I246" t="n">
        <v>0</v>
      </c>
      <c r="J246" t="n">
        <v>2</v>
      </c>
      <c r="K246" t="n">
        <v>0</v>
      </c>
      <c r="L246" t="n">
        <v>0</v>
      </c>
      <c r="M246" t="n">
        <v>0</v>
      </c>
      <c r="N246" t="n">
        <v>0</v>
      </c>
      <c r="O246" t="n">
        <v>2</v>
      </c>
      <c r="P246" t="n">
        <v>0</v>
      </c>
      <c r="Q246" t="n">
        <v>3</v>
      </c>
      <c r="R246" s="2" t="inlineStr">
        <is>
          <t>Solvända
Vårstarr
Nattviol</t>
        </is>
      </c>
      <c r="S246">
        <f>HYPERLINK("https://klasma.github.io/Logging_0880/artfynd/A 59457-2023 artfynd.xlsx", "A 59457-2023")</f>
        <v/>
      </c>
      <c r="T246">
        <f>HYPERLINK("https://klasma.github.io/Logging_0880/kartor/A 59457-2023 karta.png", "A 59457-2023")</f>
        <v/>
      </c>
      <c r="V246">
        <f>HYPERLINK("https://klasma.github.io/Logging_0880/klagomål/A 59457-2023 FSC-klagomål.docx", "A 59457-2023")</f>
        <v/>
      </c>
      <c r="W246">
        <f>HYPERLINK("https://klasma.github.io/Logging_0880/klagomålsmail/A 59457-2023 FSC-klagomål mail.docx", "A 59457-2023")</f>
        <v/>
      </c>
      <c r="X246">
        <f>HYPERLINK("https://klasma.github.io/Logging_0880/tillsyn/A 59457-2023 tillsynsbegäran.docx", "A 59457-2023")</f>
        <v/>
      </c>
      <c r="Y246">
        <f>HYPERLINK("https://klasma.github.io/Logging_0880/tillsynsmail/A 59457-2023 tillsynsbegäran mail.docx", "A 59457-2023")</f>
        <v/>
      </c>
    </row>
    <row r="247" ht="15" customHeight="1">
      <c r="A247" t="inlineStr">
        <is>
          <t>A 24108-2024</t>
        </is>
      </c>
      <c r="B247" s="1" t="n">
        <v>45456.60729166667</v>
      </c>
      <c r="C247" s="1" t="n">
        <v>45884</v>
      </c>
      <c r="D247" t="inlineStr">
        <is>
          <t>KALMAR LÄN</t>
        </is>
      </c>
      <c r="E247" t="inlineStr">
        <is>
          <t>MÖNSTERÅS</t>
        </is>
      </c>
      <c r="G247" t="n">
        <v>3.5</v>
      </c>
      <c r="H247" t="n">
        <v>1</v>
      </c>
      <c r="I247" t="n">
        <v>1</v>
      </c>
      <c r="J247" t="n">
        <v>1</v>
      </c>
      <c r="K247" t="n">
        <v>1</v>
      </c>
      <c r="L247" t="n">
        <v>0</v>
      </c>
      <c r="M247" t="n">
        <v>0</v>
      </c>
      <c r="N247" t="n">
        <v>0</v>
      </c>
      <c r="O247" t="n">
        <v>2</v>
      </c>
      <c r="P247" t="n">
        <v>1</v>
      </c>
      <c r="Q247" t="n">
        <v>3</v>
      </c>
      <c r="R247" s="2" t="inlineStr">
        <is>
          <t>Läderbagge
Ekticka
Gulnål</t>
        </is>
      </c>
      <c r="S247">
        <f>HYPERLINK("https://klasma.github.io/Logging_0861/artfynd/A 24108-2024 artfynd.xlsx", "A 24108-2024")</f>
        <v/>
      </c>
      <c r="T247">
        <f>HYPERLINK("https://klasma.github.io/Logging_0861/kartor/A 24108-2024 karta.png", "A 24108-2024")</f>
        <v/>
      </c>
      <c r="V247">
        <f>HYPERLINK("https://klasma.github.io/Logging_0861/klagomål/A 24108-2024 FSC-klagomål.docx", "A 24108-2024")</f>
        <v/>
      </c>
      <c r="W247">
        <f>HYPERLINK("https://klasma.github.io/Logging_0861/klagomålsmail/A 24108-2024 FSC-klagomål mail.docx", "A 24108-2024")</f>
        <v/>
      </c>
      <c r="X247">
        <f>HYPERLINK("https://klasma.github.io/Logging_0861/tillsyn/A 24108-2024 tillsynsbegäran.docx", "A 24108-2024")</f>
        <v/>
      </c>
      <c r="Y247">
        <f>HYPERLINK("https://klasma.github.io/Logging_0861/tillsynsmail/A 24108-2024 tillsynsbegäran mail.docx", "A 24108-2024")</f>
        <v/>
      </c>
    </row>
    <row r="248" ht="15" customHeight="1">
      <c r="A248" t="inlineStr">
        <is>
          <t>A 47385-2023</t>
        </is>
      </c>
      <c r="B248" s="1" t="n">
        <v>45202</v>
      </c>
      <c r="C248" s="1" t="n">
        <v>45884</v>
      </c>
      <c r="D248" t="inlineStr">
        <is>
          <t>KALMAR LÄN</t>
        </is>
      </c>
      <c r="E248" t="inlineStr">
        <is>
          <t>TORSÅS</t>
        </is>
      </c>
      <c r="G248" t="n">
        <v>1.2</v>
      </c>
      <c r="H248" t="n">
        <v>3</v>
      </c>
      <c r="I248" t="n">
        <v>0</v>
      </c>
      <c r="J248" t="n">
        <v>1</v>
      </c>
      <c r="K248" t="n">
        <v>0</v>
      </c>
      <c r="L248" t="n">
        <v>0</v>
      </c>
      <c r="M248" t="n">
        <v>0</v>
      </c>
      <c r="N248" t="n">
        <v>0</v>
      </c>
      <c r="O248" t="n">
        <v>1</v>
      </c>
      <c r="P248" t="n">
        <v>0</v>
      </c>
      <c r="Q248" t="n">
        <v>3</v>
      </c>
      <c r="R248" s="2" t="inlineStr">
        <is>
          <t>Nordfladdermus
Större brunfladdermus
Trollpipistrell</t>
        </is>
      </c>
      <c r="S248">
        <f>HYPERLINK("https://klasma.github.io/Logging_0834/artfynd/A 47385-2023 artfynd.xlsx", "A 47385-2023")</f>
        <v/>
      </c>
      <c r="T248">
        <f>HYPERLINK("https://klasma.github.io/Logging_0834/kartor/A 47385-2023 karta.png", "A 47385-2023")</f>
        <v/>
      </c>
      <c r="V248">
        <f>HYPERLINK("https://klasma.github.io/Logging_0834/klagomål/A 47385-2023 FSC-klagomål.docx", "A 47385-2023")</f>
        <v/>
      </c>
      <c r="W248">
        <f>HYPERLINK("https://klasma.github.io/Logging_0834/klagomålsmail/A 47385-2023 FSC-klagomål mail.docx", "A 47385-2023")</f>
        <v/>
      </c>
      <c r="X248">
        <f>HYPERLINK("https://klasma.github.io/Logging_0834/tillsyn/A 47385-2023 tillsynsbegäran.docx", "A 47385-2023")</f>
        <v/>
      </c>
      <c r="Y248">
        <f>HYPERLINK("https://klasma.github.io/Logging_0834/tillsynsmail/A 47385-2023 tillsynsbegäran mail.docx", "A 47385-2023")</f>
        <v/>
      </c>
    </row>
    <row r="249" ht="15" customHeight="1">
      <c r="A249" t="inlineStr">
        <is>
          <t>A 58919-2021</t>
        </is>
      </c>
      <c r="B249" s="1" t="n">
        <v>44489</v>
      </c>
      <c r="C249" s="1" t="n">
        <v>45884</v>
      </c>
      <c r="D249" t="inlineStr">
        <is>
          <t>KALMAR LÄN</t>
        </is>
      </c>
      <c r="E249" t="inlineStr">
        <is>
          <t>KALMAR</t>
        </is>
      </c>
      <c r="G249" t="n">
        <v>7</v>
      </c>
      <c r="H249" t="n">
        <v>1</v>
      </c>
      <c r="I249" t="n">
        <v>1</v>
      </c>
      <c r="J249" t="n">
        <v>0</v>
      </c>
      <c r="K249" t="n">
        <v>1</v>
      </c>
      <c r="L249" t="n">
        <v>1</v>
      </c>
      <c r="M249" t="n">
        <v>0</v>
      </c>
      <c r="N249" t="n">
        <v>0</v>
      </c>
      <c r="O249" t="n">
        <v>2</v>
      </c>
      <c r="P249" t="n">
        <v>2</v>
      </c>
      <c r="Q249" t="n">
        <v>3</v>
      </c>
      <c r="R249" s="2" t="inlineStr">
        <is>
          <t>Tallharticka
Knärot
Blomkålssvamp</t>
        </is>
      </c>
      <c r="S249">
        <f>HYPERLINK("https://klasma.github.io/Logging_0880/artfynd/A 58919-2021 artfynd.xlsx", "A 58919-2021")</f>
        <v/>
      </c>
      <c r="T249">
        <f>HYPERLINK("https://klasma.github.io/Logging_0880/kartor/A 58919-2021 karta.png", "A 58919-2021")</f>
        <v/>
      </c>
      <c r="U249">
        <f>HYPERLINK("https://klasma.github.io/Logging_0880/knärot/A 58919-2021 karta knärot.png", "A 58919-2021")</f>
        <v/>
      </c>
      <c r="V249">
        <f>HYPERLINK("https://klasma.github.io/Logging_0880/klagomål/A 58919-2021 FSC-klagomål.docx", "A 58919-2021")</f>
        <v/>
      </c>
      <c r="W249">
        <f>HYPERLINK("https://klasma.github.io/Logging_0880/klagomålsmail/A 58919-2021 FSC-klagomål mail.docx", "A 58919-2021")</f>
        <v/>
      </c>
      <c r="X249">
        <f>HYPERLINK("https://klasma.github.io/Logging_0880/tillsyn/A 58919-2021 tillsynsbegäran.docx", "A 58919-2021")</f>
        <v/>
      </c>
      <c r="Y249">
        <f>HYPERLINK("https://klasma.github.io/Logging_0880/tillsynsmail/A 58919-2021 tillsynsbegäran mail.docx", "A 58919-2021")</f>
        <v/>
      </c>
    </row>
    <row r="250" ht="15" customHeight="1">
      <c r="A250" t="inlineStr">
        <is>
          <t>A 13155-2025</t>
        </is>
      </c>
      <c r="B250" s="1" t="n">
        <v>45735.34555555556</v>
      </c>
      <c r="C250" s="1" t="n">
        <v>45884</v>
      </c>
      <c r="D250" t="inlineStr">
        <is>
          <t>KALMAR LÄN</t>
        </is>
      </c>
      <c r="E250" t="inlineStr">
        <is>
          <t>NYBRO</t>
        </is>
      </c>
      <c r="G250" t="n">
        <v>4.3</v>
      </c>
      <c r="H250" t="n">
        <v>3</v>
      </c>
      <c r="I250" t="n">
        <v>0</v>
      </c>
      <c r="J250" t="n">
        <v>2</v>
      </c>
      <c r="K250" t="n">
        <v>0</v>
      </c>
      <c r="L250" t="n">
        <v>0</v>
      </c>
      <c r="M250" t="n">
        <v>0</v>
      </c>
      <c r="N250" t="n">
        <v>0</v>
      </c>
      <c r="O250" t="n">
        <v>2</v>
      </c>
      <c r="P250" t="n">
        <v>0</v>
      </c>
      <c r="Q250" t="n">
        <v>3</v>
      </c>
      <c r="R250" s="2" t="inlineStr">
        <is>
          <t>Entita
Talltita
Gröngöling</t>
        </is>
      </c>
      <c r="S250">
        <f>HYPERLINK("https://klasma.github.io/Logging_0881/artfynd/A 13155-2025 artfynd.xlsx", "A 13155-2025")</f>
        <v/>
      </c>
      <c r="T250">
        <f>HYPERLINK("https://klasma.github.io/Logging_0881/kartor/A 13155-2025 karta.png", "A 13155-2025")</f>
        <v/>
      </c>
      <c r="V250">
        <f>HYPERLINK("https://klasma.github.io/Logging_0881/klagomål/A 13155-2025 FSC-klagomål.docx", "A 13155-2025")</f>
        <v/>
      </c>
      <c r="W250">
        <f>HYPERLINK("https://klasma.github.io/Logging_0881/klagomålsmail/A 13155-2025 FSC-klagomål mail.docx", "A 13155-2025")</f>
        <v/>
      </c>
      <c r="X250">
        <f>HYPERLINK("https://klasma.github.io/Logging_0881/tillsyn/A 13155-2025 tillsynsbegäran.docx", "A 13155-2025")</f>
        <v/>
      </c>
      <c r="Y250">
        <f>HYPERLINK("https://klasma.github.io/Logging_0881/tillsynsmail/A 13155-2025 tillsynsbegäran mail.docx", "A 13155-2025")</f>
        <v/>
      </c>
      <c r="Z250">
        <f>HYPERLINK("https://klasma.github.io/Logging_0881/fåglar/A 13155-2025 prioriterade fågelarter.docx", "A 13155-2025")</f>
        <v/>
      </c>
    </row>
    <row r="251" ht="15" customHeight="1">
      <c r="A251" t="inlineStr">
        <is>
          <t>A 48318-2024</t>
        </is>
      </c>
      <c r="B251" s="1" t="n">
        <v>45590.49690972222</v>
      </c>
      <c r="C251" s="1" t="n">
        <v>45884</v>
      </c>
      <c r="D251" t="inlineStr">
        <is>
          <t>KALMAR LÄN</t>
        </is>
      </c>
      <c r="E251" t="inlineStr">
        <is>
          <t>VÄSTERVIK</t>
        </is>
      </c>
      <c r="F251" t="inlineStr">
        <is>
          <t>Holmen skog AB</t>
        </is>
      </c>
      <c r="G251" t="n">
        <v>4</v>
      </c>
      <c r="H251" t="n">
        <v>3</v>
      </c>
      <c r="I251" t="n">
        <v>0</v>
      </c>
      <c r="J251" t="n">
        <v>3</v>
      </c>
      <c r="K251" t="n">
        <v>0</v>
      </c>
      <c r="L251" t="n">
        <v>0</v>
      </c>
      <c r="M251" t="n">
        <v>0</v>
      </c>
      <c r="N251" t="n">
        <v>0</v>
      </c>
      <c r="O251" t="n">
        <v>3</v>
      </c>
      <c r="P251" t="n">
        <v>0</v>
      </c>
      <c r="Q251" t="n">
        <v>3</v>
      </c>
      <c r="R251" s="2" t="inlineStr">
        <is>
          <t>Entita
Spillkråka
Talltita</t>
        </is>
      </c>
      <c r="S251">
        <f>HYPERLINK("https://klasma.github.io/Logging_0883/artfynd/A 48318-2024 artfynd.xlsx", "A 48318-2024")</f>
        <v/>
      </c>
      <c r="T251">
        <f>HYPERLINK("https://klasma.github.io/Logging_0883/kartor/A 48318-2024 karta.png", "A 48318-2024")</f>
        <v/>
      </c>
      <c r="U251">
        <f>HYPERLINK("https://klasma.github.io/Logging_0883/knärot/A 48318-2024 karta knärot.png", "A 48318-2024")</f>
        <v/>
      </c>
      <c r="V251">
        <f>HYPERLINK("https://klasma.github.io/Logging_0883/klagomål/A 48318-2024 FSC-klagomål.docx", "A 48318-2024")</f>
        <v/>
      </c>
      <c r="W251">
        <f>HYPERLINK("https://klasma.github.io/Logging_0883/klagomålsmail/A 48318-2024 FSC-klagomål mail.docx", "A 48318-2024")</f>
        <v/>
      </c>
      <c r="X251">
        <f>HYPERLINK("https://klasma.github.io/Logging_0883/tillsyn/A 48318-2024 tillsynsbegäran.docx", "A 48318-2024")</f>
        <v/>
      </c>
      <c r="Y251">
        <f>HYPERLINK("https://klasma.github.io/Logging_0883/tillsynsmail/A 48318-2024 tillsynsbegäran mail.docx", "A 48318-2024")</f>
        <v/>
      </c>
      <c r="Z251">
        <f>HYPERLINK("https://klasma.github.io/Logging_0883/fåglar/A 48318-2024 prioriterade fågelarter.docx", "A 48318-2024")</f>
        <v/>
      </c>
    </row>
    <row r="252" ht="15" customHeight="1">
      <c r="A252" t="inlineStr">
        <is>
          <t>A 16171-2023</t>
        </is>
      </c>
      <c r="B252" s="1" t="n">
        <v>45027</v>
      </c>
      <c r="C252" s="1" t="n">
        <v>45884</v>
      </c>
      <c r="D252" t="inlineStr">
        <is>
          <t>KALMAR LÄN</t>
        </is>
      </c>
      <c r="E252" t="inlineStr">
        <is>
          <t>BORGHOLM</t>
        </is>
      </c>
      <c r="G252" t="n">
        <v>12.2</v>
      </c>
      <c r="H252" t="n">
        <v>1</v>
      </c>
      <c r="I252" t="n">
        <v>2</v>
      </c>
      <c r="J252" t="n">
        <v>0</v>
      </c>
      <c r="K252" t="n">
        <v>0</v>
      </c>
      <c r="L252" t="n">
        <v>0</v>
      </c>
      <c r="M252" t="n">
        <v>0</v>
      </c>
      <c r="N252" t="n">
        <v>0</v>
      </c>
      <c r="O252" t="n">
        <v>0</v>
      </c>
      <c r="P252" t="n">
        <v>0</v>
      </c>
      <c r="Q252" t="n">
        <v>3</v>
      </c>
      <c r="R252" s="2" t="inlineStr">
        <is>
          <t>Murgröna
Sårläka
Blåsippa</t>
        </is>
      </c>
      <c r="S252">
        <f>HYPERLINK("https://klasma.github.io/Logging_0885/artfynd/A 16171-2023 artfynd.xlsx", "A 16171-2023")</f>
        <v/>
      </c>
      <c r="T252">
        <f>HYPERLINK("https://klasma.github.io/Logging_0885/kartor/A 16171-2023 karta.png", "A 16171-2023")</f>
        <v/>
      </c>
      <c r="V252">
        <f>HYPERLINK("https://klasma.github.io/Logging_0885/klagomål/A 16171-2023 FSC-klagomål.docx", "A 16171-2023")</f>
        <v/>
      </c>
      <c r="W252">
        <f>HYPERLINK("https://klasma.github.io/Logging_0885/klagomålsmail/A 16171-2023 FSC-klagomål mail.docx", "A 16171-2023")</f>
        <v/>
      </c>
      <c r="X252">
        <f>HYPERLINK("https://klasma.github.io/Logging_0885/tillsyn/A 16171-2023 tillsynsbegäran.docx", "A 16171-2023")</f>
        <v/>
      </c>
      <c r="Y252">
        <f>HYPERLINK("https://klasma.github.io/Logging_0885/tillsynsmail/A 16171-2023 tillsynsbegäran mail.docx", "A 16171-2023")</f>
        <v/>
      </c>
    </row>
    <row r="253" ht="15" customHeight="1">
      <c r="A253" t="inlineStr">
        <is>
          <t>A 21797-2024</t>
        </is>
      </c>
      <c r="B253" s="1" t="n">
        <v>45442.6512037037</v>
      </c>
      <c r="C253" s="1" t="n">
        <v>45884</v>
      </c>
      <c r="D253" t="inlineStr">
        <is>
          <t>KALMAR LÄN</t>
        </is>
      </c>
      <c r="E253" t="inlineStr">
        <is>
          <t>BORGHOLM</t>
        </is>
      </c>
      <c r="G253" t="n">
        <v>1.4</v>
      </c>
      <c r="H253" t="n">
        <v>2</v>
      </c>
      <c r="I253" t="n">
        <v>2</v>
      </c>
      <c r="J253" t="n">
        <v>0</v>
      </c>
      <c r="K253" t="n">
        <v>0</v>
      </c>
      <c r="L253" t="n">
        <v>0</v>
      </c>
      <c r="M253" t="n">
        <v>0</v>
      </c>
      <c r="N253" t="n">
        <v>0</v>
      </c>
      <c r="O253" t="n">
        <v>0</v>
      </c>
      <c r="P253" t="n">
        <v>0</v>
      </c>
      <c r="Q253" t="n">
        <v>3</v>
      </c>
      <c r="R253" s="2" t="inlineStr">
        <is>
          <t>Murgröna
Skogsknipprot
Revlummer</t>
        </is>
      </c>
      <c r="S253">
        <f>HYPERLINK("https://klasma.github.io/Logging_0885/artfynd/A 21797-2024 artfynd.xlsx", "A 21797-2024")</f>
        <v/>
      </c>
      <c r="T253">
        <f>HYPERLINK("https://klasma.github.io/Logging_0885/kartor/A 21797-2024 karta.png", "A 21797-2024")</f>
        <v/>
      </c>
      <c r="V253">
        <f>HYPERLINK("https://klasma.github.io/Logging_0885/klagomål/A 21797-2024 FSC-klagomål.docx", "A 21797-2024")</f>
        <v/>
      </c>
      <c r="W253">
        <f>HYPERLINK("https://klasma.github.io/Logging_0885/klagomålsmail/A 21797-2024 FSC-klagomål mail.docx", "A 21797-2024")</f>
        <v/>
      </c>
      <c r="X253">
        <f>HYPERLINK("https://klasma.github.io/Logging_0885/tillsyn/A 21797-2024 tillsynsbegäran.docx", "A 21797-2024")</f>
        <v/>
      </c>
      <c r="Y253">
        <f>HYPERLINK("https://klasma.github.io/Logging_0885/tillsynsmail/A 21797-2024 tillsynsbegäran mail.docx", "A 21797-2024")</f>
        <v/>
      </c>
    </row>
    <row r="254" ht="15" customHeight="1">
      <c r="A254" t="inlineStr">
        <is>
          <t>A 33057-2022</t>
        </is>
      </c>
      <c r="B254" s="1" t="n">
        <v>44785</v>
      </c>
      <c r="C254" s="1" t="n">
        <v>45884</v>
      </c>
      <c r="D254" t="inlineStr">
        <is>
          <t>KALMAR LÄN</t>
        </is>
      </c>
      <c r="E254" t="inlineStr">
        <is>
          <t>KALMAR</t>
        </is>
      </c>
      <c r="F254" t="inlineStr">
        <is>
          <t>Kyrkan</t>
        </is>
      </c>
      <c r="G254" t="n">
        <v>3.7</v>
      </c>
      <c r="H254" t="n">
        <v>0</v>
      </c>
      <c r="I254" t="n">
        <v>3</v>
      </c>
      <c r="J254" t="n">
        <v>0</v>
      </c>
      <c r="K254" t="n">
        <v>0</v>
      </c>
      <c r="L254" t="n">
        <v>0</v>
      </c>
      <c r="M254" t="n">
        <v>0</v>
      </c>
      <c r="N254" t="n">
        <v>0</v>
      </c>
      <c r="O254" t="n">
        <v>0</v>
      </c>
      <c r="P254" t="n">
        <v>0</v>
      </c>
      <c r="Q254" t="n">
        <v>3</v>
      </c>
      <c r="R254" s="2" t="inlineStr">
        <is>
          <t>Blåmossa
Grovticka
Grönpyrola</t>
        </is>
      </c>
      <c r="S254">
        <f>HYPERLINK("https://klasma.github.io/Logging_0880/artfynd/A 33057-2022 artfynd.xlsx", "A 33057-2022")</f>
        <v/>
      </c>
      <c r="T254">
        <f>HYPERLINK("https://klasma.github.io/Logging_0880/kartor/A 33057-2022 karta.png", "A 33057-2022")</f>
        <v/>
      </c>
      <c r="V254">
        <f>HYPERLINK("https://klasma.github.io/Logging_0880/klagomål/A 33057-2022 FSC-klagomål.docx", "A 33057-2022")</f>
        <v/>
      </c>
      <c r="W254">
        <f>HYPERLINK("https://klasma.github.io/Logging_0880/klagomålsmail/A 33057-2022 FSC-klagomål mail.docx", "A 33057-2022")</f>
        <v/>
      </c>
      <c r="X254">
        <f>HYPERLINK("https://klasma.github.io/Logging_0880/tillsyn/A 33057-2022 tillsynsbegäran.docx", "A 33057-2022")</f>
        <v/>
      </c>
      <c r="Y254">
        <f>HYPERLINK("https://klasma.github.io/Logging_0880/tillsynsmail/A 33057-2022 tillsynsbegäran mail.docx", "A 33057-2022")</f>
        <v/>
      </c>
    </row>
    <row r="255" ht="15" customHeight="1">
      <c r="A255" t="inlineStr">
        <is>
          <t>A 47451-2022</t>
        </is>
      </c>
      <c r="B255" s="1" t="n">
        <v>44853</v>
      </c>
      <c r="C255" s="1" t="n">
        <v>45884</v>
      </c>
      <c r="D255" t="inlineStr">
        <is>
          <t>KALMAR LÄN</t>
        </is>
      </c>
      <c r="E255" t="inlineStr">
        <is>
          <t>KALMAR</t>
        </is>
      </c>
      <c r="G255" t="n">
        <v>3.8</v>
      </c>
      <c r="H255" t="n">
        <v>1</v>
      </c>
      <c r="I255" t="n">
        <v>2</v>
      </c>
      <c r="J255" t="n">
        <v>0</v>
      </c>
      <c r="K255" t="n">
        <v>1</v>
      </c>
      <c r="L255" t="n">
        <v>0</v>
      </c>
      <c r="M255" t="n">
        <v>0</v>
      </c>
      <c r="N255" t="n">
        <v>0</v>
      </c>
      <c r="O255" t="n">
        <v>1</v>
      </c>
      <c r="P255" t="n">
        <v>1</v>
      </c>
      <c r="Q255" t="n">
        <v>3</v>
      </c>
      <c r="R255" s="2" t="inlineStr">
        <is>
          <t>Knärot
Grönpyrola
Murgröna</t>
        </is>
      </c>
      <c r="S255">
        <f>HYPERLINK("https://klasma.github.io/Logging_0880/artfynd/A 47451-2022 artfynd.xlsx", "A 47451-2022")</f>
        <v/>
      </c>
      <c r="T255">
        <f>HYPERLINK("https://klasma.github.io/Logging_0880/kartor/A 47451-2022 karta.png", "A 47451-2022")</f>
        <v/>
      </c>
      <c r="U255">
        <f>HYPERLINK("https://klasma.github.io/Logging_0880/knärot/A 47451-2022 karta knärot.png", "A 47451-2022")</f>
        <v/>
      </c>
      <c r="V255">
        <f>HYPERLINK("https://klasma.github.io/Logging_0880/klagomål/A 47451-2022 FSC-klagomål.docx", "A 47451-2022")</f>
        <v/>
      </c>
      <c r="W255">
        <f>HYPERLINK("https://klasma.github.io/Logging_0880/klagomålsmail/A 47451-2022 FSC-klagomål mail.docx", "A 47451-2022")</f>
        <v/>
      </c>
      <c r="X255">
        <f>HYPERLINK("https://klasma.github.io/Logging_0880/tillsyn/A 47451-2022 tillsynsbegäran.docx", "A 47451-2022")</f>
        <v/>
      </c>
      <c r="Y255">
        <f>HYPERLINK("https://klasma.github.io/Logging_0880/tillsynsmail/A 47451-2022 tillsynsbegäran mail.docx", "A 47451-2022")</f>
        <v/>
      </c>
    </row>
    <row r="256" ht="15" customHeight="1">
      <c r="A256" t="inlineStr">
        <is>
          <t>A 41542-2022</t>
        </is>
      </c>
      <c r="B256" s="1" t="n">
        <v>44827</v>
      </c>
      <c r="C256" s="1" t="n">
        <v>45884</v>
      </c>
      <c r="D256" t="inlineStr">
        <is>
          <t>KALMAR LÄN</t>
        </is>
      </c>
      <c r="E256" t="inlineStr">
        <is>
          <t>KALMAR</t>
        </is>
      </c>
      <c r="G256" t="n">
        <v>29</v>
      </c>
      <c r="H256" t="n">
        <v>3</v>
      </c>
      <c r="I256" t="n">
        <v>0</v>
      </c>
      <c r="J256" t="n">
        <v>0</v>
      </c>
      <c r="K256" t="n">
        <v>1</v>
      </c>
      <c r="L256" t="n">
        <v>0</v>
      </c>
      <c r="M256" t="n">
        <v>0</v>
      </c>
      <c r="N256" t="n">
        <v>0</v>
      </c>
      <c r="O256" t="n">
        <v>1</v>
      </c>
      <c r="P256" t="n">
        <v>1</v>
      </c>
      <c r="Q256" t="n">
        <v>3</v>
      </c>
      <c r="R256" s="2" t="inlineStr">
        <is>
          <t>Knärot
Kopparödla
Vanlig snok</t>
        </is>
      </c>
      <c r="S256">
        <f>HYPERLINK("https://klasma.github.io/Logging_0880/artfynd/A 41542-2022 artfynd.xlsx", "A 41542-2022")</f>
        <v/>
      </c>
      <c r="T256">
        <f>HYPERLINK("https://klasma.github.io/Logging_0880/kartor/A 41542-2022 karta.png", "A 41542-2022")</f>
        <v/>
      </c>
      <c r="U256">
        <f>HYPERLINK("https://klasma.github.io/Logging_0880/knärot/A 41542-2022 karta knärot.png", "A 41542-2022")</f>
        <v/>
      </c>
      <c r="V256">
        <f>HYPERLINK("https://klasma.github.io/Logging_0880/klagomål/A 41542-2022 FSC-klagomål.docx", "A 41542-2022")</f>
        <v/>
      </c>
      <c r="W256">
        <f>HYPERLINK("https://klasma.github.io/Logging_0880/klagomålsmail/A 41542-2022 FSC-klagomål mail.docx", "A 41542-2022")</f>
        <v/>
      </c>
      <c r="X256">
        <f>HYPERLINK("https://klasma.github.io/Logging_0880/tillsyn/A 41542-2022 tillsynsbegäran.docx", "A 41542-2022")</f>
        <v/>
      </c>
      <c r="Y256">
        <f>HYPERLINK("https://klasma.github.io/Logging_0880/tillsynsmail/A 41542-2022 tillsynsbegäran mail.docx", "A 41542-2022")</f>
        <v/>
      </c>
    </row>
    <row r="257" ht="15" customHeight="1">
      <c r="A257" t="inlineStr">
        <is>
          <t>A 31781-2023</t>
        </is>
      </c>
      <c r="B257" s="1" t="n">
        <v>45118</v>
      </c>
      <c r="C257" s="1" t="n">
        <v>45884</v>
      </c>
      <c r="D257" t="inlineStr">
        <is>
          <t>KALMAR LÄN</t>
        </is>
      </c>
      <c r="E257" t="inlineStr">
        <is>
          <t>KALMAR</t>
        </is>
      </c>
      <c r="G257" t="n">
        <v>7.5</v>
      </c>
      <c r="H257" t="n">
        <v>1</v>
      </c>
      <c r="I257" t="n">
        <v>1</v>
      </c>
      <c r="J257" t="n">
        <v>1</v>
      </c>
      <c r="K257" t="n">
        <v>1</v>
      </c>
      <c r="L257" t="n">
        <v>0</v>
      </c>
      <c r="M257" t="n">
        <v>0</v>
      </c>
      <c r="N257" t="n">
        <v>0</v>
      </c>
      <c r="O257" t="n">
        <v>2</v>
      </c>
      <c r="P257" t="n">
        <v>1</v>
      </c>
      <c r="Q257" t="n">
        <v>3</v>
      </c>
      <c r="R257" s="2" t="inlineStr">
        <is>
          <t>Läderbagge
Gammelekslav
Grå skärelav</t>
        </is>
      </c>
      <c r="S257">
        <f>HYPERLINK("https://klasma.github.io/Logging_0880/artfynd/A 31781-2023 artfynd.xlsx", "A 31781-2023")</f>
        <v/>
      </c>
      <c r="T257">
        <f>HYPERLINK("https://klasma.github.io/Logging_0880/kartor/A 31781-2023 karta.png", "A 31781-2023")</f>
        <v/>
      </c>
      <c r="V257">
        <f>HYPERLINK("https://klasma.github.io/Logging_0880/klagomål/A 31781-2023 FSC-klagomål.docx", "A 31781-2023")</f>
        <v/>
      </c>
      <c r="W257">
        <f>HYPERLINK("https://klasma.github.io/Logging_0880/klagomålsmail/A 31781-2023 FSC-klagomål mail.docx", "A 31781-2023")</f>
        <v/>
      </c>
      <c r="X257">
        <f>HYPERLINK("https://klasma.github.io/Logging_0880/tillsyn/A 31781-2023 tillsynsbegäran.docx", "A 31781-2023")</f>
        <v/>
      </c>
      <c r="Y257">
        <f>HYPERLINK("https://klasma.github.io/Logging_0880/tillsynsmail/A 31781-2023 tillsynsbegäran mail.docx", "A 31781-2023")</f>
        <v/>
      </c>
    </row>
    <row r="258" ht="15" customHeight="1">
      <c r="A258" t="inlineStr">
        <is>
          <t>A 42353-2023</t>
        </is>
      </c>
      <c r="B258" s="1" t="n">
        <v>45180</v>
      </c>
      <c r="C258" s="1" t="n">
        <v>45884</v>
      </c>
      <c r="D258" t="inlineStr">
        <is>
          <t>KALMAR LÄN</t>
        </is>
      </c>
      <c r="E258" t="inlineStr">
        <is>
          <t>VÄSTERVIK</t>
        </is>
      </c>
      <c r="G258" t="n">
        <v>11.3</v>
      </c>
      <c r="H258" t="n">
        <v>1</v>
      </c>
      <c r="I258" t="n">
        <v>1</v>
      </c>
      <c r="J258" t="n">
        <v>1</v>
      </c>
      <c r="K258" t="n">
        <v>1</v>
      </c>
      <c r="L258" t="n">
        <v>0</v>
      </c>
      <c r="M258" t="n">
        <v>0</v>
      </c>
      <c r="N258" t="n">
        <v>0</v>
      </c>
      <c r="O258" t="n">
        <v>2</v>
      </c>
      <c r="P258" t="n">
        <v>1</v>
      </c>
      <c r="Q258" t="n">
        <v>3</v>
      </c>
      <c r="R258" s="2" t="inlineStr">
        <is>
          <t>Knärot
Tallticka
Blomkålssvamp</t>
        </is>
      </c>
      <c r="S258">
        <f>HYPERLINK("https://klasma.github.io/Logging_0883/artfynd/A 42353-2023 artfynd.xlsx", "A 42353-2023")</f>
        <v/>
      </c>
      <c r="T258">
        <f>HYPERLINK("https://klasma.github.io/Logging_0883/kartor/A 42353-2023 karta.png", "A 42353-2023")</f>
        <v/>
      </c>
      <c r="U258">
        <f>HYPERLINK("https://klasma.github.io/Logging_0883/knärot/A 42353-2023 karta knärot.png", "A 42353-2023")</f>
        <v/>
      </c>
      <c r="V258">
        <f>HYPERLINK("https://klasma.github.io/Logging_0883/klagomål/A 42353-2023 FSC-klagomål.docx", "A 42353-2023")</f>
        <v/>
      </c>
      <c r="W258">
        <f>HYPERLINK("https://klasma.github.io/Logging_0883/klagomålsmail/A 42353-2023 FSC-klagomål mail.docx", "A 42353-2023")</f>
        <v/>
      </c>
      <c r="X258">
        <f>HYPERLINK("https://klasma.github.io/Logging_0883/tillsyn/A 42353-2023 tillsynsbegäran.docx", "A 42353-2023")</f>
        <v/>
      </c>
      <c r="Y258">
        <f>HYPERLINK("https://klasma.github.io/Logging_0883/tillsynsmail/A 42353-2023 tillsynsbegäran mail.docx", "A 42353-2023")</f>
        <v/>
      </c>
    </row>
    <row r="259" ht="15" customHeight="1">
      <c r="A259" t="inlineStr">
        <is>
          <t>A 16469-2023</t>
        </is>
      </c>
      <c r="B259" s="1" t="n">
        <v>45026</v>
      </c>
      <c r="C259" s="1" t="n">
        <v>45884</v>
      </c>
      <c r="D259" t="inlineStr">
        <is>
          <t>KALMAR LÄN</t>
        </is>
      </c>
      <c r="E259" t="inlineStr">
        <is>
          <t>HULTSFRED</t>
        </is>
      </c>
      <c r="G259" t="n">
        <v>18.5</v>
      </c>
      <c r="H259" t="n">
        <v>0</v>
      </c>
      <c r="I259" t="n">
        <v>0</v>
      </c>
      <c r="J259" t="n">
        <v>3</v>
      </c>
      <c r="K259" t="n">
        <v>0</v>
      </c>
      <c r="L259" t="n">
        <v>0</v>
      </c>
      <c r="M259" t="n">
        <v>0</v>
      </c>
      <c r="N259" t="n">
        <v>0</v>
      </c>
      <c r="O259" t="n">
        <v>3</v>
      </c>
      <c r="P259" t="n">
        <v>0</v>
      </c>
      <c r="Q259" t="n">
        <v>3</v>
      </c>
      <c r="R259" s="2" t="inlineStr">
        <is>
          <t>Gullklöver
Smalsprötad bastardsvärmare
Svartvit taggsvamp</t>
        </is>
      </c>
      <c r="S259">
        <f>HYPERLINK("https://klasma.github.io/Logging_0860/artfynd/A 16469-2023 artfynd.xlsx", "A 16469-2023")</f>
        <v/>
      </c>
      <c r="T259">
        <f>HYPERLINK("https://klasma.github.io/Logging_0860/kartor/A 16469-2023 karta.png", "A 16469-2023")</f>
        <v/>
      </c>
      <c r="V259">
        <f>HYPERLINK("https://klasma.github.io/Logging_0860/klagomål/A 16469-2023 FSC-klagomål.docx", "A 16469-2023")</f>
        <v/>
      </c>
      <c r="W259">
        <f>HYPERLINK("https://klasma.github.io/Logging_0860/klagomålsmail/A 16469-2023 FSC-klagomål mail.docx", "A 16469-2023")</f>
        <v/>
      </c>
      <c r="X259">
        <f>HYPERLINK("https://klasma.github.io/Logging_0860/tillsyn/A 16469-2023 tillsynsbegäran.docx", "A 16469-2023")</f>
        <v/>
      </c>
      <c r="Y259">
        <f>HYPERLINK("https://klasma.github.io/Logging_0860/tillsynsmail/A 16469-2023 tillsynsbegäran mail.docx", "A 16469-2023")</f>
        <v/>
      </c>
    </row>
    <row r="260" ht="15" customHeight="1">
      <c r="A260" t="inlineStr">
        <is>
          <t>A 52992-2024</t>
        </is>
      </c>
      <c r="B260" s="1" t="n">
        <v>45611</v>
      </c>
      <c r="C260" s="1" t="n">
        <v>45884</v>
      </c>
      <c r="D260" t="inlineStr">
        <is>
          <t>KALMAR LÄN</t>
        </is>
      </c>
      <c r="E260" t="inlineStr">
        <is>
          <t>VÄSTERVIK</t>
        </is>
      </c>
      <c r="F260" t="inlineStr">
        <is>
          <t>Holmen skog AB</t>
        </is>
      </c>
      <c r="G260" t="n">
        <v>5.5</v>
      </c>
      <c r="H260" t="n">
        <v>2</v>
      </c>
      <c r="I260" t="n">
        <v>1</v>
      </c>
      <c r="J260" t="n">
        <v>2</v>
      </c>
      <c r="K260" t="n">
        <v>0</v>
      </c>
      <c r="L260" t="n">
        <v>0</v>
      </c>
      <c r="M260" t="n">
        <v>0</v>
      </c>
      <c r="N260" t="n">
        <v>0</v>
      </c>
      <c r="O260" t="n">
        <v>2</v>
      </c>
      <c r="P260" t="n">
        <v>0</v>
      </c>
      <c r="Q260" t="n">
        <v>3</v>
      </c>
      <c r="R260" s="2" t="inlineStr">
        <is>
          <t>Spillkråka
Talltita
Brandticka</t>
        </is>
      </c>
      <c r="S260">
        <f>HYPERLINK("https://klasma.github.io/Logging_0883/artfynd/A 52992-2024 artfynd.xlsx", "A 52992-2024")</f>
        <v/>
      </c>
      <c r="T260">
        <f>HYPERLINK("https://klasma.github.io/Logging_0883/kartor/A 52992-2024 karta.png", "A 52992-2024")</f>
        <v/>
      </c>
      <c r="V260">
        <f>HYPERLINK("https://klasma.github.io/Logging_0883/klagomål/A 52992-2024 FSC-klagomål.docx", "A 52992-2024")</f>
        <v/>
      </c>
      <c r="W260">
        <f>HYPERLINK("https://klasma.github.io/Logging_0883/klagomålsmail/A 52992-2024 FSC-klagomål mail.docx", "A 52992-2024")</f>
        <v/>
      </c>
      <c r="X260">
        <f>HYPERLINK("https://klasma.github.io/Logging_0883/tillsyn/A 52992-2024 tillsynsbegäran.docx", "A 52992-2024")</f>
        <v/>
      </c>
      <c r="Y260">
        <f>HYPERLINK("https://klasma.github.io/Logging_0883/tillsynsmail/A 52992-2024 tillsynsbegäran mail.docx", "A 52992-2024")</f>
        <v/>
      </c>
      <c r="Z260">
        <f>HYPERLINK("https://klasma.github.io/Logging_0883/fåglar/A 52992-2024 prioriterade fågelarter.docx", "A 52992-2024")</f>
        <v/>
      </c>
    </row>
    <row r="261" ht="15" customHeight="1">
      <c r="A261" t="inlineStr">
        <is>
          <t>A 21084-2025</t>
        </is>
      </c>
      <c r="B261" s="1" t="n">
        <v>45777.6084837963</v>
      </c>
      <c r="C261" s="1" t="n">
        <v>45884</v>
      </c>
      <c r="D261" t="inlineStr">
        <is>
          <t>KALMAR LÄN</t>
        </is>
      </c>
      <c r="E261" t="inlineStr">
        <is>
          <t>VÄSTERVIK</t>
        </is>
      </c>
      <c r="G261" t="n">
        <v>0.8</v>
      </c>
      <c r="H261" t="n">
        <v>2</v>
      </c>
      <c r="I261" t="n">
        <v>1</v>
      </c>
      <c r="J261" t="n">
        <v>2</v>
      </c>
      <c r="K261" t="n">
        <v>0</v>
      </c>
      <c r="L261" t="n">
        <v>0</v>
      </c>
      <c r="M261" t="n">
        <v>0</v>
      </c>
      <c r="N261" t="n">
        <v>0</v>
      </c>
      <c r="O261" t="n">
        <v>2</v>
      </c>
      <c r="P261" t="n">
        <v>0</v>
      </c>
      <c r="Q261" t="n">
        <v>3</v>
      </c>
      <c r="R261" s="2" t="inlineStr">
        <is>
          <t>Spillkråka
Talltita
Grönpyrola</t>
        </is>
      </c>
      <c r="S261">
        <f>HYPERLINK("https://klasma.github.io/Logging_0883/artfynd/A 21084-2025 artfynd.xlsx", "A 21084-2025")</f>
        <v/>
      </c>
      <c r="T261">
        <f>HYPERLINK("https://klasma.github.io/Logging_0883/kartor/A 21084-2025 karta.png", "A 21084-2025")</f>
        <v/>
      </c>
      <c r="V261">
        <f>HYPERLINK("https://klasma.github.io/Logging_0883/klagomål/A 21084-2025 FSC-klagomål.docx", "A 21084-2025")</f>
        <v/>
      </c>
      <c r="W261">
        <f>HYPERLINK("https://klasma.github.io/Logging_0883/klagomålsmail/A 21084-2025 FSC-klagomål mail.docx", "A 21084-2025")</f>
        <v/>
      </c>
      <c r="X261">
        <f>HYPERLINK("https://klasma.github.io/Logging_0883/tillsyn/A 21084-2025 tillsynsbegäran.docx", "A 21084-2025")</f>
        <v/>
      </c>
      <c r="Y261">
        <f>HYPERLINK("https://klasma.github.io/Logging_0883/tillsynsmail/A 21084-2025 tillsynsbegäran mail.docx", "A 21084-2025")</f>
        <v/>
      </c>
      <c r="Z261">
        <f>HYPERLINK("https://klasma.github.io/Logging_0883/fåglar/A 21084-2025 prioriterade fågelarter.docx", "A 21084-2025")</f>
        <v/>
      </c>
    </row>
    <row r="262" ht="15" customHeight="1">
      <c r="A262" t="inlineStr">
        <is>
          <t>A 36129-2024</t>
        </is>
      </c>
      <c r="B262" s="1" t="n">
        <v>45534.33709490741</v>
      </c>
      <c r="C262" s="1" t="n">
        <v>45884</v>
      </c>
      <c r="D262" t="inlineStr">
        <is>
          <t>KALMAR LÄN</t>
        </is>
      </c>
      <c r="E262" t="inlineStr">
        <is>
          <t>MÖNSTERÅS</t>
        </is>
      </c>
      <c r="G262" t="n">
        <v>15.2</v>
      </c>
      <c r="H262" t="n">
        <v>2</v>
      </c>
      <c r="I262" t="n">
        <v>1</v>
      </c>
      <c r="J262" t="n">
        <v>1</v>
      </c>
      <c r="K262" t="n">
        <v>0</v>
      </c>
      <c r="L262" t="n">
        <v>0</v>
      </c>
      <c r="M262" t="n">
        <v>0</v>
      </c>
      <c r="N262" t="n">
        <v>0</v>
      </c>
      <c r="O262" t="n">
        <v>1</v>
      </c>
      <c r="P262" t="n">
        <v>0</v>
      </c>
      <c r="Q262" t="n">
        <v>3</v>
      </c>
      <c r="R262" s="2" t="inlineStr">
        <is>
          <t>Spillkråka
Blåmossa
Kungsfågel</t>
        </is>
      </c>
      <c r="S262">
        <f>HYPERLINK("https://klasma.github.io/Logging_0861/artfynd/A 36129-2024 artfynd.xlsx", "A 36129-2024")</f>
        <v/>
      </c>
      <c r="T262">
        <f>HYPERLINK("https://klasma.github.io/Logging_0861/kartor/A 36129-2024 karta.png", "A 36129-2024")</f>
        <v/>
      </c>
      <c r="V262">
        <f>HYPERLINK("https://klasma.github.io/Logging_0861/klagomål/A 36129-2024 FSC-klagomål.docx", "A 36129-2024")</f>
        <v/>
      </c>
      <c r="W262">
        <f>HYPERLINK("https://klasma.github.io/Logging_0861/klagomålsmail/A 36129-2024 FSC-klagomål mail.docx", "A 36129-2024")</f>
        <v/>
      </c>
      <c r="X262">
        <f>HYPERLINK("https://klasma.github.io/Logging_0861/tillsyn/A 36129-2024 tillsynsbegäran.docx", "A 36129-2024")</f>
        <v/>
      </c>
      <c r="Y262">
        <f>HYPERLINK("https://klasma.github.io/Logging_0861/tillsynsmail/A 36129-2024 tillsynsbegäran mail.docx", "A 36129-2024")</f>
        <v/>
      </c>
      <c r="Z262">
        <f>HYPERLINK("https://klasma.github.io/Logging_0861/fåglar/A 36129-2024 prioriterade fågelarter.docx", "A 36129-2024")</f>
        <v/>
      </c>
    </row>
    <row r="263" ht="15" customHeight="1">
      <c r="A263" t="inlineStr">
        <is>
          <t>A 4454-2025</t>
        </is>
      </c>
      <c r="B263" s="1" t="n">
        <v>45686</v>
      </c>
      <c r="C263" s="1" t="n">
        <v>45884</v>
      </c>
      <c r="D263" t="inlineStr">
        <is>
          <t>KALMAR LÄN</t>
        </is>
      </c>
      <c r="E263" t="inlineStr">
        <is>
          <t>VÄSTERVIK</t>
        </is>
      </c>
      <c r="G263" t="n">
        <v>1</v>
      </c>
      <c r="H263" t="n">
        <v>2</v>
      </c>
      <c r="I263" t="n">
        <v>1</v>
      </c>
      <c r="J263" t="n">
        <v>0</v>
      </c>
      <c r="K263" t="n">
        <v>1</v>
      </c>
      <c r="L263" t="n">
        <v>0</v>
      </c>
      <c r="M263" t="n">
        <v>0</v>
      </c>
      <c r="N263" t="n">
        <v>0</v>
      </c>
      <c r="O263" t="n">
        <v>1</v>
      </c>
      <c r="P263" t="n">
        <v>1</v>
      </c>
      <c r="Q263" t="n">
        <v>3</v>
      </c>
      <c r="R263" s="2" t="inlineStr">
        <is>
          <t>Knärot
Grönpyrola
Kungsfågel</t>
        </is>
      </c>
      <c r="S263">
        <f>HYPERLINK("https://klasma.github.io/Logging_0883/artfynd/A 4454-2025 artfynd.xlsx", "A 4454-2025")</f>
        <v/>
      </c>
      <c r="T263">
        <f>HYPERLINK("https://klasma.github.io/Logging_0883/kartor/A 4454-2025 karta.png", "A 4454-2025")</f>
        <v/>
      </c>
      <c r="U263">
        <f>HYPERLINK("https://klasma.github.io/Logging_0883/knärot/A 4454-2025 karta knärot.png", "A 4454-2025")</f>
        <v/>
      </c>
      <c r="V263">
        <f>HYPERLINK("https://klasma.github.io/Logging_0883/klagomål/A 4454-2025 FSC-klagomål.docx", "A 4454-2025")</f>
        <v/>
      </c>
      <c r="W263">
        <f>HYPERLINK("https://klasma.github.io/Logging_0883/klagomålsmail/A 4454-2025 FSC-klagomål mail.docx", "A 4454-2025")</f>
        <v/>
      </c>
      <c r="X263">
        <f>HYPERLINK("https://klasma.github.io/Logging_0883/tillsyn/A 4454-2025 tillsynsbegäran.docx", "A 4454-2025")</f>
        <v/>
      </c>
      <c r="Y263">
        <f>HYPERLINK("https://klasma.github.io/Logging_0883/tillsynsmail/A 4454-2025 tillsynsbegäran mail.docx", "A 4454-2025")</f>
        <v/>
      </c>
      <c r="Z263">
        <f>HYPERLINK("https://klasma.github.io/Logging_0883/fåglar/A 4454-2025 prioriterade fågelarter.docx", "A 4454-2025")</f>
        <v/>
      </c>
    </row>
    <row r="264" ht="15" customHeight="1">
      <c r="A264" t="inlineStr">
        <is>
          <t>A 2657-2024</t>
        </is>
      </c>
      <c r="B264" s="1" t="n">
        <v>45314</v>
      </c>
      <c r="C264" s="1" t="n">
        <v>45884</v>
      </c>
      <c r="D264" t="inlineStr">
        <is>
          <t>KALMAR LÄN</t>
        </is>
      </c>
      <c r="E264" t="inlineStr">
        <is>
          <t>VÄSTERVIK</t>
        </is>
      </c>
      <c r="G264" t="n">
        <v>5.9</v>
      </c>
      <c r="H264" t="n">
        <v>2</v>
      </c>
      <c r="I264" t="n">
        <v>1</v>
      </c>
      <c r="J264" t="n">
        <v>1</v>
      </c>
      <c r="K264" t="n">
        <v>1</v>
      </c>
      <c r="L264" t="n">
        <v>0</v>
      </c>
      <c r="M264" t="n">
        <v>0</v>
      </c>
      <c r="N264" t="n">
        <v>0</v>
      </c>
      <c r="O264" t="n">
        <v>2</v>
      </c>
      <c r="P264" t="n">
        <v>1</v>
      </c>
      <c r="Q264" t="n">
        <v>3</v>
      </c>
      <c r="R264" s="2" t="inlineStr">
        <is>
          <t>Knärot
Spillkråka
Grönpyrola</t>
        </is>
      </c>
      <c r="S264">
        <f>HYPERLINK("https://klasma.github.io/Logging_0883/artfynd/A 2657-2024 artfynd.xlsx", "A 2657-2024")</f>
        <v/>
      </c>
      <c r="T264">
        <f>HYPERLINK("https://klasma.github.io/Logging_0883/kartor/A 2657-2024 karta.png", "A 2657-2024")</f>
        <v/>
      </c>
      <c r="U264">
        <f>HYPERLINK("https://klasma.github.io/Logging_0883/knärot/A 2657-2024 karta knärot.png", "A 2657-2024")</f>
        <v/>
      </c>
      <c r="V264">
        <f>HYPERLINK("https://klasma.github.io/Logging_0883/klagomål/A 2657-2024 FSC-klagomål.docx", "A 2657-2024")</f>
        <v/>
      </c>
      <c r="W264">
        <f>HYPERLINK("https://klasma.github.io/Logging_0883/klagomålsmail/A 2657-2024 FSC-klagomål mail.docx", "A 2657-2024")</f>
        <v/>
      </c>
      <c r="X264">
        <f>HYPERLINK("https://klasma.github.io/Logging_0883/tillsyn/A 2657-2024 tillsynsbegäran.docx", "A 2657-2024")</f>
        <v/>
      </c>
      <c r="Y264">
        <f>HYPERLINK("https://klasma.github.io/Logging_0883/tillsynsmail/A 2657-2024 tillsynsbegäran mail.docx", "A 2657-2024")</f>
        <v/>
      </c>
      <c r="Z264">
        <f>HYPERLINK("https://klasma.github.io/Logging_0883/fåglar/A 2657-2024 prioriterade fågelarter.docx", "A 2657-2024")</f>
        <v/>
      </c>
    </row>
    <row r="265" ht="15" customHeight="1">
      <c r="A265" t="inlineStr">
        <is>
          <t>A 56985-2024</t>
        </is>
      </c>
      <c r="B265" s="1" t="n">
        <v>45628</v>
      </c>
      <c r="C265" s="1" t="n">
        <v>45884</v>
      </c>
      <c r="D265" t="inlineStr">
        <is>
          <t>KALMAR LÄN</t>
        </is>
      </c>
      <c r="E265" t="inlineStr">
        <is>
          <t>VIMMERBY</t>
        </is>
      </c>
      <c r="G265" t="n">
        <v>3.1</v>
      </c>
      <c r="H265" t="n">
        <v>2</v>
      </c>
      <c r="I265" t="n">
        <v>1</v>
      </c>
      <c r="J265" t="n">
        <v>1</v>
      </c>
      <c r="K265" t="n">
        <v>1</v>
      </c>
      <c r="L265" t="n">
        <v>0</v>
      </c>
      <c r="M265" t="n">
        <v>0</v>
      </c>
      <c r="N265" t="n">
        <v>0</v>
      </c>
      <c r="O265" t="n">
        <v>2</v>
      </c>
      <c r="P265" t="n">
        <v>1</v>
      </c>
      <c r="Q265" t="n">
        <v>3</v>
      </c>
      <c r="R265" s="2" t="inlineStr">
        <is>
          <t>Knärot
Spillkråka
Grönpyrola</t>
        </is>
      </c>
      <c r="S265">
        <f>HYPERLINK("https://klasma.github.io/Logging_0884/artfynd/A 56985-2024 artfynd.xlsx", "A 56985-2024")</f>
        <v/>
      </c>
      <c r="T265">
        <f>HYPERLINK("https://klasma.github.io/Logging_0884/kartor/A 56985-2024 karta.png", "A 56985-2024")</f>
        <v/>
      </c>
      <c r="U265">
        <f>HYPERLINK("https://klasma.github.io/Logging_0884/knärot/A 56985-2024 karta knärot.png", "A 56985-2024")</f>
        <v/>
      </c>
      <c r="V265">
        <f>HYPERLINK("https://klasma.github.io/Logging_0884/klagomål/A 56985-2024 FSC-klagomål.docx", "A 56985-2024")</f>
        <v/>
      </c>
      <c r="W265">
        <f>HYPERLINK("https://klasma.github.io/Logging_0884/klagomålsmail/A 56985-2024 FSC-klagomål mail.docx", "A 56985-2024")</f>
        <v/>
      </c>
      <c r="X265">
        <f>HYPERLINK("https://klasma.github.io/Logging_0884/tillsyn/A 56985-2024 tillsynsbegäran.docx", "A 56985-2024")</f>
        <v/>
      </c>
      <c r="Y265">
        <f>HYPERLINK("https://klasma.github.io/Logging_0884/tillsynsmail/A 56985-2024 tillsynsbegäran mail.docx", "A 56985-2024")</f>
        <v/>
      </c>
      <c r="Z265">
        <f>HYPERLINK("https://klasma.github.io/Logging_0884/fåglar/A 56985-2024 prioriterade fågelarter.docx", "A 56985-2024")</f>
        <v/>
      </c>
    </row>
    <row r="266" ht="15" customHeight="1">
      <c r="A266" t="inlineStr">
        <is>
          <t>A 15170-2024</t>
        </is>
      </c>
      <c r="B266" s="1" t="n">
        <v>45400</v>
      </c>
      <c r="C266" s="1" t="n">
        <v>45884</v>
      </c>
      <c r="D266" t="inlineStr">
        <is>
          <t>KALMAR LÄN</t>
        </is>
      </c>
      <c r="E266" t="inlineStr">
        <is>
          <t>HULTSFRED</t>
        </is>
      </c>
      <c r="G266" t="n">
        <v>1.5</v>
      </c>
      <c r="H266" t="n">
        <v>1</v>
      </c>
      <c r="I266" t="n">
        <v>2</v>
      </c>
      <c r="J266" t="n">
        <v>0</v>
      </c>
      <c r="K266" t="n">
        <v>0</v>
      </c>
      <c r="L266" t="n">
        <v>0</v>
      </c>
      <c r="M266" t="n">
        <v>0</v>
      </c>
      <c r="N266" t="n">
        <v>0</v>
      </c>
      <c r="O266" t="n">
        <v>0</v>
      </c>
      <c r="P266" t="n">
        <v>0</v>
      </c>
      <c r="Q266" t="n">
        <v>3</v>
      </c>
      <c r="R266" s="2" t="inlineStr">
        <is>
          <t>Rostfläck
Vårärt
Blåsippa</t>
        </is>
      </c>
      <c r="S266">
        <f>HYPERLINK("https://klasma.github.io/Logging_0860/artfynd/A 15170-2024 artfynd.xlsx", "A 15170-2024")</f>
        <v/>
      </c>
      <c r="T266">
        <f>HYPERLINK("https://klasma.github.io/Logging_0860/kartor/A 15170-2024 karta.png", "A 15170-2024")</f>
        <v/>
      </c>
      <c r="U266">
        <f>HYPERLINK("https://klasma.github.io/Logging_0860/knärot/A 15170-2024 karta knärot.png", "A 15170-2024")</f>
        <v/>
      </c>
      <c r="V266">
        <f>HYPERLINK("https://klasma.github.io/Logging_0860/klagomål/A 15170-2024 FSC-klagomål.docx", "A 15170-2024")</f>
        <v/>
      </c>
      <c r="W266">
        <f>HYPERLINK("https://klasma.github.io/Logging_0860/klagomålsmail/A 15170-2024 FSC-klagomål mail.docx", "A 15170-2024")</f>
        <v/>
      </c>
      <c r="X266">
        <f>HYPERLINK("https://klasma.github.io/Logging_0860/tillsyn/A 15170-2024 tillsynsbegäran.docx", "A 15170-2024")</f>
        <v/>
      </c>
      <c r="Y266">
        <f>HYPERLINK("https://klasma.github.io/Logging_0860/tillsynsmail/A 15170-2024 tillsynsbegäran mail.docx", "A 15170-2024")</f>
        <v/>
      </c>
    </row>
    <row r="267" ht="15" customHeight="1">
      <c r="A267" t="inlineStr">
        <is>
          <t>A 58750-2024</t>
        </is>
      </c>
      <c r="B267" s="1" t="n">
        <v>45635.71747685185</v>
      </c>
      <c r="C267" s="1" t="n">
        <v>45884</v>
      </c>
      <c r="D267" t="inlineStr">
        <is>
          <t>KALMAR LÄN</t>
        </is>
      </c>
      <c r="E267" t="inlineStr">
        <is>
          <t>VÄSTERVIK</t>
        </is>
      </c>
      <c r="G267" t="n">
        <v>6.7</v>
      </c>
      <c r="H267" t="n">
        <v>1</v>
      </c>
      <c r="I267" t="n">
        <v>1</v>
      </c>
      <c r="J267" t="n">
        <v>1</v>
      </c>
      <c r="K267" t="n">
        <v>1</v>
      </c>
      <c r="L267" t="n">
        <v>0</v>
      </c>
      <c r="M267" t="n">
        <v>0</v>
      </c>
      <c r="N267" t="n">
        <v>0</v>
      </c>
      <c r="O267" t="n">
        <v>2</v>
      </c>
      <c r="P267" t="n">
        <v>1</v>
      </c>
      <c r="Q267" t="n">
        <v>3</v>
      </c>
      <c r="R267" s="2" t="inlineStr">
        <is>
          <t>Knärot
Tallticka
Blåmossa</t>
        </is>
      </c>
      <c r="S267">
        <f>HYPERLINK("https://klasma.github.io/Logging_0883/artfynd/A 58750-2024 artfynd.xlsx", "A 58750-2024")</f>
        <v/>
      </c>
      <c r="T267">
        <f>HYPERLINK("https://klasma.github.io/Logging_0883/kartor/A 58750-2024 karta.png", "A 58750-2024")</f>
        <v/>
      </c>
      <c r="U267">
        <f>HYPERLINK("https://klasma.github.io/Logging_0883/knärot/A 58750-2024 karta knärot.png", "A 58750-2024")</f>
        <v/>
      </c>
      <c r="V267">
        <f>HYPERLINK("https://klasma.github.io/Logging_0883/klagomål/A 58750-2024 FSC-klagomål.docx", "A 58750-2024")</f>
        <v/>
      </c>
      <c r="W267">
        <f>HYPERLINK("https://klasma.github.io/Logging_0883/klagomålsmail/A 58750-2024 FSC-klagomål mail.docx", "A 58750-2024")</f>
        <v/>
      </c>
      <c r="X267">
        <f>HYPERLINK("https://klasma.github.io/Logging_0883/tillsyn/A 58750-2024 tillsynsbegäran.docx", "A 58750-2024")</f>
        <v/>
      </c>
      <c r="Y267">
        <f>HYPERLINK("https://klasma.github.io/Logging_0883/tillsynsmail/A 58750-2024 tillsynsbegäran mail.docx", "A 58750-2024")</f>
        <v/>
      </c>
    </row>
    <row r="268" ht="15" customHeight="1">
      <c r="A268" t="inlineStr">
        <is>
          <t>A 23182-2025</t>
        </is>
      </c>
      <c r="B268" s="1" t="n">
        <v>45791.4415625</v>
      </c>
      <c r="C268" s="1" t="n">
        <v>45884</v>
      </c>
      <c r="D268" t="inlineStr">
        <is>
          <t>KALMAR LÄN</t>
        </is>
      </c>
      <c r="E268" t="inlineStr">
        <is>
          <t>KALMAR</t>
        </is>
      </c>
      <c r="G268" t="n">
        <v>6.5</v>
      </c>
      <c r="H268" t="n">
        <v>1</v>
      </c>
      <c r="I268" t="n">
        <v>0</v>
      </c>
      <c r="J268" t="n">
        <v>2</v>
      </c>
      <c r="K268" t="n">
        <v>0</v>
      </c>
      <c r="L268" t="n">
        <v>0</v>
      </c>
      <c r="M268" t="n">
        <v>0</v>
      </c>
      <c r="N268" t="n">
        <v>0</v>
      </c>
      <c r="O268" t="n">
        <v>2</v>
      </c>
      <c r="P268" t="n">
        <v>0</v>
      </c>
      <c r="Q268" t="n">
        <v>3</v>
      </c>
      <c r="R268" s="2" t="inlineStr">
        <is>
          <t>Mindre bastardsvärmare
Prydnadsbock
Nattviol</t>
        </is>
      </c>
      <c r="S268">
        <f>HYPERLINK("https://klasma.github.io/Logging_0880/artfynd/A 23182-2025 artfynd.xlsx", "A 23182-2025")</f>
        <v/>
      </c>
      <c r="T268">
        <f>HYPERLINK("https://klasma.github.io/Logging_0880/kartor/A 23182-2025 karta.png", "A 23182-2025")</f>
        <v/>
      </c>
      <c r="V268">
        <f>HYPERLINK("https://klasma.github.io/Logging_0880/klagomål/A 23182-2025 FSC-klagomål.docx", "A 23182-2025")</f>
        <v/>
      </c>
      <c r="W268">
        <f>HYPERLINK("https://klasma.github.io/Logging_0880/klagomålsmail/A 23182-2025 FSC-klagomål mail.docx", "A 23182-2025")</f>
        <v/>
      </c>
      <c r="X268">
        <f>HYPERLINK("https://klasma.github.io/Logging_0880/tillsyn/A 23182-2025 tillsynsbegäran.docx", "A 23182-2025")</f>
        <v/>
      </c>
      <c r="Y268">
        <f>HYPERLINK("https://klasma.github.io/Logging_0880/tillsynsmail/A 23182-2025 tillsynsbegäran mail.docx", "A 23182-2025")</f>
        <v/>
      </c>
    </row>
    <row r="269" ht="15" customHeight="1">
      <c r="A269" t="inlineStr">
        <is>
          <t>A 40302-2022</t>
        </is>
      </c>
      <c r="B269" s="1" t="n">
        <v>44822</v>
      </c>
      <c r="C269" s="1" t="n">
        <v>45884</v>
      </c>
      <c r="D269" t="inlineStr">
        <is>
          <t>KALMAR LÄN</t>
        </is>
      </c>
      <c r="E269" t="inlineStr">
        <is>
          <t>HULTSFRED</t>
        </is>
      </c>
      <c r="G269" t="n">
        <v>2.3</v>
      </c>
      <c r="H269" t="n">
        <v>3</v>
      </c>
      <c r="I269" t="n">
        <v>0</v>
      </c>
      <c r="J269" t="n">
        <v>2</v>
      </c>
      <c r="K269" t="n">
        <v>0</v>
      </c>
      <c r="L269" t="n">
        <v>0</v>
      </c>
      <c r="M269" t="n">
        <v>0</v>
      </c>
      <c r="N269" t="n">
        <v>0</v>
      </c>
      <c r="O269" t="n">
        <v>2</v>
      </c>
      <c r="P269" t="n">
        <v>0</v>
      </c>
      <c r="Q269" t="n">
        <v>3</v>
      </c>
      <c r="R269" s="2" t="inlineStr">
        <is>
          <t>Brunlångöra
Nordfladdermus
Dvärgpipistrell</t>
        </is>
      </c>
      <c r="S269">
        <f>HYPERLINK("https://klasma.github.io/Logging_0860/artfynd/A 40302-2022 artfynd.xlsx", "A 40302-2022")</f>
        <v/>
      </c>
      <c r="T269">
        <f>HYPERLINK("https://klasma.github.io/Logging_0860/kartor/A 40302-2022 karta.png", "A 40302-2022")</f>
        <v/>
      </c>
      <c r="V269">
        <f>HYPERLINK("https://klasma.github.io/Logging_0860/klagomål/A 40302-2022 FSC-klagomål.docx", "A 40302-2022")</f>
        <v/>
      </c>
      <c r="W269">
        <f>HYPERLINK("https://klasma.github.io/Logging_0860/klagomålsmail/A 40302-2022 FSC-klagomål mail.docx", "A 40302-2022")</f>
        <v/>
      </c>
      <c r="X269">
        <f>HYPERLINK("https://klasma.github.io/Logging_0860/tillsyn/A 40302-2022 tillsynsbegäran.docx", "A 40302-2022")</f>
        <v/>
      </c>
      <c r="Y269">
        <f>HYPERLINK("https://klasma.github.io/Logging_0860/tillsynsmail/A 40302-2022 tillsynsbegäran mail.docx", "A 40302-2022")</f>
        <v/>
      </c>
    </row>
    <row r="270" ht="15" customHeight="1">
      <c r="A270" t="inlineStr">
        <is>
          <t>A 51590-2024</t>
        </is>
      </c>
      <c r="B270" s="1" t="n">
        <v>45604</v>
      </c>
      <c r="C270" s="1" t="n">
        <v>45884</v>
      </c>
      <c r="D270" t="inlineStr">
        <is>
          <t>KALMAR LÄN</t>
        </is>
      </c>
      <c r="E270" t="inlineStr">
        <is>
          <t>VÄSTERVIK</t>
        </is>
      </c>
      <c r="F270" t="inlineStr">
        <is>
          <t>Övriga Aktiebolag</t>
        </is>
      </c>
      <c r="G270" t="n">
        <v>2.3</v>
      </c>
      <c r="H270" t="n">
        <v>3</v>
      </c>
      <c r="I270" t="n">
        <v>0</v>
      </c>
      <c r="J270" t="n">
        <v>2</v>
      </c>
      <c r="K270" t="n">
        <v>1</v>
      </c>
      <c r="L270" t="n">
        <v>0</v>
      </c>
      <c r="M270" t="n">
        <v>0</v>
      </c>
      <c r="N270" t="n">
        <v>0</v>
      </c>
      <c r="O270" t="n">
        <v>3</v>
      </c>
      <c r="P270" t="n">
        <v>1</v>
      </c>
      <c r="Q270" t="n">
        <v>3</v>
      </c>
      <c r="R270" s="2" t="inlineStr">
        <is>
          <t>Knärot
Spillkråka
Talltita</t>
        </is>
      </c>
      <c r="S270">
        <f>HYPERLINK("https://klasma.github.io/Logging_0883/artfynd/A 51590-2024 artfynd.xlsx", "A 51590-2024")</f>
        <v/>
      </c>
      <c r="T270">
        <f>HYPERLINK("https://klasma.github.io/Logging_0883/kartor/A 51590-2024 karta.png", "A 51590-2024")</f>
        <v/>
      </c>
      <c r="U270">
        <f>HYPERLINK("https://klasma.github.io/Logging_0883/knärot/A 51590-2024 karta knärot.png", "A 51590-2024")</f>
        <v/>
      </c>
      <c r="V270">
        <f>HYPERLINK("https://klasma.github.io/Logging_0883/klagomål/A 51590-2024 FSC-klagomål.docx", "A 51590-2024")</f>
        <v/>
      </c>
      <c r="W270">
        <f>HYPERLINK("https://klasma.github.io/Logging_0883/klagomålsmail/A 51590-2024 FSC-klagomål mail.docx", "A 51590-2024")</f>
        <v/>
      </c>
      <c r="X270">
        <f>HYPERLINK("https://klasma.github.io/Logging_0883/tillsyn/A 51590-2024 tillsynsbegäran.docx", "A 51590-2024")</f>
        <v/>
      </c>
      <c r="Y270">
        <f>HYPERLINK("https://klasma.github.io/Logging_0883/tillsynsmail/A 51590-2024 tillsynsbegäran mail.docx", "A 51590-2024")</f>
        <v/>
      </c>
      <c r="Z270">
        <f>HYPERLINK("https://klasma.github.io/Logging_0883/fåglar/A 51590-2024 prioriterade fågelarter.docx", "A 51590-2024")</f>
        <v/>
      </c>
    </row>
    <row r="271" ht="15" customHeight="1">
      <c r="A271" t="inlineStr">
        <is>
          <t>A 1764-2025</t>
        </is>
      </c>
      <c r="B271" s="1" t="n">
        <v>45671</v>
      </c>
      <c r="C271" s="1" t="n">
        <v>45884</v>
      </c>
      <c r="D271" t="inlineStr">
        <is>
          <t>KALMAR LÄN</t>
        </is>
      </c>
      <c r="E271" t="inlineStr">
        <is>
          <t>VÄSTERVIK</t>
        </is>
      </c>
      <c r="G271" t="n">
        <v>1.8</v>
      </c>
      <c r="H271" t="n">
        <v>1</v>
      </c>
      <c r="I271" t="n">
        <v>1</v>
      </c>
      <c r="J271" t="n">
        <v>1</v>
      </c>
      <c r="K271" t="n">
        <v>1</v>
      </c>
      <c r="L271" t="n">
        <v>0</v>
      </c>
      <c r="M271" t="n">
        <v>0</v>
      </c>
      <c r="N271" t="n">
        <v>0</v>
      </c>
      <c r="O271" t="n">
        <v>2</v>
      </c>
      <c r="P271" t="n">
        <v>1</v>
      </c>
      <c r="Q271" t="n">
        <v>3</v>
      </c>
      <c r="R271" s="2" t="inlineStr">
        <is>
          <t>Knärot
Ullticka
Grovticka</t>
        </is>
      </c>
      <c r="S271">
        <f>HYPERLINK("https://klasma.github.io/Logging_0883/artfynd/A 1764-2025 artfynd.xlsx", "A 1764-2025")</f>
        <v/>
      </c>
      <c r="T271">
        <f>HYPERLINK("https://klasma.github.io/Logging_0883/kartor/A 1764-2025 karta.png", "A 1764-2025")</f>
        <v/>
      </c>
      <c r="U271">
        <f>HYPERLINK("https://klasma.github.io/Logging_0883/knärot/A 1764-2025 karta knärot.png", "A 1764-2025")</f>
        <v/>
      </c>
      <c r="V271">
        <f>HYPERLINK("https://klasma.github.io/Logging_0883/klagomål/A 1764-2025 FSC-klagomål.docx", "A 1764-2025")</f>
        <v/>
      </c>
      <c r="W271">
        <f>HYPERLINK("https://klasma.github.io/Logging_0883/klagomålsmail/A 1764-2025 FSC-klagomål mail.docx", "A 1764-2025")</f>
        <v/>
      </c>
      <c r="X271">
        <f>HYPERLINK("https://klasma.github.io/Logging_0883/tillsyn/A 1764-2025 tillsynsbegäran.docx", "A 1764-2025")</f>
        <v/>
      </c>
      <c r="Y271">
        <f>HYPERLINK("https://klasma.github.io/Logging_0883/tillsynsmail/A 1764-2025 tillsynsbegäran mail.docx", "A 1764-2025")</f>
        <v/>
      </c>
    </row>
    <row r="272" ht="15" customHeight="1">
      <c r="A272" t="inlineStr">
        <is>
          <t>A 1763-2025</t>
        </is>
      </c>
      <c r="B272" s="1" t="n">
        <v>45671</v>
      </c>
      <c r="C272" s="1" t="n">
        <v>45884</v>
      </c>
      <c r="D272" t="inlineStr">
        <is>
          <t>KALMAR LÄN</t>
        </is>
      </c>
      <c r="E272" t="inlineStr">
        <is>
          <t>VÄSTERVIK</t>
        </is>
      </c>
      <c r="G272" t="n">
        <v>1.1</v>
      </c>
      <c r="H272" t="n">
        <v>2</v>
      </c>
      <c r="I272" t="n">
        <v>1</v>
      </c>
      <c r="J272" t="n">
        <v>2</v>
      </c>
      <c r="K272" t="n">
        <v>0</v>
      </c>
      <c r="L272" t="n">
        <v>0</v>
      </c>
      <c r="M272" t="n">
        <v>0</v>
      </c>
      <c r="N272" t="n">
        <v>0</v>
      </c>
      <c r="O272" t="n">
        <v>2</v>
      </c>
      <c r="P272" t="n">
        <v>0</v>
      </c>
      <c r="Q272" t="n">
        <v>3</v>
      </c>
      <c r="R272" s="2" t="inlineStr">
        <is>
          <t>Spillkråka
Talltita
Blåmossa</t>
        </is>
      </c>
      <c r="S272">
        <f>HYPERLINK("https://klasma.github.io/Logging_0883/artfynd/A 1763-2025 artfynd.xlsx", "A 1763-2025")</f>
        <v/>
      </c>
      <c r="T272">
        <f>HYPERLINK("https://klasma.github.io/Logging_0883/kartor/A 1763-2025 karta.png", "A 1763-2025")</f>
        <v/>
      </c>
      <c r="V272">
        <f>HYPERLINK("https://klasma.github.io/Logging_0883/klagomål/A 1763-2025 FSC-klagomål.docx", "A 1763-2025")</f>
        <v/>
      </c>
      <c r="W272">
        <f>HYPERLINK("https://klasma.github.io/Logging_0883/klagomålsmail/A 1763-2025 FSC-klagomål mail.docx", "A 1763-2025")</f>
        <v/>
      </c>
      <c r="X272">
        <f>HYPERLINK("https://klasma.github.io/Logging_0883/tillsyn/A 1763-2025 tillsynsbegäran.docx", "A 1763-2025")</f>
        <v/>
      </c>
      <c r="Y272">
        <f>HYPERLINK("https://klasma.github.io/Logging_0883/tillsynsmail/A 1763-2025 tillsynsbegäran mail.docx", "A 1763-2025")</f>
        <v/>
      </c>
      <c r="Z272">
        <f>HYPERLINK("https://klasma.github.io/Logging_0883/fåglar/A 1763-2025 prioriterade fågelarter.docx", "A 1763-2025")</f>
        <v/>
      </c>
    </row>
    <row r="273" ht="15" customHeight="1">
      <c r="A273" t="inlineStr">
        <is>
          <t>A 15427-2023</t>
        </is>
      </c>
      <c r="B273" s="1" t="n">
        <v>45020</v>
      </c>
      <c r="C273" s="1" t="n">
        <v>45884</v>
      </c>
      <c r="D273" t="inlineStr">
        <is>
          <t>KALMAR LÄN</t>
        </is>
      </c>
      <c r="E273" t="inlineStr">
        <is>
          <t>VIMMERBY</t>
        </is>
      </c>
      <c r="G273" t="n">
        <v>4.1</v>
      </c>
      <c r="H273" t="n">
        <v>0</v>
      </c>
      <c r="I273" t="n">
        <v>1</v>
      </c>
      <c r="J273" t="n">
        <v>2</v>
      </c>
      <c r="K273" t="n">
        <v>0</v>
      </c>
      <c r="L273" t="n">
        <v>0</v>
      </c>
      <c r="M273" t="n">
        <v>0</v>
      </c>
      <c r="N273" t="n">
        <v>0</v>
      </c>
      <c r="O273" t="n">
        <v>2</v>
      </c>
      <c r="P273" t="n">
        <v>0</v>
      </c>
      <c r="Q273" t="n">
        <v>3</v>
      </c>
      <c r="R273" s="2" t="inlineStr">
        <is>
          <t>Slåtterfibbla
Solvända
Strävlosta</t>
        </is>
      </c>
      <c r="S273">
        <f>HYPERLINK("https://klasma.github.io/Logging_0884/artfynd/A 15427-2023 artfynd.xlsx", "A 15427-2023")</f>
        <v/>
      </c>
      <c r="T273">
        <f>HYPERLINK("https://klasma.github.io/Logging_0884/kartor/A 15427-2023 karta.png", "A 15427-2023")</f>
        <v/>
      </c>
      <c r="V273">
        <f>HYPERLINK("https://klasma.github.io/Logging_0884/klagomål/A 15427-2023 FSC-klagomål.docx", "A 15427-2023")</f>
        <v/>
      </c>
      <c r="W273">
        <f>HYPERLINK("https://klasma.github.io/Logging_0884/klagomålsmail/A 15427-2023 FSC-klagomål mail.docx", "A 15427-2023")</f>
        <v/>
      </c>
      <c r="X273">
        <f>HYPERLINK("https://klasma.github.io/Logging_0884/tillsyn/A 15427-2023 tillsynsbegäran.docx", "A 15427-2023")</f>
        <v/>
      </c>
      <c r="Y273">
        <f>HYPERLINK("https://klasma.github.io/Logging_0884/tillsynsmail/A 15427-2023 tillsynsbegäran mail.docx", "A 15427-2023")</f>
        <v/>
      </c>
    </row>
    <row r="274" ht="15" customHeight="1">
      <c r="A274" t="inlineStr">
        <is>
          <t>A 51270-2020</t>
        </is>
      </c>
      <c r="B274" s="1" t="n">
        <v>44112</v>
      </c>
      <c r="C274" s="1" t="n">
        <v>45884</v>
      </c>
      <c r="D274" t="inlineStr">
        <is>
          <t>KALMAR LÄN</t>
        </is>
      </c>
      <c r="E274" t="inlineStr">
        <is>
          <t>NYBRO</t>
        </is>
      </c>
      <c r="G274" t="n">
        <v>7.2</v>
      </c>
      <c r="H274" t="n">
        <v>1</v>
      </c>
      <c r="I274" t="n">
        <v>1</v>
      </c>
      <c r="J274" t="n">
        <v>1</v>
      </c>
      <c r="K274" t="n">
        <v>1</v>
      </c>
      <c r="L274" t="n">
        <v>0</v>
      </c>
      <c r="M274" t="n">
        <v>0</v>
      </c>
      <c r="N274" t="n">
        <v>0</v>
      </c>
      <c r="O274" t="n">
        <v>2</v>
      </c>
      <c r="P274" t="n">
        <v>1</v>
      </c>
      <c r="Q274" t="n">
        <v>3</v>
      </c>
      <c r="R274" s="2" t="inlineStr">
        <is>
          <t>Knärot
Ullticka
Blåmossa</t>
        </is>
      </c>
      <c r="S274">
        <f>HYPERLINK("https://klasma.github.io/Logging_0881/artfynd/A 51270-2020 artfynd.xlsx", "A 51270-2020")</f>
        <v/>
      </c>
      <c r="T274">
        <f>HYPERLINK("https://klasma.github.io/Logging_0881/kartor/A 51270-2020 karta.png", "A 51270-2020")</f>
        <v/>
      </c>
      <c r="U274">
        <f>HYPERLINK("https://klasma.github.io/Logging_0881/knärot/A 51270-2020 karta knärot.png", "A 51270-2020")</f>
        <v/>
      </c>
      <c r="V274">
        <f>HYPERLINK("https://klasma.github.io/Logging_0881/klagomål/A 51270-2020 FSC-klagomål.docx", "A 51270-2020")</f>
        <v/>
      </c>
      <c r="W274">
        <f>HYPERLINK("https://klasma.github.io/Logging_0881/klagomålsmail/A 51270-2020 FSC-klagomål mail.docx", "A 51270-2020")</f>
        <v/>
      </c>
      <c r="X274">
        <f>HYPERLINK("https://klasma.github.io/Logging_0881/tillsyn/A 51270-2020 tillsynsbegäran.docx", "A 51270-2020")</f>
        <v/>
      </c>
      <c r="Y274">
        <f>HYPERLINK("https://klasma.github.io/Logging_0881/tillsynsmail/A 51270-2020 tillsynsbegäran mail.docx", "A 51270-2020")</f>
        <v/>
      </c>
    </row>
    <row r="275" ht="15" customHeight="1">
      <c r="A275" t="inlineStr">
        <is>
          <t>A 14463-2023</t>
        </is>
      </c>
      <c r="B275" s="1" t="n">
        <v>45012.62950231481</v>
      </c>
      <c r="C275" s="1" t="n">
        <v>45884</v>
      </c>
      <c r="D275" t="inlineStr">
        <is>
          <t>KALMAR LÄN</t>
        </is>
      </c>
      <c r="E275" t="inlineStr">
        <is>
          <t>OSKARSHAMN</t>
        </is>
      </c>
      <c r="G275" t="n">
        <v>8.199999999999999</v>
      </c>
      <c r="H275" t="n">
        <v>1</v>
      </c>
      <c r="I275" t="n">
        <v>1</v>
      </c>
      <c r="J275" t="n">
        <v>1</v>
      </c>
      <c r="K275" t="n">
        <v>0</v>
      </c>
      <c r="L275" t="n">
        <v>0</v>
      </c>
      <c r="M275" t="n">
        <v>0</v>
      </c>
      <c r="N275" t="n">
        <v>0</v>
      </c>
      <c r="O275" t="n">
        <v>1</v>
      </c>
      <c r="P275" t="n">
        <v>0</v>
      </c>
      <c r="Q275" t="n">
        <v>3</v>
      </c>
      <c r="R275" s="2" t="inlineStr">
        <is>
          <t>Klubbsprötad bastardsvärmare
Sotlav
Blåsippa</t>
        </is>
      </c>
      <c r="S275">
        <f>HYPERLINK("https://klasma.github.io/Logging_0882/artfynd/A 14463-2023 artfynd.xlsx", "A 14463-2023")</f>
        <v/>
      </c>
      <c r="T275">
        <f>HYPERLINK("https://klasma.github.io/Logging_0882/kartor/A 14463-2023 karta.png", "A 14463-2023")</f>
        <v/>
      </c>
      <c r="V275">
        <f>HYPERLINK("https://klasma.github.io/Logging_0882/klagomål/A 14463-2023 FSC-klagomål.docx", "A 14463-2023")</f>
        <v/>
      </c>
      <c r="W275">
        <f>HYPERLINK("https://klasma.github.io/Logging_0882/klagomålsmail/A 14463-2023 FSC-klagomål mail.docx", "A 14463-2023")</f>
        <v/>
      </c>
      <c r="X275">
        <f>HYPERLINK("https://klasma.github.io/Logging_0882/tillsyn/A 14463-2023 tillsynsbegäran.docx", "A 14463-2023")</f>
        <v/>
      </c>
      <c r="Y275">
        <f>HYPERLINK("https://klasma.github.io/Logging_0882/tillsynsmail/A 14463-2023 tillsynsbegäran mail.docx", "A 14463-2023")</f>
        <v/>
      </c>
    </row>
    <row r="276" ht="15" customHeight="1">
      <c r="A276" t="inlineStr">
        <is>
          <t>A 36109-2025</t>
        </is>
      </c>
      <c r="B276" s="1" t="n">
        <v>45866.56780092593</v>
      </c>
      <c r="C276" s="1" t="n">
        <v>45884</v>
      </c>
      <c r="D276" t="inlineStr">
        <is>
          <t>KALMAR LÄN</t>
        </is>
      </c>
      <c r="E276" t="inlineStr">
        <is>
          <t>VÄSTERVIK</t>
        </is>
      </c>
      <c r="G276" t="n">
        <v>12.5</v>
      </c>
      <c r="H276" t="n">
        <v>1</v>
      </c>
      <c r="I276" t="n">
        <v>2</v>
      </c>
      <c r="J276" t="n">
        <v>0</v>
      </c>
      <c r="K276" t="n">
        <v>1</v>
      </c>
      <c r="L276" t="n">
        <v>0</v>
      </c>
      <c r="M276" t="n">
        <v>0</v>
      </c>
      <c r="N276" t="n">
        <v>0</v>
      </c>
      <c r="O276" t="n">
        <v>1</v>
      </c>
      <c r="P276" t="n">
        <v>1</v>
      </c>
      <c r="Q276" t="n">
        <v>3</v>
      </c>
      <c r="R276" s="2" t="inlineStr">
        <is>
          <t>Knärot
Blåmossa
Grönpyrola</t>
        </is>
      </c>
      <c r="S276">
        <f>HYPERLINK("https://klasma.github.io/Logging_0883/artfynd/A 36109-2025 artfynd.xlsx", "A 36109-2025")</f>
        <v/>
      </c>
      <c r="T276">
        <f>HYPERLINK("https://klasma.github.io/Logging_0883/kartor/A 36109-2025 karta.png", "A 36109-2025")</f>
        <v/>
      </c>
      <c r="U276">
        <f>HYPERLINK("https://klasma.github.io/Logging_0883/knärot/A 36109-2025 karta knärot.png", "A 36109-2025")</f>
        <v/>
      </c>
      <c r="V276">
        <f>HYPERLINK("https://klasma.github.io/Logging_0883/klagomål/A 36109-2025 FSC-klagomål.docx", "A 36109-2025")</f>
        <v/>
      </c>
      <c r="W276">
        <f>HYPERLINK("https://klasma.github.io/Logging_0883/klagomålsmail/A 36109-2025 FSC-klagomål mail.docx", "A 36109-2025")</f>
        <v/>
      </c>
      <c r="X276">
        <f>HYPERLINK("https://klasma.github.io/Logging_0883/tillsyn/A 36109-2025 tillsynsbegäran.docx", "A 36109-2025")</f>
        <v/>
      </c>
      <c r="Y276">
        <f>HYPERLINK("https://klasma.github.io/Logging_0883/tillsynsmail/A 36109-2025 tillsynsbegäran mail.docx", "A 36109-2025")</f>
        <v/>
      </c>
    </row>
    <row r="277" ht="15" customHeight="1">
      <c r="A277" t="inlineStr">
        <is>
          <t>A 36721-2025</t>
        </is>
      </c>
      <c r="B277" s="1" t="n">
        <v>45873.47315972222</v>
      </c>
      <c r="C277" s="1" t="n">
        <v>45884</v>
      </c>
      <c r="D277" t="inlineStr">
        <is>
          <t>KALMAR LÄN</t>
        </is>
      </c>
      <c r="E277" t="inlineStr">
        <is>
          <t>OSKARSHAMN</t>
        </is>
      </c>
      <c r="G277" t="n">
        <v>2.9</v>
      </c>
      <c r="H277" t="n">
        <v>2</v>
      </c>
      <c r="I277" t="n">
        <v>1</v>
      </c>
      <c r="J277" t="n">
        <v>0</v>
      </c>
      <c r="K277" t="n">
        <v>1</v>
      </c>
      <c r="L277" t="n">
        <v>0</v>
      </c>
      <c r="M277" t="n">
        <v>0</v>
      </c>
      <c r="N277" t="n">
        <v>0</v>
      </c>
      <c r="O277" t="n">
        <v>1</v>
      </c>
      <c r="P277" t="n">
        <v>1</v>
      </c>
      <c r="Q277" t="n">
        <v>3</v>
      </c>
      <c r="R277" s="2" t="inlineStr">
        <is>
          <t>Knärot
Blåmossa
Revlummer</t>
        </is>
      </c>
      <c r="S277">
        <f>HYPERLINK("https://klasma.github.io/Logging_0882/artfynd/A 36721-2025 artfynd.xlsx", "A 36721-2025")</f>
        <v/>
      </c>
      <c r="T277">
        <f>HYPERLINK("https://klasma.github.io/Logging_0882/kartor/A 36721-2025 karta.png", "A 36721-2025")</f>
        <v/>
      </c>
      <c r="U277">
        <f>HYPERLINK("https://klasma.github.io/Logging_0882/knärot/A 36721-2025 karta knärot.png", "A 36721-2025")</f>
        <v/>
      </c>
      <c r="V277">
        <f>HYPERLINK("https://klasma.github.io/Logging_0882/klagomål/A 36721-2025 FSC-klagomål.docx", "A 36721-2025")</f>
        <v/>
      </c>
      <c r="W277">
        <f>HYPERLINK("https://klasma.github.io/Logging_0882/klagomålsmail/A 36721-2025 FSC-klagomål mail.docx", "A 36721-2025")</f>
        <v/>
      </c>
      <c r="X277">
        <f>HYPERLINK("https://klasma.github.io/Logging_0882/tillsyn/A 36721-2025 tillsynsbegäran.docx", "A 36721-2025")</f>
        <v/>
      </c>
      <c r="Y277">
        <f>HYPERLINK("https://klasma.github.io/Logging_0882/tillsynsmail/A 36721-2025 tillsynsbegäran mail.docx", "A 36721-2025")</f>
        <v/>
      </c>
    </row>
    <row r="278" ht="15" customHeight="1">
      <c r="A278" t="inlineStr">
        <is>
          <t>A 14584-2025</t>
        </is>
      </c>
      <c r="B278" s="1" t="n">
        <v>45742</v>
      </c>
      <c r="C278" s="1" t="n">
        <v>45884</v>
      </c>
      <c r="D278" t="inlineStr">
        <is>
          <t>KALMAR LÄN</t>
        </is>
      </c>
      <c r="E278" t="inlineStr">
        <is>
          <t>VIMMERBY</t>
        </is>
      </c>
      <c r="G278" t="n">
        <v>7</v>
      </c>
      <c r="H278" t="n">
        <v>2</v>
      </c>
      <c r="I278" t="n">
        <v>1</v>
      </c>
      <c r="J278" t="n">
        <v>1</v>
      </c>
      <c r="K278" t="n">
        <v>1</v>
      </c>
      <c r="L278" t="n">
        <v>0</v>
      </c>
      <c r="M278" t="n">
        <v>0</v>
      </c>
      <c r="N278" t="n">
        <v>0</v>
      </c>
      <c r="O278" t="n">
        <v>2</v>
      </c>
      <c r="P278" t="n">
        <v>1</v>
      </c>
      <c r="Q278" t="n">
        <v>3</v>
      </c>
      <c r="R278" s="2" t="inlineStr">
        <is>
          <t>Knärot
Spillkråka
Blåmossa</t>
        </is>
      </c>
      <c r="S278">
        <f>HYPERLINK("https://klasma.github.io/Logging_0884/artfynd/A 14584-2025 artfynd.xlsx", "A 14584-2025")</f>
        <v/>
      </c>
      <c r="T278">
        <f>HYPERLINK("https://klasma.github.io/Logging_0884/kartor/A 14584-2025 karta.png", "A 14584-2025")</f>
        <v/>
      </c>
      <c r="U278">
        <f>HYPERLINK("https://klasma.github.io/Logging_0884/knärot/A 14584-2025 karta knärot.png", "A 14584-2025")</f>
        <v/>
      </c>
      <c r="V278">
        <f>HYPERLINK("https://klasma.github.io/Logging_0884/klagomål/A 14584-2025 FSC-klagomål.docx", "A 14584-2025")</f>
        <v/>
      </c>
      <c r="W278">
        <f>HYPERLINK("https://klasma.github.io/Logging_0884/klagomålsmail/A 14584-2025 FSC-klagomål mail.docx", "A 14584-2025")</f>
        <v/>
      </c>
      <c r="X278">
        <f>HYPERLINK("https://klasma.github.io/Logging_0884/tillsyn/A 14584-2025 tillsynsbegäran.docx", "A 14584-2025")</f>
        <v/>
      </c>
      <c r="Y278">
        <f>HYPERLINK("https://klasma.github.io/Logging_0884/tillsynsmail/A 14584-2025 tillsynsbegäran mail.docx", "A 14584-2025")</f>
        <v/>
      </c>
      <c r="Z278">
        <f>HYPERLINK("https://klasma.github.io/Logging_0884/fåglar/A 14584-2025 prioriterade fågelarter.docx", "A 14584-2025")</f>
        <v/>
      </c>
    </row>
    <row r="279" ht="15" customHeight="1">
      <c r="A279" t="inlineStr">
        <is>
          <t>A 13956-2025</t>
        </is>
      </c>
      <c r="B279" s="1" t="n">
        <v>45737</v>
      </c>
      <c r="C279" s="1" t="n">
        <v>45884</v>
      </c>
      <c r="D279" t="inlineStr">
        <is>
          <t>KALMAR LÄN</t>
        </is>
      </c>
      <c r="E279" t="inlineStr">
        <is>
          <t>VÄSTERVIK</t>
        </is>
      </c>
      <c r="G279" t="n">
        <v>2.5</v>
      </c>
      <c r="H279" t="n">
        <v>2</v>
      </c>
      <c r="I279" t="n">
        <v>1</v>
      </c>
      <c r="J279" t="n">
        <v>1</v>
      </c>
      <c r="K279" t="n">
        <v>1</v>
      </c>
      <c r="L279" t="n">
        <v>0</v>
      </c>
      <c r="M279" t="n">
        <v>0</v>
      </c>
      <c r="N279" t="n">
        <v>0</v>
      </c>
      <c r="O279" t="n">
        <v>2</v>
      </c>
      <c r="P279" t="n">
        <v>1</v>
      </c>
      <c r="Q279" t="n">
        <v>3</v>
      </c>
      <c r="R279" s="2" t="inlineStr">
        <is>
          <t>Knärot
Mindre hackspett
Grönpyrola</t>
        </is>
      </c>
      <c r="S279">
        <f>HYPERLINK("https://klasma.github.io/Logging_0883/artfynd/A 13956-2025 artfynd.xlsx", "A 13956-2025")</f>
        <v/>
      </c>
      <c r="T279">
        <f>HYPERLINK("https://klasma.github.io/Logging_0883/kartor/A 13956-2025 karta.png", "A 13956-2025")</f>
        <v/>
      </c>
      <c r="U279">
        <f>HYPERLINK("https://klasma.github.io/Logging_0883/knärot/A 13956-2025 karta knärot.png", "A 13956-2025")</f>
        <v/>
      </c>
      <c r="V279">
        <f>HYPERLINK("https://klasma.github.io/Logging_0883/klagomål/A 13956-2025 FSC-klagomål.docx", "A 13956-2025")</f>
        <v/>
      </c>
      <c r="W279">
        <f>HYPERLINK("https://klasma.github.io/Logging_0883/klagomålsmail/A 13956-2025 FSC-klagomål mail.docx", "A 13956-2025")</f>
        <v/>
      </c>
      <c r="X279">
        <f>HYPERLINK("https://klasma.github.io/Logging_0883/tillsyn/A 13956-2025 tillsynsbegäran.docx", "A 13956-2025")</f>
        <v/>
      </c>
      <c r="Y279">
        <f>HYPERLINK("https://klasma.github.io/Logging_0883/tillsynsmail/A 13956-2025 tillsynsbegäran mail.docx", "A 13956-2025")</f>
        <v/>
      </c>
      <c r="Z279">
        <f>HYPERLINK("https://klasma.github.io/Logging_0883/fåglar/A 13956-2025 prioriterade fågelarter.docx", "A 13956-2025")</f>
        <v/>
      </c>
    </row>
    <row r="280" ht="15" customHeight="1">
      <c r="A280" t="inlineStr">
        <is>
          <t>A 32821-2025</t>
        </is>
      </c>
      <c r="B280" s="1" t="n">
        <v>45839.53917824074</v>
      </c>
      <c r="C280" s="1" t="n">
        <v>45884</v>
      </c>
      <c r="D280" t="inlineStr">
        <is>
          <t>KALMAR LÄN</t>
        </is>
      </c>
      <c r="E280" t="inlineStr">
        <is>
          <t>MÖNSTERÅS</t>
        </is>
      </c>
      <c r="F280" t="inlineStr">
        <is>
          <t>Kommuner</t>
        </is>
      </c>
      <c r="G280" t="n">
        <v>4.8</v>
      </c>
      <c r="H280" t="n">
        <v>1</v>
      </c>
      <c r="I280" t="n">
        <v>2</v>
      </c>
      <c r="J280" t="n">
        <v>1</v>
      </c>
      <c r="K280" t="n">
        <v>0</v>
      </c>
      <c r="L280" t="n">
        <v>0</v>
      </c>
      <c r="M280" t="n">
        <v>0</v>
      </c>
      <c r="N280" t="n">
        <v>0</v>
      </c>
      <c r="O280" t="n">
        <v>1</v>
      </c>
      <c r="P280" t="n">
        <v>0</v>
      </c>
      <c r="Q280" t="n">
        <v>3</v>
      </c>
      <c r="R280" s="2" t="inlineStr">
        <is>
          <t>Spillkråka
Blåmossa
Grovticka</t>
        </is>
      </c>
      <c r="S280">
        <f>HYPERLINK("https://klasma.github.io/Logging_0861/artfynd/A 32821-2025 artfynd.xlsx", "A 32821-2025")</f>
        <v/>
      </c>
      <c r="T280">
        <f>HYPERLINK("https://klasma.github.io/Logging_0861/kartor/A 32821-2025 karta.png", "A 32821-2025")</f>
        <v/>
      </c>
      <c r="V280">
        <f>HYPERLINK("https://klasma.github.io/Logging_0861/klagomål/A 32821-2025 FSC-klagomål.docx", "A 32821-2025")</f>
        <v/>
      </c>
      <c r="W280">
        <f>HYPERLINK("https://klasma.github.io/Logging_0861/klagomålsmail/A 32821-2025 FSC-klagomål mail.docx", "A 32821-2025")</f>
        <v/>
      </c>
      <c r="X280">
        <f>HYPERLINK("https://klasma.github.io/Logging_0861/tillsyn/A 32821-2025 tillsynsbegäran.docx", "A 32821-2025")</f>
        <v/>
      </c>
      <c r="Y280">
        <f>HYPERLINK("https://klasma.github.io/Logging_0861/tillsynsmail/A 32821-2025 tillsynsbegäran mail.docx", "A 32821-2025")</f>
        <v/>
      </c>
      <c r="Z280">
        <f>HYPERLINK("https://klasma.github.io/Logging_0861/fåglar/A 32821-2025 prioriterade fågelarter.docx", "A 32821-2025")</f>
        <v/>
      </c>
    </row>
    <row r="281" ht="15" customHeight="1">
      <c r="A281" t="inlineStr">
        <is>
          <t>A 33483-2025</t>
        </is>
      </c>
      <c r="B281" s="1" t="n">
        <v>45841.50255787037</v>
      </c>
      <c r="C281" s="1" t="n">
        <v>45884</v>
      </c>
      <c r="D281" t="inlineStr">
        <is>
          <t>KALMAR LÄN</t>
        </is>
      </c>
      <c r="E281" t="inlineStr">
        <is>
          <t>TORSÅS</t>
        </is>
      </c>
      <c r="G281" t="n">
        <v>2.1</v>
      </c>
      <c r="H281" t="n">
        <v>2</v>
      </c>
      <c r="I281" t="n">
        <v>1</v>
      </c>
      <c r="J281" t="n">
        <v>1</v>
      </c>
      <c r="K281" t="n">
        <v>1</v>
      </c>
      <c r="L281" t="n">
        <v>0</v>
      </c>
      <c r="M281" t="n">
        <v>0</v>
      </c>
      <c r="N281" t="n">
        <v>0</v>
      </c>
      <c r="O281" t="n">
        <v>2</v>
      </c>
      <c r="P281" t="n">
        <v>1</v>
      </c>
      <c r="Q281" t="n">
        <v>3</v>
      </c>
      <c r="R281" s="2" t="inlineStr">
        <is>
          <t>Knärot
Mindre hackspett
Blåmossa</t>
        </is>
      </c>
      <c r="S281">
        <f>HYPERLINK("https://klasma.github.io/Logging_0834/artfynd/A 33483-2025 artfynd.xlsx", "A 33483-2025")</f>
        <v/>
      </c>
      <c r="T281">
        <f>HYPERLINK("https://klasma.github.io/Logging_0834/kartor/A 33483-2025 karta.png", "A 33483-2025")</f>
        <v/>
      </c>
      <c r="U281">
        <f>HYPERLINK("https://klasma.github.io/Logging_0834/knärot/A 33483-2025 karta knärot.png", "A 33483-2025")</f>
        <v/>
      </c>
      <c r="V281">
        <f>HYPERLINK("https://klasma.github.io/Logging_0834/klagomål/A 33483-2025 FSC-klagomål.docx", "A 33483-2025")</f>
        <v/>
      </c>
      <c r="W281">
        <f>HYPERLINK("https://klasma.github.io/Logging_0834/klagomålsmail/A 33483-2025 FSC-klagomål mail.docx", "A 33483-2025")</f>
        <v/>
      </c>
      <c r="X281">
        <f>HYPERLINK("https://klasma.github.io/Logging_0834/tillsyn/A 33483-2025 tillsynsbegäran.docx", "A 33483-2025")</f>
        <v/>
      </c>
      <c r="Y281">
        <f>HYPERLINK("https://klasma.github.io/Logging_0834/tillsynsmail/A 33483-2025 tillsynsbegäran mail.docx", "A 33483-2025")</f>
        <v/>
      </c>
      <c r="Z281">
        <f>HYPERLINK("https://klasma.github.io/Logging_0834/fåglar/A 33483-2025 prioriterade fågelarter.docx", "A 33483-2025")</f>
        <v/>
      </c>
    </row>
    <row r="282" ht="15" customHeight="1">
      <c r="A282" t="inlineStr">
        <is>
          <t>A 8635-2025</t>
        </is>
      </c>
      <c r="B282" s="1" t="n">
        <v>45711</v>
      </c>
      <c r="C282" s="1" t="n">
        <v>45884</v>
      </c>
      <c r="D282" t="inlineStr">
        <is>
          <t>KALMAR LÄN</t>
        </is>
      </c>
      <c r="E282" t="inlineStr">
        <is>
          <t>HÖGSBY</t>
        </is>
      </c>
      <c r="G282" t="n">
        <v>4.4</v>
      </c>
      <c r="H282" t="n">
        <v>2</v>
      </c>
      <c r="I282" t="n">
        <v>1</v>
      </c>
      <c r="J282" t="n">
        <v>1</v>
      </c>
      <c r="K282" t="n">
        <v>0</v>
      </c>
      <c r="L282" t="n">
        <v>0</v>
      </c>
      <c r="M282" t="n">
        <v>0</v>
      </c>
      <c r="N282" t="n">
        <v>0</v>
      </c>
      <c r="O282" t="n">
        <v>1</v>
      </c>
      <c r="P282" t="n">
        <v>0</v>
      </c>
      <c r="Q282" t="n">
        <v>3</v>
      </c>
      <c r="R282" s="2" t="inlineStr">
        <is>
          <t>Spillkråka
Vårärt
Blåsippa</t>
        </is>
      </c>
      <c r="S282">
        <f>HYPERLINK("https://klasma.github.io/Logging_0821/artfynd/A 8635-2025 artfynd.xlsx", "A 8635-2025")</f>
        <v/>
      </c>
      <c r="T282">
        <f>HYPERLINK("https://klasma.github.io/Logging_0821/kartor/A 8635-2025 karta.png", "A 8635-2025")</f>
        <v/>
      </c>
      <c r="V282">
        <f>HYPERLINK("https://klasma.github.io/Logging_0821/klagomål/A 8635-2025 FSC-klagomål.docx", "A 8635-2025")</f>
        <v/>
      </c>
      <c r="W282">
        <f>HYPERLINK("https://klasma.github.io/Logging_0821/klagomålsmail/A 8635-2025 FSC-klagomål mail.docx", "A 8635-2025")</f>
        <v/>
      </c>
      <c r="X282">
        <f>HYPERLINK("https://klasma.github.io/Logging_0821/tillsyn/A 8635-2025 tillsynsbegäran.docx", "A 8635-2025")</f>
        <v/>
      </c>
      <c r="Y282">
        <f>HYPERLINK("https://klasma.github.io/Logging_0821/tillsynsmail/A 8635-2025 tillsynsbegäran mail.docx", "A 8635-2025")</f>
        <v/>
      </c>
      <c r="Z282">
        <f>HYPERLINK("https://klasma.github.io/Logging_0821/fåglar/A 8635-2025 prioriterade fågelarter.docx", "A 8635-2025")</f>
        <v/>
      </c>
    </row>
    <row r="283" ht="15" customHeight="1">
      <c r="A283" t="inlineStr">
        <is>
          <t>A 21658-2025</t>
        </is>
      </c>
      <c r="B283" s="1" t="n">
        <v>45783.45474537037</v>
      </c>
      <c r="C283" s="1" t="n">
        <v>45884</v>
      </c>
      <c r="D283" t="inlineStr">
        <is>
          <t>KALMAR LÄN</t>
        </is>
      </c>
      <c r="E283" t="inlineStr">
        <is>
          <t>VÄSTERVIK</t>
        </is>
      </c>
      <c r="F283" t="inlineStr">
        <is>
          <t>Sveaskog</t>
        </is>
      </c>
      <c r="G283" t="n">
        <v>4</v>
      </c>
      <c r="H283" t="n">
        <v>3</v>
      </c>
      <c r="I283" t="n">
        <v>0</v>
      </c>
      <c r="J283" t="n">
        <v>2</v>
      </c>
      <c r="K283" t="n">
        <v>0</v>
      </c>
      <c r="L283" t="n">
        <v>0</v>
      </c>
      <c r="M283" t="n">
        <v>0</v>
      </c>
      <c r="N283" t="n">
        <v>0</v>
      </c>
      <c r="O283" t="n">
        <v>2</v>
      </c>
      <c r="P283" t="n">
        <v>0</v>
      </c>
      <c r="Q283" t="n">
        <v>3</v>
      </c>
      <c r="R283" s="2" t="inlineStr">
        <is>
          <t>Mindre hackspett
Talltita
Kungsfågel</t>
        </is>
      </c>
      <c r="S283">
        <f>HYPERLINK("https://klasma.github.io/Logging_0883/artfynd/A 21658-2025 artfynd.xlsx", "A 21658-2025")</f>
        <v/>
      </c>
      <c r="T283">
        <f>HYPERLINK("https://klasma.github.io/Logging_0883/kartor/A 21658-2025 karta.png", "A 21658-2025")</f>
        <v/>
      </c>
      <c r="V283">
        <f>HYPERLINK("https://klasma.github.io/Logging_0883/klagomål/A 21658-2025 FSC-klagomål.docx", "A 21658-2025")</f>
        <v/>
      </c>
      <c r="W283">
        <f>HYPERLINK("https://klasma.github.io/Logging_0883/klagomålsmail/A 21658-2025 FSC-klagomål mail.docx", "A 21658-2025")</f>
        <v/>
      </c>
      <c r="X283">
        <f>HYPERLINK("https://klasma.github.io/Logging_0883/tillsyn/A 21658-2025 tillsynsbegäran.docx", "A 21658-2025")</f>
        <v/>
      </c>
      <c r="Y283">
        <f>HYPERLINK("https://klasma.github.io/Logging_0883/tillsynsmail/A 21658-2025 tillsynsbegäran mail.docx", "A 21658-2025")</f>
        <v/>
      </c>
      <c r="Z283">
        <f>HYPERLINK("https://klasma.github.io/Logging_0883/fåglar/A 21658-2025 prioriterade fågelarter.docx", "A 21658-2025")</f>
        <v/>
      </c>
    </row>
    <row r="284" ht="15" customHeight="1">
      <c r="A284" t="inlineStr">
        <is>
          <t>A 31854-2025</t>
        </is>
      </c>
      <c r="B284" s="1" t="n">
        <v>45834</v>
      </c>
      <c r="C284" s="1" t="n">
        <v>45884</v>
      </c>
      <c r="D284" t="inlineStr">
        <is>
          <t>KALMAR LÄN</t>
        </is>
      </c>
      <c r="E284" t="inlineStr">
        <is>
          <t>VÄSTERVIK</t>
        </is>
      </c>
      <c r="F284" t="inlineStr">
        <is>
          <t>Holmen skog AB</t>
        </is>
      </c>
      <c r="G284" t="n">
        <v>4.3</v>
      </c>
      <c r="H284" t="n">
        <v>2</v>
      </c>
      <c r="I284" t="n">
        <v>1</v>
      </c>
      <c r="J284" t="n">
        <v>1</v>
      </c>
      <c r="K284" t="n">
        <v>1</v>
      </c>
      <c r="L284" t="n">
        <v>0</v>
      </c>
      <c r="M284" t="n">
        <v>0</v>
      </c>
      <c r="N284" t="n">
        <v>0</v>
      </c>
      <c r="O284" t="n">
        <v>2</v>
      </c>
      <c r="P284" t="n">
        <v>1</v>
      </c>
      <c r="Q284" t="n">
        <v>3</v>
      </c>
      <c r="R284" s="2" t="inlineStr">
        <is>
          <t>Knärot
Talltita
Grönpyrola</t>
        </is>
      </c>
      <c r="S284">
        <f>HYPERLINK("https://klasma.github.io/Logging_0883/artfynd/A 31854-2025 artfynd.xlsx", "A 31854-2025")</f>
        <v/>
      </c>
      <c r="T284">
        <f>HYPERLINK("https://klasma.github.io/Logging_0883/kartor/A 31854-2025 karta.png", "A 31854-2025")</f>
        <v/>
      </c>
      <c r="U284">
        <f>HYPERLINK("https://klasma.github.io/Logging_0883/knärot/A 31854-2025 karta knärot.png", "A 31854-2025")</f>
        <v/>
      </c>
      <c r="V284">
        <f>HYPERLINK("https://klasma.github.io/Logging_0883/klagomål/A 31854-2025 FSC-klagomål.docx", "A 31854-2025")</f>
        <v/>
      </c>
      <c r="W284">
        <f>HYPERLINK("https://klasma.github.io/Logging_0883/klagomålsmail/A 31854-2025 FSC-klagomål mail.docx", "A 31854-2025")</f>
        <v/>
      </c>
      <c r="X284">
        <f>HYPERLINK("https://klasma.github.io/Logging_0883/tillsyn/A 31854-2025 tillsynsbegäran.docx", "A 31854-2025")</f>
        <v/>
      </c>
      <c r="Y284">
        <f>HYPERLINK("https://klasma.github.io/Logging_0883/tillsynsmail/A 31854-2025 tillsynsbegäran mail.docx", "A 31854-2025")</f>
        <v/>
      </c>
      <c r="Z284">
        <f>HYPERLINK("https://klasma.github.io/Logging_0883/fåglar/A 31854-2025 prioriterade fågelarter.docx", "A 31854-2025")</f>
        <v/>
      </c>
    </row>
    <row r="285" ht="15" customHeight="1">
      <c r="A285" t="inlineStr">
        <is>
          <t>A 50746-2022</t>
        </is>
      </c>
      <c r="B285" s="1" t="n">
        <v>44867</v>
      </c>
      <c r="C285" s="1" t="n">
        <v>45884</v>
      </c>
      <c r="D285" t="inlineStr">
        <is>
          <t>KALMAR LÄN</t>
        </is>
      </c>
      <c r="E285" t="inlineStr">
        <is>
          <t>HÖGSBY</t>
        </is>
      </c>
      <c r="F285" t="inlineStr">
        <is>
          <t>Sveaskog</t>
        </is>
      </c>
      <c r="G285" t="n">
        <v>5.4</v>
      </c>
      <c r="H285" t="n">
        <v>2</v>
      </c>
      <c r="I285" t="n">
        <v>0</v>
      </c>
      <c r="J285" t="n">
        <v>1</v>
      </c>
      <c r="K285" t="n">
        <v>0</v>
      </c>
      <c r="L285" t="n">
        <v>0</v>
      </c>
      <c r="M285" t="n">
        <v>0</v>
      </c>
      <c r="N285" t="n">
        <v>0</v>
      </c>
      <c r="O285" t="n">
        <v>1</v>
      </c>
      <c r="P285" t="n">
        <v>0</v>
      </c>
      <c r="Q285" t="n">
        <v>2</v>
      </c>
      <c r="R285" s="2" t="inlineStr">
        <is>
          <t>Talltita
Blåsippa</t>
        </is>
      </c>
      <c r="S285">
        <f>HYPERLINK("https://klasma.github.io/Logging_0821/artfynd/A 50746-2022 artfynd.xlsx", "A 50746-2022")</f>
        <v/>
      </c>
      <c r="T285">
        <f>HYPERLINK("https://klasma.github.io/Logging_0821/kartor/A 50746-2022 karta.png", "A 50746-2022")</f>
        <v/>
      </c>
      <c r="V285">
        <f>HYPERLINK("https://klasma.github.io/Logging_0821/klagomål/A 50746-2022 FSC-klagomål.docx", "A 50746-2022")</f>
        <v/>
      </c>
      <c r="W285">
        <f>HYPERLINK("https://klasma.github.io/Logging_0821/klagomålsmail/A 50746-2022 FSC-klagomål mail.docx", "A 50746-2022")</f>
        <v/>
      </c>
      <c r="X285">
        <f>HYPERLINK("https://klasma.github.io/Logging_0821/tillsyn/A 50746-2022 tillsynsbegäran.docx", "A 50746-2022")</f>
        <v/>
      </c>
      <c r="Y285">
        <f>HYPERLINK("https://klasma.github.io/Logging_0821/tillsynsmail/A 50746-2022 tillsynsbegäran mail.docx", "A 50746-2022")</f>
        <v/>
      </c>
      <c r="Z285">
        <f>HYPERLINK("https://klasma.github.io/Logging_0821/fåglar/A 50746-2022 prioriterade fågelarter.docx", "A 50746-2022")</f>
        <v/>
      </c>
    </row>
    <row r="286" ht="15" customHeight="1">
      <c r="A286" t="inlineStr">
        <is>
          <t>A 1068-2021</t>
        </is>
      </c>
      <c r="B286" s="1" t="n">
        <v>44207.5202662037</v>
      </c>
      <c r="C286" s="1" t="n">
        <v>45884</v>
      </c>
      <c r="D286" t="inlineStr">
        <is>
          <t>KALMAR LÄN</t>
        </is>
      </c>
      <c r="E286" t="inlineStr">
        <is>
          <t>TORSÅS</t>
        </is>
      </c>
      <c r="G286" t="n">
        <v>5</v>
      </c>
      <c r="H286" t="n">
        <v>1</v>
      </c>
      <c r="I286" t="n">
        <v>1</v>
      </c>
      <c r="J286" t="n">
        <v>0</v>
      </c>
      <c r="K286" t="n">
        <v>0</v>
      </c>
      <c r="L286" t="n">
        <v>0</v>
      </c>
      <c r="M286" t="n">
        <v>0</v>
      </c>
      <c r="N286" t="n">
        <v>0</v>
      </c>
      <c r="O286" t="n">
        <v>0</v>
      </c>
      <c r="P286" t="n">
        <v>0</v>
      </c>
      <c r="Q286" t="n">
        <v>2</v>
      </c>
      <c r="R286" s="2" t="inlineStr">
        <is>
          <t>Grönpyrola
Mattlummer</t>
        </is>
      </c>
      <c r="S286">
        <f>HYPERLINK("https://klasma.github.io/Logging_0834/artfynd/A 1068-2021 artfynd.xlsx", "A 1068-2021")</f>
        <v/>
      </c>
      <c r="T286">
        <f>HYPERLINK("https://klasma.github.io/Logging_0834/kartor/A 1068-2021 karta.png", "A 1068-2021")</f>
        <v/>
      </c>
      <c r="V286">
        <f>HYPERLINK("https://klasma.github.io/Logging_0834/klagomål/A 1068-2021 FSC-klagomål.docx", "A 1068-2021")</f>
        <v/>
      </c>
      <c r="W286">
        <f>HYPERLINK("https://klasma.github.io/Logging_0834/klagomålsmail/A 1068-2021 FSC-klagomål mail.docx", "A 1068-2021")</f>
        <v/>
      </c>
      <c r="X286">
        <f>HYPERLINK("https://klasma.github.io/Logging_0834/tillsyn/A 1068-2021 tillsynsbegäran.docx", "A 1068-2021")</f>
        <v/>
      </c>
      <c r="Y286">
        <f>HYPERLINK("https://klasma.github.io/Logging_0834/tillsynsmail/A 1068-2021 tillsynsbegäran mail.docx", "A 1068-2021")</f>
        <v/>
      </c>
    </row>
    <row r="287" ht="15" customHeight="1">
      <c r="A287" t="inlineStr">
        <is>
          <t>A 41398-2021</t>
        </is>
      </c>
      <c r="B287" s="1" t="n">
        <v>44424</v>
      </c>
      <c r="C287" s="1" t="n">
        <v>45884</v>
      </c>
      <c r="D287" t="inlineStr">
        <is>
          <t>KALMAR LÄN</t>
        </is>
      </c>
      <c r="E287" t="inlineStr">
        <is>
          <t>VIMMERBY</t>
        </is>
      </c>
      <c r="G287" t="n">
        <v>14.1</v>
      </c>
      <c r="H287" t="n">
        <v>0</v>
      </c>
      <c r="I287" t="n">
        <v>0</v>
      </c>
      <c r="J287" t="n">
        <v>2</v>
      </c>
      <c r="K287" t="n">
        <v>0</v>
      </c>
      <c r="L287" t="n">
        <v>0</v>
      </c>
      <c r="M287" t="n">
        <v>0</v>
      </c>
      <c r="N287" t="n">
        <v>0</v>
      </c>
      <c r="O287" t="n">
        <v>2</v>
      </c>
      <c r="P287" t="n">
        <v>0</v>
      </c>
      <c r="Q287" t="n">
        <v>2</v>
      </c>
      <c r="R287" s="2" t="inlineStr">
        <is>
          <t>Klasefibbla
Sommarfibbla</t>
        </is>
      </c>
      <c r="S287">
        <f>HYPERLINK("https://klasma.github.io/Logging_0884/artfynd/A 41398-2021 artfynd.xlsx", "A 41398-2021")</f>
        <v/>
      </c>
      <c r="T287">
        <f>HYPERLINK("https://klasma.github.io/Logging_0884/kartor/A 41398-2021 karta.png", "A 41398-2021")</f>
        <v/>
      </c>
      <c r="V287">
        <f>HYPERLINK("https://klasma.github.io/Logging_0884/klagomål/A 41398-2021 FSC-klagomål.docx", "A 41398-2021")</f>
        <v/>
      </c>
      <c r="W287">
        <f>HYPERLINK("https://klasma.github.io/Logging_0884/klagomålsmail/A 41398-2021 FSC-klagomål mail.docx", "A 41398-2021")</f>
        <v/>
      </c>
      <c r="X287">
        <f>HYPERLINK("https://klasma.github.io/Logging_0884/tillsyn/A 41398-2021 tillsynsbegäran.docx", "A 41398-2021")</f>
        <v/>
      </c>
      <c r="Y287">
        <f>HYPERLINK("https://klasma.github.io/Logging_0884/tillsynsmail/A 41398-2021 tillsynsbegäran mail.docx", "A 41398-2021")</f>
        <v/>
      </c>
    </row>
    <row r="288" ht="15" customHeight="1">
      <c r="A288" t="inlineStr">
        <is>
          <t>A 42141-2021</t>
        </is>
      </c>
      <c r="B288" s="1" t="n">
        <v>44426.64793981481</v>
      </c>
      <c r="C288" s="1" t="n">
        <v>45884</v>
      </c>
      <c r="D288" t="inlineStr">
        <is>
          <t>KALMAR LÄN</t>
        </is>
      </c>
      <c r="E288" t="inlineStr">
        <is>
          <t>VIMMERBY</t>
        </is>
      </c>
      <c r="G288" t="n">
        <v>6.8</v>
      </c>
      <c r="H288" t="n">
        <v>2</v>
      </c>
      <c r="I288" t="n">
        <v>0</v>
      </c>
      <c r="J288" t="n">
        <v>0</v>
      </c>
      <c r="K288" t="n">
        <v>0</v>
      </c>
      <c r="L288" t="n">
        <v>0</v>
      </c>
      <c r="M288" t="n">
        <v>0</v>
      </c>
      <c r="N288" t="n">
        <v>0</v>
      </c>
      <c r="O288" t="n">
        <v>0</v>
      </c>
      <c r="P288" t="n">
        <v>0</v>
      </c>
      <c r="Q288" t="n">
        <v>2</v>
      </c>
      <c r="R288" s="2" t="inlineStr">
        <is>
          <t>Grönvit nattviol
Nattviol</t>
        </is>
      </c>
      <c r="S288">
        <f>HYPERLINK("https://klasma.github.io/Logging_0884/artfynd/A 42141-2021 artfynd.xlsx", "A 42141-2021")</f>
        <v/>
      </c>
      <c r="T288">
        <f>HYPERLINK("https://klasma.github.io/Logging_0884/kartor/A 42141-2021 karta.png", "A 42141-2021")</f>
        <v/>
      </c>
      <c r="V288">
        <f>HYPERLINK("https://klasma.github.io/Logging_0884/klagomål/A 42141-2021 FSC-klagomål.docx", "A 42141-2021")</f>
        <v/>
      </c>
      <c r="W288">
        <f>HYPERLINK("https://klasma.github.io/Logging_0884/klagomålsmail/A 42141-2021 FSC-klagomål mail.docx", "A 42141-2021")</f>
        <v/>
      </c>
      <c r="X288">
        <f>HYPERLINK("https://klasma.github.io/Logging_0884/tillsyn/A 42141-2021 tillsynsbegäran.docx", "A 42141-2021")</f>
        <v/>
      </c>
      <c r="Y288">
        <f>HYPERLINK("https://klasma.github.io/Logging_0884/tillsynsmail/A 42141-2021 tillsynsbegäran mail.docx", "A 42141-2021")</f>
        <v/>
      </c>
    </row>
    <row r="289" ht="15" customHeight="1">
      <c r="A289" t="inlineStr">
        <is>
          <t>A 38695-2021</t>
        </is>
      </c>
      <c r="B289" s="1" t="n">
        <v>44410</v>
      </c>
      <c r="C289" s="1" t="n">
        <v>45884</v>
      </c>
      <c r="D289" t="inlineStr">
        <is>
          <t>KALMAR LÄN</t>
        </is>
      </c>
      <c r="E289" t="inlineStr">
        <is>
          <t>TORSÅS</t>
        </is>
      </c>
      <c r="G289" t="n">
        <v>17.2</v>
      </c>
      <c r="H289" t="n">
        <v>1</v>
      </c>
      <c r="I289" t="n">
        <v>1</v>
      </c>
      <c r="J289" t="n">
        <v>0</v>
      </c>
      <c r="K289" t="n">
        <v>0</v>
      </c>
      <c r="L289" t="n">
        <v>0</v>
      </c>
      <c r="M289" t="n">
        <v>0</v>
      </c>
      <c r="N289" t="n">
        <v>0</v>
      </c>
      <c r="O289" t="n">
        <v>0</v>
      </c>
      <c r="P289" t="n">
        <v>0</v>
      </c>
      <c r="Q289" t="n">
        <v>2</v>
      </c>
      <c r="R289" s="2" t="inlineStr">
        <is>
          <t>Murgröna
Blåsippa</t>
        </is>
      </c>
      <c r="S289">
        <f>HYPERLINK("https://klasma.github.io/Logging_0834/artfynd/A 38695-2021 artfynd.xlsx", "A 38695-2021")</f>
        <v/>
      </c>
      <c r="T289">
        <f>HYPERLINK("https://klasma.github.io/Logging_0834/kartor/A 38695-2021 karta.png", "A 38695-2021")</f>
        <v/>
      </c>
      <c r="V289">
        <f>HYPERLINK("https://klasma.github.io/Logging_0834/klagomål/A 38695-2021 FSC-klagomål.docx", "A 38695-2021")</f>
        <v/>
      </c>
      <c r="W289">
        <f>HYPERLINK("https://klasma.github.io/Logging_0834/klagomålsmail/A 38695-2021 FSC-klagomål mail.docx", "A 38695-2021")</f>
        <v/>
      </c>
      <c r="X289">
        <f>HYPERLINK("https://klasma.github.io/Logging_0834/tillsyn/A 38695-2021 tillsynsbegäran.docx", "A 38695-2021")</f>
        <v/>
      </c>
      <c r="Y289">
        <f>HYPERLINK("https://klasma.github.io/Logging_0834/tillsynsmail/A 38695-2021 tillsynsbegäran mail.docx", "A 38695-2021")</f>
        <v/>
      </c>
    </row>
    <row r="290" ht="15" customHeight="1">
      <c r="A290" t="inlineStr">
        <is>
          <t>A 35871-2022</t>
        </is>
      </c>
      <c r="B290" s="1" t="n">
        <v>44802</v>
      </c>
      <c r="C290" s="1" t="n">
        <v>45884</v>
      </c>
      <c r="D290" t="inlineStr">
        <is>
          <t>KALMAR LÄN</t>
        </is>
      </c>
      <c r="E290" t="inlineStr">
        <is>
          <t>KALMAR</t>
        </is>
      </c>
      <c r="G290" t="n">
        <v>1</v>
      </c>
      <c r="H290" t="n">
        <v>2</v>
      </c>
      <c r="I290" t="n">
        <v>0</v>
      </c>
      <c r="J290" t="n">
        <v>1</v>
      </c>
      <c r="K290" t="n">
        <v>0</v>
      </c>
      <c r="L290" t="n">
        <v>0</v>
      </c>
      <c r="M290" t="n">
        <v>0</v>
      </c>
      <c r="N290" t="n">
        <v>0</v>
      </c>
      <c r="O290" t="n">
        <v>1</v>
      </c>
      <c r="P290" t="n">
        <v>0</v>
      </c>
      <c r="Q290" t="n">
        <v>2</v>
      </c>
      <c r="R290" s="2" t="inlineStr">
        <is>
          <t>Nordfladdermus
Större brunfladdermus</t>
        </is>
      </c>
      <c r="S290">
        <f>HYPERLINK("https://klasma.github.io/Logging_0880/artfynd/A 35871-2022 artfynd.xlsx", "A 35871-2022")</f>
        <v/>
      </c>
      <c r="T290">
        <f>HYPERLINK("https://klasma.github.io/Logging_0880/kartor/A 35871-2022 karta.png", "A 35871-2022")</f>
        <v/>
      </c>
      <c r="V290">
        <f>HYPERLINK("https://klasma.github.io/Logging_0880/klagomål/A 35871-2022 FSC-klagomål.docx", "A 35871-2022")</f>
        <v/>
      </c>
      <c r="W290">
        <f>HYPERLINK("https://klasma.github.io/Logging_0880/klagomålsmail/A 35871-2022 FSC-klagomål mail.docx", "A 35871-2022")</f>
        <v/>
      </c>
      <c r="X290">
        <f>HYPERLINK("https://klasma.github.io/Logging_0880/tillsyn/A 35871-2022 tillsynsbegäran.docx", "A 35871-2022")</f>
        <v/>
      </c>
      <c r="Y290">
        <f>HYPERLINK("https://klasma.github.io/Logging_0880/tillsynsmail/A 35871-2022 tillsynsbegäran mail.docx", "A 35871-2022")</f>
        <v/>
      </c>
    </row>
    <row r="291" ht="15" customHeight="1">
      <c r="A291" t="inlineStr">
        <is>
          <t>A 26367-2021</t>
        </is>
      </c>
      <c r="B291" s="1" t="n">
        <v>44347</v>
      </c>
      <c r="C291" s="1" t="n">
        <v>45884</v>
      </c>
      <c r="D291" t="inlineStr">
        <is>
          <t>KALMAR LÄN</t>
        </is>
      </c>
      <c r="E291" t="inlineStr">
        <is>
          <t>NYBRO</t>
        </is>
      </c>
      <c r="G291" t="n">
        <v>23.7</v>
      </c>
      <c r="H291" t="n">
        <v>0</v>
      </c>
      <c r="I291" t="n">
        <v>1</v>
      </c>
      <c r="J291" t="n">
        <v>1</v>
      </c>
      <c r="K291" t="n">
        <v>0</v>
      </c>
      <c r="L291" t="n">
        <v>0</v>
      </c>
      <c r="M291" t="n">
        <v>0</v>
      </c>
      <c r="N291" t="n">
        <v>0</v>
      </c>
      <c r="O291" t="n">
        <v>1</v>
      </c>
      <c r="P291" t="n">
        <v>0</v>
      </c>
      <c r="Q291" t="n">
        <v>2</v>
      </c>
      <c r="R291" s="2" t="inlineStr">
        <is>
          <t>Ullticka
Grovticka</t>
        </is>
      </c>
      <c r="S291">
        <f>HYPERLINK("https://klasma.github.io/Logging_0881/artfynd/A 26367-2021 artfynd.xlsx", "A 26367-2021")</f>
        <v/>
      </c>
      <c r="T291">
        <f>HYPERLINK("https://klasma.github.io/Logging_0881/kartor/A 26367-2021 karta.png", "A 26367-2021")</f>
        <v/>
      </c>
      <c r="V291">
        <f>HYPERLINK("https://klasma.github.io/Logging_0881/klagomål/A 26367-2021 FSC-klagomål.docx", "A 26367-2021")</f>
        <v/>
      </c>
      <c r="W291">
        <f>HYPERLINK("https://klasma.github.io/Logging_0881/klagomålsmail/A 26367-2021 FSC-klagomål mail.docx", "A 26367-2021")</f>
        <v/>
      </c>
      <c r="X291">
        <f>HYPERLINK("https://klasma.github.io/Logging_0881/tillsyn/A 26367-2021 tillsynsbegäran.docx", "A 26367-2021")</f>
        <v/>
      </c>
      <c r="Y291">
        <f>HYPERLINK("https://klasma.github.io/Logging_0881/tillsynsmail/A 26367-2021 tillsynsbegäran mail.docx", "A 26367-2021")</f>
        <v/>
      </c>
    </row>
    <row r="292" ht="15" customHeight="1">
      <c r="A292" t="inlineStr">
        <is>
          <t>A 15595-2021</t>
        </is>
      </c>
      <c r="B292" s="1" t="n">
        <v>44285.66680555556</v>
      </c>
      <c r="C292" s="1" t="n">
        <v>45884</v>
      </c>
      <c r="D292" t="inlineStr">
        <is>
          <t>KALMAR LÄN</t>
        </is>
      </c>
      <c r="E292" t="inlineStr">
        <is>
          <t>VÄSTERVIK</t>
        </is>
      </c>
      <c r="G292" t="n">
        <v>0.6</v>
      </c>
      <c r="H292" t="n">
        <v>1</v>
      </c>
      <c r="I292" t="n">
        <v>0</v>
      </c>
      <c r="J292" t="n">
        <v>2</v>
      </c>
      <c r="K292" t="n">
        <v>0</v>
      </c>
      <c r="L292" t="n">
        <v>0</v>
      </c>
      <c r="M292" t="n">
        <v>0</v>
      </c>
      <c r="N292" t="n">
        <v>0</v>
      </c>
      <c r="O292" t="n">
        <v>2</v>
      </c>
      <c r="P292" t="n">
        <v>0</v>
      </c>
      <c r="Q292" t="n">
        <v>2</v>
      </c>
      <c r="R292" s="2" t="inlineStr">
        <is>
          <t>Spillkråka
Spindelört</t>
        </is>
      </c>
      <c r="S292">
        <f>HYPERLINK("https://klasma.github.io/Logging_0883/artfynd/A 15595-2021 artfynd.xlsx", "A 15595-2021")</f>
        <v/>
      </c>
      <c r="T292">
        <f>HYPERLINK("https://klasma.github.io/Logging_0883/kartor/A 15595-2021 karta.png", "A 15595-2021")</f>
        <v/>
      </c>
      <c r="V292">
        <f>HYPERLINK("https://klasma.github.io/Logging_0883/klagomål/A 15595-2021 FSC-klagomål.docx", "A 15595-2021")</f>
        <v/>
      </c>
      <c r="W292">
        <f>HYPERLINK("https://klasma.github.io/Logging_0883/klagomålsmail/A 15595-2021 FSC-klagomål mail.docx", "A 15595-2021")</f>
        <v/>
      </c>
      <c r="X292">
        <f>HYPERLINK("https://klasma.github.io/Logging_0883/tillsyn/A 15595-2021 tillsynsbegäran.docx", "A 15595-2021")</f>
        <v/>
      </c>
      <c r="Y292">
        <f>HYPERLINK("https://klasma.github.io/Logging_0883/tillsynsmail/A 15595-2021 tillsynsbegäran mail.docx", "A 15595-2021")</f>
        <v/>
      </c>
      <c r="Z292">
        <f>HYPERLINK("https://klasma.github.io/Logging_0883/fåglar/A 15595-2021 prioriterade fågelarter.docx", "A 15595-2021")</f>
        <v/>
      </c>
    </row>
    <row r="293" ht="15" customHeight="1">
      <c r="A293" t="inlineStr">
        <is>
          <t>A 48263-2022</t>
        </is>
      </c>
      <c r="B293" s="1" t="n">
        <v>44853</v>
      </c>
      <c r="C293" s="1" t="n">
        <v>45884</v>
      </c>
      <c r="D293" t="inlineStr">
        <is>
          <t>KALMAR LÄN</t>
        </is>
      </c>
      <c r="E293" t="inlineStr">
        <is>
          <t>HÖGSBY</t>
        </is>
      </c>
      <c r="G293" t="n">
        <v>8.199999999999999</v>
      </c>
      <c r="H293" t="n">
        <v>2</v>
      </c>
      <c r="I293" t="n">
        <v>0</v>
      </c>
      <c r="J293" t="n">
        <v>2</v>
      </c>
      <c r="K293" t="n">
        <v>0</v>
      </c>
      <c r="L293" t="n">
        <v>0</v>
      </c>
      <c r="M293" t="n">
        <v>0</v>
      </c>
      <c r="N293" t="n">
        <v>0</v>
      </c>
      <c r="O293" t="n">
        <v>2</v>
      </c>
      <c r="P293" t="n">
        <v>0</v>
      </c>
      <c r="Q293" t="n">
        <v>2</v>
      </c>
      <c r="R293" s="2" t="inlineStr">
        <is>
          <t>Spillkråka
Talltita</t>
        </is>
      </c>
      <c r="S293">
        <f>HYPERLINK("https://klasma.github.io/Logging_0821/artfynd/A 48263-2022 artfynd.xlsx", "A 48263-2022")</f>
        <v/>
      </c>
      <c r="T293">
        <f>HYPERLINK("https://klasma.github.io/Logging_0821/kartor/A 48263-2022 karta.png", "A 48263-2022")</f>
        <v/>
      </c>
      <c r="V293">
        <f>HYPERLINK("https://klasma.github.io/Logging_0821/klagomål/A 48263-2022 FSC-klagomål.docx", "A 48263-2022")</f>
        <v/>
      </c>
      <c r="W293">
        <f>HYPERLINK("https://klasma.github.io/Logging_0821/klagomålsmail/A 48263-2022 FSC-klagomål mail.docx", "A 48263-2022")</f>
        <v/>
      </c>
      <c r="X293">
        <f>HYPERLINK("https://klasma.github.io/Logging_0821/tillsyn/A 48263-2022 tillsynsbegäran.docx", "A 48263-2022")</f>
        <v/>
      </c>
      <c r="Y293">
        <f>HYPERLINK("https://klasma.github.io/Logging_0821/tillsynsmail/A 48263-2022 tillsynsbegäran mail.docx", "A 48263-2022")</f>
        <v/>
      </c>
      <c r="Z293">
        <f>HYPERLINK("https://klasma.github.io/Logging_0821/fåglar/A 48263-2022 prioriterade fågelarter.docx", "A 48263-2022")</f>
        <v/>
      </c>
    </row>
    <row r="294" ht="15" customHeight="1">
      <c r="A294" t="inlineStr">
        <is>
          <t>A 36077-2021</t>
        </is>
      </c>
      <c r="B294" s="1" t="n">
        <v>44386</v>
      </c>
      <c r="C294" s="1" t="n">
        <v>45884</v>
      </c>
      <c r="D294" t="inlineStr">
        <is>
          <t>KALMAR LÄN</t>
        </is>
      </c>
      <c r="E294" t="inlineStr">
        <is>
          <t>VIMMERBY</t>
        </is>
      </c>
      <c r="G294" t="n">
        <v>2</v>
      </c>
      <c r="H294" t="n">
        <v>1</v>
      </c>
      <c r="I294" t="n">
        <v>1</v>
      </c>
      <c r="J294" t="n">
        <v>0</v>
      </c>
      <c r="K294" t="n">
        <v>1</v>
      </c>
      <c r="L294" t="n">
        <v>0</v>
      </c>
      <c r="M294" t="n">
        <v>0</v>
      </c>
      <c r="N294" t="n">
        <v>0</v>
      </c>
      <c r="O294" t="n">
        <v>1</v>
      </c>
      <c r="P294" t="n">
        <v>1</v>
      </c>
      <c r="Q294" t="n">
        <v>2</v>
      </c>
      <c r="R294" s="2" t="inlineStr">
        <is>
          <t>Knärot
Kattfotslav</t>
        </is>
      </c>
      <c r="S294">
        <f>HYPERLINK("https://klasma.github.io/Logging_0884/artfynd/A 36077-2021 artfynd.xlsx", "A 36077-2021")</f>
        <v/>
      </c>
      <c r="T294">
        <f>HYPERLINK("https://klasma.github.io/Logging_0884/kartor/A 36077-2021 karta.png", "A 36077-2021")</f>
        <v/>
      </c>
      <c r="U294">
        <f>HYPERLINK("https://klasma.github.io/Logging_0884/knärot/A 36077-2021 karta knärot.png", "A 36077-2021")</f>
        <v/>
      </c>
      <c r="V294">
        <f>HYPERLINK("https://klasma.github.io/Logging_0884/klagomål/A 36077-2021 FSC-klagomål.docx", "A 36077-2021")</f>
        <v/>
      </c>
      <c r="W294">
        <f>HYPERLINK("https://klasma.github.io/Logging_0884/klagomålsmail/A 36077-2021 FSC-klagomål mail.docx", "A 36077-2021")</f>
        <v/>
      </c>
      <c r="X294">
        <f>HYPERLINK("https://klasma.github.io/Logging_0884/tillsyn/A 36077-2021 tillsynsbegäran.docx", "A 36077-2021")</f>
        <v/>
      </c>
      <c r="Y294">
        <f>HYPERLINK("https://klasma.github.io/Logging_0884/tillsynsmail/A 36077-2021 tillsynsbegäran mail.docx", "A 36077-2021")</f>
        <v/>
      </c>
    </row>
    <row r="295" ht="15" customHeight="1">
      <c r="A295" t="inlineStr">
        <is>
          <t>A 5086-2022</t>
        </is>
      </c>
      <c r="B295" s="1" t="n">
        <v>44593</v>
      </c>
      <c r="C295" s="1" t="n">
        <v>45884</v>
      </c>
      <c r="D295" t="inlineStr">
        <is>
          <t>KALMAR LÄN</t>
        </is>
      </c>
      <c r="E295" t="inlineStr">
        <is>
          <t>OSKARSHAMN</t>
        </is>
      </c>
      <c r="F295" t="inlineStr">
        <is>
          <t>Sveaskog</t>
        </is>
      </c>
      <c r="G295" t="n">
        <v>1.6</v>
      </c>
      <c r="H295" t="n">
        <v>2</v>
      </c>
      <c r="I295" t="n">
        <v>0</v>
      </c>
      <c r="J295" t="n">
        <v>0</v>
      </c>
      <c r="K295" t="n">
        <v>0</v>
      </c>
      <c r="L295" t="n">
        <v>0</v>
      </c>
      <c r="M295" t="n">
        <v>0</v>
      </c>
      <c r="N295" t="n">
        <v>0</v>
      </c>
      <c r="O295" t="n">
        <v>0</v>
      </c>
      <c r="P295" t="n">
        <v>0</v>
      </c>
      <c r="Q295" t="n">
        <v>2</v>
      </c>
      <c r="R295" s="2" t="inlineStr">
        <is>
          <t>Järnsparv
Kungsfågel</t>
        </is>
      </c>
      <c r="S295">
        <f>HYPERLINK("https://klasma.github.io/Logging_0882/artfynd/A 5086-2022 artfynd.xlsx", "A 5086-2022")</f>
        <v/>
      </c>
      <c r="T295">
        <f>HYPERLINK("https://klasma.github.io/Logging_0882/kartor/A 5086-2022 karta.png", "A 5086-2022")</f>
        <v/>
      </c>
      <c r="V295">
        <f>HYPERLINK("https://klasma.github.io/Logging_0882/klagomål/A 5086-2022 FSC-klagomål.docx", "A 5086-2022")</f>
        <v/>
      </c>
      <c r="W295">
        <f>HYPERLINK("https://klasma.github.io/Logging_0882/klagomålsmail/A 5086-2022 FSC-klagomål mail.docx", "A 5086-2022")</f>
        <v/>
      </c>
      <c r="X295">
        <f>HYPERLINK("https://klasma.github.io/Logging_0882/tillsyn/A 5086-2022 tillsynsbegäran.docx", "A 5086-2022")</f>
        <v/>
      </c>
      <c r="Y295">
        <f>HYPERLINK("https://klasma.github.io/Logging_0882/tillsynsmail/A 5086-2022 tillsynsbegäran mail.docx", "A 5086-2022")</f>
        <v/>
      </c>
      <c r="Z295">
        <f>HYPERLINK("https://klasma.github.io/Logging_0882/fåglar/A 5086-2022 prioriterade fågelarter.docx", "A 5086-2022")</f>
        <v/>
      </c>
    </row>
    <row r="296" ht="15" customHeight="1">
      <c r="A296" t="inlineStr">
        <is>
          <t>A 2921-2021</t>
        </is>
      </c>
      <c r="B296" s="1" t="n">
        <v>44216</v>
      </c>
      <c r="C296" s="1" t="n">
        <v>45884</v>
      </c>
      <c r="D296" t="inlineStr">
        <is>
          <t>KALMAR LÄN</t>
        </is>
      </c>
      <c r="E296" t="inlineStr">
        <is>
          <t>TORSÅS</t>
        </is>
      </c>
      <c r="G296" t="n">
        <v>2.7</v>
      </c>
      <c r="H296" t="n">
        <v>2</v>
      </c>
      <c r="I296" t="n">
        <v>0</v>
      </c>
      <c r="J296" t="n">
        <v>1</v>
      </c>
      <c r="K296" t="n">
        <v>0</v>
      </c>
      <c r="L296" t="n">
        <v>0</v>
      </c>
      <c r="M296" t="n">
        <v>0</v>
      </c>
      <c r="N296" t="n">
        <v>0</v>
      </c>
      <c r="O296" t="n">
        <v>1</v>
      </c>
      <c r="P296" t="n">
        <v>0</v>
      </c>
      <c r="Q296" t="n">
        <v>2</v>
      </c>
      <c r="R296" s="2" t="inlineStr">
        <is>
          <t>Nordfladdermus
Gråskimlig fladdermus</t>
        </is>
      </c>
      <c r="S296">
        <f>HYPERLINK("https://klasma.github.io/Logging_0834/artfynd/A 2921-2021 artfynd.xlsx", "A 2921-2021")</f>
        <v/>
      </c>
      <c r="T296">
        <f>HYPERLINK("https://klasma.github.io/Logging_0834/kartor/A 2921-2021 karta.png", "A 2921-2021")</f>
        <v/>
      </c>
      <c r="V296">
        <f>HYPERLINK("https://klasma.github.io/Logging_0834/klagomål/A 2921-2021 FSC-klagomål.docx", "A 2921-2021")</f>
        <v/>
      </c>
      <c r="W296">
        <f>HYPERLINK("https://klasma.github.io/Logging_0834/klagomålsmail/A 2921-2021 FSC-klagomål mail.docx", "A 2921-2021")</f>
        <v/>
      </c>
      <c r="X296">
        <f>HYPERLINK("https://klasma.github.io/Logging_0834/tillsyn/A 2921-2021 tillsynsbegäran.docx", "A 2921-2021")</f>
        <v/>
      </c>
      <c r="Y296">
        <f>HYPERLINK("https://klasma.github.io/Logging_0834/tillsynsmail/A 2921-2021 tillsynsbegäran mail.docx", "A 2921-2021")</f>
        <v/>
      </c>
    </row>
    <row r="297" ht="15" customHeight="1">
      <c r="A297" t="inlineStr">
        <is>
          <t>A 20129-2021</t>
        </is>
      </c>
      <c r="B297" s="1" t="n">
        <v>44314</v>
      </c>
      <c r="C297" s="1" t="n">
        <v>45884</v>
      </c>
      <c r="D297" t="inlineStr">
        <is>
          <t>KALMAR LÄN</t>
        </is>
      </c>
      <c r="E297" t="inlineStr">
        <is>
          <t>EMMABODA</t>
        </is>
      </c>
      <c r="G297" t="n">
        <v>5.8</v>
      </c>
      <c r="H297" t="n">
        <v>2</v>
      </c>
      <c r="I297" t="n">
        <v>0</v>
      </c>
      <c r="J297" t="n">
        <v>0</v>
      </c>
      <c r="K297" t="n">
        <v>0</v>
      </c>
      <c r="L297" t="n">
        <v>0</v>
      </c>
      <c r="M297" t="n">
        <v>0</v>
      </c>
      <c r="N297" t="n">
        <v>0</v>
      </c>
      <c r="O297" t="n">
        <v>0</v>
      </c>
      <c r="P297" t="n">
        <v>0</v>
      </c>
      <c r="Q297" t="n">
        <v>2</v>
      </c>
      <c r="R297" s="2" t="inlineStr">
        <is>
          <t>Vanlig groda
Revlummer</t>
        </is>
      </c>
      <c r="S297">
        <f>HYPERLINK("https://klasma.github.io/Logging_0862/artfynd/A 20129-2021 artfynd.xlsx", "A 20129-2021")</f>
        <v/>
      </c>
      <c r="T297">
        <f>HYPERLINK("https://klasma.github.io/Logging_0862/kartor/A 20129-2021 karta.png", "A 20129-2021")</f>
        <v/>
      </c>
      <c r="V297">
        <f>HYPERLINK("https://klasma.github.io/Logging_0862/klagomål/A 20129-2021 FSC-klagomål.docx", "A 20129-2021")</f>
        <v/>
      </c>
      <c r="W297">
        <f>HYPERLINK("https://klasma.github.io/Logging_0862/klagomålsmail/A 20129-2021 FSC-klagomål mail.docx", "A 20129-2021")</f>
        <v/>
      </c>
      <c r="X297">
        <f>HYPERLINK("https://klasma.github.io/Logging_0862/tillsyn/A 20129-2021 tillsynsbegäran.docx", "A 20129-2021")</f>
        <v/>
      </c>
      <c r="Y297">
        <f>HYPERLINK("https://klasma.github.io/Logging_0862/tillsynsmail/A 20129-2021 tillsynsbegäran mail.docx", "A 20129-2021")</f>
        <v/>
      </c>
    </row>
    <row r="298" ht="15" customHeight="1">
      <c r="A298" t="inlineStr">
        <is>
          <t>A 14246-2021</t>
        </is>
      </c>
      <c r="B298" s="1" t="n">
        <v>44278</v>
      </c>
      <c r="C298" s="1" t="n">
        <v>45884</v>
      </c>
      <c r="D298" t="inlineStr">
        <is>
          <t>KALMAR LÄN</t>
        </is>
      </c>
      <c r="E298" t="inlineStr">
        <is>
          <t>HULTSFRED</t>
        </is>
      </c>
      <c r="G298" t="n">
        <v>5</v>
      </c>
      <c r="H298" t="n">
        <v>1</v>
      </c>
      <c r="I298" t="n">
        <v>2</v>
      </c>
      <c r="J298" t="n">
        <v>0</v>
      </c>
      <c r="K298" t="n">
        <v>0</v>
      </c>
      <c r="L298" t="n">
        <v>0</v>
      </c>
      <c r="M298" t="n">
        <v>0</v>
      </c>
      <c r="N298" t="n">
        <v>0</v>
      </c>
      <c r="O298" t="n">
        <v>0</v>
      </c>
      <c r="P298" t="n">
        <v>0</v>
      </c>
      <c r="Q298" t="n">
        <v>2</v>
      </c>
      <c r="R298" s="2" t="inlineStr">
        <is>
          <t>Purpurknipprot
Underviol</t>
        </is>
      </c>
      <c r="S298">
        <f>HYPERLINK("https://klasma.github.io/Logging_0860/artfynd/A 14246-2021 artfynd.xlsx", "A 14246-2021")</f>
        <v/>
      </c>
      <c r="T298">
        <f>HYPERLINK("https://klasma.github.io/Logging_0860/kartor/A 14246-2021 karta.png", "A 14246-2021")</f>
        <v/>
      </c>
      <c r="V298">
        <f>HYPERLINK("https://klasma.github.io/Logging_0860/klagomål/A 14246-2021 FSC-klagomål.docx", "A 14246-2021")</f>
        <v/>
      </c>
      <c r="W298">
        <f>HYPERLINK("https://klasma.github.io/Logging_0860/klagomålsmail/A 14246-2021 FSC-klagomål mail.docx", "A 14246-2021")</f>
        <v/>
      </c>
      <c r="X298">
        <f>HYPERLINK("https://klasma.github.io/Logging_0860/tillsyn/A 14246-2021 tillsynsbegäran.docx", "A 14246-2021")</f>
        <v/>
      </c>
      <c r="Y298">
        <f>HYPERLINK("https://klasma.github.io/Logging_0860/tillsynsmail/A 14246-2021 tillsynsbegäran mail.docx", "A 14246-2021")</f>
        <v/>
      </c>
    </row>
    <row r="299" ht="15" customHeight="1">
      <c r="A299" t="inlineStr">
        <is>
          <t>A 12093-2021</t>
        </is>
      </c>
      <c r="B299" s="1" t="n">
        <v>44266</v>
      </c>
      <c r="C299" s="1" t="n">
        <v>45884</v>
      </c>
      <c r="D299" t="inlineStr">
        <is>
          <t>KALMAR LÄN</t>
        </is>
      </c>
      <c r="E299" t="inlineStr">
        <is>
          <t>NYBRO</t>
        </is>
      </c>
      <c r="G299" t="n">
        <v>1.3</v>
      </c>
      <c r="H299" t="n">
        <v>0</v>
      </c>
      <c r="I299" t="n">
        <v>0</v>
      </c>
      <c r="J299" t="n">
        <v>2</v>
      </c>
      <c r="K299" t="n">
        <v>0</v>
      </c>
      <c r="L299" t="n">
        <v>0</v>
      </c>
      <c r="M299" t="n">
        <v>0</v>
      </c>
      <c r="N299" t="n">
        <v>0</v>
      </c>
      <c r="O299" t="n">
        <v>2</v>
      </c>
      <c r="P299" t="n">
        <v>0</v>
      </c>
      <c r="Q299" t="n">
        <v>2</v>
      </c>
      <c r="R299" s="2" t="inlineStr">
        <is>
          <t>Spindelört
Spindelörtskinnbagge</t>
        </is>
      </c>
      <c r="S299">
        <f>HYPERLINK("https://klasma.github.io/Logging_0881/artfynd/A 12093-2021 artfynd.xlsx", "A 12093-2021")</f>
        <v/>
      </c>
      <c r="T299">
        <f>HYPERLINK("https://klasma.github.io/Logging_0881/kartor/A 12093-2021 karta.png", "A 12093-2021")</f>
        <v/>
      </c>
      <c r="V299">
        <f>HYPERLINK("https://klasma.github.io/Logging_0881/klagomål/A 12093-2021 FSC-klagomål.docx", "A 12093-2021")</f>
        <v/>
      </c>
      <c r="W299">
        <f>HYPERLINK("https://klasma.github.io/Logging_0881/klagomålsmail/A 12093-2021 FSC-klagomål mail.docx", "A 12093-2021")</f>
        <v/>
      </c>
      <c r="X299">
        <f>HYPERLINK("https://klasma.github.io/Logging_0881/tillsyn/A 12093-2021 tillsynsbegäran.docx", "A 12093-2021")</f>
        <v/>
      </c>
      <c r="Y299">
        <f>HYPERLINK("https://klasma.github.io/Logging_0881/tillsynsmail/A 12093-2021 tillsynsbegäran mail.docx", "A 12093-2021")</f>
        <v/>
      </c>
    </row>
    <row r="300" ht="15" customHeight="1">
      <c r="A300" t="inlineStr">
        <is>
          <t>A 37106-2024</t>
        </is>
      </c>
      <c r="B300" s="1" t="n">
        <v>45539.51238425926</v>
      </c>
      <c r="C300" s="1" t="n">
        <v>45884</v>
      </c>
      <c r="D300" t="inlineStr">
        <is>
          <t>KALMAR LÄN</t>
        </is>
      </c>
      <c r="E300" t="inlineStr">
        <is>
          <t>VÄSTERVIK</t>
        </is>
      </c>
      <c r="F300" t="inlineStr">
        <is>
          <t>Holmen skog AB</t>
        </is>
      </c>
      <c r="G300" t="n">
        <v>8.5</v>
      </c>
      <c r="H300" t="n">
        <v>2</v>
      </c>
      <c r="I300" t="n">
        <v>0</v>
      </c>
      <c r="J300" t="n">
        <v>1</v>
      </c>
      <c r="K300" t="n">
        <v>1</v>
      </c>
      <c r="L300" t="n">
        <v>0</v>
      </c>
      <c r="M300" t="n">
        <v>0</v>
      </c>
      <c r="N300" t="n">
        <v>0</v>
      </c>
      <c r="O300" t="n">
        <v>2</v>
      </c>
      <c r="P300" t="n">
        <v>1</v>
      </c>
      <c r="Q300" t="n">
        <v>2</v>
      </c>
      <c r="R300" s="2" t="inlineStr">
        <is>
          <t>Knärot
Mindre hackspett</t>
        </is>
      </c>
      <c r="S300">
        <f>HYPERLINK("https://klasma.github.io/Logging_0883/artfynd/A 37106-2024 artfynd.xlsx", "A 37106-2024")</f>
        <v/>
      </c>
      <c r="T300">
        <f>HYPERLINK("https://klasma.github.io/Logging_0883/kartor/A 37106-2024 karta.png", "A 37106-2024")</f>
        <v/>
      </c>
      <c r="U300">
        <f>HYPERLINK("https://klasma.github.io/Logging_0883/knärot/A 37106-2024 karta knärot.png", "A 37106-2024")</f>
        <v/>
      </c>
      <c r="V300">
        <f>HYPERLINK("https://klasma.github.io/Logging_0883/klagomål/A 37106-2024 FSC-klagomål.docx", "A 37106-2024")</f>
        <v/>
      </c>
      <c r="W300">
        <f>HYPERLINK("https://klasma.github.io/Logging_0883/klagomålsmail/A 37106-2024 FSC-klagomål mail.docx", "A 37106-2024")</f>
        <v/>
      </c>
      <c r="X300">
        <f>HYPERLINK("https://klasma.github.io/Logging_0883/tillsyn/A 37106-2024 tillsynsbegäran.docx", "A 37106-2024")</f>
        <v/>
      </c>
      <c r="Y300">
        <f>HYPERLINK("https://klasma.github.io/Logging_0883/tillsynsmail/A 37106-2024 tillsynsbegäran mail.docx", "A 37106-2024")</f>
        <v/>
      </c>
      <c r="Z300">
        <f>HYPERLINK("https://klasma.github.io/Logging_0883/fåglar/A 37106-2024 prioriterade fågelarter.docx", "A 37106-2024")</f>
        <v/>
      </c>
    </row>
    <row r="301" ht="15" customHeight="1">
      <c r="A301" t="inlineStr">
        <is>
          <t>A 2126-2024</t>
        </is>
      </c>
      <c r="B301" s="1" t="n">
        <v>45309</v>
      </c>
      <c r="C301" s="1" t="n">
        <v>45884</v>
      </c>
      <c r="D301" t="inlineStr">
        <is>
          <t>KALMAR LÄN</t>
        </is>
      </c>
      <c r="E301" t="inlineStr">
        <is>
          <t>VÄSTERVIK</t>
        </is>
      </c>
      <c r="G301" t="n">
        <v>3.8</v>
      </c>
      <c r="H301" t="n">
        <v>2</v>
      </c>
      <c r="I301" t="n">
        <v>0</v>
      </c>
      <c r="J301" t="n">
        <v>1</v>
      </c>
      <c r="K301" t="n">
        <v>1</v>
      </c>
      <c r="L301" t="n">
        <v>0</v>
      </c>
      <c r="M301" t="n">
        <v>0</v>
      </c>
      <c r="N301" t="n">
        <v>0</v>
      </c>
      <c r="O301" t="n">
        <v>2</v>
      </c>
      <c r="P301" t="n">
        <v>1</v>
      </c>
      <c r="Q301" t="n">
        <v>2</v>
      </c>
      <c r="R301" s="2" t="inlineStr">
        <is>
          <t>Knärot
Talltita</t>
        </is>
      </c>
      <c r="S301">
        <f>HYPERLINK("https://klasma.github.io/Logging_0883/artfynd/A 2126-2024 artfynd.xlsx", "A 2126-2024")</f>
        <v/>
      </c>
      <c r="T301">
        <f>HYPERLINK("https://klasma.github.io/Logging_0883/kartor/A 2126-2024 karta.png", "A 2126-2024")</f>
        <v/>
      </c>
      <c r="U301">
        <f>HYPERLINK("https://klasma.github.io/Logging_0883/knärot/A 2126-2024 karta knärot.png", "A 2126-2024")</f>
        <v/>
      </c>
      <c r="V301">
        <f>HYPERLINK("https://klasma.github.io/Logging_0883/klagomål/A 2126-2024 FSC-klagomål.docx", "A 2126-2024")</f>
        <v/>
      </c>
      <c r="W301">
        <f>HYPERLINK("https://klasma.github.io/Logging_0883/klagomålsmail/A 2126-2024 FSC-klagomål mail.docx", "A 2126-2024")</f>
        <v/>
      </c>
      <c r="X301">
        <f>HYPERLINK("https://klasma.github.io/Logging_0883/tillsyn/A 2126-2024 tillsynsbegäran.docx", "A 2126-2024")</f>
        <v/>
      </c>
      <c r="Y301">
        <f>HYPERLINK("https://klasma.github.io/Logging_0883/tillsynsmail/A 2126-2024 tillsynsbegäran mail.docx", "A 2126-2024")</f>
        <v/>
      </c>
      <c r="Z301">
        <f>HYPERLINK("https://klasma.github.io/Logging_0883/fåglar/A 2126-2024 prioriterade fågelarter.docx", "A 2126-2024")</f>
        <v/>
      </c>
    </row>
    <row r="302" ht="15" customHeight="1">
      <c r="A302" t="inlineStr">
        <is>
          <t>A 58410-2020</t>
        </is>
      </c>
      <c r="B302" s="1" t="n">
        <v>44145</v>
      </c>
      <c r="C302" s="1" t="n">
        <v>45884</v>
      </c>
      <c r="D302" t="inlineStr">
        <is>
          <t>KALMAR LÄN</t>
        </is>
      </c>
      <c r="E302" t="inlineStr">
        <is>
          <t>NYBRO</t>
        </is>
      </c>
      <c r="G302" t="n">
        <v>4.5</v>
      </c>
      <c r="H302" t="n">
        <v>0</v>
      </c>
      <c r="I302" t="n">
        <v>2</v>
      </c>
      <c r="J302" t="n">
        <v>0</v>
      </c>
      <c r="K302" t="n">
        <v>0</v>
      </c>
      <c r="L302" t="n">
        <v>0</v>
      </c>
      <c r="M302" t="n">
        <v>0</v>
      </c>
      <c r="N302" t="n">
        <v>0</v>
      </c>
      <c r="O302" t="n">
        <v>0</v>
      </c>
      <c r="P302" t="n">
        <v>0</v>
      </c>
      <c r="Q302" t="n">
        <v>2</v>
      </c>
      <c r="R302" s="2" t="inlineStr">
        <is>
          <t>Fjällig taggsvamp s.str.
Tjockfotad fingersvamp</t>
        </is>
      </c>
      <c r="S302">
        <f>HYPERLINK("https://klasma.github.io/Logging_0881/artfynd/A 58410-2020 artfynd.xlsx", "A 58410-2020")</f>
        <v/>
      </c>
      <c r="T302">
        <f>HYPERLINK("https://klasma.github.io/Logging_0881/kartor/A 58410-2020 karta.png", "A 58410-2020")</f>
        <v/>
      </c>
      <c r="V302">
        <f>HYPERLINK("https://klasma.github.io/Logging_0881/klagomål/A 58410-2020 FSC-klagomål.docx", "A 58410-2020")</f>
        <v/>
      </c>
      <c r="W302">
        <f>HYPERLINK("https://klasma.github.io/Logging_0881/klagomålsmail/A 58410-2020 FSC-klagomål mail.docx", "A 58410-2020")</f>
        <v/>
      </c>
      <c r="X302">
        <f>HYPERLINK("https://klasma.github.io/Logging_0881/tillsyn/A 58410-2020 tillsynsbegäran.docx", "A 58410-2020")</f>
        <v/>
      </c>
      <c r="Y302">
        <f>HYPERLINK("https://klasma.github.io/Logging_0881/tillsynsmail/A 58410-2020 tillsynsbegäran mail.docx", "A 58410-2020")</f>
        <v/>
      </c>
    </row>
    <row r="303" ht="15" customHeight="1">
      <c r="A303" t="inlineStr">
        <is>
          <t>A 61709-2022</t>
        </is>
      </c>
      <c r="B303" s="1" t="n">
        <v>44917.42984953704</v>
      </c>
      <c r="C303" s="1" t="n">
        <v>45884</v>
      </c>
      <c r="D303" t="inlineStr">
        <is>
          <t>KALMAR LÄN</t>
        </is>
      </c>
      <c r="E303" t="inlineStr">
        <is>
          <t>HULTSFRED</t>
        </is>
      </c>
      <c r="G303" t="n">
        <v>3.7</v>
      </c>
      <c r="H303" t="n">
        <v>1</v>
      </c>
      <c r="I303" t="n">
        <v>1</v>
      </c>
      <c r="J303" t="n">
        <v>0</v>
      </c>
      <c r="K303" t="n">
        <v>1</v>
      </c>
      <c r="L303" t="n">
        <v>0</v>
      </c>
      <c r="M303" t="n">
        <v>0</v>
      </c>
      <c r="N303" t="n">
        <v>0</v>
      </c>
      <c r="O303" t="n">
        <v>1</v>
      </c>
      <c r="P303" t="n">
        <v>1</v>
      </c>
      <c r="Q303" t="n">
        <v>2</v>
      </c>
      <c r="R303" s="2" t="inlineStr">
        <is>
          <t>Knärot
Grönpyrola</t>
        </is>
      </c>
      <c r="S303">
        <f>HYPERLINK("https://klasma.github.io/Logging_0860/artfynd/A 61709-2022 artfynd.xlsx", "A 61709-2022")</f>
        <v/>
      </c>
      <c r="T303">
        <f>HYPERLINK("https://klasma.github.io/Logging_0860/kartor/A 61709-2022 karta.png", "A 61709-2022")</f>
        <v/>
      </c>
      <c r="U303">
        <f>HYPERLINK("https://klasma.github.io/Logging_0860/knärot/A 61709-2022 karta knärot.png", "A 61709-2022")</f>
        <v/>
      </c>
      <c r="V303">
        <f>HYPERLINK("https://klasma.github.io/Logging_0860/klagomål/A 61709-2022 FSC-klagomål.docx", "A 61709-2022")</f>
        <v/>
      </c>
      <c r="W303">
        <f>HYPERLINK("https://klasma.github.io/Logging_0860/klagomålsmail/A 61709-2022 FSC-klagomål mail.docx", "A 61709-2022")</f>
        <v/>
      </c>
      <c r="X303">
        <f>HYPERLINK("https://klasma.github.io/Logging_0860/tillsyn/A 61709-2022 tillsynsbegäran.docx", "A 61709-2022")</f>
        <v/>
      </c>
      <c r="Y303">
        <f>HYPERLINK("https://klasma.github.io/Logging_0860/tillsynsmail/A 61709-2022 tillsynsbegäran mail.docx", "A 61709-2022")</f>
        <v/>
      </c>
    </row>
    <row r="304" ht="15" customHeight="1">
      <c r="A304" t="inlineStr">
        <is>
          <t>A 43921-2020</t>
        </is>
      </c>
      <c r="B304" s="1" t="n">
        <v>44083</v>
      </c>
      <c r="C304" s="1" t="n">
        <v>45884</v>
      </c>
      <c r="D304" t="inlineStr">
        <is>
          <t>KALMAR LÄN</t>
        </is>
      </c>
      <c r="E304" t="inlineStr">
        <is>
          <t>HULTSFRED</t>
        </is>
      </c>
      <c r="G304" t="n">
        <v>0.7</v>
      </c>
      <c r="H304" t="n">
        <v>1</v>
      </c>
      <c r="I304" t="n">
        <v>0</v>
      </c>
      <c r="J304" t="n">
        <v>0</v>
      </c>
      <c r="K304" t="n">
        <v>0</v>
      </c>
      <c r="L304" t="n">
        <v>1</v>
      </c>
      <c r="M304" t="n">
        <v>0</v>
      </c>
      <c r="N304" t="n">
        <v>0</v>
      </c>
      <c r="O304" t="n">
        <v>1</v>
      </c>
      <c r="P304" t="n">
        <v>1</v>
      </c>
      <c r="Q304" t="n">
        <v>2</v>
      </c>
      <c r="R304" s="2" t="inlineStr">
        <is>
          <t>Ask
Blåsippa</t>
        </is>
      </c>
      <c r="S304">
        <f>HYPERLINK("https://klasma.github.io/Logging_0860/artfynd/A 43921-2020 artfynd.xlsx", "A 43921-2020")</f>
        <v/>
      </c>
      <c r="T304">
        <f>HYPERLINK("https://klasma.github.io/Logging_0860/kartor/A 43921-2020 karta.png", "A 43921-2020")</f>
        <v/>
      </c>
      <c r="V304">
        <f>HYPERLINK("https://klasma.github.io/Logging_0860/klagomål/A 43921-2020 FSC-klagomål.docx", "A 43921-2020")</f>
        <v/>
      </c>
      <c r="W304">
        <f>HYPERLINK("https://klasma.github.io/Logging_0860/klagomålsmail/A 43921-2020 FSC-klagomål mail.docx", "A 43921-2020")</f>
        <v/>
      </c>
      <c r="X304">
        <f>HYPERLINK("https://klasma.github.io/Logging_0860/tillsyn/A 43921-2020 tillsynsbegäran.docx", "A 43921-2020")</f>
        <v/>
      </c>
      <c r="Y304">
        <f>HYPERLINK("https://klasma.github.io/Logging_0860/tillsynsmail/A 43921-2020 tillsynsbegäran mail.docx", "A 43921-2020")</f>
        <v/>
      </c>
    </row>
    <row r="305" ht="15" customHeight="1">
      <c r="A305" t="inlineStr">
        <is>
          <t>A 51833-2021</t>
        </is>
      </c>
      <c r="B305" s="1" t="n">
        <v>44462</v>
      </c>
      <c r="C305" s="1" t="n">
        <v>45884</v>
      </c>
      <c r="D305" t="inlineStr">
        <is>
          <t>KALMAR LÄN</t>
        </is>
      </c>
      <c r="E305" t="inlineStr">
        <is>
          <t>VÄSTERVIK</t>
        </is>
      </c>
      <c r="G305" t="n">
        <v>4</v>
      </c>
      <c r="H305" t="n">
        <v>1</v>
      </c>
      <c r="I305" t="n">
        <v>0</v>
      </c>
      <c r="J305" t="n">
        <v>1</v>
      </c>
      <c r="K305" t="n">
        <v>0</v>
      </c>
      <c r="L305" t="n">
        <v>0</v>
      </c>
      <c r="M305" t="n">
        <v>0</v>
      </c>
      <c r="N305" t="n">
        <v>0</v>
      </c>
      <c r="O305" t="n">
        <v>1</v>
      </c>
      <c r="P305" t="n">
        <v>0</v>
      </c>
      <c r="Q305" t="n">
        <v>2</v>
      </c>
      <c r="R305" s="2" t="inlineStr">
        <is>
          <t>Motaggsvamp
Fläcknycklar</t>
        </is>
      </c>
      <c r="S305">
        <f>HYPERLINK("https://klasma.github.io/Logging_0883/artfynd/A 51833-2021 artfynd.xlsx", "A 51833-2021")</f>
        <v/>
      </c>
      <c r="T305">
        <f>HYPERLINK("https://klasma.github.io/Logging_0883/kartor/A 51833-2021 karta.png", "A 51833-2021")</f>
        <v/>
      </c>
      <c r="V305">
        <f>HYPERLINK("https://klasma.github.io/Logging_0883/klagomål/A 51833-2021 FSC-klagomål.docx", "A 51833-2021")</f>
        <v/>
      </c>
      <c r="W305">
        <f>HYPERLINK("https://klasma.github.io/Logging_0883/klagomålsmail/A 51833-2021 FSC-klagomål mail.docx", "A 51833-2021")</f>
        <v/>
      </c>
      <c r="X305">
        <f>HYPERLINK("https://klasma.github.io/Logging_0883/tillsyn/A 51833-2021 tillsynsbegäran.docx", "A 51833-2021")</f>
        <v/>
      </c>
      <c r="Y305">
        <f>HYPERLINK("https://klasma.github.io/Logging_0883/tillsynsmail/A 51833-2021 tillsynsbegäran mail.docx", "A 51833-2021")</f>
        <v/>
      </c>
    </row>
    <row r="306" ht="15" customHeight="1">
      <c r="A306" t="inlineStr">
        <is>
          <t>A 62231-2023</t>
        </is>
      </c>
      <c r="B306" s="1" t="n">
        <v>45267</v>
      </c>
      <c r="C306" s="1" t="n">
        <v>45884</v>
      </c>
      <c r="D306" t="inlineStr">
        <is>
          <t>KALMAR LÄN</t>
        </is>
      </c>
      <c r="E306" t="inlineStr">
        <is>
          <t>MÖRBYLÅNGA</t>
        </is>
      </c>
      <c r="G306" t="n">
        <v>1.6</v>
      </c>
      <c r="H306" t="n">
        <v>1</v>
      </c>
      <c r="I306" t="n">
        <v>1</v>
      </c>
      <c r="J306" t="n">
        <v>0</v>
      </c>
      <c r="K306" t="n">
        <v>0</v>
      </c>
      <c r="L306" t="n">
        <v>0</v>
      </c>
      <c r="M306" t="n">
        <v>0</v>
      </c>
      <c r="N306" t="n">
        <v>0</v>
      </c>
      <c r="O306" t="n">
        <v>0</v>
      </c>
      <c r="P306" t="n">
        <v>0</v>
      </c>
      <c r="Q306" t="n">
        <v>2</v>
      </c>
      <c r="R306" s="2" t="inlineStr">
        <is>
          <t>Murgröna
Blåsippa</t>
        </is>
      </c>
      <c r="S306">
        <f>HYPERLINK("https://klasma.github.io/Logging_0840/artfynd/A 62231-2023 artfynd.xlsx", "A 62231-2023")</f>
        <v/>
      </c>
      <c r="T306">
        <f>HYPERLINK("https://klasma.github.io/Logging_0840/kartor/A 62231-2023 karta.png", "A 62231-2023")</f>
        <v/>
      </c>
      <c r="V306">
        <f>HYPERLINK("https://klasma.github.io/Logging_0840/klagomål/A 62231-2023 FSC-klagomål.docx", "A 62231-2023")</f>
        <v/>
      </c>
      <c r="W306">
        <f>HYPERLINK("https://klasma.github.io/Logging_0840/klagomålsmail/A 62231-2023 FSC-klagomål mail.docx", "A 62231-2023")</f>
        <v/>
      </c>
      <c r="X306">
        <f>HYPERLINK("https://klasma.github.io/Logging_0840/tillsyn/A 62231-2023 tillsynsbegäran.docx", "A 62231-2023")</f>
        <v/>
      </c>
      <c r="Y306">
        <f>HYPERLINK("https://klasma.github.io/Logging_0840/tillsynsmail/A 62231-2023 tillsynsbegäran mail.docx", "A 62231-2023")</f>
        <v/>
      </c>
    </row>
    <row r="307" ht="15" customHeight="1">
      <c r="A307" t="inlineStr">
        <is>
          <t>A 59067-2021</t>
        </is>
      </c>
      <c r="B307" s="1" t="n">
        <v>44490</v>
      </c>
      <c r="C307" s="1" t="n">
        <v>45884</v>
      </c>
      <c r="D307" t="inlineStr">
        <is>
          <t>KALMAR LÄN</t>
        </is>
      </c>
      <c r="E307" t="inlineStr">
        <is>
          <t>HULTSFRED</t>
        </is>
      </c>
      <c r="G307" t="n">
        <v>3.9</v>
      </c>
      <c r="H307" t="n">
        <v>0</v>
      </c>
      <c r="I307" t="n">
        <v>2</v>
      </c>
      <c r="J307" t="n">
        <v>0</v>
      </c>
      <c r="K307" t="n">
        <v>0</v>
      </c>
      <c r="L307" t="n">
        <v>0</v>
      </c>
      <c r="M307" t="n">
        <v>0</v>
      </c>
      <c r="N307" t="n">
        <v>0</v>
      </c>
      <c r="O307" t="n">
        <v>0</v>
      </c>
      <c r="P307" t="n">
        <v>0</v>
      </c>
      <c r="Q307" t="n">
        <v>2</v>
      </c>
      <c r="R307" s="2" t="inlineStr">
        <is>
          <t>Dropptaggsvamp
Grönpyrola</t>
        </is>
      </c>
      <c r="S307">
        <f>HYPERLINK("https://klasma.github.io/Logging_0860/artfynd/A 59067-2021 artfynd.xlsx", "A 59067-2021")</f>
        <v/>
      </c>
      <c r="T307">
        <f>HYPERLINK("https://klasma.github.io/Logging_0860/kartor/A 59067-2021 karta.png", "A 59067-2021")</f>
        <v/>
      </c>
      <c r="V307">
        <f>HYPERLINK("https://klasma.github.io/Logging_0860/klagomål/A 59067-2021 FSC-klagomål.docx", "A 59067-2021")</f>
        <v/>
      </c>
      <c r="W307">
        <f>HYPERLINK("https://klasma.github.io/Logging_0860/klagomålsmail/A 59067-2021 FSC-klagomål mail.docx", "A 59067-2021")</f>
        <v/>
      </c>
      <c r="X307">
        <f>HYPERLINK("https://klasma.github.io/Logging_0860/tillsyn/A 59067-2021 tillsynsbegäran.docx", "A 59067-2021")</f>
        <v/>
      </c>
      <c r="Y307">
        <f>HYPERLINK("https://klasma.github.io/Logging_0860/tillsynsmail/A 59067-2021 tillsynsbegäran mail.docx", "A 59067-2021")</f>
        <v/>
      </c>
    </row>
    <row r="308" ht="15" customHeight="1">
      <c r="A308" t="inlineStr">
        <is>
          <t>A 37932-2022</t>
        </is>
      </c>
      <c r="B308" s="1" t="n">
        <v>44811</v>
      </c>
      <c r="C308" s="1" t="n">
        <v>45884</v>
      </c>
      <c r="D308" t="inlineStr">
        <is>
          <t>KALMAR LÄN</t>
        </is>
      </c>
      <c r="E308" t="inlineStr">
        <is>
          <t>EMMABODA</t>
        </is>
      </c>
      <c r="G308" t="n">
        <v>1.1</v>
      </c>
      <c r="H308" t="n">
        <v>2</v>
      </c>
      <c r="I308" t="n">
        <v>0</v>
      </c>
      <c r="J308" t="n">
        <v>0</v>
      </c>
      <c r="K308" t="n">
        <v>1</v>
      </c>
      <c r="L308" t="n">
        <v>0</v>
      </c>
      <c r="M308" t="n">
        <v>0</v>
      </c>
      <c r="N308" t="n">
        <v>0</v>
      </c>
      <c r="O308" t="n">
        <v>1</v>
      </c>
      <c r="P308" t="n">
        <v>1</v>
      </c>
      <c r="Q308" t="n">
        <v>2</v>
      </c>
      <c r="R308" s="2" t="inlineStr">
        <is>
          <t>Lappuggla
Tjäder</t>
        </is>
      </c>
      <c r="S308">
        <f>HYPERLINK("https://klasma.github.io/Logging_0862/artfynd/A 37932-2022 artfynd.xlsx", "A 37932-2022")</f>
        <v/>
      </c>
      <c r="T308">
        <f>HYPERLINK("https://klasma.github.io/Logging_0862/kartor/A 37932-2022 karta.png", "A 37932-2022")</f>
        <v/>
      </c>
      <c r="V308">
        <f>HYPERLINK("https://klasma.github.io/Logging_0862/klagomål/A 37932-2022 FSC-klagomål.docx", "A 37932-2022")</f>
        <v/>
      </c>
      <c r="W308">
        <f>HYPERLINK("https://klasma.github.io/Logging_0862/klagomålsmail/A 37932-2022 FSC-klagomål mail.docx", "A 37932-2022")</f>
        <v/>
      </c>
      <c r="X308">
        <f>HYPERLINK("https://klasma.github.io/Logging_0862/tillsyn/A 37932-2022 tillsynsbegäran.docx", "A 37932-2022")</f>
        <v/>
      </c>
      <c r="Y308">
        <f>HYPERLINK("https://klasma.github.io/Logging_0862/tillsynsmail/A 37932-2022 tillsynsbegäran mail.docx", "A 37932-2022")</f>
        <v/>
      </c>
      <c r="Z308">
        <f>HYPERLINK("https://klasma.github.io/Logging_0862/fåglar/A 37932-2022 prioriterade fågelarter.docx", "A 37932-2022")</f>
        <v/>
      </c>
    </row>
    <row r="309" ht="15" customHeight="1">
      <c r="A309" t="inlineStr">
        <is>
          <t>A 40331-2024</t>
        </is>
      </c>
      <c r="B309" s="1" t="n">
        <v>45555.31039351852</v>
      </c>
      <c r="C309" s="1" t="n">
        <v>45884</v>
      </c>
      <c r="D309" t="inlineStr">
        <is>
          <t>KALMAR LÄN</t>
        </is>
      </c>
      <c r="E309" t="inlineStr">
        <is>
          <t>VÄSTERVIK</t>
        </is>
      </c>
      <c r="G309" t="n">
        <v>1.5</v>
      </c>
      <c r="H309" t="n">
        <v>1</v>
      </c>
      <c r="I309" t="n">
        <v>1</v>
      </c>
      <c r="J309" t="n">
        <v>0</v>
      </c>
      <c r="K309" t="n">
        <v>0</v>
      </c>
      <c r="L309" t="n">
        <v>0</v>
      </c>
      <c r="M309" t="n">
        <v>0</v>
      </c>
      <c r="N309" t="n">
        <v>0</v>
      </c>
      <c r="O309" t="n">
        <v>0</v>
      </c>
      <c r="P309" t="n">
        <v>0</v>
      </c>
      <c r="Q309" t="n">
        <v>2</v>
      </c>
      <c r="R309" s="2" t="inlineStr">
        <is>
          <t>Murgröna
Blåsippa</t>
        </is>
      </c>
      <c r="S309">
        <f>HYPERLINK("https://klasma.github.io/Logging_0883/artfynd/A 40331-2024 artfynd.xlsx", "A 40331-2024")</f>
        <v/>
      </c>
      <c r="T309">
        <f>HYPERLINK("https://klasma.github.io/Logging_0883/kartor/A 40331-2024 karta.png", "A 40331-2024")</f>
        <v/>
      </c>
      <c r="V309">
        <f>HYPERLINK("https://klasma.github.io/Logging_0883/klagomål/A 40331-2024 FSC-klagomål.docx", "A 40331-2024")</f>
        <v/>
      </c>
      <c r="W309">
        <f>HYPERLINK("https://klasma.github.io/Logging_0883/klagomålsmail/A 40331-2024 FSC-klagomål mail.docx", "A 40331-2024")</f>
        <v/>
      </c>
      <c r="X309">
        <f>HYPERLINK("https://klasma.github.io/Logging_0883/tillsyn/A 40331-2024 tillsynsbegäran.docx", "A 40331-2024")</f>
        <v/>
      </c>
      <c r="Y309">
        <f>HYPERLINK("https://klasma.github.io/Logging_0883/tillsynsmail/A 40331-2024 tillsynsbegäran mail.docx", "A 40331-2024")</f>
        <v/>
      </c>
    </row>
    <row r="310" ht="15" customHeight="1">
      <c r="A310" t="inlineStr">
        <is>
          <t>A 1529-2023</t>
        </is>
      </c>
      <c r="B310" s="1" t="n">
        <v>44937</v>
      </c>
      <c r="C310" s="1" t="n">
        <v>45884</v>
      </c>
      <c r="D310" t="inlineStr">
        <is>
          <t>KALMAR LÄN</t>
        </is>
      </c>
      <c r="E310" t="inlineStr">
        <is>
          <t>NYBRO</t>
        </is>
      </c>
      <c r="F310" t="inlineStr">
        <is>
          <t>Sveaskog</t>
        </is>
      </c>
      <c r="G310" t="n">
        <v>4.1</v>
      </c>
      <c r="H310" t="n">
        <v>2</v>
      </c>
      <c r="I310" t="n">
        <v>0</v>
      </c>
      <c r="J310" t="n">
        <v>0</v>
      </c>
      <c r="K310" t="n">
        <v>0</v>
      </c>
      <c r="L310" t="n">
        <v>0</v>
      </c>
      <c r="M310" t="n">
        <v>0</v>
      </c>
      <c r="N310" t="n">
        <v>0</v>
      </c>
      <c r="O310" t="n">
        <v>0</v>
      </c>
      <c r="P310" t="n">
        <v>0</v>
      </c>
      <c r="Q310" t="n">
        <v>2</v>
      </c>
      <c r="R310" s="2" t="inlineStr">
        <is>
          <t>Gröngöling
Trana</t>
        </is>
      </c>
      <c r="S310">
        <f>HYPERLINK("https://klasma.github.io/Logging_0881/artfynd/A 1529-2023 artfynd.xlsx", "A 1529-2023")</f>
        <v/>
      </c>
      <c r="T310">
        <f>HYPERLINK("https://klasma.github.io/Logging_0881/kartor/A 1529-2023 karta.png", "A 1529-2023")</f>
        <v/>
      </c>
      <c r="V310">
        <f>HYPERLINK("https://klasma.github.io/Logging_0881/klagomål/A 1529-2023 FSC-klagomål.docx", "A 1529-2023")</f>
        <v/>
      </c>
      <c r="W310">
        <f>HYPERLINK("https://klasma.github.io/Logging_0881/klagomålsmail/A 1529-2023 FSC-klagomål mail.docx", "A 1529-2023")</f>
        <v/>
      </c>
      <c r="X310">
        <f>HYPERLINK("https://klasma.github.io/Logging_0881/tillsyn/A 1529-2023 tillsynsbegäran.docx", "A 1529-2023")</f>
        <v/>
      </c>
      <c r="Y310">
        <f>HYPERLINK("https://klasma.github.io/Logging_0881/tillsynsmail/A 1529-2023 tillsynsbegäran mail.docx", "A 1529-2023")</f>
        <v/>
      </c>
      <c r="Z310">
        <f>HYPERLINK("https://klasma.github.io/Logging_0881/fåglar/A 1529-2023 prioriterade fågelarter.docx", "A 1529-2023")</f>
        <v/>
      </c>
    </row>
    <row r="311" ht="15" customHeight="1">
      <c r="A311" t="inlineStr">
        <is>
          <t>A 40995-2024</t>
        </is>
      </c>
      <c r="B311" s="1" t="n">
        <v>45558</v>
      </c>
      <c r="C311" s="1" t="n">
        <v>45884</v>
      </c>
      <c r="D311" t="inlineStr">
        <is>
          <t>KALMAR LÄN</t>
        </is>
      </c>
      <c r="E311" t="inlineStr">
        <is>
          <t>MÖNSTERÅS</t>
        </is>
      </c>
      <c r="G311" t="n">
        <v>1.8</v>
      </c>
      <c r="H311" t="n">
        <v>1</v>
      </c>
      <c r="I311" t="n">
        <v>0</v>
      </c>
      <c r="J311" t="n">
        <v>1</v>
      </c>
      <c r="K311" t="n">
        <v>0</v>
      </c>
      <c r="L311" t="n">
        <v>0</v>
      </c>
      <c r="M311" t="n">
        <v>0</v>
      </c>
      <c r="N311" t="n">
        <v>0</v>
      </c>
      <c r="O311" t="n">
        <v>1</v>
      </c>
      <c r="P311" t="n">
        <v>0</v>
      </c>
      <c r="Q311" t="n">
        <v>2</v>
      </c>
      <c r="R311" s="2" t="inlineStr">
        <is>
          <t>Åkerkulla
Mattlummer</t>
        </is>
      </c>
      <c r="S311">
        <f>HYPERLINK("https://klasma.github.io/Logging_0861/artfynd/A 40995-2024 artfynd.xlsx", "A 40995-2024")</f>
        <v/>
      </c>
      <c r="T311">
        <f>HYPERLINK("https://klasma.github.io/Logging_0861/kartor/A 40995-2024 karta.png", "A 40995-2024")</f>
        <v/>
      </c>
      <c r="V311">
        <f>HYPERLINK("https://klasma.github.io/Logging_0861/klagomål/A 40995-2024 FSC-klagomål.docx", "A 40995-2024")</f>
        <v/>
      </c>
      <c r="W311">
        <f>HYPERLINK("https://klasma.github.io/Logging_0861/klagomålsmail/A 40995-2024 FSC-klagomål mail.docx", "A 40995-2024")</f>
        <v/>
      </c>
      <c r="X311">
        <f>HYPERLINK("https://klasma.github.io/Logging_0861/tillsyn/A 40995-2024 tillsynsbegäran.docx", "A 40995-2024")</f>
        <v/>
      </c>
      <c r="Y311">
        <f>HYPERLINK("https://klasma.github.io/Logging_0861/tillsynsmail/A 40995-2024 tillsynsbegäran mail.docx", "A 40995-2024")</f>
        <v/>
      </c>
    </row>
    <row r="312" ht="15" customHeight="1">
      <c r="A312" t="inlineStr">
        <is>
          <t>A 41164-2023</t>
        </is>
      </c>
      <c r="B312" s="1" t="n">
        <v>45174.32886574074</v>
      </c>
      <c r="C312" s="1" t="n">
        <v>45884</v>
      </c>
      <c r="D312" t="inlineStr">
        <is>
          <t>KALMAR LÄN</t>
        </is>
      </c>
      <c r="E312" t="inlineStr">
        <is>
          <t>NYBRO</t>
        </is>
      </c>
      <c r="G312" t="n">
        <v>1.2</v>
      </c>
      <c r="H312" t="n">
        <v>1</v>
      </c>
      <c r="I312" t="n">
        <v>0</v>
      </c>
      <c r="J312" t="n">
        <v>2</v>
      </c>
      <c r="K312" t="n">
        <v>0</v>
      </c>
      <c r="L312" t="n">
        <v>0</v>
      </c>
      <c r="M312" t="n">
        <v>0</v>
      </c>
      <c r="N312" t="n">
        <v>0</v>
      </c>
      <c r="O312" t="n">
        <v>2</v>
      </c>
      <c r="P312" t="n">
        <v>0</v>
      </c>
      <c r="Q312" t="n">
        <v>2</v>
      </c>
      <c r="R312" s="2" t="inlineStr">
        <is>
          <t>Duvhök
Tallticka</t>
        </is>
      </c>
      <c r="S312">
        <f>HYPERLINK("https://klasma.github.io/Logging_0881/artfynd/A 41164-2023 artfynd.xlsx", "A 41164-2023")</f>
        <v/>
      </c>
      <c r="T312">
        <f>HYPERLINK("https://klasma.github.io/Logging_0881/kartor/A 41164-2023 karta.png", "A 41164-2023")</f>
        <v/>
      </c>
      <c r="V312">
        <f>HYPERLINK("https://klasma.github.io/Logging_0881/klagomål/A 41164-2023 FSC-klagomål.docx", "A 41164-2023")</f>
        <v/>
      </c>
      <c r="W312">
        <f>HYPERLINK("https://klasma.github.io/Logging_0881/klagomålsmail/A 41164-2023 FSC-klagomål mail.docx", "A 41164-2023")</f>
        <v/>
      </c>
      <c r="X312">
        <f>HYPERLINK("https://klasma.github.io/Logging_0881/tillsyn/A 41164-2023 tillsynsbegäran.docx", "A 41164-2023")</f>
        <v/>
      </c>
      <c r="Y312">
        <f>HYPERLINK("https://klasma.github.io/Logging_0881/tillsynsmail/A 41164-2023 tillsynsbegäran mail.docx", "A 41164-2023")</f>
        <v/>
      </c>
      <c r="Z312">
        <f>HYPERLINK("https://klasma.github.io/Logging_0881/fåglar/A 41164-2023 prioriterade fågelarter.docx", "A 41164-2023")</f>
        <v/>
      </c>
    </row>
    <row r="313" ht="15" customHeight="1">
      <c r="A313" t="inlineStr">
        <is>
          <t>A 18165-2025</t>
        </is>
      </c>
      <c r="B313" s="1" t="n">
        <v>45761.63864583334</v>
      </c>
      <c r="C313" s="1" t="n">
        <v>45884</v>
      </c>
      <c r="D313" t="inlineStr">
        <is>
          <t>KALMAR LÄN</t>
        </is>
      </c>
      <c r="E313" t="inlineStr">
        <is>
          <t>MÖNSTERÅS</t>
        </is>
      </c>
      <c r="G313" t="n">
        <v>0.8</v>
      </c>
      <c r="H313" t="n">
        <v>2</v>
      </c>
      <c r="I313" t="n">
        <v>0</v>
      </c>
      <c r="J313" t="n">
        <v>0</v>
      </c>
      <c r="K313" t="n">
        <v>1</v>
      </c>
      <c r="L313" t="n">
        <v>0</v>
      </c>
      <c r="M313" t="n">
        <v>0</v>
      </c>
      <c r="N313" t="n">
        <v>0</v>
      </c>
      <c r="O313" t="n">
        <v>1</v>
      </c>
      <c r="P313" t="n">
        <v>1</v>
      </c>
      <c r="Q313" t="n">
        <v>2</v>
      </c>
      <c r="R313" s="2" t="inlineStr">
        <is>
          <t>Knärot
Mattlummer</t>
        </is>
      </c>
      <c r="S313">
        <f>HYPERLINK("https://klasma.github.io/Logging_0861/artfynd/A 18165-2025 artfynd.xlsx", "A 18165-2025")</f>
        <v/>
      </c>
      <c r="T313">
        <f>HYPERLINK("https://klasma.github.io/Logging_0861/kartor/A 18165-2025 karta.png", "A 18165-2025")</f>
        <v/>
      </c>
      <c r="U313">
        <f>HYPERLINK("https://klasma.github.io/Logging_0861/knärot/A 18165-2025 karta knärot.png", "A 18165-2025")</f>
        <v/>
      </c>
      <c r="V313">
        <f>HYPERLINK("https://klasma.github.io/Logging_0861/klagomål/A 18165-2025 FSC-klagomål.docx", "A 18165-2025")</f>
        <v/>
      </c>
      <c r="W313">
        <f>HYPERLINK("https://klasma.github.io/Logging_0861/klagomålsmail/A 18165-2025 FSC-klagomål mail.docx", "A 18165-2025")</f>
        <v/>
      </c>
      <c r="X313">
        <f>HYPERLINK("https://klasma.github.io/Logging_0861/tillsyn/A 18165-2025 tillsynsbegäran.docx", "A 18165-2025")</f>
        <v/>
      </c>
      <c r="Y313">
        <f>HYPERLINK("https://klasma.github.io/Logging_0861/tillsynsmail/A 18165-2025 tillsynsbegäran mail.docx", "A 18165-2025")</f>
        <v/>
      </c>
    </row>
    <row r="314" ht="15" customHeight="1">
      <c r="A314" t="inlineStr">
        <is>
          <t>A 53295-2021</t>
        </is>
      </c>
      <c r="B314" s="1" t="n">
        <v>44468</v>
      </c>
      <c r="C314" s="1" t="n">
        <v>45884</v>
      </c>
      <c r="D314" t="inlineStr">
        <is>
          <t>KALMAR LÄN</t>
        </is>
      </c>
      <c r="E314" t="inlineStr">
        <is>
          <t>HULTSFRED</t>
        </is>
      </c>
      <c r="F314" t="inlineStr">
        <is>
          <t>Sveaskog</t>
        </is>
      </c>
      <c r="G314" t="n">
        <v>2.2</v>
      </c>
      <c r="H314" t="n">
        <v>1</v>
      </c>
      <c r="I314" t="n">
        <v>0</v>
      </c>
      <c r="J314" t="n">
        <v>1</v>
      </c>
      <c r="K314" t="n">
        <v>0</v>
      </c>
      <c r="L314" t="n">
        <v>0</v>
      </c>
      <c r="M314" t="n">
        <v>0</v>
      </c>
      <c r="N314" t="n">
        <v>0</v>
      </c>
      <c r="O314" t="n">
        <v>1</v>
      </c>
      <c r="P314" t="n">
        <v>0</v>
      </c>
      <c r="Q314" t="n">
        <v>2</v>
      </c>
      <c r="R314" s="2" t="inlineStr">
        <is>
          <t>Vedskivlav
Blåsippa</t>
        </is>
      </c>
      <c r="S314">
        <f>HYPERLINK("https://klasma.github.io/Logging_0860/artfynd/A 53295-2021 artfynd.xlsx", "A 53295-2021")</f>
        <v/>
      </c>
      <c r="T314">
        <f>HYPERLINK("https://klasma.github.io/Logging_0860/kartor/A 53295-2021 karta.png", "A 53295-2021")</f>
        <v/>
      </c>
      <c r="V314">
        <f>HYPERLINK("https://klasma.github.io/Logging_0860/klagomål/A 53295-2021 FSC-klagomål.docx", "A 53295-2021")</f>
        <v/>
      </c>
      <c r="W314">
        <f>HYPERLINK("https://klasma.github.io/Logging_0860/klagomålsmail/A 53295-2021 FSC-klagomål mail.docx", "A 53295-2021")</f>
        <v/>
      </c>
      <c r="X314">
        <f>HYPERLINK("https://klasma.github.io/Logging_0860/tillsyn/A 53295-2021 tillsynsbegäran.docx", "A 53295-2021")</f>
        <v/>
      </c>
      <c r="Y314">
        <f>HYPERLINK("https://klasma.github.io/Logging_0860/tillsynsmail/A 53295-2021 tillsynsbegäran mail.docx", "A 53295-2021")</f>
        <v/>
      </c>
    </row>
    <row r="315" ht="15" customHeight="1">
      <c r="A315" t="inlineStr">
        <is>
          <t>A 31695-2023</t>
        </is>
      </c>
      <c r="B315" s="1" t="n">
        <v>45105</v>
      </c>
      <c r="C315" s="1" t="n">
        <v>45884</v>
      </c>
      <c r="D315" t="inlineStr">
        <is>
          <t>KALMAR LÄN</t>
        </is>
      </c>
      <c r="E315" t="inlineStr">
        <is>
          <t>KALMAR</t>
        </is>
      </c>
      <c r="G315" t="n">
        <v>0.7</v>
      </c>
      <c r="H315" t="n">
        <v>0</v>
      </c>
      <c r="I315" t="n">
        <v>2</v>
      </c>
      <c r="J315" t="n">
        <v>0</v>
      </c>
      <c r="K315" t="n">
        <v>0</v>
      </c>
      <c r="L315" t="n">
        <v>0</v>
      </c>
      <c r="M315" t="n">
        <v>0</v>
      </c>
      <c r="N315" t="n">
        <v>0</v>
      </c>
      <c r="O315" t="n">
        <v>0</v>
      </c>
      <c r="P315" t="n">
        <v>0</v>
      </c>
      <c r="Q315" t="n">
        <v>2</v>
      </c>
      <c r="R315" s="2" t="inlineStr">
        <is>
          <t>Blåmossa
Grovticka</t>
        </is>
      </c>
      <c r="S315">
        <f>HYPERLINK("https://klasma.github.io/Logging_0880/artfynd/A 31695-2023 artfynd.xlsx", "A 31695-2023")</f>
        <v/>
      </c>
      <c r="T315">
        <f>HYPERLINK("https://klasma.github.io/Logging_0880/kartor/A 31695-2023 karta.png", "A 31695-2023")</f>
        <v/>
      </c>
      <c r="V315">
        <f>HYPERLINK("https://klasma.github.io/Logging_0880/klagomål/A 31695-2023 FSC-klagomål.docx", "A 31695-2023")</f>
        <v/>
      </c>
      <c r="W315">
        <f>HYPERLINK("https://klasma.github.io/Logging_0880/klagomålsmail/A 31695-2023 FSC-klagomål mail.docx", "A 31695-2023")</f>
        <v/>
      </c>
      <c r="X315">
        <f>HYPERLINK("https://klasma.github.io/Logging_0880/tillsyn/A 31695-2023 tillsynsbegäran.docx", "A 31695-2023")</f>
        <v/>
      </c>
      <c r="Y315">
        <f>HYPERLINK("https://klasma.github.io/Logging_0880/tillsynsmail/A 31695-2023 tillsynsbegäran mail.docx", "A 31695-2023")</f>
        <v/>
      </c>
    </row>
    <row r="316" ht="15" customHeight="1">
      <c r="A316" t="inlineStr">
        <is>
          <t>A 61804-2023</t>
        </is>
      </c>
      <c r="B316" s="1" t="n">
        <v>45266</v>
      </c>
      <c r="C316" s="1" t="n">
        <v>45884</v>
      </c>
      <c r="D316" t="inlineStr">
        <is>
          <t>KALMAR LÄN</t>
        </is>
      </c>
      <c r="E316" t="inlineStr">
        <is>
          <t>VÄSTERVIK</t>
        </is>
      </c>
      <c r="G316" t="n">
        <v>2.3</v>
      </c>
      <c r="H316" t="n">
        <v>0</v>
      </c>
      <c r="I316" t="n">
        <v>0</v>
      </c>
      <c r="J316" t="n">
        <v>2</v>
      </c>
      <c r="K316" t="n">
        <v>0</v>
      </c>
      <c r="L316" t="n">
        <v>0</v>
      </c>
      <c r="M316" t="n">
        <v>0</v>
      </c>
      <c r="N316" t="n">
        <v>0</v>
      </c>
      <c r="O316" t="n">
        <v>2</v>
      </c>
      <c r="P316" t="n">
        <v>0</v>
      </c>
      <c r="Q316" t="n">
        <v>2</v>
      </c>
      <c r="R316" s="2" t="inlineStr">
        <is>
          <t>Bredbrämad bastardsvärmare
Smalsprötad bastardsvärmare</t>
        </is>
      </c>
      <c r="S316">
        <f>HYPERLINK("https://klasma.github.io/Logging_0883/artfynd/A 61804-2023 artfynd.xlsx", "A 61804-2023")</f>
        <v/>
      </c>
      <c r="T316">
        <f>HYPERLINK("https://klasma.github.io/Logging_0883/kartor/A 61804-2023 karta.png", "A 61804-2023")</f>
        <v/>
      </c>
      <c r="V316">
        <f>HYPERLINK("https://klasma.github.io/Logging_0883/klagomål/A 61804-2023 FSC-klagomål.docx", "A 61804-2023")</f>
        <v/>
      </c>
      <c r="W316">
        <f>HYPERLINK("https://klasma.github.io/Logging_0883/klagomålsmail/A 61804-2023 FSC-klagomål mail.docx", "A 61804-2023")</f>
        <v/>
      </c>
      <c r="X316">
        <f>HYPERLINK("https://klasma.github.io/Logging_0883/tillsyn/A 61804-2023 tillsynsbegäran.docx", "A 61804-2023")</f>
        <v/>
      </c>
      <c r="Y316">
        <f>HYPERLINK("https://klasma.github.io/Logging_0883/tillsynsmail/A 61804-2023 tillsynsbegäran mail.docx", "A 61804-2023")</f>
        <v/>
      </c>
    </row>
    <row r="317" ht="15" customHeight="1">
      <c r="A317" t="inlineStr">
        <is>
          <t>A 9770-2024</t>
        </is>
      </c>
      <c r="B317" s="1" t="n">
        <v>45362.63960648148</v>
      </c>
      <c r="C317" s="1" t="n">
        <v>45884</v>
      </c>
      <c r="D317" t="inlineStr">
        <is>
          <t>KALMAR LÄN</t>
        </is>
      </c>
      <c r="E317" t="inlineStr">
        <is>
          <t>VÄSTERVIK</t>
        </is>
      </c>
      <c r="G317" t="n">
        <v>2.6</v>
      </c>
      <c r="H317" t="n">
        <v>2</v>
      </c>
      <c r="I317" t="n">
        <v>0</v>
      </c>
      <c r="J317" t="n">
        <v>1</v>
      </c>
      <c r="K317" t="n">
        <v>0</v>
      </c>
      <c r="L317" t="n">
        <v>0</v>
      </c>
      <c r="M317" t="n">
        <v>0</v>
      </c>
      <c r="N317" t="n">
        <v>0</v>
      </c>
      <c r="O317" t="n">
        <v>1</v>
      </c>
      <c r="P317" t="n">
        <v>0</v>
      </c>
      <c r="Q317" t="n">
        <v>2</v>
      </c>
      <c r="R317" s="2" t="inlineStr">
        <is>
          <t>Talltita
Tjäder</t>
        </is>
      </c>
      <c r="S317">
        <f>HYPERLINK("https://klasma.github.io/Logging_0883/artfynd/A 9770-2024 artfynd.xlsx", "A 9770-2024")</f>
        <v/>
      </c>
      <c r="T317">
        <f>HYPERLINK("https://klasma.github.io/Logging_0883/kartor/A 9770-2024 karta.png", "A 9770-2024")</f>
        <v/>
      </c>
      <c r="V317">
        <f>HYPERLINK("https://klasma.github.io/Logging_0883/klagomål/A 9770-2024 FSC-klagomål.docx", "A 9770-2024")</f>
        <v/>
      </c>
      <c r="W317">
        <f>HYPERLINK("https://klasma.github.io/Logging_0883/klagomålsmail/A 9770-2024 FSC-klagomål mail.docx", "A 9770-2024")</f>
        <v/>
      </c>
      <c r="X317">
        <f>HYPERLINK("https://klasma.github.io/Logging_0883/tillsyn/A 9770-2024 tillsynsbegäran.docx", "A 9770-2024")</f>
        <v/>
      </c>
      <c r="Y317">
        <f>HYPERLINK("https://klasma.github.io/Logging_0883/tillsynsmail/A 9770-2024 tillsynsbegäran mail.docx", "A 9770-2024")</f>
        <v/>
      </c>
      <c r="Z317">
        <f>HYPERLINK("https://klasma.github.io/Logging_0883/fåglar/A 9770-2024 prioriterade fågelarter.docx", "A 9770-2024")</f>
        <v/>
      </c>
    </row>
    <row r="318" ht="15" customHeight="1">
      <c r="A318" t="inlineStr">
        <is>
          <t>A 14126-2025</t>
        </is>
      </c>
      <c r="B318" s="1" t="n">
        <v>45740.47012731482</v>
      </c>
      <c r="C318" s="1" t="n">
        <v>45884</v>
      </c>
      <c r="D318" t="inlineStr">
        <is>
          <t>KALMAR LÄN</t>
        </is>
      </c>
      <c r="E318" t="inlineStr">
        <is>
          <t>VÄSTERVIK</t>
        </is>
      </c>
      <c r="F318" t="inlineStr">
        <is>
          <t>Sveaskog</t>
        </is>
      </c>
      <c r="G318" t="n">
        <v>1.3</v>
      </c>
      <c r="H318" t="n">
        <v>2</v>
      </c>
      <c r="I318" t="n">
        <v>0</v>
      </c>
      <c r="J318" t="n">
        <v>1</v>
      </c>
      <c r="K318" t="n">
        <v>0</v>
      </c>
      <c r="L318" t="n">
        <v>0</v>
      </c>
      <c r="M318" t="n">
        <v>0</v>
      </c>
      <c r="N318" t="n">
        <v>0</v>
      </c>
      <c r="O318" t="n">
        <v>1</v>
      </c>
      <c r="P318" t="n">
        <v>0</v>
      </c>
      <c r="Q318" t="n">
        <v>2</v>
      </c>
      <c r="R318" s="2" t="inlineStr">
        <is>
          <t>Grönsångare
Blåsippa</t>
        </is>
      </c>
      <c r="S318">
        <f>HYPERLINK("https://klasma.github.io/Logging_0883/artfynd/A 14126-2025 artfynd.xlsx", "A 14126-2025")</f>
        <v/>
      </c>
      <c r="T318">
        <f>HYPERLINK("https://klasma.github.io/Logging_0883/kartor/A 14126-2025 karta.png", "A 14126-2025")</f>
        <v/>
      </c>
      <c r="V318">
        <f>HYPERLINK("https://klasma.github.io/Logging_0883/klagomål/A 14126-2025 FSC-klagomål.docx", "A 14126-2025")</f>
        <v/>
      </c>
      <c r="W318">
        <f>HYPERLINK("https://klasma.github.io/Logging_0883/klagomålsmail/A 14126-2025 FSC-klagomål mail.docx", "A 14126-2025")</f>
        <v/>
      </c>
      <c r="X318">
        <f>HYPERLINK("https://klasma.github.io/Logging_0883/tillsyn/A 14126-2025 tillsynsbegäran.docx", "A 14126-2025")</f>
        <v/>
      </c>
      <c r="Y318">
        <f>HYPERLINK("https://klasma.github.io/Logging_0883/tillsynsmail/A 14126-2025 tillsynsbegäran mail.docx", "A 14126-2025")</f>
        <v/>
      </c>
      <c r="Z318">
        <f>HYPERLINK("https://klasma.github.io/Logging_0883/fåglar/A 14126-2025 prioriterade fågelarter.docx", "A 14126-2025")</f>
        <v/>
      </c>
    </row>
    <row r="319" ht="15" customHeight="1">
      <c r="A319" t="inlineStr">
        <is>
          <t>A 19334-2025</t>
        </is>
      </c>
      <c r="B319" s="1" t="n">
        <v>45769.58797453704</v>
      </c>
      <c r="C319" s="1" t="n">
        <v>45884</v>
      </c>
      <c r="D319" t="inlineStr">
        <is>
          <t>KALMAR LÄN</t>
        </is>
      </c>
      <c r="E319" t="inlineStr">
        <is>
          <t>OSKARSHAMN</t>
        </is>
      </c>
      <c r="G319" t="n">
        <v>14.9</v>
      </c>
      <c r="H319" t="n">
        <v>0</v>
      </c>
      <c r="I319" t="n">
        <v>0</v>
      </c>
      <c r="J319" t="n">
        <v>2</v>
      </c>
      <c r="K319" t="n">
        <v>0</v>
      </c>
      <c r="L319" t="n">
        <v>0</v>
      </c>
      <c r="M319" t="n">
        <v>0</v>
      </c>
      <c r="N319" t="n">
        <v>0</v>
      </c>
      <c r="O319" t="n">
        <v>2</v>
      </c>
      <c r="P319" t="n">
        <v>0</v>
      </c>
      <c r="Q319" t="n">
        <v>2</v>
      </c>
      <c r="R319" s="2" t="inlineStr">
        <is>
          <t>Backtimjan
Flentimotej</t>
        </is>
      </c>
      <c r="S319">
        <f>HYPERLINK("https://klasma.github.io/Logging_0882/artfynd/A 19334-2025 artfynd.xlsx", "A 19334-2025")</f>
        <v/>
      </c>
      <c r="T319">
        <f>HYPERLINK("https://klasma.github.io/Logging_0882/kartor/A 19334-2025 karta.png", "A 19334-2025")</f>
        <v/>
      </c>
      <c r="V319">
        <f>HYPERLINK("https://klasma.github.io/Logging_0882/klagomål/A 19334-2025 FSC-klagomål.docx", "A 19334-2025")</f>
        <v/>
      </c>
      <c r="W319">
        <f>HYPERLINK("https://klasma.github.io/Logging_0882/klagomålsmail/A 19334-2025 FSC-klagomål mail.docx", "A 19334-2025")</f>
        <v/>
      </c>
      <c r="X319">
        <f>HYPERLINK("https://klasma.github.io/Logging_0882/tillsyn/A 19334-2025 tillsynsbegäran.docx", "A 19334-2025")</f>
        <v/>
      </c>
      <c r="Y319">
        <f>HYPERLINK("https://klasma.github.io/Logging_0882/tillsynsmail/A 19334-2025 tillsynsbegäran mail.docx", "A 19334-2025")</f>
        <v/>
      </c>
    </row>
    <row r="320" ht="15" customHeight="1">
      <c r="A320" t="inlineStr">
        <is>
          <t>A 8618-2024</t>
        </is>
      </c>
      <c r="B320" s="1" t="n">
        <v>45355.73453703704</v>
      </c>
      <c r="C320" s="1" t="n">
        <v>45884</v>
      </c>
      <c r="D320" t="inlineStr">
        <is>
          <t>KALMAR LÄN</t>
        </is>
      </c>
      <c r="E320" t="inlineStr">
        <is>
          <t>VÄSTERVIK</t>
        </is>
      </c>
      <c r="G320" t="n">
        <v>4.3</v>
      </c>
      <c r="H320" t="n">
        <v>1</v>
      </c>
      <c r="I320" t="n">
        <v>0</v>
      </c>
      <c r="J320" t="n">
        <v>1</v>
      </c>
      <c r="K320" t="n">
        <v>1</v>
      </c>
      <c r="L320" t="n">
        <v>0</v>
      </c>
      <c r="M320" t="n">
        <v>0</v>
      </c>
      <c r="N320" t="n">
        <v>0</v>
      </c>
      <c r="O320" t="n">
        <v>2</v>
      </c>
      <c r="P320" t="n">
        <v>1</v>
      </c>
      <c r="Q320" t="n">
        <v>2</v>
      </c>
      <c r="R320" s="2" t="inlineStr">
        <is>
          <t>Knärot
Tallticka</t>
        </is>
      </c>
      <c r="S320">
        <f>HYPERLINK("https://klasma.github.io/Logging_0883/artfynd/A 8618-2024 artfynd.xlsx", "A 8618-2024")</f>
        <v/>
      </c>
      <c r="T320">
        <f>HYPERLINK("https://klasma.github.io/Logging_0883/kartor/A 8618-2024 karta.png", "A 8618-2024")</f>
        <v/>
      </c>
      <c r="U320">
        <f>HYPERLINK("https://klasma.github.io/Logging_0883/knärot/A 8618-2024 karta knärot.png", "A 8618-2024")</f>
        <v/>
      </c>
      <c r="V320">
        <f>HYPERLINK("https://klasma.github.io/Logging_0883/klagomål/A 8618-2024 FSC-klagomål.docx", "A 8618-2024")</f>
        <v/>
      </c>
      <c r="W320">
        <f>HYPERLINK("https://klasma.github.io/Logging_0883/klagomålsmail/A 8618-2024 FSC-klagomål mail.docx", "A 8618-2024")</f>
        <v/>
      </c>
      <c r="X320">
        <f>HYPERLINK("https://klasma.github.io/Logging_0883/tillsyn/A 8618-2024 tillsynsbegäran.docx", "A 8618-2024")</f>
        <v/>
      </c>
      <c r="Y320">
        <f>HYPERLINK("https://klasma.github.io/Logging_0883/tillsynsmail/A 8618-2024 tillsynsbegäran mail.docx", "A 8618-2024")</f>
        <v/>
      </c>
    </row>
    <row r="321" ht="15" customHeight="1">
      <c r="A321" t="inlineStr">
        <is>
          <t>A 2063-2023</t>
        </is>
      </c>
      <c r="B321" s="1" t="n">
        <v>44939</v>
      </c>
      <c r="C321" s="1" t="n">
        <v>45884</v>
      </c>
      <c r="D321" t="inlineStr">
        <is>
          <t>KALMAR LÄN</t>
        </is>
      </c>
      <c r="E321" t="inlineStr">
        <is>
          <t>TORSÅS</t>
        </is>
      </c>
      <c r="G321" t="n">
        <v>1.8</v>
      </c>
      <c r="H321" t="n">
        <v>0</v>
      </c>
      <c r="I321" t="n">
        <v>0</v>
      </c>
      <c r="J321" t="n">
        <v>1</v>
      </c>
      <c r="K321" t="n">
        <v>0</v>
      </c>
      <c r="L321" t="n">
        <v>0</v>
      </c>
      <c r="M321" t="n">
        <v>1</v>
      </c>
      <c r="N321" t="n">
        <v>0</v>
      </c>
      <c r="O321" t="n">
        <v>2</v>
      </c>
      <c r="P321" t="n">
        <v>1</v>
      </c>
      <c r="Q321" t="n">
        <v>2</v>
      </c>
      <c r="R321" s="2" t="inlineStr">
        <is>
          <t>Selleri
Kavelhirs</t>
        </is>
      </c>
      <c r="S321">
        <f>HYPERLINK("https://klasma.github.io/Logging_0834/artfynd/A 2063-2023 artfynd.xlsx", "A 2063-2023")</f>
        <v/>
      </c>
      <c r="T321">
        <f>HYPERLINK("https://klasma.github.io/Logging_0834/kartor/A 2063-2023 karta.png", "A 2063-2023")</f>
        <v/>
      </c>
      <c r="V321">
        <f>HYPERLINK("https://klasma.github.io/Logging_0834/klagomål/A 2063-2023 FSC-klagomål.docx", "A 2063-2023")</f>
        <v/>
      </c>
      <c r="W321">
        <f>HYPERLINK("https://klasma.github.io/Logging_0834/klagomålsmail/A 2063-2023 FSC-klagomål mail.docx", "A 2063-2023")</f>
        <v/>
      </c>
      <c r="X321">
        <f>HYPERLINK("https://klasma.github.io/Logging_0834/tillsyn/A 2063-2023 tillsynsbegäran.docx", "A 2063-2023")</f>
        <v/>
      </c>
      <c r="Y321">
        <f>HYPERLINK("https://klasma.github.io/Logging_0834/tillsynsmail/A 2063-2023 tillsynsbegäran mail.docx", "A 2063-2023")</f>
        <v/>
      </c>
    </row>
    <row r="322" ht="15" customHeight="1">
      <c r="A322" t="inlineStr">
        <is>
          <t>A 11903-2021</t>
        </is>
      </c>
      <c r="B322" s="1" t="n">
        <v>44265.81850694444</v>
      </c>
      <c r="C322" s="1" t="n">
        <v>45884</v>
      </c>
      <c r="D322" t="inlineStr">
        <is>
          <t>KALMAR LÄN</t>
        </is>
      </c>
      <c r="E322" t="inlineStr">
        <is>
          <t>MÖNSTERÅS</t>
        </is>
      </c>
      <c r="G322" t="n">
        <v>6.5</v>
      </c>
      <c r="H322" t="n">
        <v>2</v>
      </c>
      <c r="I322" t="n">
        <v>0</v>
      </c>
      <c r="J322" t="n">
        <v>0</v>
      </c>
      <c r="K322" t="n">
        <v>2</v>
      </c>
      <c r="L322" t="n">
        <v>0</v>
      </c>
      <c r="M322" t="n">
        <v>0</v>
      </c>
      <c r="N322" t="n">
        <v>0</v>
      </c>
      <c r="O322" t="n">
        <v>2</v>
      </c>
      <c r="P322" t="n">
        <v>2</v>
      </c>
      <c r="Q322" t="n">
        <v>2</v>
      </c>
      <c r="R322" s="2" t="inlineStr">
        <is>
          <t>Kricka
Småfläckig sumphöna</t>
        </is>
      </c>
      <c r="S322">
        <f>HYPERLINK("https://klasma.github.io/Logging_0861/artfynd/A 11903-2021 artfynd.xlsx", "A 11903-2021")</f>
        <v/>
      </c>
      <c r="T322">
        <f>HYPERLINK("https://klasma.github.io/Logging_0861/kartor/A 11903-2021 karta.png", "A 11903-2021")</f>
        <v/>
      </c>
      <c r="V322">
        <f>HYPERLINK("https://klasma.github.io/Logging_0861/klagomål/A 11903-2021 FSC-klagomål.docx", "A 11903-2021")</f>
        <v/>
      </c>
      <c r="W322">
        <f>HYPERLINK("https://klasma.github.io/Logging_0861/klagomålsmail/A 11903-2021 FSC-klagomål mail.docx", "A 11903-2021")</f>
        <v/>
      </c>
      <c r="X322">
        <f>HYPERLINK("https://klasma.github.io/Logging_0861/tillsyn/A 11903-2021 tillsynsbegäran.docx", "A 11903-2021")</f>
        <v/>
      </c>
      <c r="Y322">
        <f>HYPERLINK("https://klasma.github.io/Logging_0861/tillsynsmail/A 11903-2021 tillsynsbegäran mail.docx", "A 11903-2021")</f>
        <v/>
      </c>
      <c r="Z322">
        <f>HYPERLINK("https://klasma.github.io/Logging_0861/fåglar/A 11903-2021 prioriterade fågelarter.docx", "A 11903-2021")</f>
        <v/>
      </c>
    </row>
    <row r="323" ht="15" customHeight="1">
      <c r="A323" t="inlineStr">
        <is>
          <t>A 22825-2023</t>
        </is>
      </c>
      <c r="B323" s="1" t="n">
        <v>45072</v>
      </c>
      <c r="C323" s="1" t="n">
        <v>45884</v>
      </c>
      <c r="D323" t="inlineStr">
        <is>
          <t>KALMAR LÄN</t>
        </is>
      </c>
      <c r="E323" t="inlineStr">
        <is>
          <t>VIMMERBY</t>
        </is>
      </c>
      <c r="G323" t="n">
        <v>14.1</v>
      </c>
      <c r="H323" t="n">
        <v>0</v>
      </c>
      <c r="I323" t="n">
        <v>0</v>
      </c>
      <c r="J323" t="n">
        <v>2</v>
      </c>
      <c r="K323" t="n">
        <v>0</v>
      </c>
      <c r="L323" t="n">
        <v>0</v>
      </c>
      <c r="M323" t="n">
        <v>0</v>
      </c>
      <c r="N323" t="n">
        <v>0</v>
      </c>
      <c r="O323" t="n">
        <v>2</v>
      </c>
      <c r="P323" t="n">
        <v>0</v>
      </c>
      <c r="Q323" t="n">
        <v>2</v>
      </c>
      <c r="R323" s="2" t="inlineStr">
        <is>
          <t>Klasefibbla
Sommarfibbla</t>
        </is>
      </c>
      <c r="S323">
        <f>HYPERLINK("https://klasma.github.io/Logging_0884/artfynd/A 22825-2023 artfynd.xlsx", "A 22825-2023")</f>
        <v/>
      </c>
      <c r="T323">
        <f>HYPERLINK("https://klasma.github.io/Logging_0884/kartor/A 22825-2023 karta.png", "A 22825-2023")</f>
        <v/>
      </c>
      <c r="V323">
        <f>HYPERLINK("https://klasma.github.io/Logging_0884/klagomål/A 22825-2023 FSC-klagomål.docx", "A 22825-2023")</f>
        <v/>
      </c>
      <c r="W323">
        <f>HYPERLINK("https://klasma.github.io/Logging_0884/klagomålsmail/A 22825-2023 FSC-klagomål mail.docx", "A 22825-2023")</f>
        <v/>
      </c>
      <c r="X323">
        <f>HYPERLINK("https://klasma.github.io/Logging_0884/tillsyn/A 22825-2023 tillsynsbegäran.docx", "A 22825-2023")</f>
        <v/>
      </c>
      <c r="Y323">
        <f>HYPERLINK("https://klasma.github.io/Logging_0884/tillsynsmail/A 22825-2023 tillsynsbegäran mail.docx", "A 22825-2023")</f>
        <v/>
      </c>
    </row>
    <row r="324" ht="15" customHeight="1">
      <c r="A324" t="inlineStr">
        <is>
          <t>A 33043-2022</t>
        </is>
      </c>
      <c r="B324" s="1" t="n">
        <v>44785</v>
      </c>
      <c r="C324" s="1" t="n">
        <v>45884</v>
      </c>
      <c r="D324" t="inlineStr">
        <is>
          <t>KALMAR LÄN</t>
        </is>
      </c>
      <c r="E324" t="inlineStr">
        <is>
          <t>KALMAR</t>
        </is>
      </c>
      <c r="F324" t="inlineStr">
        <is>
          <t>Kyrkan</t>
        </is>
      </c>
      <c r="G324" t="n">
        <v>1.6</v>
      </c>
      <c r="H324" t="n">
        <v>1</v>
      </c>
      <c r="I324" t="n">
        <v>1</v>
      </c>
      <c r="J324" t="n">
        <v>0</v>
      </c>
      <c r="K324" t="n">
        <v>1</v>
      </c>
      <c r="L324" t="n">
        <v>0</v>
      </c>
      <c r="M324" t="n">
        <v>0</v>
      </c>
      <c r="N324" t="n">
        <v>0</v>
      </c>
      <c r="O324" t="n">
        <v>1</v>
      </c>
      <c r="P324" t="n">
        <v>1</v>
      </c>
      <c r="Q324" t="n">
        <v>2</v>
      </c>
      <c r="R324" s="2" t="inlineStr">
        <is>
          <t>Knärot
Murgröna</t>
        </is>
      </c>
      <c r="S324">
        <f>HYPERLINK("https://klasma.github.io/Logging_0880/artfynd/A 33043-2022 artfynd.xlsx", "A 33043-2022")</f>
        <v/>
      </c>
      <c r="T324">
        <f>HYPERLINK("https://klasma.github.io/Logging_0880/kartor/A 33043-2022 karta.png", "A 33043-2022")</f>
        <v/>
      </c>
      <c r="U324">
        <f>HYPERLINK("https://klasma.github.io/Logging_0880/knärot/A 33043-2022 karta knärot.png", "A 33043-2022")</f>
        <v/>
      </c>
      <c r="V324">
        <f>HYPERLINK("https://klasma.github.io/Logging_0880/klagomål/A 33043-2022 FSC-klagomål.docx", "A 33043-2022")</f>
        <v/>
      </c>
      <c r="W324">
        <f>HYPERLINK("https://klasma.github.io/Logging_0880/klagomålsmail/A 33043-2022 FSC-klagomål mail.docx", "A 33043-2022")</f>
        <v/>
      </c>
      <c r="X324">
        <f>HYPERLINK("https://klasma.github.io/Logging_0880/tillsyn/A 33043-2022 tillsynsbegäran.docx", "A 33043-2022")</f>
        <v/>
      </c>
      <c r="Y324">
        <f>HYPERLINK("https://klasma.github.io/Logging_0880/tillsynsmail/A 33043-2022 tillsynsbegäran mail.docx", "A 33043-2022")</f>
        <v/>
      </c>
    </row>
    <row r="325" ht="15" customHeight="1">
      <c r="A325" t="inlineStr">
        <is>
          <t>A 47935-2023</t>
        </is>
      </c>
      <c r="B325" s="1" t="n">
        <v>45204</v>
      </c>
      <c r="C325" s="1" t="n">
        <v>45884</v>
      </c>
      <c r="D325" t="inlineStr">
        <is>
          <t>KALMAR LÄN</t>
        </is>
      </c>
      <c r="E325" t="inlineStr">
        <is>
          <t>VÄSTERVIK</t>
        </is>
      </c>
      <c r="G325" t="n">
        <v>4.3</v>
      </c>
      <c r="H325" t="n">
        <v>0</v>
      </c>
      <c r="I325" t="n">
        <v>1</v>
      </c>
      <c r="J325" t="n">
        <v>1</v>
      </c>
      <c r="K325" t="n">
        <v>0</v>
      </c>
      <c r="L325" t="n">
        <v>0</v>
      </c>
      <c r="M325" t="n">
        <v>0</v>
      </c>
      <c r="N325" t="n">
        <v>0</v>
      </c>
      <c r="O325" t="n">
        <v>1</v>
      </c>
      <c r="P325" t="n">
        <v>0</v>
      </c>
      <c r="Q325" t="n">
        <v>2</v>
      </c>
      <c r="R325" s="2" t="inlineStr">
        <is>
          <t>Tallticka
Blåmossa</t>
        </is>
      </c>
      <c r="S325">
        <f>HYPERLINK("https://klasma.github.io/Logging_0883/artfynd/A 47935-2023 artfynd.xlsx", "A 47935-2023")</f>
        <v/>
      </c>
      <c r="T325">
        <f>HYPERLINK("https://klasma.github.io/Logging_0883/kartor/A 47935-2023 karta.png", "A 47935-2023")</f>
        <v/>
      </c>
      <c r="V325">
        <f>HYPERLINK("https://klasma.github.io/Logging_0883/klagomål/A 47935-2023 FSC-klagomål.docx", "A 47935-2023")</f>
        <v/>
      </c>
      <c r="W325">
        <f>HYPERLINK("https://klasma.github.io/Logging_0883/klagomålsmail/A 47935-2023 FSC-klagomål mail.docx", "A 47935-2023")</f>
        <v/>
      </c>
      <c r="X325">
        <f>HYPERLINK("https://klasma.github.io/Logging_0883/tillsyn/A 47935-2023 tillsynsbegäran.docx", "A 47935-2023")</f>
        <v/>
      </c>
      <c r="Y325">
        <f>HYPERLINK("https://klasma.github.io/Logging_0883/tillsynsmail/A 47935-2023 tillsynsbegäran mail.docx", "A 47935-2023")</f>
        <v/>
      </c>
    </row>
    <row r="326" ht="15" customHeight="1">
      <c r="A326" t="inlineStr">
        <is>
          <t>A 9186-2024</t>
        </is>
      </c>
      <c r="B326" s="1" t="n">
        <v>45358.44835648148</v>
      </c>
      <c r="C326" s="1" t="n">
        <v>45884</v>
      </c>
      <c r="D326" t="inlineStr">
        <is>
          <t>KALMAR LÄN</t>
        </is>
      </c>
      <c r="E326" t="inlineStr">
        <is>
          <t>NYBRO</t>
        </is>
      </c>
      <c r="G326" t="n">
        <v>3.8</v>
      </c>
      <c r="H326" t="n">
        <v>0</v>
      </c>
      <c r="I326" t="n">
        <v>2</v>
      </c>
      <c r="J326" t="n">
        <v>0</v>
      </c>
      <c r="K326" t="n">
        <v>0</v>
      </c>
      <c r="L326" t="n">
        <v>0</v>
      </c>
      <c r="M326" t="n">
        <v>0</v>
      </c>
      <c r="N326" t="n">
        <v>0</v>
      </c>
      <c r="O326" t="n">
        <v>0</v>
      </c>
      <c r="P326" t="n">
        <v>0</v>
      </c>
      <c r="Q326" t="n">
        <v>2</v>
      </c>
      <c r="R326" s="2" t="inlineStr">
        <is>
          <t>Blåmossa
Dropptaggsvamp</t>
        </is>
      </c>
      <c r="S326">
        <f>HYPERLINK("https://klasma.github.io/Logging_0881/artfynd/A 9186-2024 artfynd.xlsx", "A 9186-2024")</f>
        <v/>
      </c>
      <c r="T326">
        <f>HYPERLINK("https://klasma.github.io/Logging_0881/kartor/A 9186-2024 karta.png", "A 9186-2024")</f>
        <v/>
      </c>
      <c r="V326">
        <f>HYPERLINK("https://klasma.github.io/Logging_0881/klagomål/A 9186-2024 FSC-klagomål.docx", "A 9186-2024")</f>
        <v/>
      </c>
      <c r="W326">
        <f>HYPERLINK("https://klasma.github.io/Logging_0881/klagomålsmail/A 9186-2024 FSC-klagomål mail.docx", "A 9186-2024")</f>
        <v/>
      </c>
      <c r="X326">
        <f>HYPERLINK("https://klasma.github.io/Logging_0881/tillsyn/A 9186-2024 tillsynsbegäran.docx", "A 9186-2024")</f>
        <v/>
      </c>
      <c r="Y326">
        <f>HYPERLINK("https://klasma.github.io/Logging_0881/tillsynsmail/A 9186-2024 tillsynsbegäran mail.docx", "A 9186-2024")</f>
        <v/>
      </c>
    </row>
    <row r="327" ht="15" customHeight="1">
      <c r="A327" t="inlineStr">
        <is>
          <t>A 74390-2021</t>
        </is>
      </c>
      <c r="B327" s="1" t="n">
        <v>44559</v>
      </c>
      <c r="C327" s="1" t="n">
        <v>45884</v>
      </c>
      <c r="D327" t="inlineStr">
        <is>
          <t>KALMAR LÄN</t>
        </is>
      </c>
      <c r="E327" t="inlineStr">
        <is>
          <t>HULTSFRED</t>
        </is>
      </c>
      <c r="G327" t="n">
        <v>1.6</v>
      </c>
      <c r="H327" t="n">
        <v>0</v>
      </c>
      <c r="I327" t="n">
        <v>2</v>
      </c>
      <c r="J327" t="n">
        <v>0</v>
      </c>
      <c r="K327" t="n">
        <v>0</v>
      </c>
      <c r="L327" t="n">
        <v>0</v>
      </c>
      <c r="M327" t="n">
        <v>0</v>
      </c>
      <c r="N327" t="n">
        <v>0</v>
      </c>
      <c r="O327" t="n">
        <v>0</v>
      </c>
      <c r="P327" t="n">
        <v>0</v>
      </c>
      <c r="Q327" t="n">
        <v>2</v>
      </c>
      <c r="R327" s="2" t="inlineStr">
        <is>
          <t>Dvärgkällmossa
Källmossa</t>
        </is>
      </c>
      <c r="S327">
        <f>HYPERLINK("https://klasma.github.io/Logging_0860/artfynd/A 74390-2021 artfynd.xlsx", "A 74390-2021")</f>
        <v/>
      </c>
      <c r="T327">
        <f>HYPERLINK("https://klasma.github.io/Logging_0860/kartor/A 74390-2021 karta.png", "A 74390-2021")</f>
        <v/>
      </c>
      <c r="V327">
        <f>HYPERLINK("https://klasma.github.io/Logging_0860/klagomål/A 74390-2021 FSC-klagomål.docx", "A 74390-2021")</f>
        <v/>
      </c>
      <c r="W327">
        <f>HYPERLINK("https://klasma.github.io/Logging_0860/klagomålsmail/A 74390-2021 FSC-klagomål mail.docx", "A 74390-2021")</f>
        <v/>
      </c>
      <c r="X327">
        <f>HYPERLINK("https://klasma.github.io/Logging_0860/tillsyn/A 74390-2021 tillsynsbegäran.docx", "A 74390-2021")</f>
        <v/>
      </c>
      <c r="Y327">
        <f>HYPERLINK("https://klasma.github.io/Logging_0860/tillsynsmail/A 74390-2021 tillsynsbegäran mail.docx", "A 74390-2021")</f>
        <v/>
      </c>
    </row>
    <row r="328" ht="15" customHeight="1">
      <c r="A328" t="inlineStr">
        <is>
          <t>A 62003-2022</t>
        </is>
      </c>
      <c r="B328" s="1" t="n">
        <v>44918</v>
      </c>
      <c r="C328" s="1" t="n">
        <v>45884</v>
      </c>
      <c r="D328" t="inlineStr">
        <is>
          <t>KALMAR LÄN</t>
        </is>
      </c>
      <c r="E328" t="inlineStr">
        <is>
          <t>VÄSTERVIK</t>
        </is>
      </c>
      <c r="G328" t="n">
        <v>6.2</v>
      </c>
      <c r="H328" t="n">
        <v>1</v>
      </c>
      <c r="I328" t="n">
        <v>0</v>
      </c>
      <c r="J328" t="n">
        <v>1</v>
      </c>
      <c r="K328" t="n">
        <v>1</v>
      </c>
      <c r="L328" t="n">
        <v>0</v>
      </c>
      <c r="M328" t="n">
        <v>0</v>
      </c>
      <c r="N328" t="n">
        <v>0</v>
      </c>
      <c r="O328" t="n">
        <v>2</v>
      </c>
      <c r="P328" t="n">
        <v>1</v>
      </c>
      <c r="Q328" t="n">
        <v>2</v>
      </c>
      <c r="R328" s="2" t="inlineStr">
        <is>
          <t>Knärot
Linmåra/småsnärjmåra</t>
        </is>
      </c>
      <c r="S328">
        <f>HYPERLINK("https://klasma.github.io/Logging_0883/artfynd/A 62003-2022 artfynd.xlsx", "A 62003-2022")</f>
        <v/>
      </c>
      <c r="T328">
        <f>HYPERLINK("https://klasma.github.io/Logging_0883/kartor/A 62003-2022 karta.png", "A 62003-2022")</f>
        <v/>
      </c>
      <c r="U328">
        <f>HYPERLINK("https://klasma.github.io/Logging_0883/knärot/A 62003-2022 karta knärot.png", "A 62003-2022")</f>
        <v/>
      </c>
      <c r="V328">
        <f>HYPERLINK("https://klasma.github.io/Logging_0883/klagomål/A 62003-2022 FSC-klagomål.docx", "A 62003-2022")</f>
        <v/>
      </c>
      <c r="W328">
        <f>HYPERLINK("https://klasma.github.io/Logging_0883/klagomålsmail/A 62003-2022 FSC-klagomål mail.docx", "A 62003-2022")</f>
        <v/>
      </c>
      <c r="X328">
        <f>HYPERLINK("https://klasma.github.io/Logging_0883/tillsyn/A 62003-2022 tillsynsbegäran.docx", "A 62003-2022")</f>
        <v/>
      </c>
      <c r="Y328">
        <f>HYPERLINK("https://klasma.github.io/Logging_0883/tillsynsmail/A 62003-2022 tillsynsbegäran mail.docx", "A 62003-2022")</f>
        <v/>
      </c>
    </row>
    <row r="329" ht="15" customHeight="1">
      <c r="A329" t="inlineStr">
        <is>
          <t>A 30203-2023</t>
        </is>
      </c>
      <c r="B329" s="1" t="n">
        <v>45110</v>
      </c>
      <c r="C329" s="1" t="n">
        <v>45884</v>
      </c>
      <c r="D329" t="inlineStr">
        <is>
          <t>KALMAR LÄN</t>
        </is>
      </c>
      <c r="E329" t="inlineStr">
        <is>
          <t>HÖGSBY</t>
        </is>
      </c>
      <c r="F329" t="inlineStr">
        <is>
          <t>Sveaskog</t>
        </is>
      </c>
      <c r="G329" t="n">
        <v>3.4</v>
      </c>
      <c r="H329" t="n">
        <v>2</v>
      </c>
      <c r="I329" t="n">
        <v>0</v>
      </c>
      <c r="J329" t="n">
        <v>0</v>
      </c>
      <c r="K329" t="n">
        <v>0</v>
      </c>
      <c r="L329" t="n">
        <v>0</v>
      </c>
      <c r="M329" t="n">
        <v>0</v>
      </c>
      <c r="N329" t="n">
        <v>0</v>
      </c>
      <c r="O329" t="n">
        <v>0</v>
      </c>
      <c r="P329" t="n">
        <v>0</v>
      </c>
      <c r="Q329" t="n">
        <v>2</v>
      </c>
      <c r="R329" s="2" t="inlineStr">
        <is>
          <t>Mistel
Gullviva</t>
        </is>
      </c>
      <c r="S329">
        <f>HYPERLINK("https://klasma.github.io/Logging_0821/artfynd/A 30203-2023 artfynd.xlsx", "A 30203-2023")</f>
        <v/>
      </c>
      <c r="T329">
        <f>HYPERLINK("https://klasma.github.io/Logging_0821/kartor/A 30203-2023 karta.png", "A 30203-2023")</f>
        <v/>
      </c>
      <c r="V329">
        <f>HYPERLINK("https://klasma.github.io/Logging_0821/klagomål/A 30203-2023 FSC-klagomål.docx", "A 30203-2023")</f>
        <v/>
      </c>
      <c r="W329">
        <f>HYPERLINK("https://klasma.github.io/Logging_0821/klagomålsmail/A 30203-2023 FSC-klagomål mail.docx", "A 30203-2023")</f>
        <v/>
      </c>
      <c r="X329">
        <f>HYPERLINK("https://klasma.github.io/Logging_0821/tillsyn/A 30203-2023 tillsynsbegäran.docx", "A 30203-2023")</f>
        <v/>
      </c>
      <c r="Y329">
        <f>HYPERLINK("https://klasma.github.io/Logging_0821/tillsynsmail/A 30203-2023 tillsynsbegäran mail.docx", "A 30203-2023")</f>
        <v/>
      </c>
    </row>
    <row r="330" ht="15" customHeight="1">
      <c r="A330" t="inlineStr">
        <is>
          <t>A 1955-2021</t>
        </is>
      </c>
      <c r="B330" s="1" t="n">
        <v>44210</v>
      </c>
      <c r="C330" s="1" t="n">
        <v>45884</v>
      </c>
      <c r="D330" t="inlineStr">
        <is>
          <t>KALMAR LÄN</t>
        </is>
      </c>
      <c r="E330" t="inlineStr">
        <is>
          <t>VÄSTERVIK</t>
        </is>
      </c>
      <c r="G330" t="n">
        <v>5.3</v>
      </c>
      <c r="H330" t="n">
        <v>2</v>
      </c>
      <c r="I330" t="n">
        <v>0</v>
      </c>
      <c r="J330" t="n">
        <v>2</v>
      </c>
      <c r="K330" t="n">
        <v>0</v>
      </c>
      <c r="L330" t="n">
        <v>0</v>
      </c>
      <c r="M330" t="n">
        <v>0</v>
      </c>
      <c r="N330" t="n">
        <v>0</v>
      </c>
      <c r="O330" t="n">
        <v>2</v>
      </c>
      <c r="P330" t="n">
        <v>0</v>
      </c>
      <c r="Q330" t="n">
        <v>2</v>
      </c>
      <c r="R330" s="2" t="inlineStr">
        <is>
          <t>Spillkråka
Talltita</t>
        </is>
      </c>
      <c r="S330">
        <f>HYPERLINK("https://klasma.github.io/Logging_0883/artfynd/A 1955-2021 artfynd.xlsx", "A 1955-2021")</f>
        <v/>
      </c>
      <c r="T330">
        <f>HYPERLINK("https://klasma.github.io/Logging_0883/kartor/A 1955-2021 karta.png", "A 1955-2021")</f>
        <v/>
      </c>
      <c r="V330">
        <f>HYPERLINK("https://klasma.github.io/Logging_0883/klagomål/A 1955-2021 FSC-klagomål.docx", "A 1955-2021")</f>
        <v/>
      </c>
      <c r="W330">
        <f>HYPERLINK("https://klasma.github.io/Logging_0883/klagomålsmail/A 1955-2021 FSC-klagomål mail.docx", "A 1955-2021")</f>
        <v/>
      </c>
      <c r="X330">
        <f>HYPERLINK("https://klasma.github.io/Logging_0883/tillsyn/A 1955-2021 tillsynsbegäran.docx", "A 1955-2021")</f>
        <v/>
      </c>
      <c r="Y330">
        <f>HYPERLINK("https://klasma.github.io/Logging_0883/tillsynsmail/A 1955-2021 tillsynsbegäran mail.docx", "A 1955-2021")</f>
        <v/>
      </c>
      <c r="Z330">
        <f>HYPERLINK("https://klasma.github.io/Logging_0883/fåglar/A 1955-2021 prioriterade fågelarter.docx", "A 1955-2021")</f>
        <v/>
      </c>
    </row>
    <row r="331" ht="15" customHeight="1">
      <c r="A331" t="inlineStr">
        <is>
          <t>A 25439-2021</t>
        </is>
      </c>
      <c r="B331" s="1" t="n">
        <v>44342</v>
      </c>
      <c r="C331" s="1" t="n">
        <v>45884</v>
      </c>
      <c r="D331" t="inlineStr">
        <is>
          <t>KALMAR LÄN</t>
        </is>
      </c>
      <c r="E331" t="inlineStr">
        <is>
          <t>VÄSTERVIK</t>
        </is>
      </c>
      <c r="F331" t="inlineStr">
        <is>
          <t>Holmen skog AB</t>
        </is>
      </c>
      <c r="G331" t="n">
        <v>2.4</v>
      </c>
      <c r="H331" t="n">
        <v>2</v>
      </c>
      <c r="I331" t="n">
        <v>1</v>
      </c>
      <c r="J331" t="n">
        <v>0</v>
      </c>
      <c r="K331" t="n">
        <v>0</v>
      </c>
      <c r="L331" t="n">
        <v>0</v>
      </c>
      <c r="M331" t="n">
        <v>0</v>
      </c>
      <c r="N331" t="n">
        <v>0</v>
      </c>
      <c r="O331" t="n">
        <v>0</v>
      </c>
      <c r="P331" t="n">
        <v>0</v>
      </c>
      <c r="Q331" t="n">
        <v>2</v>
      </c>
      <c r="R331" s="2" t="inlineStr">
        <is>
          <t>Grön sköldmossa
Röd glada</t>
        </is>
      </c>
      <c r="S331">
        <f>HYPERLINK("https://klasma.github.io/Logging_0883/artfynd/A 25439-2021 artfynd.xlsx", "A 25439-2021")</f>
        <v/>
      </c>
      <c r="T331">
        <f>HYPERLINK("https://klasma.github.io/Logging_0883/kartor/A 25439-2021 karta.png", "A 25439-2021")</f>
        <v/>
      </c>
      <c r="V331">
        <f>HYPERLINK("https://klasma.github.io/Logging_0883/klagomål/A 25439-2021 FSC-klagomål.docx", "A 25439-2021")</f>
        <v/>
      </c>
      <c r="W331">
        <f>HYPERLINK("https://klasma.github.io/Logging_0883/klagomålsmail/A 25439-2021 FSC-klagomål mail.docx", "A 25439-2021")</f>
        <v/>
      </c>
      <c r="X331">
        <f>HYPERLINK("https://klasma.github.io/Logging_0883/tillsyn/A 25439-2021 tillsynsbegäran.docx", "A 25439-2021")</f>
        <v/>
      </c>
      <c r="Y331">
        <f>HYPERLINK("https://klasma.github.io/Logging_0883/tillsynsmail/A 25439-2021 tillsynsbegäran mail.docx", "A 25439-2021")</f>
        <v/>
      </c>
      <c r="Z331">
        <f>HYPERLINK("https://klasma.github.io/Logging_0883/fåglar/A 25439-2021 prioriterade fågelarter.docx", "A 25439-2021")</f>
        <v/>
      </c>
    </row>
    <row r="332" ht="15" customHeight="1">
      <c r="A332" t="inlineStr">
        <is>
          <t>A 911-2024</t>
        </is>
      </c>
      <c r="B332" s="1" t="n">
        <v>45301</v>
      </c>
      <c r="C332" s="1" t="n">
        <v>45884</v>
      </c>
      <c r="D332" t="inlineStr">
        <is>
          <t>KALMAR LÄN</t>
        </is>
      </c>
      <c r="E332" t="inlineStr">
        <is>
          <t>VÄSTERVIK</t>
        </is>
      </c>
      <c r="G332" t="n">
        <v>5.6</v>
      </c>
      <c r="H332" t="n">
        <v>1</v>
      </c>
      <c r="I332" t="n">
        <v>1</v>
      </c>
      <c r="J332" t="n">
        <v>1</v>
      </c>
      <c r="K332" t="n">
        <v>0</v>
      </c>
      <c r="L332" t="n">
        <v>0</v>
      </c>
      <c r="M332" t="n">
        <v>0</v>
      </c>
      <c r="N332" t="n">
        <v>0</v>
      </c>
      <c r="O332" t="n">
        <v>1</v>
      </c>
      <c r="P332" t="n">
        <v>0</v>
      </c>
      <c r="Q332" t="n">
        <v>2</v>
      </c>
      <c r="R332" s="2" t="inlineStr">
        <is>
          <t>Talltita
Blodticka</t>
        </is>
      </c>
      <c r="S332">
        <f>HYPERLINK("https://klasma.github.io/Logging_0883/artfynd/A 911-2024 artfynd.xlsx", "A 911-2024")</f>
        <v/>
      </c>
      <c r="T332">
        <f>HYPERLINK("https://klasma.github.io/Logging_0883/kartor/A 911-2024 karta.png", "A 911-2024")</f>
        <v/>
      </c>
      <c r="V332">
        <f>HYPERLINK("https://klasma.github.io/Logging_0883/klagomål/A 911-2024 FSC-klagomål.docx", "A 911-2024")</f>
        <v/>
      </c>
      <c r="W332">
        <f>HYPERLINK("https://klasma.github.io/Logging_0883/klagomålsmail/A 911-2024 FSC-klagomål mail.docx", "A 911-2024")</f>
        <v/>
      </c>
      <c r="X332">
        <f>HYPERLINK("https://klasma.github.io/Logging_0883/tillsyn/A 911-2024 tillsynsbegäran.docx", "A 911-2024")</f>
        <v/>
      </c>
      <c r="Y332">
        <f>HYPERLINK("https://klasma.github.io/Logging_0883/tillsynsmail/A 911-2024 tillsynsbegäran mail.docx", "A 911-2024")</f>
        <v/>
      </c>
      <c r="Z332">
        <f>HYPERLINK("https://klasma.github.io/Logging_0883/fåglar/A 911-2024 prioriterade fågelarter.docx", "A 911-2024")</f>
        <v/>
      </c>
    </row>
    <row r="333" ht="15" customHeight="1">
      <c r="A333" t="inlineStr">
        <is>
          <t>A 3264-2024</t>
        </is>
      </c>
      <c r="B333" s="1" t="n">
        <v>45317</v>
      </c>
      <c r="C333" s="1" t="n">
        <v>45884</v>
      </c>
      <c r="D333" t="inlineStr">
        <is>
          <t>KALMAR LÄN</t>
        </is>
      </c>
      <c r="E333" t="inlineStr">
        <is>
          <t>VÄSTERVIK</t>
        </is>
      </c>
      <c r="G333" t="n">
        <v>6.5</v>
      </c>
      <c r="H333" t="n">
        <v>1</v>
      </c>
      <c r="I333" t="n">
        <v>1</v>
      </c>
      <c r="J333" t="n">
        <v>1</v>
      </c>
      <c r="K333" t="n">
        <v>0</v>
      </c>
      <c r="L333" t="n">
        <v>0</v>
      </c>
      <c r="M333" t="n">
        <v>0</v>
      </c>
      <c r="N333" t="n">
        <v>0</v>
      </c>
      <c r="O333" t="n">
        <v>1</v>
      </c>
      <c r="P333" t="n">
        <v>0</v>
      </c>
      <c r="Q333" t="n">
        <v>2</v>
      </c>
      <c r="R333" s="2" t="inlineStr">
        <is>
          <t>Spillkråka
Blåmossa</t>
        </is>
      </c>
      <c r="S333">
        <f>HYPERLINK("https://klasma.github.io/Logging_0883/artfynd/A 3264-2024 artfynd.xlsx", "A 3264-2024")</f>
        <v/>
      </c>
      <c r="T333">
        <f>HYPERLINK("https://klasma.github.io/Logging_0883/kartor/A 3264-2024 karta.png", "A 3264-2024")</f>
        <v/>
      </c>
      <c r="V333">
        <f>HYPERLINK("https://klasma.github.io/Logging_0883/klagomål/A 3264-2024 FSC-klagomål.docx", "A 3264-2024")</f>
        <v/>
      </c>
      <c r="W333">
        <f>HYPERLINK("https://klasma.github.io/Logging_0883/klagomålsmail/A 3264-2024 FSC-klagomål mail.docx", "A 3264-2024")</f>
        <v/>
      </c>
      <c r="X333">
        <f>HYPERLINK("https://klasma.github.io/Logging_0883/tillsyn/A 3264-2024 tillsynsbegäran.docx", "A 3264-2024")</f>
        <v/>
      </c>
      <c r="Y333">
        <f>HYPERLINK("https://klasma.github.io/Logging_0883/tillsynsmail/A 3264-2024 tillsynsbegäran mail.docx", "A 3264-2024")</f>
        <v/>
      </c>
      <c r="Z333">
        <f>HYPERLINK("https://klasma.github.io/Logging_0883/fåglar/A 3264-2024 prioriterade fågelarter.docx", "A 3264-2024")</f>
        <v/>
      </c>
    </row>
    <row r="334" ht="15" customHeight="1">
      <c r="A334" t="inlineStr">
        <is>
          <t>A 25145-2022</t>
        </is>
      </c>
      <c r="B334" s="1" t="n">
        <v>44729</v>
      </c>
      <c r="C334" s="1" t="n">
        <v>45884</v>
      </c>
      <c r="D334" t="inlineStr">
        <is>
          <t>KALMAR LÄN</t>
        </is>
      </c>
      <c r="E334" t="inlineStr">
        <is>
          <t>VÄSTERVIK</t>
        </is>
      </c>
      <c r="G334" t="n">
        <v>1.3</v>
      </c>
      <c r="H334" t="n">
        <v>1</v>
      </c>
      <c r="I334" t="n">
        <v>0</v>
      </c>
      <c r="J334" t="n">
        <v>1</v>
      </c>
      <c r="K334" t="n">
        <v>1</v>
      </c>
      <c r="L334" t="n">
        <v>0</v>
      </c>
      <c r="M334" t="n">
        <v>0</v>
      </c>
      <c r="N334" t="n">
        <v>0</v>
      </c>
      <c r="O334" t="n">
        <v>2</v>
      </c>
      <c r="P334" t="n">
        <v>1</v>
      </c>
      <c r="Q334" t="n">
        <v>2</v>
      </c>
      <c r="R334" s="2" t="inlineStr">
        <is>
          <t>Knärot
Tallticka</t>
        </is>
      </c>
      <c r="S334">
        <f>HYPERLINK("https://klasma.github.io/Logging_0883/artfynd/A 25145-2022 artfynd.xlsx", "A 25145-2022")</f>
        <v/>
      </c>
      <c r="T334">
        <f>HYPERLINK("https://klasma.github.io/Logging_0883/kartor/A 25145-2022 karta.png", "A 25145-2022")</f>
        <v/>
      </c>
      <c r="U334">
        <f>HYPERLINK("https://klasma.github.io/Logging_0883/knärot/A 25145-2022 karta knärot.png", "A 25145-2022")</f>
        <v/>
      </c>
      <c r="V334">
        <f>HYPERLINK("https://klasma.github.io/Logging_0883/klagomål/A 25145-2022 FSC-klagomål.docx", "A 25145-2022")</f>
        <v/>
      </c>
      <c r="W334">
        <f>HYPERLINK("https://klasma.github.io/Logging_0883/klagomålsmail/A 25145-2022 FSC-klagomål mail.docx", "A 25145-2022")</f>
        <v/>
      </c>
      <c r="X334">
        <f>HYPERLINK("https://klasma.github.io/Logging_0883/tillsyn/A 25145-2022 tillsynsbegäran.docx", "A 25145-2022")</f>
        <v/>
      </c>
      <c r="Y334">
        <f>HYPERLINK("https://klasma.github.io/Logging_0883/tillsynsmail/A 25145-2022 tillsynsbegäran mail.docx", "A 25145-2022")</f>
        <v/>
      </c>
    </row>
    <row r="335" ht="15" customHeight="1">
      <c r="A335" t="inlineStr">
        <is>
          <t>A 33067-2022</t>
        </is>
      </c>
      <c r="B335" s="1" t="n">
        <v>44785.43395833333</v>
      </c>
      <c r="C335" s="1" t="n">
        <v>45884</v>
      </c>
      <c r="D335" t="inlineStr">
        <is>
          <t>KALMAR LÄN</t>
        </is>
      </c>
      <c r="E335" t="inlineStr">
        <is>
          <t>NYBRO</t>
        </is>
      </c>
      <c r="G335" t="n">
        <v>14.1</v>
      </c>
      <c r="H335" t="n">
        <v>1</v>
      </c>
      <c r="I335" t="n">
        <v>0</v>
      </c>
      <c r="J335" t="n">
        <v>1</v>
      </c>
      <c r="K335" t="n">
        <v>0</v>
      </c>
      <c r="L335" t="n">
        <v>0</v>
      </c>
      <c r="M335" t="n">
        <v>0</v>
      </c>
      <c r="N335" t="n">
        <v>0</v>
      </c>
      <c r="O335" t="n">
        <v>1</v>
      </c>
      <c r="P335" t="n">
        <v>0</v>
      </c>
      <c r="Q335" t="n">
        <v>2</v>
      </c>
      <c r="R335" s="2" t="inlineStr">
        <is>
          <t>Sommarfibbla
Tjäder</t>
        </is>
      </c>
      <c r="S335">
        <f>HYPERLINK("https://klasma.github.io/Logging_0881/artfynd/A 33067-2022 artfynd.xlsx", "A 33067-2022")</f>
        <v/>
      </c>
      <c r="T335">
        <f>HYPERLINK("https://klasma.github.io/Logging_0881/kartor/A 33067-2022 karta.png", "A 33067-2022")</f>
        <v/>
      </c>
      <c r="V335">
        <f>HYPERLINK("https://klasma.github.io/Logging_0881/klagomål/A 33067-2022 FSC-klagomål.docx", "A 33067-2022")</f>
        <v/>
      </c>
      <c r="W335">
        <f>HYPERLINK("https://klasma.github.io/Logging_0881/klagomålsmail/A 33067-2022 FSC-klagomål mail.docx", "A 33067-2022")</f>
        <v/>
      </c>
      <c r="X335">
        <f>HYPERLINK("https://klasma.github.io/Logging_0881/tillsyn/A 33067-2022 tillsynsbegäran.docx", "A 33067-2022")</f>
        <v/>
      </c>
      <c r="Y335">
        <f>HYPERLINK("https://klasma.github.io/Logging_0881/tillsynsmail/A 33067-2022 tillsynsbegäran mail.docx", "A 33067-2022")</f>
        <v/>
      </c>
      <c r="Z335">
        <f>HYPERLINK("https://klasma.github.io/Logging_0881/fåglar/A 33067-2022 prioriterade fågelarter.docx", "A 33067-2022")</f>
        <v/>
      </c>
    </row>
    <row r="336" ht="15" customHeight="1">
      <c r="A336" t="inlineStr">
        <is>
          <t>A 56180-2020</t>
        </is>
      </c>
      <c r="B336" s="1" t="n">
        <v>44133</v>
      </c>
      <c r="C336" s="1" t="n">
        <v>45884</v>
      </c>
      <c r="D336" t="inlineStr">
        <is>
          <t>KALMAR LÄN</t>
        </is>
      </c>
      <c r="E336" t="inlineStr">
        <is>
          <t>VÄSTERVIK</t>
        </is>
      </c>
      <c r="G336" t="n">
        <v>9.199999999999999</v>
      </c>
      <c r="H336" t="n">
        <v>2</v>
      </c>
      <c r="I336" t="n">
        <v>0</v>
      </c>
      <c r="J336" t="n">
        <v>0</v>
      </c>
      <c r="K336" t="n">
        <v>1</v>
      </c>
      <c r="L336" t="n">
        <v>0</v>
      </c>
      <c r="M336" t="n">
        <v>0</v>
      </c>
      <c r="N336" t="n">
        <v>0</v>
      </c>
      <c r="O336" t="n">
        <v>1</v>
      </c>
      <c r="P336" t="n">
        <v>1</v>
      </c>
      <c r="Q336" t="n">
        <v>2</v>
      </c>
      <c r="R336" s="2" t="inlineStr">
        <is>
          <t>Hasselsnok
Mattlummer</t>
        </is>
      </c>
      <c r="S336">
        <f>HYPERLINK("https://klasma.github.io/Logging_0883/artfynd/A 56180-2020 artfynd.xlsx", "A 56180-2020")</f>
        <v/>
      </c>
      <c r="T336">
        <f>HYPERLINK("https://klasma.github.io/Logging_0883/kartor/A 56180-2020 karta.png", "A 56180-2020")</f>
        <v/>
      </c>
      <c r="V336">
        <f>HYPERLINK("https://klasma.github.io/Logging_0883/klagomål/A 56180-2020 FSC-klagomål.docx", "A 56180-2020")</f>
        <v/>
      </c>
      <c r="W336">
        <f>HYPERLINK("https://klasma.github.io/Logging_0883/klagomålsmail/A 56180-2020 FSC-klagomål mail.docx", "A 56180-2020")</f>
        <v/>
      </c>
      <c r="X336">
        <f>HYPERLINK("https://klasma.github.io/Logging_0883/tillsyn/A 56180-2020 tillsynsbegäran.docx", "A 56180-2020")</f>
        <v/>
      </c>
      <c r="Y336">
        <f>HYPERLINK("https://klasma.github.io/Logging_0883/tillsynsmail/A 56180-2020 tillsynsbegäran mail.docx", "A 56180-2020")</f>
        <v/>
      </c>
    </row>
    <row r="337" ht="15" customHeight="1">
      <c r="A337" t="inlineStr">
        <is>
          <t>A 2518-2023</t>
        </is>
      </c>
      <c r="B337" s="1" t="n">
        <v>44943</v>
      </c>
      <c r="C337" s="1" t="n">
        <v>45884</v>
      </c>
      <c r="D337" t="inlineStr">
        <is>
          <t>KALMAR LÄN</t>
        </is>
      </c>
      <c r="E337" t="inlineStr">
        <is>
          <t>VIMMERBY</t>
        </is>
      </c>
      <c r="G337" t="n">
        <v>6.1</v>
      </c>
      <c r="H337" t="n">
        <v>1</v>
      </c>
      <c r="I337" t="n">
        <v>1</v>
      </c>
      <c r="J337" t="n">
        <v>0</v>
      </c>
      <c r="K337" t="n">
        <v>1</v>
      </c>
      <c r="L337" t="n">
        <v>0</v>
      </c>
      <c r="M337" t="n">
        <v>0</v>
      </c>
      <c r="N337" t="n">
        <v>0</v>
      </c>
      <c r="O337" t="n">
        <v>1</v>
      </c>
      <c r="P337" t="n">
        <v>1</v>
      </c>
      <c r="Q337" t="n">
        <v>2</v>
      </c>
      <c r="R337" s="2" t="inlineStr">
        <is>
          <t>Knärot
Grönpyrola</t>
        </is>
      </c>
      <c r="S337">
        <f>HYPERLINK("https://klasma.github.io/Logging_0884/artfynd/A 2518-2023 artfynd.xlsx", "A 2518-2023")</f>
        <v/>
      </c>
      <c r="T337">
        <f>HYPERLINK("https://klasma.github.io/Logging_0884/kartor/A 2518-2023 karta.png", "A 2518-2023")</f>
        <v/>
      </c>
      <c r="U337">
        <f>HYPERLINK("https://klasma.github.io/Logging_0884/knärot/A 2518-2023 karta knärot.png", "A 2518-2023")</f>
        <v/>
      </c>
      <c r="V337">
        <f>HYPERLINK("https://klasma.github.io/Logging_0884/klagomål/A 2518-2023 FSC-klagomål.docx", "A 2518-2023")</f>
        <v/>
      </c>
      <c r="W337">
        <f>HYPERLINK("https://klasma.github.io/Logging_0884/klagomålsmail/A 2518-2023 FSC-klagomål mail.docx", "A 2518-2023")</f>
        <v/>
      </c>
      <c r="X337">
        <f>HYPERLINK("https://klasma.github.io/Logging_0884/tillsyn/A 2518-2023 tillsynsbegäran.docx", "A 2518-2023")</f>
        <v/>
      </c>
      <c r="Y337">
        <f>HYPERLINK("https://klasma.github.io/Logging_0884/tillsynsmail/A 2518-2023 tillsynsbegäran mail.docx", "A 2518-2023")</f>
        <v/>
      </c>
    </row>
    <row r="338" ht="15" customHeight="1">
      <c r="A338" t="inlineStr">
        <is>
          <t>A 13556-2025</t>
        </is>
      </c>
      <c r="B338" s="1" t="n">
        <v>45736.54759259259</v>
      </c>
      <c r="C338" s="1" t="n">
        <v>45884</v>
      </c>
      <c r="D338" t="inlineStr">
        <is>
          <t>KALMAR LÄN</t>
        </is>
      </c>
      <c r="E338" t="inlineStr">
        <is>
          <t>BORGHOLM</t>
        </is>
      </c>
      <c r="G338" t="n">
        <v>2.3</v>
      </c>
      <c r="H338" t="n">
        <v>2</v>
      </c>
      <c r="I338" t="n">
        <v>1</v>
      </c>
      <c r="J338" t="n">
        <v>0</v>
      </c>
      <c r="K338" t="n">
        <v>0</v>
      </c>
      <c r="L338" t="n">
        <v>0</v>
      </c>
      <c r="M338" t="n">
        <v>0</v>
      </c>
      <c r="N338" t="n">
        <v>0</v>
      </c>
      <c r="O338" t="n">
        <v>0</v>
      </c>
      <c r="P338" t="n">
        <v>0</v>
      </c>
      <c r="Q338" t="n">
        <v>2</v>
      </c>
      <c r="R338" s="2" t="inlineStr">
        <is>
          <t>Tvåblad
Nattviol</t>
        </is>
      </c>
      <c r="S338">
        <f>HYPERLINK("https://klasma.github.io/Logging_0885/artfynd/A 13556-2025 artfynd.xlsx", "A 13556-2025")</f>
        <v/>
      </c>
      <c r="T338">
        <f>HYPERLINK("https://klasma.github.io/Logging_0885/kartor/A 13556-2025 karta.png", "A 13556-2025")</f>
        <v/>
      </c>
      <c r="V338">
        <f>HYPERLINK("https://klasma.github.io/Logging_0885/klagomål/A 13556-2025 FSC-klagomål.docx", "A 13556-2025")</f>
        <v/>
      </c>
      <c r="W338">
        <f>HYPERLINK("https://klasma.github.io/Logging_0885/klagomålsmail/A 13556-2025 FSC-klagomål mail.docx", "A 13556-2025")</f>
        <v/>
      </c>
      <c r="X338">
        <f>HYPERLINK("https://klasma.github.io/Logging_0885/tillsyn/A 13556-2025 tillsynsbegäran.docx", "A 13556-2025")</f>
        <v/>
      </c>
      <c r="Y338">
        <f>HYPERLINK("https://klasma.github.io/Logging_0885/tillsynsmail/A 13556-2025 tillsynsbegäran mail.docx", "A 13556-2025")</f>
        <v/>
      </c>
    </row>
    <row r="339" ht="15" customHeight="1">
      <c r="A339" t="inlineStr">
        <is>
          <t>A 61894-2024</t>
        </is>
      </c>
      <c r="B339" s="1" t="n">
        <v>45652.74018518518</v>
      </c>
      <c r="C339" s="1" t="n">
        <v>45884</v>
      </c>
      <c r="D339" t="inlineStr">
        <is>
          <t>KALMAR LÄN</t>
        </is>
      </c>
      <c r="E339" t="inlineStr">
        <is>
          <t>NYBRO</t>
        </is>
      </c>
      <c r="G339" t="n">
        <v>2.3</v>
      </c>
      <c r="H339" t="n">
        <v>1</v>
      </c>
      <c r="I339" t="n">
        <v>1</v>
      </c>
      <c r="J339" t="n">
        <v>1</v>
      </c>
      <c r="K339" t="n">
        <v>0</v>
      </c>
      <c r="L339" t="n">
        <v>0</v>
      </c>
      <c r="M339" t="n">
        <v>0</v>
      </c>
      <c r="N339" t="n">
        <v>0</v>
      </c>
      <c r="O339" t="n">
        <v>1</v>
      </c>
      <c r="P339" t="n">
        <v>0</v>
      </c>
      <c r="Q339" t="n">
        <v>2</v>
      </c>
      <c r="R339" s="2" t="inlineStr">
        <is>
          <t>Spillkråka
Blåmossa</t>
        </is>
      </c>
      <c r="S339">
        <f>HYPERLINK("https://klasma.github.io/Logging_0881/artfynd/A 61894-2024 artfynd.xlsx", "A 61894-2024")</f>
        <v/>
      </c>
      <c r="T339">
        <f>HYPERLINK("https://klasma.github.io/Logging_0881/kartor/A 61894-2024 karta.png", "A 61894-2024")</f>
        <v/>
      </c>
      <c r="V339">
        <f>HYPERLINK("https://klasma.github.io/Logging_0881/klagomål/A 61894-2024 FSC-klagomål.docx", "A 61894-2024")</f>
        <v/>
      </c>
      <c r="W339">
        <f>HYPERLINK("https://klasma.github.io/Logging_0881/klagomålsmail/A 61894-2024 FSC-klagomål mail.docx", "A 61894-2024")</f>
        <v/>
      </c>
      <c r="X339">
        <f>HYPERLINK("https://klasma.github.io/Logging_0881/tillsyn/A 61894-2024 tillsynsbegäran.docx", "A 61894-2024")</f>
        <v/>
      </c>
      <c r="Y339">
        <f>HYPERLINK("https://klasma.github.io/Logging_0881/tillsynsmail/A 61894-2024 tillsynsbegäran mail.docx", "A 61894-2024")</f>
        <v/>
      </c>
      <c r="Z339">
        <f>HYPERLINK("https://klasma.github.io/Logging_0881/fåglar/A 61894-2024 prioriterade fågelarter.docx", "A 61894-2024")</f>
        <v/>
      </c>
    </row>
    <row r="340" ht="15" customHeight="1">
      <c r="A340" t="inlineStr">
        <is>
          <t>A 635-2022</t>
        </is>
      </c>
      <c r="B340" s="1" t="n">
        <v>44568.37201388889</v>
      </c>
      <c r="C340" s="1" t="n">
        <v>45884</v>
      </c>
      <c r="D340" t="inlineStr">
        <is>
          <t>KALMAR LÄN</t>
        </is>
      </c>
      <c r="E340" t="inlineStr">
        <is>
          <t>OSKARSHAMN</t>
        </is>
      </c>
      <c r="G340" t="n">
        <v>6.2</v>
      </c>
      <c r="H340" t="n">
        <v>0</v>
      </c>
      <c r="I340" t="n">
        <v>0</v>
      </c>
      <c r="J340" t="n">
        <v>2</v>
      </c>
      <c r="K340" t="n">
        <v>0</v>
      </c>
      <c r="L340" t="n">
        <v>0</v>
      </c>
      <c r="M340" t="n">
        <v>0</v>
      </c>
      <c r="N340" t="n">
        <v>0</v>
      </c>
      <c r="O340" t="n">
        <v>2</v>
      </c>
      <c r="P340" t="n">
        <v>0</v>
      </c>
      <c r="Q340" t="n">
        <v>2</v>
      </c>
      <c r="R340" s="2" t="inlineStr">
        <is>
          <t>Orange taggsvamp
Svart taggsvamp</t>
        </is>
      </c>
      <c r="S340">
        <f>HYPERLINK("https://klasma.github.io/Logging_0882/artfynd/A 635-2022 artfynd.xlsx", "A 635-2022")</f>
        <v/>
      </c>
      <c r="T340">
        <f>HYPERLINK("https://klasma.github.io/Logging_0882/kartor/A 635-2022 karta.png", "A 635-2022")</f>
        <v/>
      </c>
      <c r="V340">
        <f>HYPERLINK("https://klasma.github.io/Logging_0882/klagomål/A 635-2022 FSC-klagomål.docx", "A 635-2022")</f>
        <v/>
      </c>
      <c r="W340">
        <f>HYPERLINK("https://klasma.github.io/Logging_0882/klagomålsmail/A 635-2022 FSC-klagomål mail.docx", "A 635-2022")</f>
        <v/>
      </c>
      <c r="X340">
        <f>HYPERLINK("https://klasma.github.io/Logging_0882/tillsyn/A 635-2022 tillsynsbegäran.docx", "A 635-2022")</f>
        <v/>
      </c>
      <c r="Y340">
        <f>HYPERLINK("https://klasma.github.io/Logging_0882/tillsynsmail/A 635-2022 tillsynsbegäran mail.docx", "A 635-2022")</f>
        <v/>
      </c>
    </row>
    <row r="341" ht="15" customHeight="1">
      <c r="A341" t="inlineStr">
        <is>
          <t>A 40785-2022</t>
        </is>
      </c>
      <c r="B341" s="1" t="n">
        <v>44824</v>
      </c>
      <c r="C341" s="1" t="n">
        <v>45884</v>
      </c>
      <c r="D341" t="inlineStr">
        <is>
          <t>KALMAR LÄN</t>
        </is>
      </c>
      <c r="E341" t="inlineStr">
        <is>
          <t>MÖNSTERÅS</t>
        </is>
      </c>
      <c r="G341" t="n">
        <v>0.3</v>
      </c>
      <c r="H341" t="n">
        <v>2</v>
      </c>
      <c r="I341" t="n">
        <v>0</v>
      </c>
      <c r="J341" t="n">
        <v>0</v>
      </c>
      <c r="K341" t="n">
        <v>1</v>
      </c>
      <c r="L341" t="n">
        <v>0</v>
      </c>
      <c r="M341" t="n">
        <v>0</v>
      </c>
      <c r="N341" t="n">
        <v>0</v>
      </c>
      <c r="O341" t="n">
        <v>1</v>
      </c>
      <c r="P341" t="n">
        <v>1</v>
      </c>
      <c r="Q341" t="n">
        <v>2</v>
      </c>
      <c r="R341" s="2" t="inlineStr">
        <is>
          <t>Knärot
Blåsippa</t>
        </is>
      </c>
      <c r="S341">
        <f>HYPERLINK("https://klasma.github.io/Logging_0861/artfynd/A 40785-2022 artfynd.xlsx", "A 40785-2022")</f>
        <v/>
      </c>
      <c r="T341">
        <f>HYPERLINK("https://klasma.github.io/Logging_0861/kartor/A 40785-2022 karta.png", "A 40785-2022")</f>
        <v/>
      </c>
      <c r="U341">
        <f>HYPERLINK("https://klasma.github.io/Logging_0861/knärot/A 40785-2022 karta knärot.png", "A 40785-2022")</f>
        <v/>
      </c>
      <c r="V341">
        <f>HYPERLINK("https://klasma.github.io/Logging_0861/klagomål/A 40785-2022 FSC-klagomål.docx", "A 40785-2022")</f>
        <v/>
      </c>
      <c r="W341">
        <f>HYPERLINK("https://klasma.github.io/Logging_0861/klagomålsmail/A 40785-2022 FSC-klagomål mail.docx", "A 40785-2022")</f>
        <v/>
      </c>
      <c r="X341">
        <f>HYPERLINK("https://klasma.github.io/Logging_0861/tillsyn/A 40785-2022 tillsynsbegäran.docx", "A 40785-2022")</f>
        <v/>
      </c>
      <c r="Y341">
        <f>HYPERLINK("https://klasma.github.io/Logging_0861/tillsynsmail/A 40785-2022 tillsynsbegäran mail.docx", "A 40785-2022")</f>
        <v/>
      </c>
    </row>
    <row r="342" ht="15" customHeight="1">
      <c r="A342" t="inlineStr">
        <is>
          <t>A 51784-2023</t>
        </is>
      </c>
      <c r="B342" s="1" t="n">
        <v>45222</v>
      </c>
      <c r="C342" s="1" t="n">
        <v>45884</v>
      </c>
      <c r="D342" t="inlineStr">
        <is>
          <t>KALMAR LÄN</t>
        </is>
      </c>
      <c r="E342" t="inlineStr">
        <is>
          <t>NYBRO</t>
        </is>
      </c>
      <c r="G342" t="n">
        <v>1.2</v>
      </c>
      <c r="H342" t="n">
        <v>1</v>
      </c>
      <c r="I342" t="n">
        <v>1</v>
      </c>
      <c r="J342" t="n">
        <v>1</v>
      </c>
      <c r="K342" t="n">
        <v>0</v>
      </c>
      <c r="L342" t="n">
        <v>0</v>
      </c>
      <c r="M342" t="n">
        <v>0</v>
      </c>
      <c r="N342" t="n">
        <v>0</v>
      </c>
      <c r="O342" t="n">
        <v>1</v>
      </c>
      <c r="P342" t="n">
        <v>0</v>
      </c>
      <c r="Q342" t="n">
        <v>2</v>
      </c>
      <c r="R342" s="2" t="inlineStr">
        <is>
          <t>Solvända
Tvåblad</t>
        </is>
      </c>
      <c r="S342">
        <f>HYPERLINK("https://klasma.github.io/Logging_0881/artfynd/A 51784-2023 artfynd.xlsx", "A 51784-2023")</f>
        <v/>
      </c>
      <c r="T342">
        <f>HYPERLINK("https://klasma.github.io/Logging_0881/kartor/A 51784-2023 karta.png", "A 51784-2023")</f>
        <v/>
      </c>
      <c r="V342">
        <f>HYPERLINK("https://klasma.github.io/Logging_0881/klagomål/A 51784-2023 FSC-klagomål.docx", "A 51784-2023")</f>
        <v/>
      </c>
      <c r="W342">
        <f>HYPERLINK("https://klasma.github.io/Logging_0881/klagomålsmail/A 51784-2023 FSC-klagomål mail.docx", "A 51784-2023")</f>
        <v/>
      </c>
      <c r="X342">
        <f>HYPERLINK("https://klasma.github.io/Logging_0881/tillsyn/A 51784-2023 tillsynsbegäran.docx", "A 51784-2023")</f>
        <v/>
      </c>
      <c r="Y342">
        <f>HYPERLINK("https://klasma.github.io/Logging_0881/tillsynsmail/A 51784-2023 tillsynsbegäran mail.docx", "A 51784-2023")</f>
        <v/>
      </c>
    </row>
    <row r="343" ht="15" customHeight="1">
      <c r="A343" t="inlineStr">
        <is>
          <t>A 46552-2022</t>
        </is>
      </c>
      <c r="B343" s="1" t="n">
        <v>44848</v>
      </c>
      <c r="C343" s="1" t="n">
        <v>45884</v>
      </c>
      <c r="D343" t="inlineStr">
        <is>
          <t>KALMAR LÄN</t>
        </is>
      </c>
      <c r="E343" t="inlineStr">
        <is>
          <t>VÄSTERVIK</t>
        </is>
      </c>
      <c r="F343" t="inlineStr">
        <is>
          <t>Sveaskog</t>
        </is>
      </c>
      <c r="G343" t="n">
        <v>1.7</v>
      </c>
      <c r="H343" t="n">
        <v>0</v>
      </c>
      <c r="I343" t="n">
        <v>1</v>
      </c>
      <c r="J343" t="n">
        <v>1</v>
      </c>
      <c r="K343" t="n">
        <v>0</v>
      </c>
      <c r="L343" t="n">
        <v>0</v>
      </c>
      <c r="M343" t="n">
        <v>0</v>
      </c>
      <c r="N343" t="n">
        <v>0</v>
      </c>
      <c r="O343" t="n">
        <v>1</v>
      </c>
      <c r="P343" t="n">
        <v>0</v>
      </c>
      <c r="Q343" t="n">
        <v>2</v>
      </c>
      <c r="R343" s="2" t="inlineStr">
        <is>
          <t>Motaggsvamp
Sårläka</t>
        </is>
      </c>
      <c r="S343">
        <f>HYPERLINK("https://klasma.github.io/Logging_0883/artfynd/A 46552-2022 artfynd.xlsx", "A 46552-2022")</f>
        <v/>
      </c>
      <c r="T343">
        <f>HYPERLINK("https://klasma.github.io/Logging_0883/kartor/A 46552-2022 karta.png", "A 46552-2022")</f>
        <v/>
      </c>
      <c r="V343">
        <f>HYPERLINK("https://klasma.github.io/Logging_0883/klagomål/A 46552-2022 FSC-klagomål.docx", "A 46552-2022")</f>
        <v/>
      </c>
      <c r="W343">
        <f>HYPERLINK("https://klasma.github.io/Logging_0883/klagomålsmail/A 46552-2022 FSC-klagomål mail.docx", "A 46552-2022")</f>
        <v/>
      </c>
      <c r="X343">
        <f>HYPERLINK("https://klasma.github.io/Logging_0883/tillsyn/A 46552-2022 tillsynsbegäran.docx", "A 46552-2022")</f>
        <v/>
      </c>
      <c r="Y343">
        <f>HYPERLINK("https://klasma.github.io/Logging_0883/tillsynsmail/A 46552-2022 tillsynsbegäran mail.docx", "A 46552-2022")</f>
        <v/>
      </c>
    </row>
    <row r="344" ht="15" customHeight="1">
      <c r="A344" t="inlineStr">
        <is>
          <t>A 22297-2024</t>
        </is>
      </c>
      <c r="B344" s="1" t="n">
        <v>45446</v>
      </c>
      <c r="C344" s="1" t="n">
        <v>45884</v>
      </c>
      <c r="D344" t="inlineStr">
        <is>
          <t>KALMAR LÄN</t>
        </is>
      </c>
      <c r="E344" t="inlineStr">
        <is>
          <t>OSKARSHAMN</t>
        </is>
      </c>
      <c r="G344" t="n">
        <v>3.4</v>
      </c>
      <c r="H344" t="n">
        <v>0</v>
      </c>
      <c r="I344" t="n">
        <v>1</v>
      </c>
      <c r="J344" t="n">
        <v>1</v>
      </c>
      <c r="K344" t="n">
        <v>0</v>
      </c>
      <c r="L344" t="n">
        <v>0</v>
      </c>
      <c r="M344" t="n">
        <v>0</v>
      </c>
      <c r="N344" t="n">
        <v>0</v>
      </c>
      <c r="O344" t="n">
        <v>1</v>
      </c>
      <c r="P344" t="n">
        <v>0</v>
      </c>
      <c r="Q344" t="n">
        <v>2</v>
      </c>
      <c r="R344" s="2" t="inlineStr">
        <is>
          <t>Ekticka
Blomskägglav</t>
        </is>
      </c>
      <c r="S344">
        <f>HYPERLINK("https://klasma.github.io/Logging_0882/artfynd/A 22297-2024 artfynd.xlsx", "A 22297-2024")</f>
        <v/>
      </c>
      <c r="T344">
        <f>HYPERLINK("https://klasma.github.io/Logging_0882/kartor/A 22297-2024 karta.png", "A 22297-2024")</f>
        <v/>
      </c>
      <c r="V344">
        <f>HYPERLINK("https://klasma.github.io/Logging_0882/klagomål/A 22297-2024 FSC-klagomål.docx", "A 22297-2024")</f>
        <v/>
      </c>
      <c r="W344">
        <f>HYPERLINK("https://klasma.github.io/Logging_0882/klagomålsmail/A 22297-2024 FSC-klagomål mail.docx", "A 22297-2024")</f>
        <v/>
      </c>
      <c r="X344">
        <f>HYPERLINK("https://klasma.github.io/Logging_0882/tillsyn/A 22297-2024 tillsynsbegäran.docx", "A 22297-2024")</f>
        <v/>
      </c>
      <c r="Y344">
        <f>HYPERLINK("https://klasma.github.io/Logging_0882/tillsynsmail/A 22297-2024 tillsynsbegäran mail.docx", "A 22297-2024")</f>
        <v/>
      </c>
    </row>
    <row r="345" ht="15" customHeight="1">
      <c r="A345" t="inlineStr">
        <is>
          <t>A 11002-2025</t>
        </is>
      </c>
      <c r="B345" s="1" t="n">
        <v>45723.44277777777</v>
      </c>
      <c r="C345" s="1" t="n">
        <v>45884</v>
      </c>
      <c r="D345" t="inlineStr">
        <is>
          <t>KALMAR LÄN</t>
        </is>
      </c>
      <c r="E345" t="inlineStr">
        <is>
          <t>HULTSFRED</t>
        </is>
      </c>
      <c r="F345" t="inlineStr">
        <is>
          <t>Sveaskog</t>
        </is>
      </c>
      <c r="G345" t="n">
        <v>3.1</v>
      </c>
      <c r="H345" t="n">
        <v>2</v>
      </c>
      <c r="I345" t="n">
        <v>0</v>
      </c>
      <c r="J345" t="n">
        <v>2</v>
      </c>
      <c r="K345" t="n">
        <v>0</v>
      </c>
      <c r="L345" t="n">
        <v>0</v>
      </c>
      <c r="M345" t="n">
        <v>0</v>
      </c>
      <c r="N345" t="n">
        <v>0</v>
      </c>
      <c r="O345" t="n">
        <v>2</v>
      </c>
      <c r="P345" t="n">
        <v>0</v>
      </c>
      <c r="Q345" t="n">
        <v>2</v>
      </c>
      <c r="R345" s="2" t="inlineStr">
        <is>
          <t>Grönsångare
Spillkråka</t>
        </is>
      </c>
      <c r="S345">
        <f>HYPERLINK("https://klasma.github.io/Logging_0860/artfynd/A 11002-2025 artfynd.xlsx", "A 11002-2025")</f>
        <v/>
      </c>
      <c r="T345">
        <f>HYPERLINK("https://klasma.github.io/Logging_0860/kartor/A 11002-2025 karta.png", "A 11002-2025")</f>
        <v/>
      </c>
      <c r="V345">
        <f>HYPERLINK("https://klasma.github.io/Logging_0860/klagomål/A 11002-2025 FSC-klagomål.docx", "A 11002-2025")</f>
        <v/>
      </c>
      <c r="W345">
        <f>HYPERLINK("https://klasma.github.io/Logging_0860/klagomålsmail/A 11002-2025 FSC-klagomål mail.docx", "A 11002-2025")</f>
        <v/>
      </c>
      <c r="X345">
        <f>HYPERLINK("https://klasma.github.io/Logging_0860/tillsyn/A 11002-2025 tillsynsbegäran.docx", "A 11002-2025")</f>
        <v/>
      </c>
      <c r="Y345">
        <f>HYPERLINK("https://klasma.github.io/Logging_0860/tillsynsmail/A 11002-2025 tillsynsbegäran mail.docx", "A 11002-2025")</f>
        <v/>
      </c>
      <c r="Z345">
        <f>HYPERLINK("https://klasma.github.io/Logging_0860/fåglar/A 11002-2025 prioriterade fågelarter.docx", "A 11002-2025")</f>
        <v/>
      </c>
    </row>
    <row r="346" ht="15" customHeight="1">
      <c r="A346" t="inlineStr">
        <is>
          <t>A 44916-2024</t>
        </is>
      </c>
      <c r="B346" s="1" t="n">
        <v>45575.39890046296</v>
      </c>
      <c r="C346" s="1" t="n">
        <v>45884</v>
      </c>
      <c r="D346" t="inlineStr">
        <is>
          <t>KALMAR LÄN</t>
        </is>
      </c>
      <c r="E346" t="inlineStr">
        <is>
          <t>KALMAR</t>
        </is>
      </c>
      <c r="G346" t="n">
        <v>2.4</v>
      </c>
      <c r="H346" t="n">
        <v>1</v>
      </c>
      <c r="I346" t="n">
        <v>1</v>
      </c>
      <c r="J346" t="n">
        <v>0</v>
      </c>
      <c r="K346" t="n">
        <v>0</v>
      </c>
      <c r="L346" t="n">
        <v>1</v>
      </c>
      <c r="M346" t="n">
        <v>0</v>
      </c>
      <c r="N346" t="n">
        <v>0</v>
      </c>
      <c r="O346" t="n">
        <v>1</v>
      </c>
      <c r="P346" t="n">
        <v>1</v>
      </c>
      <c r="Q346" t="n">
        <v>2</v>
      </c>
      <c r="R346" s="2" t="inlineStr">
        <is>
          <t>Mosippa
Blomkålssvamp</t>
        </is>
      </c>
      <c r="S346">
        <f>HYPERLINK("https://klasma.github.io/Logging_0880/artfynd/A 44916-2024 artfynd.xlsx", "A 44916-2024")</f>
        <v/>
      </c>
      <c r="T346">
        <f>HYPERLINK("https://klasma.github.io/Logging_0880/kartor/A 44916-2024 karta.png", "A 44916-2024")</f>
        <v/>
      </c>
      <c r="V346">
        <f>HYPERLINK("https://klasma.github.io/Logging_0880/klagomål/A 44916-2024 FSC-klagomål.docx", "A 44916-2024")</f>
        <v/>
      </c>
      <c r="W346">
        <f>HYPERLINK("https://klasma.github.io/Logging_0880/klagomålsmail/A 44916-2024 FSC-klagomål mail.docx", "A 44916-2024")</f>
        <v/>
      </c>
      <c r="X346">
        <f>HYPERLINK("https://klasma.github.io/Logging_0880/tillsyn/A 44916-2024 tillsynsbegäran.docx", "A 44916-2024")</f>
        <v/>
      </c>
      <c r="Y346">
        <f>HYPERLINK("https://klasma.github.io/Logging_0880/tillsynsmail/A 44916-2024 tillsynsbegäran mail.docx", "A 44916-2024")</f>
        <v/>
      </c>
    </row>
    <row r="347" ht="15" customHeight="1">
      <c r="A347" t="inlineStr">
        <is>
          <t>A 16700-2025</t>
        </is>
      </c>
      <c r="B347" s="1" t="n">
        <v>45754.46833333333</v>
      </c>
      <c r="C347" s="1" t="n">
        <v>45884</v>
      </c>
      <c r="D347" t="inlineStr">
        <is>
          <t>KALMAR LÄN</t>
        </is>
      </c>
      <c r="E347" t="inlineStr">
        <is>
          <t>VÄSTERVIK</t>
        </is>
      </c>
      <c r="F347" t="inlineStr">
        <is>
          <t>Sveaskog</t>
        </is>
      </c>
      <c r="G347" t="n">
        <v>1.7</v>
      </c>
      <c r="H347" t="n">
        <v>2</v>
      </c>
      <c r="I347" t="n">
        <v>0</v>
      </c>
      <c r="J347" t="n">
        <v>1</v>
      </c>
      <c r="K347" t="n">
        <v>0</v>
      </c>
      <c r="L347" t="n">
        <v>0</v>
      </c>
      <c r="M347" t="n">
        <v>0</v>
      </c>
      <c r="N347" t="n">
        <v>0</v>
      </c>
      <c r="O347" t="n">
        <v>1</v>
      </c>
      <c r="P347" t="n">
        <v>0</v>
      </c>
      <c r="Q347" t="n">
        <v>2</v>
      </c>
      <c r="R347" s="2" t="inlineStr">
        <is>
          <t>Spillkråka
Kungsfågel</t>
        </is>
      </c>
      <c r="S347">
        <f>HYPERLINK("https://klasma.github.io/Logging_0883/artfynd/A 16700-2025 artfynd.xlsx", "A 16700-2025")</f>
        <v/>
      </c>
      <c r="T347">
        <f>HYPERLINK("https://klasma.github.io/Logging_0883/kartor/A 16700-2025 karta.png", "A 16700-2025")</f>
        <v/>
      </c>
      <c r="V347">
        <f>HYPERLINK("https://klasma.github.io/Logging_0883/klagomål/A 16700-2025 FSC-klagomål.docx", "A 16700-2025")</f>
        <v/>
      </c>
      <c r="W347">
        <f>HYPERLINK("https://klasma.github.io/Logging_0883/klagomålsmail/A 16700-2025 FSC-klagomål mail.docx", "A 16700-2025")</f>
        <v/>
      </c>
      <c r="X347">
        <f>HYPERLINK("https://klasma.github.io/Logging_0883/tillsyn/A 16700-2025 tillsynsbegäran.docx", "A 16700-2025")</f>
        <v/>
      </c>
      <c r="Y347">
        <f>HYPERLINK("https://klasma.github.io/Logging_0883/tillsynsmail/A 16700-2025 tillsynsbegäran mail.docx", "A 16700-2025")</f>
        <v/>
      </c>
      <c r="Z347">
        <f>HYPERLINK("https://klasma.github.io/Logging_0883/fåglar/A 16700-2025 prioriterade fågelarter.docx", "A 16700-2025")</f>
        <v/>
      </c>
    </row>
    <row r="348" ht="15" customHeight="1">
      <c r="A348" t="inlineStr">
        <is>
          <t>A 958-2025</t>
        </is>
      </c>
      <c r="B348" s="1" t="n">
        <v>45666</v>
      </c>
      <c r="C348" s="1" t="n">
        <v>45884</v>
      </c>
      <c r="D348" t="inlineStr">
        <is>
          <t>KALMAR LÄN</t>
        </is>
      </c>
      <c r="E348" t="inlineStr">
        <is>
          <t>VÄSTERVIK</t>
        </is>
      </c>
      <c r="G348" t="n">
        <v>2.8</v>
      </c>
      <c r="H348" t="n">
        <v>1</v>
      </c>
      <c r="I348" t="n">
        <v>0</v>
      </c>
      <c r="J348" t="n">
        <v>2</v>
      </c>
      <c r="K348" t="n">
        <v>0</v>
      </c>
      <c r="L348" t="n">
        <v>0</v>
      </c>
      <c r="M348" t="n">
        <v>0</v>
      </c>
      <c r="N348" t="n">
        <v>0</v>
      </c>
      <c r="O348" t="n">
        <v>2</v>
      </c>
      <c r="P348" t="n">
        <v>0</v>
      </c>
      <c r="Q348" t="n">
        <v>2</v>
      </c>
      <c r="R348" s="2" t="inlineStr">
        <is>
          <t>Orange taggsvamp
Spillkråka</t>
        </is>
      </c>
      <c r="S348">
        <f>HYPERLINK("https://klasma.github.io/Logging_0883/artfynd/A 958-2025 artfynd.xlsx", "A 958-2025")</f>
        <v/>
      </c>
      <c r="T348">
        <f>HYPERLINK("https://klasma.github.io/Logging_0883/kartor/A 958-2025 karta.png", "A 958-2025")</f>
        <v/>
      </c>
      <c r="V348">
        <f>HYPERLINK("https://klasma.github.io/Logging_0883/klagomål/A 958-2025 FSC-klagomål.docx", "A 958-2025")</f>
        <v/>
      </c>
      <c r="W348">
        <f>HYPERLINK("https://klasma.github.io/Logging_0883/klagomålsmail/A 958-2025 FSC-klagomål mail.docx", "A 958-2025")</f>
        <v/>
      </c>
      <c r="X348">
        <f>HYPERLINK("https://klasma.github.io/Logging_0883/tillsyn/A 958-2025 tillsynsbegäran.docx", "A 958-2025")</f>
        <v/>
      </c>
      <c r="Y348">
        <f>HYPERLINK("https://klasma.github.io/Logging_0883/tillsynsmail/A 958-2025 tillsynsbegäran mail.docx", "A 958-2025")</f>
        <v/>
      </c>
      <c r="Z348">
        <f>HYPERLINK("https://klasma.github.io/Logging_0883/fåglar/A 958-2025 prioriterade fågelarter.docx", "A 958-2025")</f>
        <v/>
      </c>
    </row>
    <row r="349" ht="15" customHeight="1">
      <c r="A349" t="inlineStr">
        <is>
          <t>A 58899-2023</t>
        </is>
      </c>
      <c r="B349" s="1" t="n">
        <v>45250</v>
      </c>
      <c r="C349" s="1" t="n">
        <v>45884</v>
      </c>
      <c r="D349" t="inlineStr">
        <is>
          <t>KALMAR LÄN</t>
        </is>
      </c>
      <c r="E349" t="inlineStr">
        <is>
          <t>MÖNSTERÅS</t>
        </is>
      </c>
      <c r="G349" t="n">
        <v>1.3</v>
      </c>
      <c r="H349" t="n">
        <v>2</v>
      </c>
      <c r="I349" t="n">
        <v>0</v>
      </c>
      <c r="J349" t="n">
        <v>1</v>
      </c>
      <c r="K349" t="n">
        <v>1</v>
      </c>
      <c r="L349" t="n">
        <v>0</v>
      </c>
      <c r="M349" t="n">
        <v>0</v>
      </c>
      <c r="N349" t="n">
        <v>0</v>
      </c>
      <c r="O349" t="n">
        <v>2</v>
      </c>
      <c r="P349" t="n">
        <v>1</v>
      </c>
      <c r="Q349" t="n">
        <v>2</v>
      </c>
      <c r="R349" s="2" t="inlineStr">
        <is>
          <t>Knärot
Spillkråka</t>
        </is>
      </c>
      <c r="S349">
        <f>HYPERLINK("https://klasma.github.io/Logging_0861/artfynd/A 58899-2023 artfynd.xlsx", "A 58899-2023")</f>
        <v/>
      </c>
      <c r="T349">
        <f>HYPERLINK("https://klasma.github.io/Logging_0861/kartor/A 58899-2023 karta.png", "A 58899-2023")</f>
        <v/>
      </c>
      <c r="U349">
        <f>HYPERLINK("https://klasma.github.io/Logging_0861/knärot/A 58899-2023 karta knärot.png", "A 58899-2023")</f>
        <v/>
      </c>
      <c r="V349">
        <f>HYPERLINK("https://klasma.github.io/Logging_0861/klagomål/A 58899-2023 FSC-klagomål.docx", "A 58899-2023")</f>
        <v/>
      </c>
      <c r="W349">
        <f>HYPERLINK("https://klasma.github.io/Logging_0861/klagomålsmail/A 58899-2023 FSC-klagomål mail.docx", "A 58899-2023")</f>
        <v/>
      </c>
      <c r="X349">
        <f>HYPERLINK("https://klasma.github.io/Logging_0861/tillsyn/A 58899-2023 tillsynsbegäran.docx", "A 58899-2023")</f>
        <v/>
      </c>
      <c r="Y349">
        <f>HYPERLINK("https://klasma.github.io/Logging_0861/tillsynsmail/A 58899-2023 tillsynsbegäran mail.docx", "A 58899-2023")</f>
        <v/>
      </c>
      <c r="Z349">
        <f>HYPERLINK("https://klasma.github.io/Logging_0861/fåglar/A 58899-2023 prioriterade fågelarter.docx", "A 58899-2023")</f>
        <v/>
      </c>
    </row>
    <row r="350" ht="15" customHeight="1">
      <c r="A350" t="inlineStr">
        <is>
          <t>A 47493-2020</t>
        </is>
      </c>
      <c r="B350" s="1" t="n">
        <v>44098</v>
      </c>
      <c r="C350" s="1" t="n">
        <v>45884</v>
      </c>
      <c r="D350" t="inlineStr">
        <is>
          <t>KALMAR LÄN</t>
        </is>
      </c>
      <c r="E350" t="inlineStr">
        <is>
          <t>HULTSFRED</t>
        </is>
      </c>
      <c r="G350" t="n">
        <v>1.3</v>
      </c>
      <c r="H350" t="n">
        <v>2</v>
      </c>
      <c r="I350" t="n">
        <v>1</v>
      </c>
      <c r="J350" t="n">
        <v>0</v>
      </c>
      <c r="K350" t="n">
        <v>1</v>
      </c>
      <c r="L350" t="n">
        <v>0</v>
      </c>
      <c r="M350" t="n">
        <v>0</v>
      </c>
      <c r="N350" t="n">
        <v>0</v>
      </c>
      <c r="O350" t="n">
        <v>1</v>
      </c>
      <c r="P350" t="n">
        <v>1</v>
      </c>
      <c r="Q350" t="n">
        <v>2</v>
      </c>
      <c r="R350" s="2" t="inlineStr">
        <is>
          <t>Knärot
Plattlummer</t>
        </is>
      </c>
      <c r="S350">
        <f>HYPERLINK("https://klasma.github.io/Logging_0860/artfynd/A 47493-2020 artfynd.xlsx", "A 47493-2020")</f>
        <v/>
      </c>
      <c r="T350">
        <f>HYPERLINK("https://klasma.github.io/Logging_0860/kartor/A 47493-2020 karta.png", "A 47493-2020")</f>
        <v/>
      </c>
      <c r="U350">
        <f>HYPERLINK("https://klasma.github.io/Logging_0860/knärot/A 47493-2020 karta knärot.png", "A 47493-2020")</f>
        <v/>
      </c>
      <c r="V350">
        <f>HYPERLINK("https://klasma.github.io/Logging_0860/klagomål/A 47493-2020 FSC-klagomål.docx", "A 47493-2020")</f>
        <v/>
      </c>
      <c r="W350">
        <f>HYPERLINK("https://klasma.github.io/Logging_0860/klagomålsmail/A 47493-2020 FSC-klagomål mail.docx", "A 47493-2020")</f>
        <v/>
      </c>
      <c r="X350">
        <f>HYPERLINK("https://klasma.github.io/Logging_0860/tillsyn/A 47493-2020 tillsynsbegäran.docx", "A 47493-2020")</f>
        <v/>
      </c>
      <c r="Y350">
        <f>HYPERLINK("https://klasma.github.io/Logging_0860/tillsynsmail/A 47493-2020 tillsynsbegäran mail.docx", "A 47493-2020")</f>
        <v/>
      </c>
    </row>
    <row r="351" ht="15" customHeight="1">
      <c r="A351" t="inlineStr">
        <is>
          <t>A 56857-2023</t>
        </is>
      </c>
      <c r="B351" s="1" t="n">
        <v>45244</v>
      </c>
      <c r="C351" s="1" t="n">
        <v>45884</v>
      </c>
      <c r="D351" t="inlineStr">
        <is>
          <t>KALMAR LÄN</t>
        </is>
      </c>
      <c r="E351" t="inlineStr">
        <is>
          <t>VÄSTERVIK</t>
        </is>
      </c>
      <c r="F351" t="inlineStr">
        <is>
          <t>Kyrkan</t>
        </is>
      </c>
      <c r="G351" t="n">
        <v>7.5</v>
      </c>
      <c r="H351" t="n">
        <v>1</v>
      </c>
      <c r="I351" t="n">
        <v>1</v>
      </c>
      <c r="J351" t="n">
        <v>0</v>
      </c>
      <c r="K351" t="n">
        <v>1</v>
      </c>
      <c r="L351" t="n">
        <v>0</v>
      </c>
      <c r="M351" t="n">
        <v>0</v>
      </c>
      <c r="N351" t="n">
        <v>0</v>
      </c>
      <c r="O351" t="n">
        <v>1</v>
      </c>
      <c r="P351" t="n">
        <v>1</v>
      </c>
      <c r="Q351" t="n">
        <v>2</v>
      </c>
      <c r="R351" s="2" t="inlineStr">
        <is>
          <t>Knärot
Grönpyrola</t>
        </is>
      </c>
      <c r="S351">
        <f>HYPERLINK("https://klasma.github.io/Logging_0883/artfynd/A 56857-2023 artfynd.xlsx", "A 56857-2023")</f>
        <v/>
      </c>
      <c r="T351">
        <f>HYPERLINK("https://klasma.github.io/Logging_0883/kartor/A 56857-2023 karta.png", "A 56857-2023")</f>
        <v/>
      </c>
      <c r="U351">
        <f>HYPERLINK("https://klasma.github.io/Logging_0883/knärot/A 56857-2023 karta knärot.png", "A 56857-2023")</f>
        <v/>
      </c>
      <c r="V351">
        <f>HYPERLINK("https://klasma.github.io/Logging_0883/klagomål/A 56857-2023 FSC-klagomål.docx", "A 56857-2023")</f>
        <v/>
      </c>
      <c r="W351">
        <f>HYPERLINK("https://klasma.github.io/Logging_0883/klagomålsmail/A 56857-2023 FSC-klagomål mail.docx", "A 56857-2023")</f>
        <v/>
      </c>
      <c r="X351">
        <f>HYPERLINK("https://klasma.github.io/Logging_0883/tillsyn/A 56857-2023 tillsynsbegäran.docx", "A 56857-2023")</f>
        <v/>
      </c>
      <c r="Y351">
        <f>HYPERLINK("https://klasma.github.io/Logging_0883/tillsynsmail/A 56857-2023 tillsynsbegäran mail.docx", "A 56857-2023")</f>
        <v/>
      </c>
    </row>
    <row r="352" ht="15" customHeight="1">
      <c r="A352" t="inlineStr">
        <is>
          <t>A 9736-2025</t>
        </is>
      </c>
      <c r="B352" s="1" t="n">
        <v>45716.43703703704</v>
      </c>
      <c r="C352" s="1" t="n">
        <v>45884</v>
      </c>
      <c r="D352" t="inlineStr">
        <is>
          <t>KALMAR LÄN</t>
        </is>
      </c>
      <c r="E352" t="inlineStr">
        <is>
          <t>HULTSFRED</t>
        </is>
      </c>
      <c r="F352" t="inlineStr">
        <is>
          <t>Sveaskog</t>
        </is>
      </c>
      <c r="G352" t="n">
        <v>4.4</v>
      </c>
      <c r="H352" t="n">
        <v>2</v>
      </c>
      <c r="I352" t="n">
        <v>0</v>
      </c>
      <c r="J352" t="n">
        <v>0</v>
      </c>
      <c r="K352" t="n">
        <v>0</v>
      </c>
      <c r="L352" t="n">
        <v>0</v>
      </c>
      <c r="M352" t="n">
        <v>0</v>
      </c>
      <c r="N352" t="n">
        <v>0</v>
      </c>
      <c r="O352" t="n">
        <v>0</v>
      </c>
      <c r="P352" t="n">
        <v>0</v>
      </c>
      <c r="Q352" t="n">
        <v>2</v>
      </c>
      <c r="R352" s="2" t="inlineStr">
        <is>
          <t>Åkergroda
Revlummer</t>
        </is>
      </c>
      <c r="S352">
        <f>HYPERLINK("https://klasma.github.io/Logging_0860/artfynd/A 9736-2025 artfynd.xlsx", "A 9736-2025")</f>
        <v/>
      </c>
      <c r="T352">
        <f>HYPERLINK("https://klasma.github.io/Logging_0860/kartor/A 9736-2025 karta.png", "A 9736-2025")</f>
        <v/>
      </c>
      <c r="V352">
        <f>HYPERLINK("https://klasma.github.io/Logging_0860/klagomål/A 9736-2025 FSC-klagomål.docx", "A 9736-2025")</f>
        <v/>
      </c>
      <c r="W352">
        <f>HYPERLINK("https://klasma.github.io/Logging_0860/klagomålsmail/A 9736-2025 FSC-klagomål mail.docx", "A 9736-2025")</f>
        <v/>
      </c>
      <c r="X352">
        <f>HYPERLINK("https://klasma.github.io/Logging_0860/tillsyn/A 9736-2025 tillsynsbegäran.docx", "A 9736-2025")</f>
        <v/>
      </c>
      <c r="Y352">
        <f>HYPERLINK("https://klasma.github.io/Logging_0860/tillsynsmail/A 9736-2025 tillsynsbegäran mail.docx", "A 9736-2025")</f>
        <v/>
      </c>
    </row>
    <row r="353" ht="15" customHeight="1">
      <c r="A353" t="inlineStr">
        <is>
          <t>A 14024-2023</t>
        </is>
      </c>
      <c r="B353" s="1" t="n">
        <v>45008.60878472222</v>
      </c>
      <c r="C353" s="1" t="n">
        <v>45884</v>
      </c>
      <c r="D353" t="inlineStr">
        <is>
          <t>KALMAR LÄN</t>
        </is>
      </c>
      <c r="E353" t="inlineStr">
        <is>
          <t>VIMMERBY</t>
        </is>
      </c>
      <c r="G353" t="n">
        <v>3.2</v>
      </c>
      <c r="H353" t="n">
        <v>1</v>
      </c>
      <c r="I353" t="n">
        <v>1</v>
      </c>
      <c r="J353" t="n">
        <v>0</v>
      </c>
      <c r="K353" t="n">
        <v>0</v>
      </c>
      <c r="L353" t="n">
        <v>1</v>
      </c>
      <c r="M353" t="n">
        <v>0</v>
      </c>
      <c r="N353" t="n">
        <v>0</v>
      </c>
      <c r="O353" t="n">
        <v>1</v>
      </c>
      <c r="P353" t="n">
        <v>1</v>
      </c>
      <c r="Q353" t="n">
        <v>2</v>
      </c>
      <c r="R353" s="2" t="inlineStr">
        <is>
          <t>Ryl
Purpurknipprot</t>
        </is>
      </c>
      <c r="S353">
        <f>HYPERLINK("https://klasma.github.io/Logging_0884/artfynd/A 14024-2023 artfynd.xlsx", "A 14024-2023")</f>
        <v/>
      </c>
      <c r="T353">
        <f>HYPERLINK("https://klasma.github.io/Logging_0884/kartor/A 14024-2023 karta.png", "A 14024-2023")</f>
        <v/>
      </c>
      <c r="V353">
        <f>HYPERLINK("https://klasma.github.io/Logging_0884/klagomål/A 14024-2023 FSC-klagomål.docx", "A 14024-2023")</f>
        <v/>
      </c>
      <c r="W353">
        <f>HYPERLINK("https://klasma.github.io/Logging_0884/klagomålsmail/A 14024-2023 FSC-klagomål mail.docx", "A 14024-2023")</f>
        <v/>
      </c>
      <c r="X353">
        <f>HYPERLINK("https://klasma.github.io/Logging_0884/tillsyn/A 14024-2023 tillsynsbegäran.docx", "A 14024-2023")</f>
        <v/>
      </c>
      <c r="Y353">
        <f>HYPERLINK("https://klasma.github.io/Logging_0884/tillsynsmail/A 14024-2023 tillsynsbegäran mail.docx", "A 14024-2023")</f>
        <v/>
      </c>
    </row>
    <row r="354" ht="15" customHeight="1">
      <c r="A354" t="inlineStr">
        <is>
          <t>A 6384-2021</t>
        </is>
      </c>
      <c r="B354" s="1" t="n">
        <v>44235</v>
      </c>
      <c r="C354" s="1" t="n">
        <v>45884</v>
      </c>
      <c r="D354" t="inlineStr">
        <is>
          <t>KALMAR LÄN</t>
        </is>
      </c>
      <c r="E354" t="inlineStr">
        <is>
          <t>HULTSFRED</t>
        </is>
      </c>
      <c r="G354" t="n">
        <v>10.8</v>
      </c>
      <c r="H354" t="n">
        <v>2</v>
      </c>
      <c r="I354" t="n">
        <v>0</v>
      </c>
      <c r="J354" t="n">
        <v>1</v>
      </c>
      <c r="K354" t="n">
        <v>0</v>
      </c>
      <c r="L354" t="n">
        <v>0</v>
      </c>
      <c r="M354" t="n">
        <v>0</v>
      </c>
      <c r="N354" t="n">
        <v>0</v>
      </c>
      <c r="O354" t="n">
        <v>1</v>
      </c>
      <c r="P354" t="n">
        <v>0</v>
      </c>
      <c r="Q354" t="n">
        <v>2</v>
      </c>
      <c r="R354" s="2" t="inlineStr">
        <is>
          <t>Spillkråka
Vanlig padda</t>
        </is>
      </c>
      <c r="S354">
        <f>HYPERLINK("https://klasma.github.io/Logging_0860/artfynd/A 6384-2021 artfynd.xlsx", "A 6384-2021")</f>
        <v/>
      </c>
      <c r="T354">
        <f>HYPERLINK("https://klasma.github.io/Logging_0860/kartor/A 6384-2021 karta.png", "A 6384-2021")</f>
        <v/>
      </c>
      <c r="V354">
        <f>HYPERLINK("https://klasma.github.io/Logging_0860/klagomål/A 6384-2021 FSC-klagomål.docx", "A 6384-2021")</f>
        <v/>
      </c>
      <c r="W354">
        <f>HYPERLINK("https://klasma.github.io/Logging_0860/klagomålsmail/A 6384-2021 FSC-klagomål mail.docx", "A 6384-2021")</f>
        <v/>
      </c>
      <c r="X354">
        <f>HYPERLINK("https://klasma.github.io/Logging_0860/tillsyn/A 6384-2021 tillsynsbegäran.docx", "A 6384-2021")</f>
        <v/>
      </c>
      <c r="Y354">
        <f>HYPERLINK("https://klasma.github.io/Logging_0860/tillsynsmail/A 6384-2021 tillsynsbegäran mail.docx", "A 6384-2021")</f>
        <v/>
      </c>
      <c r="Z354">
        <f>HYPERLINK("https://klasma.github.io/Logging_0860/fåglar/A 6384-2021 prioriterade fågelarter.docx", "A 6384-2021")</f>
        <v/>
      </c>
    </row>
    <row r="355" ht="15" customHeight="1">
      <c r="A355" t="inlineStr">
        <is>
          <t>A 7344-2025</t>
        </is>
      </c>
      <c r="B355" s="1" t="n">
        <v>45703.67907407408</v>
      </c>
      <c r="C355" s="1" t="n">
        <v>45884</v>
      </c>
      <c r="D355" t="inlineStr">
        <is>
          <t>KALMAR LÄN</t>
        </is>
      </c>
      <c r="E355" t="inlineStr">
        <is>
          <t>KALMAR</t>
        </is>
      </c>
      <c r="G355" t="n">
        <v>1.7</v>
      </c>
      <c r="H355" t="n">
        <v>1</v>
      </c>
      <c r="I355" t="n">
        <v>1</v>
      </c>
      <c r="J355" t="n">
        <v>0</v>
      </c>
      <c r="K355" t="n">
        <v>0</v>
      </c>
      <c r="L355" t="n">
        <v>0</v>
      </c>
      <c r="M355" t="n">
        <v>0</v>
      </c>
      <c r="N355" t="n">
        <v>0</v>
      </c>
      <c r="O355" t="n">
        <v>0</v>
      </c>
      <c r="P355" t="n">
        <v>0</v>
      </c>
      <c r="Q355" t="n">
        <v>2</v>
      </c>
      <c r="R355" s="2" t="inlineStr">
        <is>
          <t>Fällmossa
Blåsippa</t>
        </is>
      </c>
      <c r="S355">
        <f>HYPERLINK("https://klasma.github.io/Logging_0880/artfynd/A 7344-2025 artfynd.xlsx", "A 7344-2025")</f>
        <v/>
      </c>
      <c r="T355">
        <f>HYPERLINK("https://klasma.github.io/Logging_0880/kartor/A 7344-2025 karta.png", "A 7344-2025")</f>
        <v/>
      </c>
      <c r="V355">
        <f>HYPERLINK("https://klasma.github.io/Logging_0880/klagomål/A 7344-2025 FSC-klagomål.docx", "A 7344-2025")</f>
        <v/>
      </c>
      <c r="W355">
        <f>HYPERLINK("https://klasma.github.io/Logging_0880/klagomålsmail/A 7344-2025 FSC-klagomål mail.docx", "A 7344-2025")</f>
        <v/>
      </c>
      <c r="X355">
        <f>HYPERLINK("https://klasma.github.io/Logging_0880/tillsyn/A 7344-2025 tillsynsbegäran.docx", "A 7344-2025")</f>
        <v/>
      </c>
      <c r="Y355">
        <f>HYPERLINK("https://klasma.github.io/Logging_0880/tillsynsmail/A 7344-2025 tillsynsbegäran mail.docx", "A 7344-2025")</f>
        <v/>
      </c>
    </row>
    <row r="356" ht="15" customHeight="1">
      <c r="A356" t="inlineStr">
        <is>
          <t>A 72945-2021</t>
        </is>
      </c>
      <c r="B356" s="1" t="n">
        <v>44547.90868055556</v>
      </c>
      <c r="C356" s="1" t="n">
        <v>45884</v>
      </c>
      <c r="D356" t="inlineStr">
        <is>
          <t>KALMAR LÄN</t>
        </is>
      </c>
      <c r="E356" t="inlineStr">
        <is>
          <t>VÄSTERVIK</t>
        </is>
      </c>
      <c r="G356" t="n">
        <v>1.6</v>
      </c>
      <c r="H356" t="n">
        <v>0</v>
      </c>
      <c r="I356" t="n">
        <v>1</v>
      </c>
      <c r="J356" t="n">
        <v>1</v>
      </c>
      <c r="K356" t="n">
        <v>0</v>
      </c>
      <c r="L356" t="n">
        <v>0</v>
      </c>
      <c r="M356" t="n">
        <v>0</v>
      </c>
      <c r="N356" t="n">
        <v>0</v>
      </c>
      <c r="O356" t="n">
        <v>1</v>
      </c>
      <c r="P356" t="n">
        <v>0</v>
      </c>
      <c r="Q356" t="n">
        <v>2</v>
      </c>
      <c r="R356" s="2" t="inlineStr">
        <is>
          <t>Veckticka
Rävticka</t>
        </is>
      </c>
      <c r="S356">
        <f>HYPERLINK("https://klasma.github.io/Logging_0883/artfynd/A 72945-2021 artfynd.xlsx", "A 72945-2021")</f>
        <v/>
      </c>
      <c r="T356">
        <f>HYPERLINK("https://klasma.github.io/Logging_0883/kartor/A 72945-2021 karta.png", "A 72945-2021")</f>
        <v/>
      </c>
      <c r="V356">
        <f>HYPERLINK("https://klasma.github.io/Logging_0883/klagomål/A 72945-2021 FSC-klagomål.docx", "A 72945-2021")</f>
        <v/>
      </c>
      <c r="W356">
        <f>HYPERLINK("https://klasma.github.io/Logging_0883/klagomålsmail/A 72945-2021 FSC-klagomål mail.docx", "A 72945-2021")</f>
        <v/>
      </c>
      <c r="X356">
        <f>HYPERLINK("https://klasma.github.io/Logging_0883/tillsyn/A 72945-2021 tillsynsbegäran.docx", "A 72945-2021")</f>
        <v/>
      </c>
      <c r="Y356">
        <f>HYPERLINK("https://klasma.github.io/Logging_0883/tillsynsmail/A 72945-2021 tillsynsbegäran mail.docx", "A 72945-2021")</f>
        <v/>
      </c>
    </row>
    <row r="357" ht="15" customHeight="1">
      <c r="A357" t="inlineStr">
        <is>
          <t>A 2515-2023</t>
        </is>
      </c>
      <c r="B357" s="1" t="n">
        <v>44943</v>
      </c>
      <c r="C357" s="1" t="n">
        <v>45884</v>
      </c>
      <c r="D357" t="inlineStr">
        <is>
          <t>KALMAR LÄN</t>
        </is>
      </c>
      <c r="E357" t="inlineStr">
        <is>
          <t>VÄSTERVIK</t>
        </is>
      </c>
      <c r="G357" t="n">
        <v>1.3</v>
      </c>
      <c r="H357" t="n">
        <v>1</v>
      </c>
      <c r="I357" t="n">
        <v>1</v>
      </c>
      <c r="J357" t="n">
        <v>0</v>
      </c>
      <c r="K357" t="n">
        <v>1</v>
      </c>
      <c r="L357" t="n">
        <v>0</v>
      </c>
      <c r="M357" t="n">
        <v>0</v>
      </c>
      <c r="N357" t="n">
        <v>0</v>
      </c>
      <c r="O357" t="n">
        <v>1</v>
      </c>
      <c r="P357" t="n">
        <v>1</v>
      </c>
      <c r="Q357" t="n">
        <v>2</v>
      </c>
      <c r="R357" s="2" t="inlineStr">
        <is>
          <t>Knärot
Grönpyrola</t>
        </is>
      </c>
      <c r="S357">
        <f>HYPERLINK("https://klasma.github.io/Logging_0883/artfynd/A 2515-2023 artfynd.xlsx", "A 2515-2023")</f>
        <v/>
      </c>
      <c r="T357">
        <f>HYPERLINK("https://klasma.github.io/Logging_0883/kartor/A 2515-2023 karta.png", "A 2515-2023")</f>
        <v/>
      </c>
      <c r="U357">
        <f>HYPERLINK("https://klasma.github.io/Logging_0883/knärot/A 2515-2023 karta knärot.png", "A 2515-2023")</f>
        <v/>
      </c>
      <c r="V357">
        <f>HYPERLINK("https://klasma.github.io/Logging_0883/klagomål/A 2515-2023 FSC-klagomål.docx", "A 2515-2023")</f>
        <v/>
      </c>
      <c r="W357">
        <f>HYPERLINK("https://klasma.github.io/Logging_0883/klagomålsmail/A 2515-2023 FSC-klagomål mail.docx", "A 2515-2023")</f>
        <v/>
      </c>
      <c r="X357">
        <f>HYPERLINK("https://klasma.github.io/Logging_0883/tillsyn/A 2515-2023 tillsynsbegäran.docx", "A 2515-2023")</f>
        <v/>
      </c>
      <c r="Y357">
        <f>HYPERLINK("https://klasma.github.io/Logging_0883/tillsynsmail/A 2515-2023 tillsynsbegäran mail.docx", "A 2515-2023")</f>
        <v/>
      </c>
    </row>
    <row r="358" ht="15" customHeight="1">
      <c r="A358" t="inlineStr">
        <is>
          <t>A 32649-2023</t>
        </is>
      </c>
      <c r="B358" s="1" t="n">
        <v>45121</v>
      </c>
      <c r="C358" s="1" t="n">
        <v>45884</v>
      </c>
      <c r="D358" t="inlineStr">
        <is>
          <t>KALMAR LÄN</t>
        </is>
      </c>
      <c r="E358" t="inlineStr">
        <is>
          <t>VÄSTERVIK</t>
        </is>
      </c>
      <c r="G358" t="n">
        <v>1.7</v>
      </c>
      <c r="H358" t="n">
        <v>1</v>
      </c>
      <c r="I358" t="n">
        <v>1</v>
      </c>
      <c r="J358" t="n">
        <v>0</v>
      </c>
      <c r="K358" t="n">
        <v>1</v>
      </c>
      <c r="L358" t="n">
        <v>0</v>
      </c>
      <c r="M358" t="n">
        <v>0</v>
      </c>
      <c r="N358" t="n">
        <v>0</v>
      </c>
      <c r="O358" t="n">
        <v>1</v>
      </c>
      <c r="P358" t="n">
        <v>1</v>
      </c>
      <c r="Q358" t="n">
        <v>2</v>
      </c>
      <c r="R358" s="2" t="inlineStr">
        <is>
          <t>Knärot
Blåmossa</t>
        </is>
      </c>
      <c r="S358">
        <f>HYPERLINK("https://klasma.github.io/Logging_0883/artfynd/A 32649-2023 artfynd.xlsx", "A 32649-2023")</f>
        <v/>
      </c>
      <c r="T358">
        <f>HYPERLINK("https://klasma.github.io/Logging_0883/kartor/A 32649-2023 karta.png", "A 32649-2023")</f>
        <v/>
      </c>
      <c r="U358">
        <f>HYPERLINK("https://klasma.github.io/Logging_0883/knärot/A 32649-2023 karta knärot.png", "A 32649-2023")</f>
        <v/>
      </c>
      <c r="V358">
        <f>HYPERLINK("https://klasma.github.io/Logging_0883/klagomål/A 32649-2023 FSC-klagomål.docx", "A 32649-2023")</f>
        <v/>
      </c>
      <c r="W358">
        <f>HYPERLINK("https://klasma.github.io/Logging_0883/klagomålsmail/A 32649-2023 FSC-klagomål mail.docx", "A 32649-2023")</f>
        <v/>
      </c>
      <c r="X358">
        <f>HYPERLINK("https://klasma.github.io/Logging_0883/tillsyn/A 32649-2023 tillsynsbegäran.docx", "A 32649-2023")</f>
        <v/>
      </c>
      <c r="Y358">
        <f>HYPERLINK("https://klasma.github.io/Logging_0883/tillsynsmail/A 32649-2023 tillsynsbegäran mail.docx", "A 32649-2023")</f>
        <v/>
      </c>
    </row>
    <row r="359" ht="15" customHeight="1">
      <c r="A359" t="inlineStr">
        <is>
          <t>A 31046-2023</t>
        </is>
      </c>
      <c r="B359" s="1" t="n">
        <v>45113.60486111111</v>
      </c>
      <c r="C359" s="1" t="n">
        <v>45884</v>
      </c>
      <c r="D359" t="inlineStr">
        <is>
          <t>KALMAR LÄN</t>
        </is>
      </c>
      <c r="E359" t="inlineStr">
        <is>
          <t>HULTSFRED</t>
        </is>
      </c>
      <c r="G359" t="n">
        <v>1.5</v>
      </c>
      <c r="H359" t="n">
        <v>1</v>
      </c>
      <c r="I359" t="n">
        <v>0</v>
      </c>
      <c r="J359" t="n">
        <v>1</v>
      </c>
      <c r="K359" t="n">
        <v>1</v>
      </c>
      <c r="L359" t="n">
        <v>0</v>
      </c>
      <c r="M359" t="n">
        <v>0</v>
      </c>
      <c r="N359" t="n">
        <v>0</v>
      </c>
      <c r="O359" t="n">
        <v>2</v>
      </c>
      <c r="P359" t="n">
        <v>1</v>
      </c>
      <c r="Q359" t="n">
        <v>2</v>
      </c>
      <c r="R359" s="2" t="inlineStr">
        <is>
          <t>Backsippa
Mörk dunört</t>
        </is>
      </c>
      <c r="S359">
        <f>HYPERLINK("https://klasma.github.io/Logging_0860/artfynd/A 31046-2023 artfynd.xlsx", "A 31046-2023")</f>
        <v/>
      </c>
      <c r="T359">
        <f>HYPERLINK("https://klasma.github.io/Logging_0860/kartor/A 31046-2023 karta.png", "A 31046-2023")</f>
        <v/>
      </c>
      <c r="V359">
        <f>HYPERLINK("https://klasma.github.io/Logging_0860/klagomål/A 31046-2023 FSC-klagomål.docx", "A 31046-2023")</f>
        <v/>
      </c>
      <c r="W359">
        <f>HYPERLINK("https://klasma.github.io/Logging_0860/klagomålsmail/A 31046-2023 FSC-klagomål mail.docx", "A 31046-2023")</f>
        <v/>
      </c>
      <c r="X359">
        <f>HYPERLINK("https://klasma.github.io/Logging_0860/tillsyn/A 31046-2023 tillsynsbegäran.docx", "A 31046-2023")</f>
        <v/>
      </c>
      <c r="Y359">
        <f>HYPERLINK("https://klasma.github.io/Logging_0860/tillsynsmail/A 31046-2023 tillsynsbegäran mail.docx", "A 31046-2023")</f>
        <v/>
      </c>
    </row>
    <row r="360" ht="15" customHeight="1">
      <c r="A360" t="inlineStr">
        <is>
          <t>A 13006-2024</t>
        </is>
      </c>
      <c r="B360" s="1" t="n">
        <v>45385</v>
      </c>
      <c r="C360" s="1" t="n">
        <v>45884</v>
      </c>
      <c r="D360" t="inlineStr">
        <is>
          <t>KALMAR LÄN</t>
        </is>
      </c>
      <c r="E360" t="inlineStr">
        <is>
          <t>HULTSFRED</t>
        </is>
      </c>
      <c r="G360" t="n">
        <v>1.6</v>
      </c>
      <c r="H360" t="n">
        <v>1</v>
      </c>
      <c r="I360" t="n">
        <v>1</v>
      </c>
      <c r="J360" t="n">
        <v>0</v>
      </c>
      <c r="K360" t="n">
        <v>1</v>
      </c>
      <c r="L360" t="n">
        <v>0</v>
      </c>
      <c r="M360" t="n">
        <v>0</v>
      </c>
      <c r="N360" t="n">
        <v>0</v>
      </c>
      <c r="O360" t="n">
        <v>1</v>
      </c>
      <c r="P360" t="n">
        <v>1</v>
      </c>
      <c r="Q360" t="n">
        <v>2</v>
      </c>
      <c r="R360" s="2" t="inlineStr">
        <is>
          <t>Knärot
Skarp dropptaggsvamp</t>
        </is>
      </c>
      <c r="S360">
        <f>HYPERLINK("https://klasma.github.io/Logging_0860/artfynd/A 13006-2024 artfynd.xlsx", "A 13006-2024")</f>
        <v/>
      </c>
      <c r="T360">
        <f>HYPERLINK("https://klasma.github.io/Logging_0860/kartor/A 13006-2024 karta.png", "A 13006-2024")</f>
        <v/>
      </c>
      <c r="U360">
        <f>HYPERLINK("https://klasma.github.io/Logging_0860/knärot/A 13006-2024 karta knärot.png", "A 13006-2024")</f>
        <v/>
      </c>
      <c r="V360">
        <f>HYPERLINK("https://klasma.github.io/Logging_0860/klagomål/A 13006-2024 FSC-klagomål.docx", "A 13006-2024")</f>
        <v/>
      </c>
      <c r="W360">
        <f>HYPERLINK("https://klasma.github.io/Logging_0860/klagomålsmail/A 13006-2024 FSC-klagomål mail.docx", "A 13006-2024")</f>
        <v/>
      </c>
      <c r="X360">
        <f>HYPERLINK("https://klasma.github.io/Logging_0860/tillsyn/A 13006-2024 tillsynsbegäran.docx", "A 13006-2024")</f>
        <v/>
      </c>
      <c r="Y360">
        <f>HYPERLINK("https://klasma.github.io/Logging_0860/tillsynsmail/A 13006-2024 tillsynsbegäran mail.docx", "A 13006-2024")</f>
        <v/>
      </c>
    </row>
    <row r="361" ht="15" customHeight="1">
      <c r="A361" t="inlineStr">
        <is>
          <t>A 12212-2024</t>
        </is>
      </c>
      <c r="B361" s="1" t="n">
        <v>45378.31111111111</v>
      </c>
      <c r="C361" s="1" t="n">
        <v>45884</v>
      </c>
      <c r="D361" t="inlineStr">
        <is>
          <t>KALMAR LÄN</t>
        </is>
      </c>
      <c r="E361" t="inlineStr">
        <is>
          <t>VÄSTERVIK</t>
        </is>
      </c>
      <c r="G361" t="n">
        <v>0.8</v>
      </c>
      <c r="H361" t="n">
        <v>2</v>
      </c>
      <c r="I361" t="n">
        <v>0</v>
      </c>
      <c r="J361" t="n">
        <v>2</v>
      </c>
      <c r="K361" t="n">
        <v>0</v>
      </c>
      <c r="L361" t="n">
        <v>0</v>
      </c>
      <c r="M361" t="n">
        <v>0</v>
      </c>
      <c r="N361" t="n">
        <v>0</v>
      </c>
      <c r="O361" t="n">
        <v>2</v>
      </c>
      <c r="P361" t="n">
        <v>0</v>
      </c>
      <c r="Q361" t="n">
        <v>2</v>
      </c>
      <c r="R361" s="2" t="inlineStr">
        <is>
          <t>Spillkråka
Talltita</t>
        </is>
      </c>
      <c r="S361">
        <f>HYPERLINK("https://klasma.github.io/Logging_0883/artfynd/A 12212-2024 artfynd.xlsx", "A 12212-2024")</f>
        <v/>
      </c>
      <c r="T361">
        <f>HYPERLINK("https://klasma.github.io/Logging_0883/kartor/A 12212-2024 karta.png", "A 12212-2024")</f>
        <v/>
      </c>
      <c r="V361">
        <f>HYPERLINK("https://klasma.github.io/Logging_0883/klagomål/A 12212-2024 FSC-klagomål.docx", "A 12212-2024")</f>
        <v/>
      </c>
      <c r="W361">
        <f>HYPERLINK("https://klasma.github.io/Logging_0883/klagomålsmail/A 12212-2024 FSC-klagomål mail.docx", "A 12212-2024")</f>
        <v/>
      </c>
      <c r="X361">
        <f>HYPERLINK("https://klasma.github.io/Logging_0883/tillsyn/A 12212-2024 tillsynsbegäran.docx", "A 12212-2024")</f>
        <v/>
      </c>
      <c r="Y361">
        <f>HYPERLINK("https://klasma.github.io/Logging_0883/tillsynsmail/A 12212-2024 tillsynsbegäran mail.docx", "A 12212-2024")</f>
        <v/>
      </c>
      <c r="Z361">
        <f>HYPERLINK("https://klasma.github.io/Logging_0883/fåglar/A 12212-2024 prioriterade fågelarter.docx", "A 12212-2024")</f>
        <v/>
      </c>
    </row>
    <row r="362" ht="15" customHeight="1">
      <c r="A362" t="inlineStr">
        <is>
          <t>A 46787-2022</t>
        </is>
      </c>
      <c r="B362" s="1" t="n">
        <v>44851</v>
      </c>
      <c r="C362" s="1" t="n">
        <v>45884</v>
      </c>
      <c r="D362" t="inlineStr">
        <is>
          <t>KALMAR LÄN</t>
        </is>
      </c>
      <c r="E362" t="inlineStr">
        <is>
          <t>VÄSTERVIK</t>
        </is>
      </c>
      <c r="G362" t="n">
        <v>4.4</v>
      </c>
      <c r="H362" t="n">
        <v>0</v>
      </c>
      <c r="I362" t="n">
        <v>0</v>
      </c>
      <c r="J362" t="n">
        <v>2</v>
      </c>
      <c r="K362" t="n">
        <v>0</v>
      </c>
      <c r="L362" t="n">
        <v>0</v>
      </c>
      <c r="M362" t="n">
        <v>0</v>
      </c>
      <c r="N362" t="n">
        <v>0</v>
      </c>
      <c r="O362" t="n">
        <v>2</v>
      </c>
      <c r="P362" t="n">
        <v>0</v>
      </c>
      <c r="Q362" t="n">
        <v>2</v>
      </c>
      <c r="R362" s="2" t="inlineStr">
        <is>
          <t>Motaggsvamp
Tallticka</t>
        </is>
      </c>
      <c r="S362">
        <f>HYPERLINK("https://klasma.github.io/Logging_0883/artfynd/A 46787-2022 artfynd.xlsx", "A 46787-2022")</f>
        <v/>
      </c>
      <c r="T362">
        <f>HYPERLINK("https://klasma.github.io/Logging_0883/kartor/A 46787-2022 karta.png", "A 46787-2022")</f>
        <v/>
      </c>
      <c r="V362">
        <f>HYPERLINK("https://klasma.github.io/Logging_0883/klagomål/A 46787-2022 FSC-klagomål.docx", "A 46787-2022")</f>
        <v/>
      </c>
      <c r="W362">
        <f>HYPERLINK("https://klasma.github.io/Logging_0883/klagomålsmail/A 46787-2022 FSC-klagomål mail.docx", "A 46787-2022")</f>
        <v/>
      </c>
      <c r="X362">
        <f>HYPERLINK("https://klasma.github.io/Logging_0883/tillsyn/A 46787-2022 tillsynsbegäran.docx", "A 46787-2022")</f>
        <v/>
      </c>
      <c r="Y362">
        <f>HYPERLINK("https://klasma.github.io/Logging_0883/tillsynsmail/A 46787-2022 tillsynsbegäran mail.docx", "A 46787-2022")</f>
        <v/>
      </c>
    </row>
    <row r="363" ht="15" customHeight="1">
      <c r="A363" t="inlineStr">
        <is>
          <t>A 53115-2020</t>
        </is>
      </c>
      <c r="B363" s="1" t="n">
        <v>44120</v>
      </c>
      <c r="C363" s="1" t="n">
        <v>45884</v>
      </c>
      <c r="D363" t="inlineStr">
        <is>
          <t>KALMAR LÄN</t>
        </is>
      </c>
      <c r="E363" t="inlineStr">
        <is>
          <t>NYBRO</t>
        </is>
      </c>
      <c r="G363" t="n">
        <v>6.2</v>
      </c>
      <c r="H363" t="n">
        <v>1</v>
      </c>
      <c r="I363" t="n">
        <v>1</v>
      </c>
      <c r="J363" t="n">
        <v>1</v>
      </c>
      <c r="K363" t="n">
        <v>0</v>
      </c>
      <c r="L363" t="n">
        <v>0</v>
      </c>
      <c r="M363" t="n">
        <v>0</v>
      </c>
      <c r="N363" t="n">
        <v>0</v>
      </c>
      <c r="O363" t="n">
        <v>1</v>
      </c>
      <c r="P363" t="n">
        <v>0</v>
      </c>
      <c r="Q363" t="n">
        <v>2</v>
      </c>
      <c r="R363" s="2" t="inlineStr">
        <is>
          <t>Granticka
Grön sköldmossa</t>
        </is>
      </c>
      <c r="S363">
        <f>HYPERLINK("https://klasma.github.io/Logging_0881/artfynd/A 53115-2020 artfynd.xlsx", "A 53115-2020")</f>
        <v/>
      </c>
      <c r="T363">
        <f>HYPERLINK("https://klasma.github.io/Logging_0881/kartor/A 53115-2020 karta.png", "A 53115-2020")</f>
        <v/>
      </c>
      <c r="V363">
        <f>HYPERLINK("https://klasma.github.io/Logging_0881/klagomål/A 53115-2020 FSC-klagomål.docx", "A 53115-2020")</f>
        <v/>
      </c>
      <c r="W363">
        <f>HYPERLINK("https://klasma.github.io/Logging_0881/klagomålsmail/A 53115-2020 FSC-klagomål mail.docx", "A 53115-2020")</f>
        <v/>
      </c>
      <c r="X363">
        <f>HYPERLINK("https://klasma.github.io/Logging_0881/tillsyn/A 53115-2020 tillsynsbegäran.docx", "A 53115-2020")</f>
        <v/>
      </c>
      <c r="Y363">
        <f>HYPERLINK("https://klasma.github.io/Logging_0881/tillsynsmail/A 53115-2020 tillsynsbegäran mail.docx", "A 53115-2020")</f>
        <v/>
      </c>
    </row>
    <row r="364" ht="15" customHeight="1">
      <c r="A364" t="inlineStr">
        <is>
          <t>A 34119-2023</t>
        </is>
      </c>
      <c r="B364" s="1" t="n">
        <v>45135</v>
      </c>
      <c r="C364" s="1" t="n">
        <v>45884</v>
      </c>
      <c r="D364" t="inlineStr">
        <is>
          <t>KALMAR LÄN</t>
        </is>
      </c>
      <c r="E364" t="inlineStr">
        <is>
          <t>VÄSTERVIK</t>
        </is>
      </c>
      <c r="G364" t="n">
        <v>3.1</v>
      </c>
      <c r="H364" t="n">
        <v>1</v>
      </c>
      <c r="I364" t="n">
        <v>1</v>
      </c>
      <c r="J364" t="n">
        <v>0</v>
      </c>
      <c r="K364" t="n">
        <v>1</v>
      </c>
      <c r="L364" t="n">
        <v>0</v>
      </c>
      <c r="M364" t="n">
        <v>0</v>
      </c>
      <c r="N364" t="n">
        <v>0</v>
      </c>
      <c r="O364" t="n">
        <v>1</v>
      </c>
      <c r="P364" t="n">
        <v>1</v>
      </c>
      <c r="Q364" t="n">
        <v>2</v>
      </c>
      <c r="R364" s="2" t="inlineStr">
        <is>
          <t>Knärot
Blomkålssvamp</t>
        </is>
      </c>
      <c r="S364">
        <f>HYPERLINK("https://klasma.github.io/Logging_0883/artfynd/A 34119-2023 artfynd.xlsx", "A 34119-2023")</f>
        <v/>
      </c>
      <c r="T364">
        <f>HYPERLINK("https://klasma.github.io/Logging_0883/kartor/A 34119-2023 karta.png", "A 34119-2023")</f>
        <v/>
      </c>
      <c r="U364">
        <f>HYPERLINK("https://klasma.github.io/Logging_0883/knärot/A 34119-2023 karta knärot.png", "A 34119-2023")</f>
        <v/>
      </c>
      <c r="V364">
        <f>HYPERLINK("https://klasma.github.io/Logging_0883/klagomål/A 34119-2023 FSC-klagomål.docx", "A 34119-2023")</f>
        <v/>
      </c>
      <c r="W364">
        <f>HYPERLINK("https://klasma.github.io/Logging_0883/klagomålsmail/A 34119-2023 FSC-klagomål mail.docx", "A 34119-2023")</f>
        <v/>
      </c>
      <c r="X364">
        <f>HYPERLINK("https://klasma.github.io/Logging_0883/tillsyn/A 34119-2023 tillsynsbegäran.docx", "A 34119-2023")</f>
        <v/>
      </c>
      <c r="Y364">
        <f>HYPERLINK("https://klasma.github.io/Logging_0883/tillsynsmail/A 34119-2023 tillsynsbegäran mail.docx", "A 34119-2023")</f>
        <v/>
      </c>
    </row>
    <row r="365" ht="15" customHeight="1">
      <c r="A365" t="inlineStr">
        <is>
          <t>A 15018-2025</t>
        </is>
      </c>
      <c r="B365" s="1" t="n">
        <v>45743.63806712963</v>
      </c>
      <c r="C365" s="1" t="n">
        <v>45884</v>
      </c>
      <c r="D365" t="inlineStr">
        <is>
          <t>KALMAR LÄN</t>
        </is>
      </c>
      <c r="E365" t="inlineStr">
        <is>
          <t>VÄSTERVIK</t>
        </is>
      </c>
      <c r="G365" t="n">
        <v>1.7</v>
      </c>
      <c r="H365" t="n">
        <v>2</v>
      </c>
      <c r="I365" t="n">
        <v>0</v>
      </c>
      <c r="J365" t="n">
        <v>1</v>
      </c>
      <c r="K365" t="n">
        <v>0</v>
      </c>
      <c r="L365" t="n">
        <v>0</v>
      </c>
      <c r="M365" t="n">
        <v>0</v>
      </c>
      <c r="N365" t="n">
        <v>0</v>
      </c>
      <c r="O365" t="n">
        <v>1</v>
      </c>
      <c r="P365" t="n">
        <v>0</v>
      </c>
      <c r="Q365" t="n">
        <v>2</v>
      </c>
      <c r="R365" s="2" t="inlineStr">
        <is>
          <t>Fjällvråk
Nattskärra</t>
        </is>
      </c>
      <c r="S365">
        <f>HYPERLINK("https://klasma.github.io/Logging_0883/artfynd/A 15018-2025 artfynd.xlsx", "A 15018-2025")</f>
        <v/>
      </c>
      <c r="T365">
        <f>HYPERLINK("https://klasma.github.io/Logging_0883/kartor/A 15018-2025 karta.png", "A 15018-2025")</f>
        <v/>
      </c>
      <c r="V365">
        <f>HYPERLINK("https://klasma.github.io/Logging_0883/klagomål/A 15018-2025 FSC-klagomål.docx", "A 15018-2025")</f>
        <v/>
      </c>
      <c r="W365">
        <f>HYPERLINK("https://klasma.github.io/Logging_0883/klagomålsmail/A 15018-2025 FSC-klagomål mail.docx", "A 15018-2025")</f>
        <v/>
      </c>
      <c r="X365">
        <f>HYPERLINK("https://klasma.github.io/Logging_0883/tillsyn/A 15018-2025 tillsynsbegäran.docx", "A 15018-2025")</f>
        <v/>
      </c>
      <c r="Y365">
        <f>HYPERLINK("https://klasma.github.io/Logging_0883/tillsynsmail/A 15018-2025 tillsynsbegäran mail.docx", "A 15018-2025")</f>
        <v/>
      </c>
      <c r="Z365">
        <f>HYPERLINK("https://klasma.github.io/Logging_0883/fåglar/A 15018-2025 prioriterade fågelarter.docx", "A 15018-2025")</f>
        <v/>
      </c>
    </row>
    <row r="366" ht="15" customHeight="1">
      <c r="A366" t="inlineStr">
        <is>
          <t>A 28401-2024</t>
        </is>
      </c>
      <c r="B366" s="1" t="n">
        <v>45477</v>
      </c>
      <c r="C366" s="1" t="n">
        <v>45884</v>
      </c>
      <c r="D366" t="inlineStr">
        <is>
          <t>KALMAR LÄN</t>
        </is>
      </c>
      <c r="E366" t="inlineStr">
        <is>
          <t>VÄSTERVIK</t>
        </is>
      </c>
      <c r="F366" t="inlineStr">
        <is>
          <t>Holmen skog AB</t>
        </is>
      </c>
      <c r="G366" t="n">
        <v>2.4</v>
      </c>
      <c r="H366" t="n">
        <v>2</v>
      </c>
      <c r="I366" t="n">
        <v>0</v>
      </c>
      <c r="J366" t="n">
        <v>1</v>
      </c>
      <c r="K366" t="n">
        <v>0</v>
      </c>
      <c r="L366" t="n">
        <v>0</v>
      </c>
      <c r="M366" t="n">
        <v>0</v>
      </c>
      <c r="N366" t="n">
        <v>0</v>
      </c>
      <c r="O366" t="n">
        <v>1</v>
      </c>
      <c r="P366" t="n">
        <v>0</v>
      </c>
      <c r="Q366" t="n">
        <v>2</v>
      </c>
      <c r="R366" s="2" t="inlineStr">
        <is>
          <t>Talltita
Revlummer</t>
        </is>
      </c>
      <c r="S366">
        <f>HYPERLINK("https://klasma.github.io/Logging_0883/artfynd/A 28401-2024 artfynd.xlsx", "A 28401-2024")</f>
        <v/>
      </c>
      <c r="T366">
        <f>HYPERLINK("https://klasma.github.io/Logging_0883/kartor/A 28401-2024 karta.png", "A 28401-2024")</f>
        <v/>
      </c>
      <c r="V366">
        <f>HYPERLINK("https://klasma.github.io/Logging_0883/klagomål/A 28401-2024 FSC-klagomål.docx", "A 28401-2024")</f>
        <v/>
      </c>
      <c r="W366">
        <f>HYPERLINK("https://klasma.github.io/Logging_0883/klagomålsmail/A 28401-2024 FSC-klagomål mail.docx", "A 28401-2024")</f>
        <v/>
      </c>
      <c r="X366">
        <f>HYPERLINK("https://klasma.github.io/Logging_0883/tillsyn/A 28401-2024 tillsynsbegäran.docx", "A 28401-2024")</f>
        <v/>
      </c>
      <c r="Y366">
        <f>HYPERLINK("https://klasma.github.io/Logging_0883/tillsynsmail/A 28401-2024 tillsynsbegäran mail.docx", "A 28401-2024")</f>
        <v/>
      </c>
      <c r="Z366">
        <f>HYPERLINK("https://klasma.github.io/Logging_0883/fåglar/A 28401-2024 prioriterade fågelarter.docx", "A 28401-2024")</f>
        <v/>
      </c>
    </row>
    <row r="367" ht="15" customHeight="1">
      <c r="A367" t="inlineStr">
        <is>
          <t>A 3173-2023</t>
        </is>
      </c>
      <c r="B367" s="1" t="n">
        <v>44946</v>
      </c>
      <c r="C367" s="1" t="n">
        <v>45884</v>
      </c>
      <c r="D367" t="inlineStr">
        <is>
          <t>KALMAR LÄN</t>
        </is>
      </c>
      <c r="E367" t="inlineStr">
        <is>
          <t>VÄSTERVIK</t>
        </is>
      </c>
      <c r="G367" t="n">
        <v>4</v>
      </c>
      <c r="H367" t="n">
        <v>1</v>
      </c>
      <c r="I367" t="n">
        <v>0</v>
      </c>
      <c r="J367" t="n">
        <v>1</v>
      </c>
      <c r="K367" t="n">
        <v>1</v>
      </c>
      <c r="L367" t="n">
        <v>0</v>
      </c>
      <c r="M367" t="n">
        <v>0</v>
      </c>
      <c r="N367" t="n">
        <v>0</v>
      </c>
      <c r="O367" t="n">
        <v>2</v>
      </c>
      <c r="P367" t="n">
        <v>1</v>
      </c>
      <c r="Q367" t="n">
        <v>2</v>
      </c>
      <c r="R367" s="2" t="inlineStr">
        <is>
          <t>Knärot
Tallticka</t>
        </is>
      </c>
      <c r="S367">
        <f>HYPERLINK("https://klasma.github.io/Logging_0883/artfynd/A 3173-2023 artfynd.xlsx", "A 3173-2023")</f>
        <v/>
      </c>
      <c r="T367">
        <f>HYPERLINK("https://klasma.github.io/Logging_0883/kartor/A 3173-2023 karta.png", "A 3173-2023")</f>
        <v/>
      </c>
      <c r="U367">
        <f>HYPERLINK("https://klasma.github.io/Logging_0883/knärot/A 3173-2023 karta knärot.png", "A 3173-2023")</f>
        <v/>
      </c>
      <c r="V367">
        <f>HYPERLINK("https://klasma.github.io/Logging_0883/klagomål/A 3173-2023 FSC-klagomål.docx", "A 3173-2023")</f>
        <v/>
      </c>
      <c r="W367">
        <f>HYPERLINK("https://klasma.github.io/Logging_0883/klagomålsmail/A 3173-2023 FSC-klagomål mail.docx", "A 3173-2023")</f>
        <v/>
      </c>
      <c r="X367">
        <f>HYPERLINK("https://klasma.github.io/Logging_0883/tillsyn/A 3173-2023 tillsynsbegäran.docx", "A 3173-2023")</f>
        <v/>
      </c>
      <c r="Y367">
        <f>HYPERLINK("https://klasma.github.io/Logging_0883/tillsynsmail/A 3173-2023 tillsynsbegäran mail.docx", "A 3173-2023")</f>
        <v/>
      </c>
    </row>
    <row r="368" ht="15" customHeight="1">
      <c r="A368" t="inlineStr">
        <is>
          <t>A 40361-2023</t>
        </is>
      </c>
      <c r="B368" s="1" t="n">
        <v>45169</v>
      </c>
      <c r="C368" s="1" t="n">
        <v>45884</v>
      </c>
      <c r="D368" t="inlineStr">
        <is>
          <t>KALMAR LÄN</t>
        </is>
      </c>
      <c r="E368" t="inlineStr">
        <is>
          <t>MÖRBYLÅNGA</t>
        </is>
      </c>
      <c r="G368" t="n">
        <v>1.1</v>
      </c>
      <c r="H368" t="n">
        <v>0</v>
      </c>
      <c r="I368" t="n">
        <v>0</v>
      </c>
      <c r="J368" t="n">
        <v>1</v>
      </c>
      <c r="K368" t="n">
        <v>0</v>
      </c>
      <c r="L368" t="n">
        <v>0</v>
      </c>
      <c r="M368" t="n">
        <v>1</v>
      </c>
      <c r="N368" t="n">
        <v>0</v>
      </c>
      <c r="O368" t="n">
        <v>2</v>
      </c>
      <c r="P368" t="n">
        <v>1</v>
      </c>
      <c r="Q368" t="n">
        <v>2</v>
      </c>
      <c r="R368" s="2" t="inlineStr">
        <is>
          <t>Lundalm
Ängsskära</t>
        </is>
      </c>
      <c r="S368">
        <f>HYPERLINK("https://klasma.github.io/Logging_0840/artfynd/A 40361-2023 artfynd.xlsx", "A 40361-2023")</f>
        <v/>
      </c>
      <c r="T368">
        <f>HYPERLINK("https://klasma.github.io/Logging_0840/kartor/A 40361-2023 karta.png", "A 40361-2023")</f>
        <v/>
      </c>
      <c r="V368">
        <f>HYPERLINK("https://klasma.github.io/Logging_0840/klagomål/A 40361-2023 FSC-klagomål.docx", "A 40361-2023")</f>
        <v/>
      </c>
      <c r="W368">
        <f>HYPERLINK("https://klasma.github.io/Logging_0840/klagomålsmail/A 40361-2023 FSC-klagomål mail.docx", "A 40361-2023")</f>
        <v/>
      </c>
      <c r="X368">
        <f>HYPERLINK("https://klasma.github.io/Logging_0840/tillsyn/A 40361-2023 tillsynsbegäran.docx", "A 40361-2023")</f>
        <v/>
      </c>
      <c r="Y368">
        <f>HYPERLINK("https://klasma.github.io/Logging_0840/tillsynsmail/A 40361-2023 tillsynsbegäran mail.docx", "A 40361-2023")</f>
        <v/>
      </c>
    </row>
    <row r="369" ht="15" customHeight="1">
      <c r="A369" t="inlineStr">
        <is>
          <t>A 4164-2023</t>
        </is>
      </c>
      <c r="B369" s="1" t="n">
        <v>44953</v>
      </c>
      <c r="C369" s="1" t="n">
        <v>45884</v>
      </c>
      <c r="D369" t="inlineStr">
        <is>
          <t>KALMAR LÄN</t>
        </is>
      </c>
      <c r="E369" t="inlineStr">
        <is>
          <t>BORGHOLM</t>
        </is>
      </c>
      <c r="G369" t="n">
        <v>3.3</v>
      </c>
      <c r="H369" t="n">
        <v>1</v>
      </c>
      <c r="I369" t="n">
        <v>1</v>
      </c>
      <c r="J369" t="n">
        <v>0</v>
      </c>
      <c r="K369" t="n">
        <v>0</v>
      </c>
      <c r="L369" t="n">
        <v>0</v>
      </c>
      <c r="M369" t="n">
        <v>0</v>
      </c>
      <c r="N369" t="n">
        <v>0</v>
      </c>
      <c r="O369" t="n">
        <v>0</v>
      </c>
      <c r="P369" t="n">
        <v>0</v>
      </c>
      <c r="Q369" t="n">
        <v>2</v>
      </c>
      <c r="R369" s="2" t="inlineStr">
        <is>
          <t>Murgröna
Blåsippa</t>
        </is>
      </c>
      <c r="S369">
        <f>HYPERLINK("https://klasma.github.io/Logging_0885/artfynd/A 4164-2023 artfynd.xlsx", "A 4164-2023")</f>
        <v/>
      </c>
      <c r="T369">
        <f>HYPERLINK("https://klasma.github.io/Logging_0885/kartor/A 4164-2023 karta.png", "A 4164-2023")</f>
        <v/>
      </c>
      <c r="V369">
        <f>HYPERLINK("https://klasma.github.io/Logging_0885/klagomål/A 4164-2023 FSC-klagomål.docx", "A 4164-2023")</f>
        <v/>
      </c>
      <c r="W369">
        <f>HYPERLINK("https://klasma.github.io/Logging_0885/klagomålsmail/A 4164-2023 FSC-klagomål mail.docx", "A 4164-2023")</f>
        <v/>
      </c>
      <c r="X369">
        <f>HYPERLINK("https://klasma.github.io/Logging_0885/tillsyn/A 4164-2023 tillsynsbegäran.docx", "A 4164-2023")</f>
        <v/>
      </c>
      <c r="Y369">
        <f>HYPERLINK("https://klasma.github.io/Logging_0885/tillsynsmail/A 4164-2023 tillsynsbegäran mail.docx", "A 4164-2023")</f>
        <v/>
      </c>
    </row>
    <row r="370" ht="15" customHeight="1">
      <c r="A370" t="inlineStr">
        <is>
          <t>A 51078-2023</t>
        </is>
      </c>
      <c r="B370" s="1" t="n">
        <v>45218</v>
      </c>
      <c r="C370" s="1" t="n">
        <v>45884</v>
      </c>
      <c r="D370" t="inlineStr">
        <is>
          <t>KALMAR LÄN</t>
        </is>
      </c>
      <c r="E370" t="inlineStr">
        <is>
          <t>OSKARSHAMN</t>
        </is>
      </c>
      <c r="G370" t="n">
        <v>2.9</v>
      </c>
      <c r="H370" t="n">
        <v>2</v>
      </c>
      <c r="I370" t="n">
        <v>0</v>
      </c>
      <c r="J370" t="n">
        <v>2</v>
      </c>
      <c r="K370" t="n">
        <v>0</v>
      </c>
      <c r="L370" t="n">
        <v>0</v>
      </c>
      <c r="M370" t="n">
        <v>0</v>
      </c>
      <c r="N370" t="n">
        <v>0</v>
      </c>
      <c r="O370" t="n">
        <v>2</v>
      </c>
      <c r="P370" t="n">
        <v>0</v>
      </c>
      <c r="Q370" t="n">
        <v>2</v>
      </c>
      <c r="R370" s="2" t="inlineStr">
        <is>
          <t>Gulsparv
Spillkråka</t>
        </is>
      </c>
      <c r="S370">
        <f>HYPERLINK("https://klasma.github.io/Logging_0882/artfynd/A 51078-2023 artfynd.xlsx", "A 51078-2023")</f>
        <v/>
      </c>
      <c r="T370">
        <f>HYPERLINK("https://klasma.github.io/Logging_0882/kartor/A 51078-2023 karta.png", "A 51078-2023")</f>
        <v/>
      </c>
      <c r="V370">
        <f>HYPERLINK("https://klasma.github.io/Logging_0882/klagomål/A 51078-2023 FSC-klagomål.docx", "A 51078-2023")</f>
        <v/>
      </c>
      <c r="W370">
        <f>HYPERLINK("https://klasma.github.io/Logging_0882/klagomålsmail/A 51078-2023 FSC-klagomål mail.docx", "A 51078-2023")</f>
        <v/>
      </c>
      <c r="X370">
        <f>HYPERLINK("https://klasma.github.io/Logging_0882/tillsyn/A 51078-2023 tillsynsbegäran.docx", "A 51078-2023")</f>
        <v/>
      </c>
      <c r="Y370">
        <f>HYPERLINK("https://klasma.github.io/Logging_0882/tillsynsmail/A 51078-2023 tillsynsbegäran mail.docx", "A 51078-2023")</f>
        <v/>
      </c>
      <c r="Z370">
        <f>HYPERLINK("https://klasma.github.io/Logging_0882/fåglar/A 51078-2023 prioriterade fågelarter.docx", "A 51078-2023")</f>
        <v/>
      </c>
    </row>
    <row r="371" ht="15" customHeight="1">
      <c r="A371" t="inlineStr">
        <is>
          <t>A 18057-2021</t>
        </is>
      </c>
      <c r="B371" s="1" t="n">
        <v>44302.41612268519</v>
      </c>
      <c r="C371" s="1" t="n">
        <v>45884</v>
      </c>
      <c r="D371" t="inlineStr">
        <is>
          <t>KALMAR LÄN</t>
        </is>
      </c>
      <c r="E371" t="inlineStr">
        <is>
          <t>KALMAR</t>
        </is>
      </c>
      <c r="G371" t="n">
        <v>3.7</v>
      </c>
      <c r="H371" t="n">
        <v>0</v>
      </c>
      <c r="I371" t="n">
        <v>1</v>
      </c>
      <c r="J371" t="n">
        <v>1</v>
      </c>
      <c r="K371" t="n">
        <v>0</v>
      </c>
      <c r="L371" t="n">
        <v>0</v>
      </c>
      <c r="M371" t="n">
        <v>0</v>
      </c>
      <c r="N371" t="n">
        <v>0</v>
      </c>
      <c r="O371" t="n">
        <v>1</v>
      </c>
      <c r="P371" t="n">
        <v>0</v>
      </c>
      <c r="Q371" t="n">
        <v>2</v>
      </c>
      <c r="R371" s="2" t="inlineStr">
        <is>
          <t>Tallticka
Blomkålssvamp</t>
        </is>
      </c>
      <c r="S371">
        <f>HYPERLINK("https://klasma.github.io/Logging_0880/artfynd/A 18057-2021 artfynd.xlsx", "A 18057-2021")</f>
        <v/>
      </c>
      <c r="T371">
        <f>HYPERLINK("https://klasma.github.io/Logging_0880/kartor/A 18057-2021 karta.png", "A 18057-2021")</f>
        <v/>
      </c>
      <c r="V371">
        <f>HYPERLINK("https://klasma.github.io/Logging_0880/klagomål/A 18057-2021 FSC-klagomål.docx", "A 18057-2021")</f>
        <v/>
      </c>
      <c r="W371">
        <f>HYPERLINK("https://klasma.github.io/Logging_0880/klagomålsmail/A 18057-2021 FSC-klagomål mail.docx", "A 18057-2021")</f>
        <v/>
      </c>
      <c r="X371">
        <f>HYPERLINK("https://klasma.github.io/Logging_0880/tillsyn/A 18057-2021 tillsynsbegäran.docx", "A 18057-2021")</f>
        <v/>
      </c>
      <c r="Y371">
        <f>HYPERLINK("https://klasma.github.io/Logging_0880/tillsynsmail/A 18057-2021 tillsynsbegäran mail.docx", "A 18057-2021")</f>
        <v/>
      </c>
    </row>
    <row r="372" ht="15" customHeight="1">
      <c r="A372" t="inlineStr">
        <is>
          <t>A 26272-2023</t>
        </is>
      </c>
      <c r="B372" s="1" t="n">
        <v>45091</v>
      </c>
      <c r="C372" s="1" t="n">
        <v>45884</v>
      </c>
      <c r="D372" t="inlineStr">
        <is>
          <t>KALMAR LÄN</t>
        </is>
      </c>
      <c r="E372" t="inlineStr">
        <is>
          <t>MÖNSTERÅS</t>
        </is>
      </c>
      <c r="G372" t="n">
        <v>1.6</v>
      </c>
      <c r="H372" t="n">
        <v>2</v>
      </c>
      <c r="I372" t="n">
        <v>0</v>
      </c>
      <c r="J372" t="n">
        <v>0</v>
      </c>
      <c r="K372" t="n">
        <v>0</v>
      </c>
      <c r="L372" t="n">
        <v>0</v>
      </c>
      <c r="M372" t="n">
        <v>0</v>
      </c>
      <c r="N372" t="n">
        <v>0</v>
      </c>
      <c r="O372" t="n">
        <v>0</v>
      </c>
      <c r="P372" t="n">
        <v>0</v>
      </c>
      <c r="Q372" t="n">
        <v>2</v>
      </c>
      <c r="R372" s="2" t="inlineStr">
        <is>
          <t>Dvärgpipistrell
Större brunfladdermus</t>
        </is>
      </c>
      <c r="S372">
        <f>HYPERLINK("https://klasma.github.io/Logging_0861/artfynd/A 26272-2023 artfynd.xlsx", "A 26272-2023")</f>
        <v/>
      </c>
      <c r="T372">
        <f>HYPERLINK("https://klasma.github.io/Logging_0861/kartor/A 26272-2023 karta.png", "A 26272-2023")</f>
        <v/>
      </c>
      <c r="V372">
        <f>HYPERLINK("https://klasma.github.io/Logging_0861/klagomål/A 26272-2023 FSC-klagomål.docx", "A 26272-2023")</f>
        <v/>
      </c>
      <c r="W372">
        <f>HYPERLINK("https://klasma.github.io/Logging_0861/klagomålsmail/A 26272-2023 FSC-klagomål mail.docx", "A 26272-2023")</f>
        <v/>
      </c>
      <c r="X372">
        <f>HYPERLINK("https://klasma.github.io/Logging_0861/tillsyn/A 26272-2023 tillsynsbegäran.docx", "A 26272-2023")</f>
        <v/>
      </c>
      <c r="Y372">
        <f>HYPERLINK("https://klasma.github.io/Logging_0861/tillsynsmail/A 26272-2023 tillsynsbegäran mail.docx", "A 26272-2023")</f>
        <v/>
      </c>
    </row>
    <row r="373" ht="15" customHeight="1">
      <c r="A373" t="inlineStr">
        <is>
          <t>A 44008-2022</t>
        </is>
      </c>
      <c r="B373" s="1" t="n">
        <v>44838</v>
      </c>
      <c r="C373" s="1" t="n">
        <v>45884</v>
      </c>
      <c r="D373" t="inlineStr">
        <is>
          <t>KALMAR LÄN</t>
        </is>
      </c>
      <c r="E373" t="inlineStr">
        <is>
          <t>BORGHOLM</t>
        </is>
      </c>
      <c r="F373" t="inlineStr">
        <is>
          <t>Sveaskog</t>
        </is>
      </c>
      <c r="G373" t="n">
        <v>1.7</v>
      </c>
      <c r="H373" t="n">
        <v>2</v>
      </c>
      <c r="I373" t="n">
        <v>0</v>
      </c>
      <c r="J373" t="n">
        <v>2</v>
      </c>
      <c r="K373" t="n">
        <v>0</v>
      </c>
      <c r="L373" t="n">
        <v>0</v>
      </c>
      <c r="M373" t="n">
        <v>0</v>
      </c>
      <c r="N373" t="n">
        <v>0</v>
      </c>
      <c r="O373" t="n">
        <v>2</v>
      </c>
      <c r="P373" t="n">
        <v>0</v>
      </c>
      <c r="Q373" t="n">
        <v>2</v>
      </c>
      <c r="R373" s="2" t="inlineStr">
        <is>
          <t>Entita
Talltita</t>
        </is>
      </c>
      <c r="S373">
        <f>HYPERLINK("https://klasma.github.io/Logging_0885/artfynd/A 44008-2022 artfynd.xlsx", "A 44008-2022")</f>
        <v/>
      </c>
      <c r="T373">
        <f>HYPERLINK("https://klasma.github.io/Logging_0885/kartor/A 44008-2022 karta.png", "A 44008-2022")</f>
        <v/>
      </c>
      <c r="V373">
        <f>HYPERLINK("https://klasma.github.io/Logging_0885/klagomål/A 44008-2022 FSC-klagomål.docx", "A 44008-2022")</f>
        <v/>
      </c>
      <c r="W373">
        <f>HYPERLINK("https://klasma.github.io/Logging_0885/klagomålsmail/A 44008-2022 FSC-klagomål mail.docx", "A 44008-2022")</f>
        <v/>
      </c>
      <c r="X373">
        <f>HYPERLINK("https://klasma.github.io/Logging_0885/tillsyn/A 44008-2022 tillsynsbegäran.docx", "A 44008-2022")</f>
        <v/>
      </c>
      <c r="Y373">
        <f>HYPERLINK("https://klasma.github.io/Logging_0885/tillsynsmail/A 44008-2022 tillsynsbegäran mail.docx", "A 44008-2022")</f>
        <v/>
      </c>
      <c r="Z373">
        <f>HYPERLINK("https://klasma.github.io/Logging_0885/fåglar/A 44008-2022 prioriterade fågelarter.docx", "A 44008-2022")</f>
        <v/>
      </c>
    </row>
    <row r="374" ht="15" customHeight="1">
      <c r="A374" t="inlineStr">
        <is>
          <t>A 56036-2024</t>
        </is>
      </c>
      <c r="B374" s="1" t="n">
        <v>45624</v>
      </c>
      <c r="C374" s="1" t="n">
        <v>45884</v>
      </c>
      <c r="D374" t="inlineStr">
        <is>
          <t>KALMAR LÄN</t>
        </is>
      </c>
      <c r="E374" t="inlineStr">
        <is>
          <t>VÄSTERVIK</t>
        </is>
      </c>
      <c r="F374" t="inlineStr">
        <is>
          <t>Kyrkan</t>
        </is>
      </c>
      <c r="G374" t="n">
        <v>5.5</v>
      </c>
      <c r="H374" t="n">
        <v>2</v>
      </c>
      <c r="I374" t="n">
        <v>0</v>
      </c>
      <c r="J374" t="n">
        <v>1</v>
      </c>
      <c r="K374" t="n">
        <v>1</v>
      </c>
      <c r="L374" t="n">
        <v>0</v>
      </c>
      <c r="M374" t="n">
        <v>0</v>
      </c>
      <c r="N374" t="n">
        <v>0</v>
      </c>
      <c r="O374" t="n">
        <v>2</v>
      </c>
      <c r="P374" t="n">
        <v>1</v>
      </c>
      <c r="Q374" t="n">
        <v>2</v>
      </c>
      <c r="R374" s="2" t="inlineStr">
        <is>
          <t>Knärot
Spillkråka</t>
        </is>
      </c>
      <c r="S374">
        <f>HYPERLINK("https://klasma.github.io/Logging_0883/artfynd/A 56036-2024 artfynd.xlsx", "A 56036-2024")</f>
        <v/>
      </c>
      <c r="T374">
        <f>HYPERLINK("https://klasma.github.io/Logging_0883/kartor/A 56036-2024 karta.png", "A 56036-2024")</f>
        <v/>
      </c>
      <c r="U374">
        <f>HYPERLINK("https://klasma.github.io/Logging_0883/knärot/A 56036-2024 karta knärot.png", "A 56036-2024")</f>
        <v/>
      </c>
      <c r="V374">
        <f>HYPERLINK("https://klasma.github.io/Logging_0883/klagomål/A 56036-2024 FSC-klagomål.docx", "A 56036-2024")</f>
        <v/>
      </c>
      <c r="W374">
        <f>HYPERLINK("https://klasma.github.io/Logging_0883/klagomålsmail/A 56036-2024 FSC-klagomål mail.docx", "A 56036-2024")</f>
        <v/>
      </c>
      <c r="X374">
        <f>HYPERLINK("https://klasma.github.io/Logging_0883/tillsyn/A 56036-2024 tillsynsbegäran.docx", "A 56036-2024")</f>
        <v/>
      </c>
      <c r="Y374">
        <f>HYPERLINK("https://klasma.github.io/Logging_0883/tillsynsmail/A 56036-2024 tillsynsbegäran mail.docx", "A 56036-2024")</f>
        <v/>
      </c>
      <c r="Z374">
        <f>HYPERLINK("https://klasma.github.io/Logging_0883/fåglar/A 56036-2024 prioriterade fågelarter.docx", "A 56036-2024")</f>
        <v/>
      </c>
    </row>
    <row r="375" ht="15" customHeight="1">
      <c r="A375" t="inlineStr">
        <is>
          <t>A 26695-2023</t>
        </is>
      </c>
      <c r="B375" s="1" t="n">
        <v>45093.3646875</v>
      </c>
      <c r="C375" s="1" t="n">
        <v>45884</v>
      </c>
      <c r="D375" t="inlineStr">
        <is>
          <t>KALMAR LÄN</t>
        </is>
      </c>
      <c r="E375" t="inlineStr">
        <is>
          <t>NYBRO</t>
        </is>
      </c>
      <c r="G375" t="n">
        <v>1.4</v>
      </c>
      <c r="H375" t="n">
        <v>1</v>
      </c>
      <c r="I375" t="n">
        <v>1</v>
      </c>
      <c r="J375" t="n">
        <v>0</v>
      </c>
      <c r="K375" t="n">
        <v>0</v>
      </c>
      <c r="L375" t="n">
        <v>0</v>
      </c>
      <c r="M375" t="n">
        <v>0</v>
      </c>
      <c r="N375" t="n">
        <v>0</v>
      </c>
      <c r="O375" t="n">
        <v>0</v>
      </c>
      <c r="P375" t="n">
        <v>0</v>
      </c>
      <c r="Q375" t="n">
        <v>2</v>
      </c>
      <c r="R375" s="2" t="inlineStr">
        <is>
          <t>Vågbandad barkbock
Järnsparv</t>
        </is>
      </c>
      <c r="S375">
        <f>HYPERLINK("https://klasma.github.io/Logging_0881/artfynd/A 26695-2023 artfynd.xlsx", "A 26695-2023")</f>
        <v/>
      </c>
      <c r="T375">
        <f>HYPERLINK("https://klasma.github.io/Logging_0881/kartor/A 26695-2023 karta.png", "A 26695-2023")</f>
        <v/>
      </c>
      <c r="V375">
        <f>HYPERLINK("https://klasma.github.io/Logging_0881/klagomål/A 26695-2023 FSC-klagomål.docx", "A 26695-2023")</f>
        <v/>
      </c>
      <c r="W375">
        <f>HYPERLINK("https://klasma.github.io/Logging_0881/klagomålsmail/A 26695-2023 FSC-klagomål mail.docx", "A 26695-2023")</f>
        <v/>
      </c>
      <c r="X375">
        <f>HYPERLINK("https://klasma.github.io/Logging_0881/tillsyn/A 26695-2023 tillsynsbegäran.docx", "A 26695-2023")</f>
        <v/>
      </c>
      <c r="Y375">
        <f>HYPERLINK("https://klasma.github.io/Logging_0881/tillsynsmail/A 26695-2023 tillsynsbegäran mail.docx", "A 26695-2023")</f>
        <v/>
      </c>
      <c r="Z375">
        <f>HYPERLINK("https://klasma.github.io/Logging_0881/fåglar/A 26695-2023 prioriterade fågelarter.docx", "A 26695-2023")</f>
        <v/>
      </c>
    </row>
    <row r="376" ht="15" customHeight="1">
      <c r="A376" t="inlineStr">
        <is>
          <t>A 26699-2023</t>
        </is>
      </c>
      <c r="B376" s="1" t="n">
        <v>45093.3703587963</v>
      </c>
      <c r="C376" s="1" t="n">
        <v>45884</v>
      </c>
      <c r="D376" t="inlineStr">
        <is>
          <t>KALMAR LÄN</t>
        </is>
      </c>
      <c r="E376" t="inlineStr">
        <is>
          <t>NYBRO</t>
        </is>
      </c>
      <c r="G376" t="n">
        <v>2.1</v>
      </c>
      <c r="H376" t="n">
        <v>0</v>
      </c>
      <c r="I376" t="n">
        <v>1</v>
      </c>
      <c r="J376" t="n">
        <v>1</v>
      </c>
      <c r="K376" t="n">
        <v>0</v>
      </c>
      <c r="L376" t="n">
        <v>0</v>
      </c>
      <c r="M376" t="n">
        <v>0</v>
      </c>
      <c r="N376" t="n">
        <v>0</v>
      </c>
      <c r="O376" t="n">
        <v>1</v>
      </c>
      <c r="P376" t="n">
        <v>0</v>
      </c>
      <c r="Q376" t="n">
        <v>2</v>
      </c>
      <c r="R376" s="2" t="inlineStr">
        <is>
          <t>Grönhjon
Vågbandad barkbock</t>
        </is>
      </c>
      <c r="S376">
        <f>HYPERLINK("https://klasma.github.io/Logging_0881/artfynd/A 26699-2023 artfynd.xlsx", "A 26699-2023")</f>
        <v/>
      </c>
      <c r="T376">
        <f>HYPERLINK("https://klasma.github.io/Logging_0881/kartor/A 26699-2023 karta.png", "A 26699-2023")</f>
        <v/>
      </c>
      <c r="V376">
        <f>HYPERLINK("https://klasma.github.io/Logging_0881/klagomål/A 26699-2023 FSC-klagomål.docx", "A 26699-2023")</f>
        <v/>
      </c>
      <c r="W376">
        <f>HYPERLINK("https://klasma.github.io/Logging_0881/klagomålsmail/A 26699-2023 FSC-klagomål mail.docx", "A 26699-2023")</f>
        <v/>
      </c>
      <c r="X376">
        <f>HYPERLINK("https://klasma.github.io/Logging_0881/tillsyn/A 26699-2023 tillsynsbegäran.docx", "A 26699-2023")</f>
        <v/>
      </c>
      <c r="Y376">
        <f>HYPERLINK("https://klasma.github.io/Logging_0881/tillsynsmail/A 26699-2023 tillsynsbegäran mail.docx", "A 26699-2023")</f>
        <v/>
      </c>
    </row>
    <row r="377" ht="15" customHeight="1">
      <c r="A377" t="inlineStr">
        <is>
          <t>A 53769-2021</t>
        </is>
      </c>
      <c r="B377" s="1" t="n">
        <v>44467</v>
      </c>
      <c r="C377" s="1" t="n">
        <v>45884</v>
      </c>
      <c r="D377" t="inlineStr">
        <is>
          <t>KALMAR LÄN</t>
        </is>
      </c>
      <c r="E377" t="inlineStr">
        <is>
          <t>VÄSTERVIK</t>
        </is>
      </c>
      <c r="G377" t="n">
        <v>2.2</v>
      </c>
      <c r="H377" t="n">
        <v>1</v>
      </c>
      <c r="I377" t="n">
        <v>2</v>
      </c>
      <c r="J377" t="n">
        <v>0</v>
      </c>
      <c r="K377" t="n">
        <v>0</v>
      </c>
      <c r="L377" t="n">
        <v>0</v>
      </c>
      <c r="M377" t="n">
        <v>0</v>
      </c>
      <c r="N377" t="n">
        <v>0</v>
      </c>
      <c r="O377" t="n">
        <v>0</v>
      </c>
      <c r="P377" t="n">
        <v>0</v>
      </c>
      <c r="Q377" t="n">
        <v>2</v>
      </c>
      <c r="R377" s="2" t="inlineStr">
        <is>
          <t>Grön sköldmossa
Stubbspretmossa</t>
        </is>
      </c>
      <c r="S377">
        <f>HYPERLINK("https://klasma.github.io/Logging_0883/artfynd/A 53769-2021 artfynd.xlsx", "A 53769-2021")</f>
        <v/>
      </c>
      <c r="T377">
        <f>HYPERLINK("https://klasma.github.io/Logging_0883/kartor/A 53769-2021 karta.png", "A 53769-2021")</f>
        <v/>
      </c>
      <c r="V377">
        <f>HYPERLINK("https://klasma.github.io/Logging_0883/klagomål/A 53769-2021 FSC-klagomål.docx", "A 53769-2021")</f>
        <v/>
      </c>
      <c r="W377">
        <f>HYPERLINK("https://klasma.github.io/Logging_0883/klagomålsmail/A 53769-2021 FSC-klagomål mail.docx", "A 53769-2021")</f>
        <v/>
      </c>
      <c r="X377">
        <f>HYPERLINK("https://klasma.github.io/Logging_0883/tillsyn/A 53769-2021 tillsynsbegäran.docx", "A 53769-2021")</f>
        <v/>
      </c>
      <c r="Y377">
        <f>HYPERLINK("https://klasma.github.io/Logging_0883/tillsynsmail/A 53769-2021 tillsynsbegäran mail.docx", "A 53769-2021")</f>
        <v/>
      </c>
    </row>
    <row r="378" ht="15" customHeight="1">
      <c r="A378" t="inlineStr">
        <is>
          <t>A 23106-2023</t>
        </is>
      </c>
      <c r="B378" s="1" t="n">
        <v>45075</v>
      </c>
      <c r="C378" s="1" t="n">
        <v>45884</v>
      </c>
      <c r="D378" t="inlineStr">
        <is>
          <t>KALMAR LÄN</t>
        </is>
      </c>
      <c r="E378" t="inlineStr">
        <is>
          <t>NYBRO</t>
        </is>
      </c>
      <c r="G378" t="n">
        <v>9.6</v>
      </c>
      <c r="H378" t="n">
        <v>0</v>
      </c>
      <c r="I378" t="n">
        <v>2</v>
      </c>
      <c r="J378" t="n">
        <v>0</v>
      </c>
      <c r="K378" t="n">
        <v>0</v>
      </c>
      <c r="L378" t="n">
        <v>0</v>
      </c>
      <c r="M378" t="n">
        <v>0</v>
      </c>
      <c r="N378" t="n">
        <v>0</v>
      </c>
      <c r="O378" t="n">
        <v>0</v>
      </c>
      <c r="P378" t="n">
        <v>0</v>
      </c>
      <c r="Q378" t="n">
        <v>2</v>
      </c>
      <c r="R378" s="2" t="inlineStr">
        <is>
          <t>Fjällig taggsvamp s.str.
Grovticka</t>
        </is>
      </c>
      <c r="S378">
        <f>HYPERLINK("https://klasma.github.io/Logging_0881/artfynd/A 23106-2023 artfynd.xlsx", "A 23106-2023")</f>
        <v/>
      </c>
      <c r="T378">
        <f>HYPERLINK("https://klasma.github.io/Logging_0881/kartor/A 23106-2023 karta.png", "A 23106-2023")</f>
        <v/>
      </c>
      <c r="V378">
        <f>HYPERLINK("https://klasma.github.io/Logging_0881/klagomål/A 23106-2023 FSC-klagomål.docx", "A 23106-2023")</f>
        <v/>
      </c>
      <c r="W378">
        <f>HYPERLINK("https://klasma.github.io/Logging_0881/klagomålsmail/A 23106-2023 FSC-klagomål mail.docx", "A 23106-2023")</f>
        <v/>
      </c>
      <c r="X378">
        <f>HYPERLINK("https://klasma.github.io/Logging_0881/tillsyn/A 23106-2023 tillsynsbegäran.docx", "A 23106-2023")</f>
        <v/>
      </c>
      <c r="Y378">
        <f>HYPERLINK("https://klasma.github.io/Logging_0881/tillsynsmail/A 23106-2023 tillsynsbegäran mail.docx", "A 23106-2023")</f>
        <v/>
      </c>
    </row>
    <row r="379" ht="15" customHeight="1">
      <c r="A379" t="inlineStr">
        <is>
          <t>A 941-2024</t>
        </is>
      </c>
      <c r="B379" s="1" t="n">
        <v>45301</v>
      </c>
      <c r="C379" s="1" t="n">
        <v>45884</v>
      </c>
      <c r="D379" t="inlineStr">
        <is>
          <t>KALMAR LÄN</t>
        </is>
      </c>
      <c r="E379" t="inlineStr">
        <is>
          <t>VÄSTERVIK</t>
        </is>
      </c>
      <c r="G379" t="n">
        <v>2.7</v>
      </c>
      <c r="H379" t="n">
        <v>1</v>
      </c>
      <c r="I379" t="n">
        <v>0</v>
      </c>
      <c r="J379" t="n">
        <v>1</v>
      </c>
      <c r="K379" t="n">
        <v>1</v>
      </c>
      <c r="L379" t="n">
        <v>0</v>
      </c>
      <c r="M379" t="n">
        <v>0</v>
      </c>
      <c r="N379" t="n">
        <v>0</v>
      </c>
      <c r="O379" t="n">
        <v>2</v>
      </c>
      <c r="P379" t="n">
        <v>1</v>
      </c>
      <c r="Q379" t="n">
        <v>2</v>
      </c>
      <c r="R379" s="2" t="inlineStr">
        <is>
          <t>Knärot
Svinrot</t>
        </is>
      </c>
      <c r="S379">
        <f>HYPERLINK("https://klasma.github.io/Logging_0883/artfynd/A 941-2024 artfynd.xlsx", "A 941-2024")</f>
        <v/>
      </c>
      <c r="T379">
        <f>HYPERLINK("https://klasma.github.io/Logging_0883/kartor/A 941-2024 karta.png", "A 941-2024")</f>
        <v/>
      </c>
      <c r="U379">
        <f>HYPERLINK("https://klasma.github.io/Logging_0883/knärot/A 941-2024 karta knärot.png", "A 941-2024")</f>
        <v/>
      </c>
      <c r="V379">
        <f>HYPERLINK("https://klasma.github.io/Logging_0883/klagomål/A 941-2024 FSC-klagomål.docx", "A 941-2024")</f>
        <v/>
      </c>
      <c r="W379">
        <f>HYPERLINK("https://klasma.github.io/Logging_0883/klagomålsmail/A 941-2024 FSC-klagomål mail.docx", "A 941-2024")</f>
        <v/>
      </c>
      <c r="X379">
        <f>HYPERLINK("https://klasma.github.io/Logging_0883/tillsyn/A 941-2024 tillsynsbegäran.docx", "A 941-2024")</f>
        <v/>
      </c>
      <c r="Y379">
        <f>HYPERLINK("https://klasma.github.io/Logging_0883/tillsynsmail/A 941-2024 tillsynsbegäran mail.docx", "A 941-2024")</f>
        <v/>
      </c>
    </row>
    <row r="380" ht="15" customHeight="1">
      <c r="A380" t="inlineStr">
        <is>
          <t>A 3658-2024</t>
        </is>
      </c>
      <c r="B380" s="1" t="n">
        <v>45321</v>
      </c>
      <c r="C380" s="1" t="n">
        <v>45884</v>
      </c>
      <c r="D380" t="inlineStr">
        <is>
          <t>KALMAR LÄN</t>
        </is>
      </c>
      <c r="E380" t="inlineStr">
        <is>
          <t>VÄSTERVIK</t>
        </is>
      </c>
      <c r="G380" t="n">
        <v>2.6</v>
      </c>
      <c r="H380" t="n">
        <v>1</v>
      </c>
      <c r="I380" t="n">
        <v>0</v>
      </c>
      <c r="J380" t="n">
        <v>1</v>
      </c>
      <c r="K380" t="n">
        <v>1</v>
      </c>
      <c r="L380" t="n">
        <v>0</v>
      </c>
      <c r="M380" t="n">
        <v>0</v>
      </c>
      <c r="N380" t="n">
        <v>0</v>
      </c>
      <c r="O380" t="n">
        <v>2</v>
      </c>
      <c r="P380" t="n">
        <v>1</v>
      </c>
      <c r="Q380" t="n">
        <v>2</v>
      </c>
      <c r="R380" s="2" t="inlineStr">
        <is>
          <t>Knärot
Tallticka</t>
        </is>
      </c>
      <c r="S380">
        <f>HYPERLINK("https://klasma.github.io/Logging_0883/artfynd/A 3658-2024 artfynd.xlsx", "A 3658-2024")</f>
        <v/>
      </c>
      <c r="T380">
        <f>HYPERLINK("https://klasma.github.io/Logging_0883/kartor/A 3658-2024 karta.png", "A 3658-2024")</f>
        <v/>
      </c>
      <c r="U380">
        <f>HYPERLINK("https://klasma.github.io/Logging_0883/knärot/A 3658-2024 karta knärot.png", "A 3658-2024")</f>
        <v/>
      </c>
      <c r="V380">
        <f>HYPERLINK("https://klasma.github.io/Logging_0883/klagomål/A 3658-2024 FSC-klagomål.docx", "A 3658-2024")</f>
        <v/>
      </c>
      <c r="W380">
        <f>HYPERLINK("https://klasma.github.io/Logging_0883/klagomålsmail/A 3658-2024 FSC-klagomål mail.docx", "A 3658-2024")</f>
        <v/>
      </c>
      <c r="X380">
        <f>HYPERLINK("https://klasma.github.io/Logging_0883/tillsyn/A 3658-2024 tillsynsbegäran.docx", "A 3658-2024")</f>
        <v/>
      </c>
      <c r="Y380">
        <f>HYPERLINK("https://klasma.github.io/Logging_0883/tillsynsmail/A 3658-2024 tillsynsbegäran mail.docx", "A 3658-2024")</f>
        <v/>
      </c>
    </row>
    <row r="381" ht="15" customHeight="1">
      <c r="A381" t="inlineStr">
        <is>
          <t>A 7410-2024</t>
        </is>
      </c>
      <c r="B381" s="1" t="n">
        <v>45345</v>
      </c>
      <c r="C381" s="1" t="n">
        <v>45884</v>
      </c>
      <c r="D381" t="inlineStr">
        <is>
          <t>KALMAR LÄN</t>
        </is>
      </c>
      <c r="E381" t="inlineStr">
        <is>
          <t>HÖGSBY</t>
        </is>
      </c>
      <c r="G381" t="n">
        <v>2.7</v>
      </c>
      <c r="H381" t="n">
        <v>2</v>
      </c>
      <c r="I381" t="n">
        <v>0</v>
      </c>
      <c r="J381" t="n">
        <v>0</v>
      </c>
      <c r="K381" t="n">
        <v>1</v>
      </c>
      <c r="L381" t="n">
        <v>0</v>
      </c>
      <c r="M381" t="n">
        <v>0</v>
      </c>
      <c r="N381" t="n">
        <v>0</v>
      </c>
      <c r="O381" t="n">
        <v>1</v>
      </c>
      <c r="P381" t="n">
        <v>1</v>
      </c>
      <c r="Q381" t="n">
        <v>2</v>
      </c>
      <c r="R381" s="2" t="inlineStr">
        <is>
          <t>Knärot
Blåsippa</t>
        </is>
      </c>
      <c r="S381">
        <f>HYPERLINK("https://klasma.github.io/Logging_0821/artfynd/A 7410-2024 artfynd.xlsx", "A 7410-2024")</f>
        <v/>
      </c>
      <c r="T381">
        <f>HYPERLINK("https://klasma.github.io/Logging_0821/kartor/A 7410-2024 karta.png", "A 7410-2024")</f>
        <v/>
      </c>
      <c r="U381">
        <f>HYPERLINK("https://klasma.github.io/Logging_0821/knärot/A 7410-2024 karta knärot.png", "A 7410-2024")</f>
        <v/>
      </c>
      <c r="V381">
        <f>HYPERLINK("https://klasma.github.io/Logging_0821/klagomål/A 7410-2024 FSC-klagomål.docx", "A 7410-2024")</f>
        <v/>
      </c>
      <c r="W381">
        <f>HYPERLINK("https://klasma.github.io/Logging_0821/klagomålsmail/A 7410-2024 FSC-klagomål mail.docx", "A 7410-2024")</f>
        <v/>
      </c>
      <c r="X381">
        <f>HYPERLINK("https://klasma.github.io/Logging_0821/tillsyn/A 7410-2024 tillsynsbegäran.docx", "A 7410-2024")</f>
        <v/>
      </c>
      <c r="Y381">
        <f>HYPERLINK("https://klasma.github.io/Logging_0821/tillsynsmail/A 7410-2024 tillsynsbegäran mail.docx", "A 7410-2024")</f>
        <v/>
      </c>
    </row>
    <row r="382" ht="15" customHeight="1">
      <c r="A382" t="inlineStr">
        <is>
          <t>A 16431-2023</t>
        </is>
      </c>
      <c r="B382" s="1" t="n">
        <v>45022</v>
      </c>
      <c r="C382" s="1" t="n">
        <v>45884</v>
      </c>
      <c r="D382" t="inlineStr">
        <is>
          <t>KALMAR LÄN</t>
        </is>
      </c>
      <c r="E382" t="inlineStr">
        <is>
          <t>MÖNSTERÅS</t>
        </is>
      </c>
      <c r="G382" t="n">
        <v>9.4</v>
      </c>
      <c r="H382" t="n">
        <v>0</v>
      </c>
      <c r="I382" t="n">
        <v>2</v>
      </c>
      <c r="J382" t="n">
        <v>0</v>
      </c>
      <c r="K382" t="n">
        <v>0</v>
      </c>
      <c r="L382" t="n">
        <v>0</v>
      </c>
      <c r="M382" t="n">
        <v>0</v>
      </c>
      <c r="N382" t="n">
        <v>0</v>
      </c>
      <c r="O382" t="n">
        <v>0</v>
      </c>
      <c r="P382" t="n">
        <v>0</v>
      </c>
      <c r="Q382" t="n">
        <v>2</v>
      </c>
      <c r="R382" s="2" t="inlineStr">
        <is>
          <t>Sårläka
Vätteros</t>
        </is>
      </c>
      <c r="S382">
        <f>HYPERLINK("https://klasma.github.io/Logging_0861/artfynd/A 16431-2023 artfynd.xlsx", "A 16431-2023")</f>
        <v/>
      </c>
      <c r="T382">
        <f>HYPERLINK("https://klasma.github.io/Logging_0861/kartor/A 16431-2023 karta.png", "A 16431-2023")</f>
        <v/>
      </c>
      <c r="V382">
        <f>HYPERLINK("https://klasma.github.io/Logging_0861/klagomål/A 16431-2023 FSC-klagomål.docx", "A 16431-2023")</f>
        <v/>
      </c>
      <c r="W382">
        <f>HYPERLINK("https://klasma.github.io/Logging_0861/klagomålsmail/A 16431-2023 FSC-klagomål mail.docx", "A 16431-2023")</f>
        <v/>
      </c>
      <c r="X382">
        <f>HYPERLINK("https://klasma.github.io/Logging_0861/tillsyn/A 16431-2023 tillsynsbegäran.docx", "A 16431-2023")</f>
        <v/>
      </c>
      <c r="Y382">
        <f>HYPERLINK("https://klasma.github.io/Logging_0861/tillsynsmail/A 16431-2023 tillsynsbegäran mail.docx", "A 16431-2023")</f>
        <v/>
      </c>
    </row>
    <row r="383" ht="15" customHeight="1">
      <c r="A383" t="inlineStr">
        <is>
          <t>A 15941-2024</t>
        </is>
      </c>
      <c r="B383" s="1" t="n">
        <v>45405.47848379629</v>
      </c>
      <c r="C383" s="1" t="n">
        <v>45884</v>
      </c>
      <c r="D383" t="inlineStr">
        <is>
          <t>KALMAR LÄN</t>
        </is>
      </c>
      <c r="E383" t="inlineStr">
        <is>
          <t>MÖNSTERÅS</t>
        </is>
      </c>
      <c r="G383" t="n">
        <v>5.9</v>
      </c>
      <c r="H383" t="n">
        <v>2</v>
      </c>
      <c r="I383" t="n">
        <v>0</v>
      </c>
      <c r="J383" t="n">
        <v>1</v>
      </c>
      <c r="K383" t="n">
        <v>1</v>
      </c>
      <c r="L383" t="n">
        <v>0</v>
      </c>
      <c r="M383" t="n">
        <v>0</v>
      </c>
      <c r="N383" t="n">
        <v>0</v>
      </c>
      <c r="O383" t="n">
        <v>2</v>
      </c>
      <c r="P383" t="n">
        <v>1</v>
      </c>
      <c r="Q383" t="n">
        <v>2</v>
      </c>
      <c r="R383" s="2" t="inlineStr">
        <is>
          <t>Knärot
Spillkråka</t>
        </is>
      </c>
      <c r="S383">
        <f>HYPERLINK("https://klasma.github.io/Logging_0861/artfynd/A 15941-2024 artfynd.xlsx", "A 15941-2024")</f>
        <v/>
      </c>
      <c r="T383">
        <f>HYPERLINK("https://klasma.github.io/Logging_0861/kartor/A 15941-2024 karta.png", "A 15941-2024")</f>
        <v/>
      </c>
      <c r="U383">
        <f>HYPERLINK("https://klasma.github.io/Logging_0861/knärot/A 15941-2024 karta knärot.png", "A 15941-2024")</f>
        <v/>
      </c>
      <c r="V383">
        <f>HYPERLINK("https://klasma.github.io/Logging_0861/klagomål/A 15941-2024 FSC-klagomål.docx", "A 15941-2024")</f>
        <v/>
      </c>
      <c r="W383">
        <f>HYPERLINK("https://klasma.github.io/Logging_0861/klagomålsmail/A 15941-2024 FSC-klagomål mail.docx", "A 15941-2024")</f>
        <v/>
      </c>
      <c r="X383">
        <f>HYPERLINK("https://klasma.github.io/Logging_0861/tillsyn/A 15941-2024 tillsynsbegäran.docx", "A 15941-2024")</f>
        <v/>
      </c>
      <c r="Y383">
        <f>HYPERLINK("https://klasma.github.io/Logging_0861/tillsynsmail/A 15941-2024 tillsynsbegäran mail.docx", "A 15941-2024")</f>
        <v/>
      </c>
      <c r="Z383">
        <f>HYPERLINK("https://klasma.github.io/Logging_0861/fåglar/A 15941-2024 prioriterade fågelarter.docx", "A 15941-2024")</f>
        <v/>
      </c>
    </row>
    <row r="384" ht="15" customHeight="1">
      <c r="A384" t="inlineStr">
        <is>
          <t>A 17935-2025</t>
        </is>
      </c>
      <c r="B384" s="1" t="n">
        <v>45760.34877314815</v>
      </c>
      <c r="C384" s="1" t="n">
        <v>45884</v>
      </c>
      <c r="D384" t="inlineStr">
        <is>
          <t>KALMAR LÄN</t>
        </is>
      </c>
      <c r="E384" t="inlineStr">
        <is>
          <t>VIMMERBY</t>
        </is>
      </c>
      <c r="G384" t="n">
        <v>2.2</v>
      </c>
      <c r="H384" t="n">
        <v>1</v>
      </c>
      <c r="I384" t="n">
        <v>1</v>
      </c>
      <c r="J384" t="n">
        <v>0</v>
      </c>
      <c r="K384" t="n">
        <v>0</v>
      </c>
      <c r="L384" t="n">
        <v>0</v>
      </c>
      <c r="M384" t="n">
        <v>0</v>
      </c>
      <c r="N384" t="n">
        <v>0</v>
      </c>
      <c r="O384" t="n">
        <v>0</v>
      </c>
      <c r="P384" t="n">
        <v>0</v>
      </c>
      <c r="Q384" t="n">
        <v>2</v>
      </c>
      <c r="R384" s="2" t="inlineStr">
        <is>
          <t>Gräsull
Fläcknycklar</t>
        </is>
      </c>
      <c r="S384">
        <f>HYPERLINK("https://klasma.github.io/Logging_0884/artfynd/A 17935-2025 artfynd.xlsx", "A 17935-2025")</f>
        <v/>
      </c>
      <c r="T384">
        <f>HYPERLINK("https://klasma.github.io/Logging_0884/kartor/A 17935-2025 karta.png", "A 17935-2025")</f>
        <v/>
      </c>
      <c r="V384">
        <f>HYPERLINK("https://klasma.github.io/Logging_0884/klagomål/A 17935-2025 FSC-klagomål.docx", "A 17935-2025")</f>
        <v/>
      </c>
      <c r="W384">
        <f>HYPERLINK("https://klasma.github.io/Logging_0884/klagomålsmail/A 17935-2025 FSC-klagomål mail.docx", "A 17935-2025")</f>
        <v/>
      </c>
      <c r="X384">
        <f>HYPERLINK("https://klasma.github.io/Logging_0884/tillsyn/A 17935-2025 tillsynsbegäran.docx", "A 17935-2025")</f>
        <v/>
      </c>
      <c r="Y384">
        <f>HYPERLINK("https://klasma.github.io/Logging_0884/tillsynsmail/A 17935-2025 tillsynsbegäran mail.docx", "A 17935-2025")</f>
        <v/>
      </c>
    </row>
    <row r="385" ht="15" customHeight="1">
      <c r="A385" t="inlineStr">
        <is>
          <t>A 55408-2023</t>
        </is>
      </c>
      <c r="B385" s="1" t="n">
        <v>45238</v>
      </c>
      <c r="C385" s="1" t="n">
        <v>45884</v>
      </c>
      <c r="D385" t="inlineStr">
        <is>
          <t>KALMAR LÄN</t>
        </is>
      </c>
      <c r="E385" t="inlineStr">
        <is>
          <t>VÄSTERVIK</t>
        </is>
      </c>
      <c r="G385" t="n">
        <v>2.8</v>
      </c>
      <c r="H385" t="n">
        <v>0</v>
      </c>
      <c r="I385" t="n">
        <v>0</v>
      </c>
      <c r="J385" t="n">
        <v>2</v>
      </c>
      <c r="K385" t="n">
        <v>0</v>
      </c>
      <c r="L385" t="n">
        <v>0</v>
      </c>
      <c r="M385" t="n">
        <v>0</v>
      </c>
      <c r="N385" t="n">
        <v>0</v>
      </c>
      <c r="O385" t="n">
        <v>2</v>
      </c>
      <c r="P385" t="n">
        <v>0</v>
      </c>
      <c r="Q385" t="n">
        <v>2</v>
      </c>
      <c r="R385" s="2" t="inlineStr">
        <is>
          <t>Ekticka
Tallticka</t>
        </is>
      </c>
      <c r="S385">
        <f>HYPERLINK("https://klasma.github.io/Logging_0883/artfynd/A 55408-2023 artfynd.xlsx", "A 55408-2023")</f>
        <v/>
      </c>
      <c r="T385">
        <f>HYPERLINK("https://klasma.github.io/Logging_0883/kartor/A 55408-2023 karta.png", "A 55408-2023")</f>
        <v/>
      </c>
      <c r="V385">
        <f>HYPERLINK("https://klasma.github.io/Logging_0883/klagomål/A 55408-2023 FSC-klagomål.docx", "A 55408-2023")</f>
        <v/>
      </c>
      <c r="W385">
        <f>HYPERLINK("https://klasma.github.io/Logging_0883/klagomålsmail/A 55408-2023 FSC-klagomål mail.docx", "A 55408-2023")</f>
        <v/>
      </c>
      <c r="X385">
        <f>HYPERLINK("https://klasma.github.io/Logging_0883/tillsyn/A 55408-2023 tillsynsbegäran.docx", "A 55408-2023")</f>
        <v/>
      </c>
      <c r="Y385">
        <f>HYPERLINK("https://klasma.github.io/Logging_0883/tillsynsmail/A 55408-2023 tillsynsbegäran mail.docx", "A 55408-2023")</f>
        <v/>
      </c>
    </row>
    <row r="386" ht="15" customHeight="1">
      <c r="A386" t="inlineStr">
        <is>
          <t>A 38373-2022</t>
        </is>
      </c>
      <c r="B386" s="1" t="n">
        <v>44812</v>
      </c>
      <c r="C386" s="1" t="n">
        <v>45884</v>
      </c>
      <c r="D386" t="inlineStr">
        <is>
          <t>KALMAR LÄN</t>
        </is>
      </c>
      <c r="E386" t="inlineStr">
        <is>
          <t>VÄSTERVIK</t>
        </is>
      </c>
      <c r="G386" t="n">
        <v>3.1</v>
      </c>
      <c r="H386" t="n">
        <v>1</v>
      </c>
      <c r="I386" t="n">
        <v>1</v>
      </c>
      <c r="J386" t="n">
        <v>0</v>
      </c>
      <c r="K386" t="n">
        <v>1</v>
      </c>
      <c r="L386" t="n">
        <v>0</v>
      </c>
      <c r="M386" t="n">
        <v>0</v>
      </c>
      <c r="N386" t="n">
        <v>0</v>
      </c>
      <c r="O386" t="n">
        <v>1</v>
      </c>
      <c r="P386" t="n">
        <v>1</v>
      </c>
      <c r="Q386" t="n">
        <v>2</v>
      </c>
      <c r="R386" s="2" t="inlineStr">
        <is>
          <t>Knärot
Blåmossa</t>
        </is>
      </c>
      <c r="S386">
        <f>HYPERLINK("https://klasma.github.io/Logging_0883/artfynd/A 38373-2022 artfynd.xlsx", "A 38373-2022")</f>
        <v/>
      </c>
      <c r="T386">
        <f>HYPERLINK("https://klasma.github.io/Logging_0883/kartor/A 38373-2022 karta.png", "A 38373-2022")</f>
        <v/>
      </c>
      <c r="U386">
        <f>HYPERLINK("https://klasma.github.io/Logging_0883/knärot/A 38373-2022 karta knärot.png", "A 38373-2022")</f>
        <v/>
      </c>
      <c r="V386">
        <f>HYPERLINK("https://klasma.github.io/Logging_0883/klagomål/A 38373-2022 FSC-klagomål.docx", "A 38373-2022")</f>
        <v/>
      </c>
      <c r="W386">
        <f>HYPERLINK("https://klasma.github.io/Logging_0883/klagomålsmail/A 38373-2022 FSC-klagomål mail.docx", "A 38373-2022")</f>
        <v/>
      </c>
      <c r="X386">
        <f>HYPERLINK("https://klasma.github.io/Logging_0883/tillsyn/A 38373-2022 tillsynsbegäran.docx", "A 38373-2022")</f>
        <v/>
      </c>
      <c r="Y386">
        <f>HYPERLINK("https://klasma.github.io/Logging_0883/tillsynsmail/A 38373-2022 tillsynsbegäran mail.docx", "A 38373-2022")</f>
        <v/>
      </c>
    </row>
    <row r="387" ht="15" customHeight="1">
      <c r="A387" t="inlineStr">
        <is>
          <t>A 34944-2022</t>
        </is>
      </c>
      <c r="B387" s="1" t="n">
        <v>44796</v>
      </c>
      <c r="C387" s="1" t="n">
        <v>45884</v>
      </c>
      <c r="D387" t="inlineStr">
        <is>
          <t>KALMAR LÄN</t>
        </is>
      </c>
      <c r="E387" t="inlineStr">
        <is>
          <t>BORGHOLM</t>
        </is>
      </c>
      <c r="F387" t="inlineStr">
        <is>
          <t>Sveaskog</t>
        </is>
      </c>
      <c r="G387" t="n">
        <v>1.7</v>
      </c>
      <c r="H387" t="n">
        <v>2</v>
      </c>
      <c r="I387" t="n">
        <v>0</v>
      </c>
      <c r="J387" t="n">
        <v>2</v>
      </c>
      <c r="K387" t="n">
        <v>0</v>
      </c>
      <c r="L387" t="n">
        <v>0</v>
      </c>
      <c r="M387" t="n">
        <v>0</v>
      </c>
      <c r="N387" t="n">
        <v>0</v>
      </c>
      <c r="O387" t="n">
        <v>2</v>
      </c>
      <c r="P387" t="n">
        <v>0</v>
      </c>
      <c r="Q387" t="n">
        <v>2</v>
      </c>
      <c r="R387" s="2" t="inlineStr">
        <is>
          <t>Entita
Talltita</t>
        </is>
      </c>
      <c r="S387">
        <f>HYPERLINK("https://klasma.github.io/Logging_0885/artfynd/A 34944-2022 artfynd.xlsx", "A 34944-2022")</f>
        <v/>
      </c>
      <c r="T387">
        <f>HYPERLINK("https://klasma.github.io/Logging_0885/kartor/A 34944-2022 karta.png", "A 34944-2022")</f>
        <v/>
      </c>
      <c r="V387">
        <f>HYPERLINK("https://klasma.github.io/Logging_0885/klagomål/A 34944-2022 FSC-klagomål.docx", "A 34944-2022")</f>
        <v/>
      </c>
      <c r="W387">
        <f>HYPERLINK("https://klasma.github.io/Logging_0885/klagomålsmail/A 34944-2022 FSC-klagomål mail.docx", "A 34944-2022")</f>
        <v/>
      </c>
      <c r="X387">
        <f>HYPERLINK("https://klasma.github.io/Logging_0885/tillsyn/A 34944-2022 tillsynsbegäran.docx", "A 34944-2022")</f>
        <v/>
      </c>
      <c r="Y387">
        <f>HYPERLINK("https://klasma.github.io/Logging_0885/tillsynsmail/A 34944-2022 tillsynsbegäran mail.docx", "A 34944-2022")</f>
        <v/>
      </c>
      <c r="Z387">
        <f>HYPERLINK("https://klasma.github.io/Logging_0885/fåglar/A 34944-2022 prioriterade fågelarter.docx", "A 34944-2022")</f>
        <v/>
      </c>
    </row>
    <row r="388" ht="15" customHeight="1">
      <c r="A388" t="inlineStr">
        <is>
          <t>A 19158-2023</t>
        </is>
      </c>
      <c r="B388" s="1" t="n">
        <v>45048</v>
      </c>
      <c r="C388" s="1" t="n">
        <v>45884</v>
      </c>
      <c r="D388" t="inlineStr">
        <is>
          <t>KALMAR LÄN</t>
        </is>
      </c>
      <c r="E388" t="inlineStr">
        <is>
          <t>VIMMERBY</t>
        </is>
      </c>
      <c r="G388" t="n">
        <v>2.2</v>
      </c>
      <c r="H388" t="n">
        <v>2</v>
      </c>
      <c r="I388" t="n">
        <v>0</v>
      </c>
      <c r="J388" t="n">
        <v>0</v>
      </c>
      <c r="K388" t="n">
        <v>1</v>
      </c>
      <c r="L388" t="n">
        <v>0</v>
      </c>
      <c r="M388" t="n">
        <v>0</v>
      </c>
      <c r="N388" t="n">
        <v>0</v>
      </c>
      <c r="O388" t="n">
        <v>1</v>
      </c>
      <c r="P388" t="n">
        <v>1</v>
      </c>
      <c r="Q388" t="n">
        <v>2</v>
      </c>
      <c r="R388" s="2" t="inlineStr">
        <is>
          <t>Knärot
Blåsippa</t>
        </is>
      </c>
      <c r="S388">
        <f>HYPERLINK("https://klasma.github.io/Logging_0884/artfynd/A 19158-2023 artfynd.xlsx", "A 19158-2023")</f>
        <v/>
      </c>
      <c r="T388">
        <f>HYPERLINK("https://klasma.github.io/Logging_0884/kartor/A 19158-2023 karta.png", "A 19158-2023")</f>
        <v/>
      </c>
      <c r="U388">
        <f>HYPERLINK("https://klasma.github.io/Logging_0884/knärot/A 19158-2023 karta knärot.png", "A 19158-2023")</f>
        <v/>
      </c>
      <c r="V388">
        <f>HYPERLINK("https://klasma.github.io/Logging_0884/klagomål/A 19158-2023 FSC-klagomål.docx", "A 19158-2023")</f>
        <v/>
      </c>
      <c r="W388">
        <f>HYPERLINK("https://klasma.github.io/Logging_0884/klagomålsmail/A 19158-2023 FSC-klagomål mail.docx", "A 19158-2023")</f>
        <v/>
      </c>
      <c r="X388">
        <f>HYPERLINK("https://klasma.github.io/Logging_0884/tillsyn/A 19158-2023 tillsynsbegäran.docx", "A 19158-2023")</f>
        <v/>
      </c>
      <c r="Y388">
        <f>HYPERLINK("https://klasma.github.io/Logging_0884/tillsynsmail/A 19158-2023 tillsynsbegäran mail.docx", "A 19158-2023")</f>
        <v/>
      </c>
    </row>
    <row r="389" ht="15" customHeight="1">
      <c r="A389" t="inlineStr">
        <is>
          <t>A 22683-2024</t>
        </is>
      </c>
      <c r="B389" s="1" t="n">
        <v>45447</v>
      </c>
      <c r="C389" s="1" t="n">
        <v>45884</v>
      </c>
      <c r="D389" t="inlineStr">
        <is>
          <t>KALMAR LÄN</t>
        </is>
      </c>
      <c r="E389" t="inlineStr">
        <is>
          <t>NYBRO</t>
        </is>
      </c>
      <c r="G389" t="n">
        <v>6.7</v>
      </c>
      <c r="H389" t="n">
        <v>2</v>
      </c>
      <c r="I389" t="n">
        <v>2</v>
      </c>
      <c r="J389" t="n">
        <v>0</v>
      </c>
      <c r="K389" t="n">
        <v>0</v>
      </c>
      <c r="L389" t="n">
        <v>0</v>
      </c>
      <c r="M389" t="n">
        <v>0</v>
      </c>
      <c r="N389" t="n">
        <v>0</v>
      </c>
      <c r="O389" t="n">
        <v>0</v>
      </c>
      <c r="P389" t="n">
        <v>0</v>
      </c>
      <c r="Q389" t="n">
        <v>2</v>
      </c>
      <c r="R389" s="2" t="inlineStr">
        <is>
          <t>Purpurknipprot
Skogsknipprot</t>
        </is>
      </c>
      <c r="S389">
        <f>HYPERLINK("https://klasma.github.io/Logging_0881/artfynd/A 22683-2024 artfynd.xlsx", "A 22683-2024")</f>
        <v/>
      </c>
      <c r="T389">
        <f>HYPERLINK("https://klasma.github.io/Logging_0881/kartor/A 22683-2024 karta.png", "A 22683-2024")</f>
        <v/>
      </c>
      <c r="V389">
        <f>HYPERLINK("https://klasma.github.io/Logging_0881/klagomål/A 22683-2024 FSC-klagomål.docx", "A 22683-2024")</f>
        <v/>
      </c>
      <c r="W389">
        <f>HYPERLINK("https://klasma.github.io/Logging_0881/klagomålsmail/A 22683-2024 FSC-klagomål mail.docx", "A 22683-2024")</f>
        <v/>
      </c>
      <c r="X389">
        <f>HYPERLINK("https://klasma.github.io/Logging_0881/tillsyn/A 22683-2024 tillsynsbegäran.docx", "A 22683-2024")</f>
        <v/>
      </c>
      <c r="Y389">
        <f>HYPERLINK("https://klasma.github.io/Logging_0881/tillsynsmail/A 22683-2024 tillsynsbegäran mail.docx", "A 22683-2024")</f>
        <v/>
      </c>
    </row>
    <row r="390" ht="15" customHeight="1">
      <c r="A390" t="inlineStr">
        <is>
          <t>A 25435-2023</t>
        </is>
      </c>
      <c r="B390" s="1" t="n">
        <v>45089</v>
      </c>
      <c r="C390" s="1" t="n">
        <v>45884</v>
      </c>
      <c r="D390" t="inlineStr">
        <is>
          <t>KALMAR LÄN</t>
        </is>
      </c>
      <c r="E390" t="inlineStr">
        <is>
          <t>VÄSTERVIK</t>
        </is>
      </c>
      <c r="G390" t="n">
        <v>1.6</v>
      </c>
      <c r="H390" t="n">
        <v>2</v>
      </c>
      <c r="I390" t="n">
        <v>0</v>
      </c>
      <c r="J390" t="n">
        <v>0</v>
      </c>
      <c r="K390" t="n">
        <v>1</v>
      </c>
      <c r="L390" t="n">
        <v>0</v>
      </c>
      <c r="M390" t="n">
        <v>0</v>
      </c>
      <c r="N390" t="n">
        <v>0</v>
      </c>
      <c r="O390" t="n">
        <v>1</v>
      </c>
      <c r="P390" t="n">
        <v>1</v>
      </c>
      <c r="Q390" t="n">
        <v>2</v>
      </c>
      <c r="R390" s="2" t="inlineStr">
        <is>
          <t>Knärot
Tjäder</t>
        </is>
      </c>
      <c r="S390">
        <f>HYPERLINK("https://klasma.github.io/Logging_0883/artfynd/A 25435-2023 artfynd.xlsx", "A 25435-2023")</f>
        <v/>
      </c>
      <c r="T390">
        <f>HYPERLINK("https://klasma.github.io/Logging_0883/kartor/A 25435-2023 karta.png", "A 25435-2023")</f>
        <v/>
      </c>
      <c r="U390">
        <f>HYPERLINK("https://klasma.github.io/Logging_0883/knärot/A 25435-2023 karta knärot.png", "A 25435-2023")</f>
        <v/>
      </c>
      <c r="V390">
        <f>HYPERLINK("https://klasma.github.io/Logging_0883/klagomål/A 25435-2023 FSC-klagomål.docx", "A 25435-2023")</f>
        <v/>
      </c>
      <c r="W390">
        <f>HYPERLINK("https://klasma.github.io/Logging_0883/klagomålsmail/A 25435-2023 FSC-klagomål mail.docx", "A 25435-2023")</f>
        <v/>
      </c>
      <c r="X390">
        <f>HYPERLINK("https://klasma.github.io/Logging_0883/tillsyn/A 25435-2023 tillsynsbegäran.docx", "A 25435-2023")</f>
        <v/>
      </c>
      <c r="Y390">
        <f>HYPERLINK("https://klasma.github.io/Logging_0883/tillsynsmail/A 25435-2023 tillsynsbegäran mail.docx", "A 25435-2023")</f>
        <v/>
      </c>
      <c r="Z390">
        <f>HYPERLINK("https://klasma.github.io/Logging_0883/fåglar/A 25435-2023 prioriterade fågelarter.docx", "A 25435-2023")</f>
        <v/>
      </c>
    </row>
    <row r="391" ht="15" customHeight="1">
      <c r="A391" t="inlineStr">
        <is>
          <t>A 19145-2024</t>
        </is>
      </c>
      <c r="B391" s="1" t="n">
        <v>45428.42564814815</v>
      </c>
      <c r="C391" s="1" t="n">
        <v>45884</v>
      </c>
      <c r="D391" t="inlineStr">
        <is>
          <t>KALMAR LÄN</t>
        </is>
      </c>
      <c r="E391" t="inlineStr">
        <is>
          <t>NYBRO</t>
        </is>
      </c>
      <c r="G391" t="n">
        <v>3.5</v>
      </c>
      <c r="H391" t="n">
        <v>2</v>
      </c>
      <c r="I391" t="n">
        <v>0</v>
      </c>
      <c r="J391" t="n">
        <v>0</v>
      </c>
      <c r="K391" t="n">
        <v>0</v>
      </c>
      <c r="L391" t="n">
        <v>0</v>
      </c>
      <c r="M391" t="n">
        <v>0</v>
      </c>
      <c r="N391" t="n">
        <v>0</v>
      </c>
      <c r="O391" t="n">
        <v>0</v>
      </c>
      <c r="P391" t="n">
        <v>0</v>
      </c>
      <c r="Q391" t="n">
        <v>2</v>
      </c>
      <c r="R391" s="2" t="inlineStr">
        <is>
          <t>Grönsiska
Kungsfågel</t>
        </is>
      </c>
      <c r="S391">
        <f>HYPERLINK("https://klasma.github.io/Logging_0881/artfynd/A 19145-2024 artfynd.xlsx", "A 19145-2024")</f>
        <v/>
      </c>
      <c r="T391">
        <f>HYPERLINK("https://klasma.github.io/Logging_0881/kartor/A 19145-2024 karta.png", "A 19145-2024")</f>
        <v/>
      </c>
      <c r="V391">
        <f>HYPERLINK("https://klasma.github.io/Logging_0881/klagomål/A 19145-2024 FSC-klagomål.docx", "A 19145-2024")</f>
        <v/>
      </c>
      <c r="W391">
        <f>HYPERLINK("https://klasma.github.io/Logging_0881/klagomålsmail/A 19145-2024 FSC-klagomål mail.docx", "A 19145-2024")</f>
        <v/>
      </c>
      <c r="X391">
        <f>HYPERLINK("https://klasma.github.io/Logging_0881/tillsyn/A 19145-2024 tillsynsbegäran.docx", "A 19145-2024")</f>
        <v/>
      </c>
      <c r="Y391">
        <f>HYPERLINK("https://klasma.github.io/Logging_0881/tillsynsmail/A 19145-2024 tillsynsbegäran mail.docx", "A 19145-2024")</f>
        <v/>
      </c>
      <c r="Z391">
        <f>HYPERLINK("https://klasma.github.io/Logging_0881/fåglar/A 19145-2024 prioriterade fågelarter.docx", "A 19145-2024")</f>
        <v/>
      </c>
    </row>
    <row r="392" ht="15" customHeight="1">
      <c r="A392" t="inlineStr">
        <is>
          <t>A 12086-2024</t>
        </is>
      </c>
      <c r="B392" s="1" t="n">
        <v>45377.5588425926</v>
      </c>
      <c r="C392" s="1" t="n">
        <v>45884</v>
      </c>
      <c r="D392" t="inlineStr">
        <is>
          <t>KALMAR LÄN</t>
        </is>
      </c>
      <c r="E392" t="inlineStr">
        <is>
          <t>EMMABODA</t>
        </is>
      </c>
      <c r="G392" t="n">
        <v>2.2</v>
      </c>
      <c r="H392" t="n">
        <v>1</v>
      </c>
      <c r="I392" t="n">
        <v>0</v>
      </c>
      <c r="J392" t="n">
        <v>0</v>
      </c>
      <c r="K392" t="n">
        <v>0</v>
      </c>
      <c r="L392" t="n">
        <v>1</v>
      </c>
      <c r="M392" t="n">
        <v>0</v>
      </c>
      <c r="N392" t="n">
        <v>0</v>
      </c>
      <c r="O392" t="n">
        <v>1</v>
      </c>
      <c r="P392" t="n">
        <v>1</v>
      </c>
      <c r="Q392" t="n">
        <v>2</v>
      </c>
      <c r="R392" s="2" t="inlineStr">
        <is>
          <t>Ask
Gullviva</t>
        </is>
      </c>
      <c r="S392">
        <f>HYPERLINK("https://klasma.github.io/Logging_0862/artfynd/A 12086-2024 artfynd.xlsx", "A 12086-2024")</f>
        <v/>
      </c>
      <c r="T392">
        <f>HYPERLINK("https://klasma.github.io/Logging_0862/kartor/A 12086-2024 karta.png", "A 12086-2024")</f>
        <v/>
      </c>
      <c r="V392">
        <f>HYPERLINK("https://klasma.github.io/Logging_0862/klagomål/A 12086-2024 FSC-klagomål.docx", "A 12086-2024")</f>
        <v/>
      </c>
      <c r="W392">
        <f>HYPERLINK("https://klasma.github.io/Logging_0862/klagomålsmail/A 12086-2024 FSC-klagomål mail.docx", "A 12086-2024")</f>
        <v/>
      </c>
      <c r="X392">
        <f>HYPERLINK("https://klasma.github.io/Logging_0862/tillsyn/A 12086-2024 tillsynsbegäran.docx", "A 12086-2024")</f>
        <v/>
      </c>
      <c r="Y392">
        <f>HYPERLINK("https://klasma.github.io/Logging_0862/tillsynsmail/A 12086-2024 tillsynsbegäran mail.docx", "A 12086-2024")</f>
        <v/>
      </c>
    </row>
    <row r="393" ht="15" customHeight="1">
      <c r="A393" t="inlineStr">
        <is>
          <t>A 15600-2025</t>
        </is>
      </c>
      <c r="B393" s="1" t="n">
        <v>45747</v>
      </c>
      <c r="C393" s="1" t="n">
        <v>45884</v>
      </c>
      <c r="D393" t="inlineStr">
        <is>
          <t>KALMAR LÄN</t>
        </is>
      </c>
      <c r="E393" t="inlineStr">
        <is>
          <t>MÖRBYLÅNGA</t>
        </is>
      </c>
      <c r="G393" t="n">
        <v>1.1</v>
      </c>
      <c r="H393" t="n">
        <v>0</v>
      </c>
      <c r="I393" t="n">
        <v>2</v>
      </c>
      <c r="J393" t="n">
        <v>0</v>
      </c>
      <c r="K393" t="n">
        <v>0</v>
      </c>
      <c r="L393" t="n">
        <v>0</v>
      </c>
      <c r="M393" t="n">
        <v>0</v>
      </c>
      <c r="N393" t="n">
        <v>0</v>
      </c>
      <c r="O393" t="n">
        <v>0</v>
      </c>
      <c r="P393" t="n">
        <v>0</v>
      </c>
      <c r="Q393" t="n">
        <v>2</v>
      </c>
      <c r="R393" s="2" t="inlineStr">
        <is>
          <t>Murgröna
Scharlakansvårskål agg.</t>
        </is>
      </c>
      <c r="S393">
        <f>HYPERLINK("https://klasma.github.io/Logging_0840/artfynd/A 15600-2025 artfynd.xlsx", "A 15600-2025")</f>
        <v/>
      </c>
      <c r="T393">
        <f>HYPERLINK("https://klasma.github.io/Logging_0840/kartor/A 15600-2025 karta.png", "A 15600-2025")</f>
        <v/>
      </c>
      <c r="V393">
        <f>HYPERLINK("https://klasma.github.io/Logging_0840/klagomål/A 15600-2025 FSC-klagomål.docx", "A 15600-2025")</f>
        <v/>
      </c>
      <c r="W393">
        <f>HYPERLINK("https://klasma.github.io/Logging_0840/klagomålsmail/A 15600-2025 FSC-klagomål mail.docx", "A 15600-2025")</f>
        <v/>
      </c>
      <c r="X393">
        <f>HYPERLINK("https://klasma.github.io/Logging_0840/tillsyn/A 15600-2025 tillsynsbegäran.docx", "A 15600-2025")</f>
        <v/>
      </c>
      <c r="Y393">
        <f>HYPERLINK("https://klasma.github.io/Logging_0840/tillsynsmail/A 15600-2025 tillsynsbegäran mail.docx", "A 15600-2025")</f>
        <v/>
      </c>
    </row>
    <row r="394" ht="15" customHeight="1">
      <c r="A394" t="inlineStr">
        <is>
          <t>A 12598-2024</t>
        </is>
      </c>
      <c r="B394" s="1" t="n">
        <v>45380</v>
      </c>
      <c r="C394" s="1" t="n">
        <v>45884</v>
      </c>
      <c r="D394" t="inlineStr">
        <is>
          <t>KALMAR LÄN</t>
        </is>
      </c>
      <c r="E394" t="inlineStr">
        <is>
          <t>VÄSTERVIK</t>
        </is>
      </c>
      <c r="F394" t="inlineStr">
        <is>
          <t>Holmen skog AB</t>
        </is>
      </c>
      <c r="G394" t="n">
        <v>5</v>
      </c>
      <c r="H394" t="n">
        <v>1</v>
      </c>
      <c r="I394" t="n">
        <v>1</v>
      </c>
      <c r="J394" t="n">
        <v>0</v>
      </c>
      <c r="K394" t="n">
        <v>1</v>
      </c>
      <c r="L394" t="n">
        <v>0</v>
      </c>
      <c r="M394" t="n">
        <v>0</v>
      </c>
      <c r="N394" t="n">
        <v>0</v>
      </c>
      <c r="O394" t="n">
        <v>1</v>
      </c>
      <c r="P394" t="n">
        <v>1</v>
      </c>
      <c r="Q394" t="n">
        <v>2</v>
      </c>
      <c r="R394" s="2" t="inlineStr">
        <is>
          <t>Knärot
Grönpyrola</t>
        </is>
      </c>
      <c r="S394">
        <f>HYPERLINK("https://klasma.github.io/Logging_0883/artfynd/A 12598-2024 artfynd.xlsx", "A 12598-2024")</f>
        <v/>
      </c>
      <c r="T394">
        <f>HYPERLINK("https://klasma.github.io/Logging_0883/kartor/A 12598-2024 karta.png", "A 12598-2024")</f>
        <v/>
      </c>
      <c r="U394">
        <f>HYPERLINK("https://klasma.github.io/Logging_0883/knärot/A 12598-2024 karta knärot.png", "A 12598-2024")</f>
        <v/>
      </c>
      <c r="V394">
        <f>HYPERLINK("https://klasma.github.io/Logging_0883/klagomål/A 12598-2024 FSC-klagomål.docx", "A 12598-2024")</f>
        <v/>
      </c>
      <c r="W394">
        <f>HYPERLINK("https://klasma.github.io/Logging_0883/klagomålsmail/A 12598-2024 FSC-klagomål mail.docx", "A 12598-2024")</f>
        <v/>
      </c>
      <c r="X394">
        <f>HYPERLINK("https://klasma.github.io/Logging_0883/tillsyn/A 12598-2024 tillsynsbegäran.docx", "A 12598-2024")</f>
        <v/>
      </c>
      <c r="Y394">
        <f>HYPERLINK("https://klasma.github.io/Logging_0883/tillsynsmail/A 12598-2024 tillsynsbegäran mail.docx", "A 12598-2024")</f>
        <v/>
      </c>
    </row>
    <row r="395" ht="15" customHeight="1">
      <c r="A395" t="inlineStr">
        <is>
          <t>A 43442-2024</t>
        </is>
      </c>
      <c r="B395" s="1" t="n">
        <v>45568</v>
      </c>
      <c r="C395" s="1" t="n">
        <v>45884</v>
      </c>
      <c r="D395" t="inlineStr">
        <is>
          <t>KALMAR LÄN</t>
        </is>
      </c>
      <c r="E395" t="inlineStr">
        <is>
          <t>OSKARSHAMN</t>
        </is>
      </c>
      <c r="F395" t="inlineStr">
        <is>
          <t>Kommuner</t>
        </is>
      </c>
      <c r="G395" t="n">
        <v>1.7</v>
      </c>
      <c r="H395" t="n">
        <v>0</v>
      </c>
      <c r="I395" t="n">
        <v>2</v>
      </c>
      <c r="J395" t="n">
        <v>0</v>
      </c>
      <c r="K395" t="n">
        <v>0</v>
      </c>
      <c r="L395" t="n">
        <v>0</v>
      </c>
      <c r="M395" t="n">
        <v>0</v>
      </c>
      <c r="N395" t="n">
        <v>0</v>
      </c>
      <c r="O395" t="n">
        <v>0</v>
      </c>
      <c r="P395" t="n">
        <v>0</v>
      </c>
      <c r="Q395" t="n">
        <v>2</v>
      </c>
      <c r="R395" s="2" t="inlineStr">
        <is>
          <t>Blåmossa
Vanlig flatbagge</t>
        </is>
      </c>
      <c r="S395">
        <f>HYPERLINK("https://klasma.github.io/Logging_0882/artfynd/A 43442-2024 artfynd.xlsx", "A 43442-2024")</f>
        <v/>
      </c>
      <c r="T395">
        <f>HYPERLINK("https://klasma.github.io/Logging_0882/kartor/A 43442-2024 karta.png", "A 43442-2024")</f>
        <v/>
      </c>
      <c r="V395">
        <f>HYPERLINK("https://klasma.github.io/Logging_0882/klagomål/A 43442-2024 FSC-klagomål.docx", "A 43442-2024")</f>
        <v/>
      </c>
      <c r="W395">
        <f>HYPERLINK("https://klasma.github.io/Logging_0882/klagomålsmail/A 43442-2024 FSC-klagomål mail.docx", "A 43442-2024")</f>
        <v/>
      </c>
      <c r="X395">
        <f>HYPERLINK("https://klasma.github.io/Logging_0882/tillsyn/A 43442-2024 tillsynsbegäran.docx", "A 43442-2024")</f>
        <v/>
      </c>
      <c r="Y395">
        <f>HYPERLINK("https://klasma.github.io/Logging_0882/tillsynsmail/A 43442-2024 tillsynsbegäran mail.docx", "A 43442-2024")</f>
        <v/>
      </c>
    </row>
    <row r="396" ht="15" customHeight="1">
      <c r="A396" t="inlineStr">
        <is>
          <t>A 948-2024</t>
        </is>
      </c>
      <c r="B396" s="1" t="n">
        <v>45301</v>
      </c>
      <c r="C396" s="1" t="n">
        <v>45884</v>
      </c>
      <c r="D396" t="inlineStr">
        <is>
          <t>KALMAR LÄN</t>
        </is>
      </c>
      <c r="E396" t="inlineStr">
        <is>
          <t>VÄSTERVIK</t>
        </is>
      </c>
      <c r="G396" t="n">
        <v>4.5</v>
      </c>
      <c r="H396" t="n">
        <v>1</v>
      </c>
      <c r="I396" t="n">
        <v>1</v>
      </c>
      <c r="J396" t="n">
        <v>0</v>
      </c>
      <c r="K396" t="n">
        <v>0</v>
      </c>
      <c r="L396" t="n">
        <v>0</v>
      </c>
      <c r="M396" t="n">
        <v>0</v>
      </c>
      <c r="N396" t="n">
        <v>0</v>
      </c>
      <c r="O396" t="n">
        <v>0</v>
      </c>
      <c r="P396" t="n">
        <v>0</v>
      </c>
      <c r="Q396" t="n">
        <v>2</v>
      </c>
      <c r="R396" s="2" t="inlineStr">
        <is>
          <t>Dropptaggsvamp
Tjäder</t>
        </is>
      </c>
      <c r="S396">
        <f>HYPERLINK("https://klasma.github.io/Logging_0883/artfynd/A 948-2024 artfynd.xlsx", "A 948-2024")</f>
        <v/>
      </c>
      <c r="T396">
        <f>HYPERLINK("https://klasma.github.io/Logging_0883/kartor/A 948-2024 karta.png", "A 948-2024")</f>
        <v/>
      </c>
      <c r="V396">
        <f>HYPERLINK("https://klasma.github.io/Logging_0883/klagomål/A 948-2024 FSC-klagomål.docx", "A 948-2024")</f>
        <v/>
      </c>
      <c r="W396">
        <f>HYPERLINK("https://klasma.github.io/Logging_0883/klagomålsmail/A 948-2024 FSC-klagomål mail.docx", "A 948-2024")</f>
        <v/>
      </c>
      <c r="X396">
        <f>HYPERLINK("https://klasma.github.io/Logging_0883/tillsyn/A 948-2024 tillsynsbegäran.docx", "A 948-2024")</f>
        <v/>
      </c>
      <c r="Y396">
        <f>HYPERLINK("https://klasma.github.io/Logging_0883/tillsynsmail/A 948-2024 tillsynsbegäran mail.docx", "A 948-2024")</f>
        <v/>
      </c>
      <c r="Z396">
        <f>HYPERLINK("https://klasma.github.io/Logging_0883/fåglar/A 948-2024 prioriterade fågelarter.docx", "A 948-2024")</f>
        <v/>
      </c>
    </row>
    <row r="397" ht="15" customHeight="1">
      <c r="A397" t="inlineStr">
        <is>
          <t>A 59940-2021</t>
        </is>
      </c>
      <c r="B397" s="1" t="n">
        <v>44494</v>
      </c>
      <c r="C397" s="1" t="n">
        <v>45884</v>
      </c>
      <c r="D397" t="inlineStr">
        <is>
          <t>KALMAR LÄN</t>
        </is>
      </c>
      <c r="E397" t="inlineStr">
        <is>
          <t>VÄSTERVIK</t>
        </is>
      </c>
      <c r="G397" t="n">
        <v>4.3</v>
      </c>
      <c r="H397" t="n">
        <v>1</v>
      </c>
      <c r="I397" t="n">
        <v>1</v>
      </c>
      <c r="J397" t="n">
        <v>0</v>
      </c>
      <c r="K397" t="n">
        <v>1</v>
      </c>
      <c r="L397" t="n">
        <v>0</v>
      </c>
      <c r="M397" t="n">
        <v>0</v>
      </c>
      <c r="N397" t="n">
        <v>0</v>
      </c>
      <c r="O397" t="n">
        <v>1</v>
      </c>
      <c r="P397" t="n">
        <v>1</v>
      </c>
      <c r="Q397" t="n">
        <v>2</v>
      </c>
      <c r="R397" s="2" t="inlineStr">
        <is>
          <t>Knärot
Grönpyrola</t>
        </is>
      </c>
      <c r="S397">
        <f>HYPERLINK("https://klasma.github.io/Logging_0883/artfynd/A 59940-2021 artfynd.xlsx", "A 59940-2021")</f>
        <v/>
      </c>
      <c r="T397">
        <f>HYPERLINK("https://klasma.github.io/Logging_0883/kartor/A 59940-2021 karta.png", "A 59940-2021")</f>
        <v/>
      </c>
      <c r="U397">
        <f>HYPERLINK("https://klasma.github.io/Logging_0883/knärot/A 59940-2021 karta knärot.png", "A 59940-2021")</f>
        <v/>
      </c>
      <c r="V397">
        <f>HYPERLINK("https://klasma.github.io/Logging_0883/klagomål/A 59940-2021 FSC-klagomål.docx", "A 59940-2021")</f>
        <v/>
      </c>
      <c r="W397">
        <f>HYPERLINK("https://klasma.github.io/Logging_0883/klagomålsmail/A 59940-2021 FSC-klagomål mail.docx", "A 59940-2021")</f>
        <v/>
      </c>
      <c r="X397">
        <f>HYPERLINK("https://klasma.github.io/Logging_0883/tillsyn/A 59940-2021 tillsynsbegäran.docx", "A 59940-2021")</f>
        <v/>
      </c>
      <c r="Y397">
        <f>HYPERLINK("https://klasma.github.io/Logging_0883/tillsynsmail/A 59940-2021 tillsynsbegäran mail.docx", "A 59940-2021")</f>
        <v/>
      </c>
    </row>
    <row r="398" ht="15" customHeight="1">
      <c r="A398" t="inlineStr">
        <is>
          <t>A 6062-2025</t>
        </is>
      </c>
      <c r="B398" s="1" t="n">
        <v>45695.93653935185</v>
      </c>
      <c r="C398" s="1" t="n">
        <v>45884</v>
      </c>
      <c r="D398" t="inlineStr">
        <is>
          <t>KALMAR LÄN</t>
        </is>
      </c>
      <c r="E398" t="inlineStr">
        <is>
          <t>NYBRO</t>
        </is>
      </c>
      <c r="G398" t="n">
        <v>5.1</v>
      </c>
      <c r="H398" t="n">
        <v>1</v>
      </c>
      <c r="I398" t="n">
        <v>1</v>
      </c>
      <c r="J398" t="n">
        <v>0</v>
      </c>
      <c r="K398" t="n">
        <v>0</v>
      </c>
      <c r="L398" t="n">
        <v>0</v>
      </c>
      <c r="M398" t="n">
        <v>0</v>
      </c>
      <c r="N398" t="n">
        <v>0</v>
      </c>
      <c r="O398" t="n">
        <v>0</v>
      </c>
      <c r="P398" t="n">
        <v>0</v>
      </c>
      <c r="Q398" t="n">
        <v>2</v>
      </c>
      <c r="R398" s="2" t="inlineStr">
        <is>
          <t>Skarp dropptaggsvamp
Blåsippa</t>
        </is>
      </c>
      <c r="S398">
        <f>HYPERLINK("https://klasma.github.io/Logging_0881/artfynd/A 6062-2025 artfynd.xlsx", "A 6062-2025")</f>
        <v/>
      </c>
      <c r="T398">
        <f>HYPERLINK("https://klasma.github.io/Logging_0881/kartor/A 6062-2025 karta.png", "A 6062-2025")</f>
        <v/>
      </c>
      <c r="U398">
        <f>HYPERLINK("https://klasma.github.io/Logging_0881/knärot/A 6062-2025 karta knärot.png", "A 6062-2025")</f>
        <v/>
      </c>
      <c r="V398">
        <f>HYPERLINK("https://klasma.github.io/Logging_0881/klagomål/A 6062-2025 FSC-klagomål.docx", "A 6062-2025")</f>
        <v/>
      </c>
      <c r="W398">
        <f>HYPERLINK("https://klasma.github.io/Logging_0881/klagomålsmail/A 6062-2025 FSC-klagomål mail.docx", "A 6062-2025")</f>
        <v/>
      </c>
      <c r="X398">
        <f>HYPERLINK("https://klasma.github.io/Logging_0881/tillsyn/A 6062-2025 tillsynsbegäran.docx", "A 6062-2025")</f>
        <v/>
      </c>
      <c r="Y398">
        <f>HYPERLINK("https://klasma.github.io/Logging_0881/tillsynsmail/A 6062-2025 tillsynsbegäran mail.docx", "A 6062-2025")</f>
        <v/>
      </c>
    </row>
    <row r="399" ht="15" customHeight="1">
      <c r="A399" t="inlineStr">
        <is>
          <t>A 59231-2022</t>
        </is>
      </c>
      <c r="B399" s="1" t="n">
        <v>44904.55646990741</v>
      </c>
      <c r="C399" s="1" t="n">
        <v>45884</v>
      </c>
      <c r="D399" t="inlineStr">
        <is>
          <t>KALMAR LÄN</t>
        </is>
      </c>
      <c r="E399" t="inlineStr">
        <is>
          <t>VÄSTERVIK</t>
        </is>
      </c>
      <c r="G399" t="n">
        <v>1.8</v>
      </c>
      <c r="H399" t="n">
        <v>0</v>
      </c>
      <c r="I399" t="n">
        <v>1</v>
      </c>
      <c r="J399" t="n">
        <v>1</v>
      </c>
      <c r="K399" t="n">
        <v>0</v>
      </c>
      <c r="L399" t="n">
        <v>0</v>
      </c>
      <c r="M399" t="n">
        <v>0</v>
      </c>
      <c r="N399" t="n">
        <v>0</v>
      </c>
      <c r="O399" t="n">
        <v>1</v>
      </c>
      <c r="P399" t="n">
        <v>0</v>
      </c>
      <c r="Q399" t="n">
        <v>2</v>
      </c>
      <c r="R399" s="2" t="inlineStr">
        <is>
          <t>Tallticka
Grönpyrola</t>
        </is>
      </c>
      <c r="S399">
        <f>HYPERLINK("https://klasma.github.io/Logging_0883/artfynd/A 59231-2022 artfynd.xlsx", "A 59231-2022")</f>
        <v/>
      </c>
      <c r="T399">
        <f>HYPERLINK("https://klasma.github.io/Logging_0883/kartor/A 59231-2022 karta.png", "A 59231-2022")</f>
        <v/>
      </c>
      <c r="V399">
        <f>HYPERLINK("https://klasma.github.io/Logging_0883/klagomål/A 59231-2022 FSC-klagomål.docx", "A 59231-2022")</f>
        <v/>
      </c>
      <c r="W399">
        <f>HYPERLINK("https://klasma.github.io/Logging_0883/klagomålsmail/A 59231-2022 FSC-klagomål mail.docx", "A 59231-2022")</f>
        <v/>
      </c>
      <c r="X399">
        <f>HYPERLINK("https://klasma.github.io/Logging_0883/tillsyn/A 59231-2022 tillsynsbegäran.docx", "A 59231-2022")</f>
        <v/>
      </c>
      <c r="Y399">
        <f>HYPERLINK("https://klasma.github.io/Logging_0883/tillsynsmail/A 59231-2022 tillsynsbegäran mail.docx", "A 59231-2022")</f>
        <v/>
      </c>
    </row>
    <row r="400" ht="15" customHeight="1">
      <c r="A400" t="inlineStr">
        <is>
          <t>A 14086-2025</t>
        </is>
      </c>
      <c r="B400" s="1" t="n">
        <v>45740.44130787037</v>
      </c>
      <c r="C400" s="1" t="n">
        <v>45884</v>
      </c>
      <c r="D400" t="inlineStr">
        <is>
          <t>KALMAR LÄN</t>
        </is>
      </c>
      <c r="E400" t="inlineStr">
        <is>
          <t>VÄSTERVIK</t>
        </is>
      </c>
      <c r="F400" t="inlineStr">
        <is>
          <t>Sveaskog</t>
        </is>
      </c>
      <c r="G400" t="n">
        <v>3.2</v>
      </c>
      <c r="H400" t="n">
        <v>1</v>
      </c>
      <c r="I400" t="n">
        <v>1</v>
      </c>
      <c r="J400" t="n">
        <v>0</v>
      </c>
      <c r="K400" t="n">
        <v>0</v>
      </c>
      <c r="L400" t="n">
        <v>0</v>
      </c>
      <c r="M400" t="n">
        <v>0</v>
      </c>
      <c r="N400" t="n">
        <v>0</v>
      </c>
      <c r="O400" t="n">
        <v>0</v>
      </c>
      <c r="P400" t="n">
        <v>0</v>
      </c>
      <c r="Q400" t="n">
        <v>2</v>
      </c>
      <c r="R400" s="2" t="inlineStr">
        <is>
          <t>Skogsbräsma
Åkergroda</t>
        </is>
      </c>
      <c r="S400">
        <f>HYPERLINK("https://klasma.github.io/Logging_0883/artfynd/A 14086-2025 artfynd.xlsx", "A 14086-2025")</f>
        <v/>
      </c>
      <c r="T400">
        <f>HYPERLINK("https://klasma.github.io/Logging_0883/kartor/A 14086-2025 karta.png", "A 14086-2025")</f>
        <v/>
      </c>
      <c r="V400">
        <f>HYPERLINK("https://klasma.github.io/Logging_0883/klagomål/A 14086-2025 FSC-klagomål.docx", "A 14086-2025")</f>
        <v/>
      </c>
      <c r="W400">
        <f>HYPERLINK("https://klasma.github.io/Logging_0883/klagomålsmail/A 14086-2025 FSC-klagomål mail.docx", "A 14086-2025")</f>
        <v/>
      </c>
      <c r="X400">
        <f>HYPERLINK("https://klasma.github.io/Logging_0883/tillsyn/A 14086-2025 tillsynsbegäran.docx", "A 14086-2025")</f>
        <v/>
      </c>
      <c r="Y400">
        <f>HYPERLINK("https://klasma.github.io/Logging_0883/tillsynsmail/A 14086-2025 tillsynsbegäran mail.docx", "A 14086-2025")</f>
        <v/>
      </c>
    </row>
    <row r="401" ht="15" customHeight="1">
      <c r="A401" t="inlineStr">
        <is>
          <t>A 35236-2024</t>
        </is>
      </c>
      <c r="B401" s="1" t="n">
        <v>45530.54184027778</v>
      </c>
      <c r="C401" s="1" t="n">
        <v>45884</v>
      </c>
      <c r="D401" t="inlineStr">
        <is>
          <t>KALMAR LÄN</t>
        </is>
      </c>
      <c r="E401" t="inlineStr">
        <is>
          <t>VÄSTERVIK</t>
        </is>
      </c>
      <c r="G401" t="n">
        <v>0.9</v>
      </c>
      <c r="H401" t="n">
        <v>1</v>
      </c>
      <c r="I401" t="n">
        <v>1</v>
      </c>
      <c r="J401" t="n">
        <v>0</v>
      </c>
      <c r="K401" t="n">
        <v>1</v>
      </c>
      <c r="L401" t="n">
        <v>0</v>
      </c>
      <c r="M401" t="n">
        <v>0</v>
      </c>
      <c r="N401" t="n">
        <v>0</v>
      </c>
      <c r="O401" t="n">
        <v>1</v>
      </c>
      <c r="P401" t="n">
        <v>1</v>
      </c>
      <c r="Q401" t="n">
        <v>2</v>
      </c>
      <c r="R401" s="2" t="inlineStr">
        <is>
          <t>Knärot
Blåmossa</t>
        </is>
      </c>
      <c r="S401">
        <f>HYPERLINK("https://klasma.github.io/Logging_0883/artfynd/A 35236-2024 artfynd.xlsx", "A 35236-2024")</f>
        <v/>
      </c>
      <c r="T401">
        <f>HYPERLINK("https://klasma.github.io/Logging_0883/kartor/A 35236-2024 karta.png", "A 35236-2024")</f>
        <v/>
      </c>
      <c r="U401">
        <f>HYPERLINK("https://klasma.github.io/Logging_0883/knärot/A 35236-2024 karta knärot.png", "A 35236-2024")</f>
        <v/>
      </c>
      <c r="V401">
        <f>HYPERLINK("https://klasma.github.io/Logging_0883/klagomål/A 35236-2024 FSC-klagomål.docx", "A 35236-2024")</f>
        <v/>
      </c>
      <c r="W401">
        <f>HYPERLINK("https://klasma.github.io/Logging_0883/klagomålsmail/A 35236-2024 FSC-klagomål mail.docx", "A 35236-2024")</f>
        <v/>
      </c>
      <c r="X401">
        <f>HYPERLINK("https://klasma.github.io/Logging_0883/tillsyn/A 35236-2024 tillsynsbegäran.docx", "A 35236-2024")</f>
        <v/>
      </c>
      <c r="Y401">
        <f>HYPERLINK("https://klasma.github.io/Logging_0883/tillsynsmail/A 35236-2024 tillsynsbegäran mail.docx", "A 35236-2024")</f>
        <v/>
      </c>
    </row>
    <row r="402" ht="15" customHeight="1">
      <c r="A402" t="inlineStr">
        <is>
          <t>A 62008-2023</t>
        </is>
      </c>
      <c r="B402" s="1" t="n">
        <v>45266</v>
      </c>
      <c r="C402" s="1" t="n">
        <v>45884</v>
      </c>
      <c r="D402" t="inlineStr">
        <is>
          <t>KALMAR LÄN</t>
        </is>
      </c>
      <c r="E402" t="inlineStr">
        <is>
          <t>VÄSTERVIK</t>
        </is>
      </c>
      <c r="G402" t="n">
        <v>4</v>
      </c>
      <c r="H402" t="n">
        <v>2</v>
      </c>
      <c r="I402" t="n">
        <v>0</v>
      </c>
      <c r="J402" t="n">
        <v>1</v>
      </c>
      <c r="K402" t="n">
        <v>1</v>
      </c>
      <c r="L402" t="n">
        <v>0</v>
      </c>
      <c r="M402" t="n">
        <v>0</v>
      </c>
      <c r="N402" t="n">
        <v>0</v>
      </c>
      <c r="O402" t="n">
        <v>2</v>
      </c>
      <c r="P402" t="n">
        <v>1</v>
      </c>
      <c r="Q402" t="n">
        <v>2</v>
      </c>
      <c r="R402" s="2" t="inlineStr">
        <is>
          <t>Knärot
Talltita</t>
        </is>
      </c>
      <c r="S402">
        <f>HYPERLINK("https://klasma.github.io/Logging_0883/artfynd/A 62008-2023 artfynd.xlsx", "A 62008-2023")</f>
        <v/>
      </c>
      <c r="T402">
        <f>HYPERLINK("https://klasma.github.io/Logging_0883/kartor/A 62008-2023 karta.png", "A 62008-2023")</f>
        <v/>
      </c>
      <c r="U402">
        <f>HYPERLINK("https://klasma.github.io/Logging_0883/knärot/A 62008-2023 karta knärot.png", "A 62008-2023")</f>
        <v/>
      </c>
      <c r="V402">
        <f>HYPERLINK("https://klasma.github.io/Logging_0883/klagomål/A 62008-2023 FSC-klagomål.docx", "A 62008-2023")</f>
        <v/>
      </c>
      <c r="W402">
        <f>HYPERLINK("https://klasma.github.io/Logging_0883/klagomålsmail/A 62008-2023 FSC-klagomål mail.docx", "A 62008-2023")</f>
        <v/>
      </c>
      <c r="X402">
        <f>HYPERLINK("https://klasma.github.io/Logging_0883/tillsyn/A 62008-2023 tillsynsbegäran.docx", "A 62008-2023")</f>
        <v/>
      </c>
      <c r="Y402">
        <f>HYPERLINK("https://klasma.github.io/Logging_0883/tillsynsmail/A 62008-2023 tillsynsbegäran mail.docx", "A 62008-2023")</f>
        <v/>
      </c>
      <c r="Z402">
        <f>HYPERLINK("https://klasma.github.io/Logging_0883/fåglar/A 62008-2023 prioriterade fågelarter.docx", "A 62008-2023")</f>
        <v/>
      </c>
    </row>
    <row r="403" ht="15" customHeight="1">
      <c r="A403" t="inlineStr">
        <is>
          <t>A 36365-2024</t>
        </is>
      </c>
      <c r="B403" s="1" t="n">
        <v>45534</v>
      </c>
      <c r="C403" s="1" t="n">
        <v>45884</v>
      </c>
      <c r="D403" t="inlineStr">
        <is>
          <t>KALMAR LÄN</t>
        </is>
      </c>
      <c r="E403" t="inlineStr">
        <is>
          <t>MÖNSTERÅS</t>
        </is>
      </c>
      <c r="F403" t="inlineStr">
        <is>
          <t>Kommuner</t>
        </is>
      </c>
      <c r="G403" t="n">
        <v>1.9</v>
      </c>
      <c r="H403" t="n">
        <v>2</v>
      </c>
      <c r="I403" t="n">
        <v>0</v>
      </c>
      <c r="J403" t="n">
        <v>0</v>
      </c>
      <c r="K403" t="n">
        <v>0</v>
      </c>
      <c r="L403" t="n">
        <v>0</v>
      </c>
      <c r="M403" t="n">
        <v>0</v>
      </c>
      <c r="N403" t="n">
        <v>0</v>
      </c>
      <c r="O403" t="n">
        <v>0</v>
      </c>
      <c r="P403" t="n">
        <v>0</v>
      </c>
      <c r="Q403" t="n">
        <v>2</v>
      </c>
      <c r="R403" s="2" t="inlineStr">
        <is>
          <t>Järnsparv
Vanlig padda</t>
        </is>
      </c>
      <c r="S403">
        <f>HYPERLINK("https://klasma.github.io/Logging_0861/artfynd/A 36365-2024 artfynd.xlsx", "A 36365-2024")</f>
        <v/>
      </c>
      <c r="T403">
        <f>HYPERLINK("https://klasma.github.io/Logging_0861/kartor/A 36365-2024 karta.png", "A 36365-2024")</f>
        <v/>
      </c>
      <c r="V403">
        <f>HYPERLINK("https://klasma.github.io/Logging_0861/klagomål/A 36365-2024 FSC-klagomål.docx", "A 36365-2024")</f>
        <v/>
      </c>
      <c r="W403">
        <f>HYPERLINK("https://klasma.github.io/Logging_0861/klagomålsmail/A 36365-2024 FSC-klagomål mail.docx", "A 36365-2024")</f>
        <v/>
      </c>
      <c r="X403">
        <f>HYPERLINK("https://klasma.github.io/Logging_0861/tillsyn/A 36365-2024 tillsynsbegäran.docx", "A 36365-2024")</f>
        <v/>
      </c>
      <c r="Y403">
        <f>HYPERLINK("https://klasma.github.io/Logging_0861/tillsynsmail/A 36365-2024 tillsynsbegäran mail.docx", "A 36365-2024")</f>
        <v/>
      </c>
      <c r="Z403">
        <f>HYPERLINK("https://klasma.github.io/Logging_0861/fåglar/A 36365-2024 prioriterade fågelarter.docx", "A 36365-2024")</f>
        <v/>
      </c>
    </row>
    <row r="404" ht="15" customHeight="1">
      <c r="A404" t="inlineStr">
        <is>
          <t>A 3182-2025</t>
        </is>
      </c>
      <c r="B404" s="1" t="n">
        <v>45679</v>
      </c>
      <c r="C404" s="1" t="n">
        <v>45884</v>
      </c>
      <c r="D404" t="inlineStr">
        <is>
          <t>KALMAR LÄN</t>
        </is>
      </c>
      <c r="E404" t="inlineStr">
        <is>
          <t>VÄSTERVIK</t>
        </is>
      </c>
      <c r="G404" t="n">
        <v>1.2</v>
      </c>
      <c r="H404" t="n">
        <v>2</v>
      </c>
      <c r="I404" t="n">
        <v>0</v>
      </c>
      <c r="J404" t="n">
        <v>1</v>
      </c>
      <c r="K404" t="n">
        <v>1</v>
      </c>
      <c r="L404" t="n">
        <v>0</v>
      </c>
      <c r="M404" t="n">
        <v>0</v>
      </c>
      <c r="N404" t="n">
        <v>0</v>
      </c>
      <c r="O404" t="n">
        <v>2</v>
      </c>
      <c r="P404" t="n">
        <v>1</v>
      </c>
      <c r="Q404" t="n">
        <v>2</v>
      </c>
      <c r="R404" s="2" t="inlineStr">
        <is>
          <t>Knärot
Spillkråka</t>
        </is>
      </c>
      <c r="S404">
        <f>HYPERLINK("https://klasma.github.io/Logging_0883/artfynd/A 3182-2025 artfynd.xlsx", "A 3182-2025")</f>
        <v/>
      </c>
      <c r="T404">
        <f>HYPERLINK("https://klasma.github.io/Logging_0883/kartor/A 3182-2025 karta.png", "A 3182-2025")</f>
        <v/>
      </c>
      <c r="U404">
        <f>HYPERLINK("https://klasma.github.io/Logging_0883/knärot/A 3182-2025 karta knärot.png", "A 3182-2025")</f>
        <v/>
      </c>
      <c r="V404">
        <f>HYPERLINK("https://klasma.github.io/Logging_0883/klagomål/A 3182-2025 FSC-klagomål.docx", "A 3182-2025")</f>
        <v/>
      </c>
      <c r="W404">
        <f>HYPERLINK("https://klasma.github.io/Logging_0883/klagomålsmail/A 3182-2025 FSC-klagomål mail.docx", "A 3182-2025")</f>
        <v/>
      </c>
      <c r="X404">
        <f>HYPERLINK("https://klasma.github.io/Logging_0883/tillsyn/A 3182-2025 tillsynsbegäran.docx", "A 3182-2025")</f>
        <v/>
      </c>
      <c r="Y404">
        <f>HYPERLINK("https://klasma.github.io/Logging_0883/tillsynsmail/A 3182-2025 tillsynsbegäran mail.docx", "A 3182-2025")</f>
        <v/>
      </c>
      <c r="Z404">
        <f>HYPERLINK("https://klasma.github.io/Logging_0883/fåglar/A 3182-2025 prioriterade fågelarter.docx", "A 3182-2025")</f>
        <v/>
      </c>
    </row>
    <row r="405" ht="15" customHeight="1">
      <c r="A405" t="inlineStr">
        <is>
          <t>A 41573-2024</t>
        </is>
      </c>
      <c r="B405" s="1" t="n">
        <v>45560.54628472222</v>
      </c>
      <c r="C405" s="1" t="n">
        <v>45884</v>
      </c>
      <c r="D405" t="inlineStr">
        <is>
          <t>KALMAR LÄN</t>
        </is>
      </c>
      <c r="E405" t="inlineStr">
        <is>
          <t>VÄSTERVIK</t>
        </is>
      </c>
      <c r="G405" t="n">
        <v>1.6</v>
      </c>
      <c r="H405" t="n">
        <v>1</v>
      </c>
      <c r="I405" t="n">
        <v>1</v>
      </c>
      <c r="J405" t="n">
        <v>0</v>
      </c>
      <c r="K405" t="n">
        <v>1</v>
      </c>
      <c r="L405" t="n">
        <v>0</v>
      </c>
      <c r="M405" t="n">
        <v>0</v>
      </c>
      <c r="N405" t="n">
        <v>0</v>
      </c>
      <c r="O405" t="n">
        <v>1</v>
      </c>
      <c r="P405" t="n">
        <v>1</v>
      </c>
      <c r="Q405" t="n">
        <v>2</v>
      </c>
      <c r="R405" s="2" t="inlineStr">
        <is>
          <t>Knärot
Blåmossa</t>
        </is>
      </c>
      <c r="S405">
        <f>HYPERLINK("https://klasma.github.io/Logging_0883/artfynd/A 41573-2024 artfynd.xlsx", "A 41573-2024")</f>
        <v/>
      </c>
      <c r="T405">
        <f>HYPERLINK("https://klasma.github.io/Logging_0883/kartor/A 41573-2024 karta.png", "A 41573-2024")</f>
        <v/>
      </c>
      <c r="U405">
        <f>HYPERLINK("https://klasma.github.io/Logging_0883/knärot/A 41573-2024 karta knärot.png", "A 41573-2024")</f>
        <v/>
      </c>
      <c r="V405">
        <f>HYPERLINK("https://klasma.github.io/Logging_0883/klagomål/A 41573-2024 FSC-klagomål.docx", "A 41573-2024")</f>
        <v/>
      </c>
      <c r="W405">
        <f>HYPERLINK("https://klasma.github.io/Logging_0883/klagomålsmail/A 41573-2024 FSC-klagomål mail.docx", "A 41573-2024")</f>
        <v/>
      </c>
      <c r="X405">
        <f>HYPERLINK("https://klasma.github.io/Logging_0883/tillsyn/A 41573-2024 tillsynsbegäran.docx", "A 41573-2024")</f>
        <v/>
      </c>
      <c r="Y405">
        <f>HYPERLINK("https://klasma.github.io/Logging_0883/tillsynsmail/A 41573-2024 tillsynsbegäran mail.docx", "A 41573-2024")</f>
        <v/>
      </c>
    </row>
    <row r="406" ht="15" customHeight="1">
      <c r="A406" t="inlineStr">
        <is>
          <t>A 22043-2025</t>
        </is>
      </c>
      <c r="B406" s="1" t="n">
        <v>45785.33648148148</v>
      </c>
      <c r="C406" s="1" t="n">
        <v>45884</v>
      </c>
      <c r="D406" t="inlineStr">
        <is>
          <t>KALMAR LÄN</t>
        </is>
      </c>
      <c r="E406" t="inlineStr">
        <is>
          <t>MÖNSTERÅS</t>
        </is>
      </c>
      <c r="G406" t="n">
        <v>2.4</v>
      </c>
      <c r="H406" t="n">
        <v>1</v>
      </c>
      <c r="I406" t="n">
        <v>0</v>
      </c>
      <c r="J406" t="n">
        <v>1</v>
      </c>
      <c r="K406" t="n">
        <v>0</v>
      </c>
      <c r="L406" t="n">
        <v>0</v>
      </c>
      <c r="M406" t="n">
        <v>0</v>
      </c>
      <c r="N406" t="n">
        <v>0</v>
      </c>
      <c r="O406" t="n">
        <v>1</v>
      </c>
      <c r="P406" t="n">
        <v>0</v>
      </c>
      <c r="Q406" t="n">
        <v>2</v>
      </c>
      <c r="R406" s="2" t="inlineStr">
        <is>
          <t>Igelkott
Fläcknycklar</t>
        </is>
      </c>
      <c r="S406">
        <f>HYPERLINK("https://klasma.github.io/Logging_0861/artfynd/A 22043-2025 artfynd.xlsx", "A 22043-2025")</f>
        <v/>
      </c>
      <c r="T406">
        <f>HYPERLINK("https://klasma.github.io/Logging_0861/kartor/A 22043-2025 karta.png", "A 22043-2025")</f>
        <v/>
      </c>
      <c r="V406">
        <f>HYPERLINK("https://klasma.github.io/Logging_0861/klagomål/A 22043-2025 FSC-klagomål.docx", "A 22043-2025")</f>
        <v/>
      </c>
      <c r="W406">
        <f>HYPERLINK("https://klasma.github.io/Logging_0861/klagomålsmail/A 22043-2025 FSC-klagomål mail.docx", "A 22043-2025")</f>
        <v/>
      </c>
      <c r="X406">
        <f>HYPERLINK("https://klasma.github.io/Logging_0861/tillsyn/A 22043-2025 tillsynsbegäran.docx", "A 22043-2025")</f>
        <v/>
      </c>
      <c r="Y406">
        <f>HYPERLINK("https://klasma.github.io/Logging_0861/tillsynsmail/A 22043-2025 tillsynsbegäran mail.docx", "A 22043-2025")</f>
        <v/>
      </c>
    </row>
    <row r="407" ht="15" customHeight="1">
      <c r="A407" t="inlineStr">
        <is>
          <t>A 10694-2024</t>
        </is>
      </c>
      <c r="B407" s="1" t="n">
        <v>45369</v>
      </c>
      <c r="C407" s="1" t="n">
        <v>45884</v>
      </c>
      <c r="D407" t="inlineStr">
        <is>
          <t>KALMAR LÄN</t>
        </is>
      </c>
      <c r="E407" t="inlineStr">
        <is>
          <t>EMMABODA</t>
        </is>
      </c>
      <c r="G407" t="n">
        <v>2.8</v>
      </c>
      <c r="H407" t="n">
        <v>2</v>
      </c>
      <c r="I407" t="n">
        <v>0</v>
      </c>
      <c r="J407" t="n">
        <v>1</v>
      </c>
      <c r="K407" t="n">
        <v>1</v>
      </c>
      <c r="L407" t="n">
        <v>0</v>
      </c>
      <c r="M407" t="n">
        <v>0</v>
      </c>
      <c r="N407" t="n">
        <v>0</v>
      </c>
      <c r="O407" t="n">
        <v>2</v>
      </c>
      <c r="P407" t="n">
        <v>1</v>
      </c>
      <c r="Q407" t="n">
        <v>2</v>
      </c>
      <c r="R407" s="2" t="inlineStr">
        <is>
          <t>Knärot
Spillkråka</t>
        </is>
      </c>
      <c r="S407">
        <f>HYPERLINK("https://klasma.github.io/Logging_0862/artfynd/A 10694-2024 artfynd.xlsx", "A 10694-2024")</f>
        <v/>
      </c>
      <c r="T407">
        <f>HYPERLINK("https://klasma.github.io/Logging_0862/kartor/A 10694-2024 karta.png", "A 10694-2024")</f>
        <v/>
      </c>
      <c r="U407">
        <f>HYPERLINK("https://klasma.github.io/Logging_0862/knärot/A 10694-2024 karta knärot.png", "A 10694-2024")</f>
        <v/>
      </c>
      <c r="V407">
        <f>HYPERLINK("https://klasma.github.io/Logging_0862/klagomål/A 10694-2024 FSC-klagomål.docx", "A 10694-2024")</f>
        <v/>
      </c>
      <c r="W407">
        <f>HYPERLINK("https://klasma.github.io/Logging_0862/klagomålsmail/A 10694-2024 FSC-klagomål mail.docx", "A 10694-2024")</f>
        <v/>
      </c>
      <c r="X407">
        <f>HYPERLINK("https://klasma.github.io/Logging_0862/tillsyn/A 10694-2024 tillsynsbegäran.docx", "A 10694-2024")</f>
        <v/>
      </c>
      <c r="Y407">
        <f>HYPERLINK("https://klasma.github.io/Logging_0862/tillsynsmail/A 10694-2024 tillsynsbegäran mail.docx", "A 10694-2024")</f>
        <v/>
      </c>
      <c r="Z407">
        <f>HYPERLINK("https://klasma.github.io/Logging_0862/fåglar/A 10694-2024 prioriterade fågelarter.docx", "A 10694-2024")</f>
        <v/>
      </c>
    </row>
    <row r="408" ht="15" customHeight="1">
      <c r="A408" t="inlineStr">
        <is>
          <t>A 14301-2023</t>
        </is>
      </c>
      <c r="B408" s="1" t="n">
        <v>45011</v>
      </c>
      <c r="C408" s="1" t="n">
        <v>45884</v>
      </c>
      <c r="D408" t="inlineStr">
        <is>
          <t>KALMAR LÄN</t>
        </is>
      </c>
      <c r="E408" t="inlineStr">
        <is>
          <t>VÄSTERVIK</t>
        </is>
      </c>
      <c r="G408" t="n">
        <v>4.4</v>
      </c>
      <c r="H408" t="n">
        <v>1</v>
      </c>
      <c r="I408" t="n">
        <v>1</v>
      </c>
      <c r="J408" t="n">
        <v>0</v>
      </c>
      <c r="K408" t="n">
        <v>1</v>
      </c>
      <c r="L408" t="n">
        <v>0</v>
      </c>
      <c r="M408" t="n">
        <v>0</v>
      </c>
      <c r="N408" t="n">
        <v>0</v>
      </c>
      <c r="O408" t="n">
        <v>1</v>
      </c>
      <c r="P408" t="n">
        <v>1</v>
      </c>
      <c r="Q408" t="n">
        <v>2</v>
      </c>
      <c r="R408" s="2" t="inlineStr">
        <is>
          <t>Knärot
Grönpyrola</t>
        </is>
      </c>
      <c r="S408">
        <f>HYPERLINK("https://klasma.github.io/Logging_0883/artfynd/A 14301-2023 artfynd.xlsx", "A 14301-2023")</f>
        <v/>
      </c>
      <c r="T408">
        <f>HYPERLINK("https://klasma.github.io/Logging_0883/kartor/A 14301-2023 karta.png", "A 14301-2023")</f>
        <v/>
      </c>
      <c r="U408">
        <f>HYPERLINK("https://klasma.github.io/Logging_0883/knärot/A 14301-2023 karta knärot.png", "A 14301-2023")</f>
        <v/>
      </c>
      <c r="V408">
        <f>HYPERLINK("https://klasma.github.io/Logging_0883/klagomål/A 14301-2023 FSC-klagomål.docx", "A 14301-2023")</f>
        <v/>
      </c>
      <c r="W408">
        <f>HYPERLINK("https://klasma.github.io/Logging_0883/klagomålsmail/A 14301-2023 FSC-klagomål mail.docx", "A 14301-2023")</f>
        <v/>
      </c>
      <c r="X408">
        <f>HYPERLINK("https://klasma.github.io/Logging_0883/tillsyn/A 14301-2023 tillsynsbegäran.docx", "A 14301-2023")</f>
        <v/>
      </c>
      <c r="Y408">
        <f>HYPERLINK("https://klasma.github.io/Logging_0883/tillsynsmail/A 14301-2023 tillsynsbegäran mail.docx", "A 14301-2023")</f>
        <v/>
      </c>
    </row>
    <row r="409" ht="15" customHeight="1">
      <c r="A409" t="inlineStr">
        <is>
          <t>A 17528-2025</t>
        </is>
      </c>
      <c r="B409" s="1" t="n">
        <v>45757.58759259259</v>
      </c>
      <c r="C409" s="1" t="n">
        <v>45884</v>
      </c>
      <c r="D409" t="inlineStr">
        <is>
          <t>KALMAR LÄN</t>
        </is>
      </c>
      <c r="E409" t="inlineStr">
        <is>
          <t>MÖNSTERÅS</t>
        </is>
      </c>
      <c r="F409" t="inlineStr">
        <is>
          <t>Kyrkan</t>
        </is>
      </c>
      <c r="G409" t="n">
        <v>5.5</v>
      </c>
      <c r="H409" t="n">
        <v>2</v>
      </c>
      <c r="I409" t="n">
        <v>0</v>
      </c>
      <c r="J409" t="n">
        <v>1</v>
      </c>
      <c r="K409" t="n">
        <v>0</v>
      </c>
      <c r="L409" t="n">
        <v>0</v>
      </c>
      <c r="M409" t="n">
        <v>0</v>
      </c>
      <c r="N409" t="n">
        <v>0</v>
      </c>
      <c r="O409" t="n">
        <v>1</v>
      </c>
      <c r="P409" t="n">
        <v>0</v>
      </c>
      <c r="Q409" t="n">
        <v>2</v>
      </c>
      <c r="R409" s="2" t="inlineStr">
        <is>
          <t>Spillkråka
Sparvuggla</t>
        </is>
      </c>
      <c r="S409">
        <f>HYPERLINK("https://klasma.github.io/Logging_0861/artfynd/A 17528-2025 artfynd.xlsx", "A 17528-2025")</f>
        <v/>
      </c>
      <c r="T409">
        <f>HYPERLINK("https://klasma.github.io/Logging_0861/kartor/A 17528-2025 karta.png", "A 17528-2025")</f>
        <v/>
      </c>
      <c r="V409">
        <f>HYPERLINK("https://klasma.github.io/Logging_0861/klagomål/A 17528-2025 FSC-klagomål.docx", "A 17528-2025")</f>
        <v/>
      </c>
      <c r="W409">
        <f>HYPERLINK("https://klasma.github.io/Logging_0861/klagomålsmail/A 17528-2025 FSC-klagomål mail.docx", "A 17528-2025")</f>
        <v/>
      </c>
      <c r="X409">
        <f>HYPERLINK("https://klasma.github.io/Logging_0861/tillsyn/A 17528-2025 tillsynsbegäran.docx", "A 17528-2025")</f>
        <v/>
      </c>
      <c r="Y409">
        <f>HYPERLINK("https://klasma.github.io/Logging_0861/tillsynsmail/A 17528-2025 tillsynsbegäran mail.docx", "A 17528-2025")</f>
        <v/>
      </c>
      <c r="Z409">
        <f>HYPERLINK("https://klasma.github.io/Logging_0861/fåglar/A 17528-2025 prioriterade fågelarter.docx", "A 17528-2025")</f>
        <v/>
      </c>
    </row>
    <row r="410" ht="15" customHeight="1">
      <c r="A410" t="inlineStr">
        <is>
          <t>A 18881-2023</t>
        </is>
      </c>
      <c r="B410" s="1" t="n">
        <v>45044</v>
      </c>
      <c r="C410" s="1" t="n">
        <v>45884</v>
      </c>
      <c r="D410" t="inlineStr">
        <is>
          <t>KALMAR LÄN</t>
        </is>
      </c>
      <c r="E410" t="inlineStr">
        <is>
          <t>KALMAR</t>
        </is>
      </c>
      <c r="G410" t="n">
        <v>1</v>
      </c>
      <c r="H410" t="n">
        <v>0</v>
      </c>
      <c r="I410" t="n">
        <v>0</v>
      </c>
      <c r="J410" t="n">
        <v>2</v>
      </c>
      <c r="K410" t="n">
        <v>0</v>
      </c>
      <c r="L410" t="n">
        <v>0</v>
      </c>
      <c r="M410" t="n">
        <v>0</v>
      </c>
      <c r="N410" t="n">
        <v>0</v>
      </c>
      <c r="O410" t="n">
        <v>2</v>
      </c>
      <c r="P410" t="n">
        <v>0</v>
      </c>
      <c r="Q410" t="n">
        <v>2</v>
      </c>
      <c r="R410" s="2" t="inlineStr">
        <is>
          <t>Bredbrämad bastardsvärmare
Mindre bastardsvärmare</t>
        </is>
      </c>
      <c r="S410">
        <f>HYPERLINK("https://klasma.github.io/Logging_0880/artfynd/A 18881-2023 artfynd.xlsx", "A 18881-2023")</f>
        <v/>
      </c>
      <c r="T410">
        <f>HYPERLINK("https://klasma.github.io/Logging_0880/kartor/A 18881-2023 karta.png", "A 18881-2023")</f>
        <v/>
      </c>
      <c r="V410">
        <f>HYPERLINK("https://klasma.github.io/Logging_0880/klagomål/A 18881-2023 FSC-klagomål.docx", "A 18881-2023")</f>
        <v/>
      </c>
      <c r="W410">
        <f>HYPERLINK("https://klasma.github.io/Logging_0880/klagomålsmail/A 18881-2023 FSC-klagomål mail.docx", "A 18881-2023")</f>
        <v/>
      </c>
      <c r="X410">
        <f>HYPERLINK("https://klasma.github.io/Logging_0880/tillsyn/A 18881-2023 tillsynsbegäran.docx", "A 18881-2023")</f>
        <v/>
      </c>
      <c r="Y410">
        <f>HYPERLINK("https://klasma.github.io/Logging_0880/tillsynsmail/A 18881-2023 tillsynsbegäran mail.docx", "A 18881-2023")</f>
        <v/>
      </c>
    </row>
    <row r="411" ht="15" customHeight="1">
      <c r="A411" t="inlineStr">
        <is>
          <t>A 62371-2023</t>
        </is>
      </c>
      <c r="B411" s="1" t="n">
        <v>45268</v>
      </c>
      <c r="C411" s="1" t="n">
        <v>45884</v>
      </c>
      <c r="D411" t="inlineStr">
        <is>
          <t>KALMAR LÄN</t>
        </is>
      </c>
      <c r="E411" t="inlineStr">
        <is>
          <t>HÖGSBY</t>
        </is>
      </c>
      <c r="G411" t="n">
        <v>4.5</v>
      </c>
      <c r="H411" t="n">
        <v>1</v>
      </c>
      <c r="I411" t="n">
        <v>0</v>
      </c>
      <c r="J411" t="n">
        <v>2</v>
      </c>
      <c r="K411" t="n">
        <v>0</v>
      </c>
      <c r="L411" t="n">
        <v>0</v>
      </c>
      <c r="M411" t="n">
        <v>0</v>
      </c>
      <c r="N411" t="n">
        <v>0</v>
      </c>
      <c r="O411" t="n">
        <v>2</v>
      </c>
      <c r="P411" t="n">
        <v>0</v>
      </c>
      <c r="Q411" t="n">
        <v>2</v>
      </c>
      <c r="R411" s="2" t="inlineStr">
        <is>
          <t>Spillkråka
Ullticka</t>
        </is>
      </c>
      <c r="S411">
        <f>HYPERLINK("https://klasma.github.io/Logging_0821/artfynd/A 62371-2023 artfynd.xlsx", "A 62371-2023")</f>
        <v/>
      </c>
      <c r="T411">
        <f>HYPERLINK("https://klasma.github.io/Logging_0821/kartor/A 62371-2023 karta.png", "A 62371-2023")</f>
        <v/>
      </c>
      <c r="U411">
        <f>HYPERLINK("https://klasma.github.io/Logging_0821/knärot/A 62371-2023 karta knärot.png", "A 62371-2023")</f>
        <v/>
      </c>
      <c r="V411">
        <f>HYPERLINK("https://klasma.github.io/Logging_0821/klagomål/A 62371-2023 FSC-klagomål.docx", "A 62371-2023")</f>
        <v/>
      </c>
      <c r="W411">
        <f>HYPERLINK("https://klasma.github.io/Logging_0821/klagomålsmail/A 62371-2023 FSC-klagomål mail.docx", "A 62371-2023")</f>
        <v/>
      </c>
      <c r="X411">
        <f>HYPERLINK("https://klasma.github.io/Logging_0821/tillsyn/A 62371-2023 tillsynsbegäran.docx", "A 62371-2023")</f>
        <v/>
      </c>
      <c r="Y411">
        <f>HYPERLINK("https://klasma.github.io/Logging_0821/tillsynsmail/A 62371-2023 tillsynsbegäran mail.docx", "A 62371-2023")</f>
        <v/>
      </c>
      <c r="Z411">
        <f>HYPERLINK("https://klasma.github.io/Logging_0821/fåglar/A 62371-2023 prioriterade fågelarter.docx", "A 62371-2023")</f>
        <v/>
      </c>
    </row>
    <row r="412" ht="15" customHeight="1">
      <c r="A412" t="inlineStr">
        <is>
          <t>A 932-2024</t>
        </is>
      </c>
      <c r="B412" s="1" t="n">
        <v>45301</v>
      </c>
      <c r="C412" s="1" t="n">
        <v>45884</v>
      </c>
      <c r="D412" t="inlineStr">
        <is>
          <t>KALMAR LÄN</t>
        </is>
      </c>
      <c r="E412" t="inlineStr">
        <is>
          <t>VÄSTERVIK</t>
        </is>
      </c>
      <c r="G412" t="n">
        <v>3.7</v>
      </c>
      <c r="H412" t="n">
        <v>1</v>
      </c>
      <c r="I412" t="n">
        <v>1</v>
      </c>
      <c r="J412" t="n">
        <v>1</v>
      </c>
      <c r="K412" t="n">
        <v>0</v>
      </c>
      <c r="L412" t="n">
        <v>0</v>
      </c>
      <c r="M412" t="n">
        <v>0</v>
      </c>
      <c r="N412" t="n">
        <v>0</v>
      </c>
      <c r="O412" t="n">
        <v>1</v>
      </c>
      <c r="P412" t="n">
        <v>0</v>
      </c>
      <c r="Q412" t="n">
        <v>2</v>
      </c>
      <c r="R412" s="2" t="inlineStr">
        <is>
          <t>Spillkråka
Grovticka</t>
        </is>
      </c>
      <c r="S412">
        <f>HYPERLINK("https://klasma.github.io/Logging_0883/artfynd/A 932-2024 artfynd.xlsx", "A 932-2024")</f>
        <v/>
      </c>
      <c r="T412">
        <f>HYPERLINK("https://klasma.github.io/Logging_0883/kartor/A 932-2024 karta.png", "A 932-2024")</f>
        <v/>
      </c>
      <c r="V412">
        <f>HYPERLINK("https://klasma.github.io/Logging_0883/klagomål/A 932-2024 FSC-klagomål.docx", "A 932-2024")</f>
        <v/>
      </c>
      <c r="W412">
        <f>HYPERLINK("https://klasma.github.io/Logging_0883/klagomålsmail/A 932-2024 FSC-klagomål mail.docx", "A 932-2024")</f>
        <v/>
      </c>
      <c r="X412">
        <f>HYPERLINK("https://klasma.github.io/Logging_0883/tillsyn/A 932-2024 tillsynsbegäran.docx", "A 932-2024")</f>
        <v/>
      </c>
      <c r="Y412">
        <f>HYPERLINK("https://klasma.github.io/Logging_0883/tillsynsmail/A 932-2024 tillsynsbegäran mail.docx", "A 932-2024")</f>
        <v/>
      </c>
      <c r="Z412">
        <f>HYPERLINK("https://klasma.github.io/Logging_0883/fåglar/A 932-2024 prioriterade fågelarter.docx", "A 932-2024")</f>
        <v/>
      </c>
    </row>
    <row r="413" ht="15" customHeight="1">
      <c r="A413" t="inlineStr">
        <is>
          <t>A 4538-2023</t>
        </is>
      </c>
      <c r="B413" s="1" t="n">
        <v>44951</v>
      </c>
      <c r="C413" s="1" t="n">
        <v>45884</v>
      </c>
      <c r="D413" t="inlineStr">
        <is>
          <t>KALMAR LÄN</t>
        </is>
      </c>
      <c r="E413" t="inlineStr">
        <is>
          <t>KALMAR</t>
        </is>
      </c>
      <c r="G413" t="n">
        <v>3.2</v>
      </c>
      <c r="H413" t="n">
        <v>0</v>
      </c>
      <c r="I413" t="n">
        <v>2</v>
      </c>
      <c r="J413" t="n">
        <v>0</v>
      </c>
      <c r="K413" t="n">
        <v>0</v>
      </c>
      <c r="L413" t="n">
        <v>0</v>
      </c>
      <c r="M413" t="n">
        <v>0</v>
      </c>
      <c r="N413" t="n">
        <v>0</v>
      </c>
      <c r="O413" t="n">
        <v>0</v>
      </c>
      <c r="P413" t="n">
        <v>0</v>
      </c>
      <c r="Q413" t="n">
        <v>2</v>
      </c>
      <c r="R413" s="2" t="inlineStr">
        <is>
          <t>Bronshjon
Kornknutmossa</t>
        </is>
      </c>
      <c r="S413">
        <f>HYPERLINK("https://klasma.github.io/Logging_0880/artfynd/A 4538-2023 artfynd.xlsx", "A 4538-2023")</f>
        <v/>
      </c>
      <c r="T413">
        <f>HYPERLINK("https://klasma.github.io/Logging_0880/kartor/A 4538-2023 karta.png", "A 4538-2023")</f>
        <v/>
      </c>
      <c r="V413">
        <f>HYPERLINK("https://klasma.github.io/Logging_0880/klagomål/A 4538-2023 FSC-klagomål.docx", "A 4538-2023")</f>
        <v/>
      </c>
      <c r="W413">
        <f>HYPERLINK("https://klasma.github.io/Logging_0880/klagomålsmail/A 4538-2023 FSC-klagomål mail.docx", "A 4538-2023")</f>
        <v/>
      </c>
      <c r="X413">
        <f>HYPERLINK("https://klasma.github.io/Logging_0880/tillsyn/A 4538-2023 tillsynsbegäran.docx", "A 4538-2023")</f>
        <v/>
      </c>
      <c r="Y413">
        <f>HYPERLINK("https://klasma.github.io/Logging_0880/tillsynsmail/A 4538-2023 tillsynsbegäran mail.docx", "A 4538-2023")</f>
        <v/>
      </c>
    </row>
    <row r="414" ht="15" customHeight="1">
      <c r="A414" t="inlineStr">
        <is>
          <t>A 12506-2025</t>
        </is>
      </c>
      <c r="B414" s="1" t="n">
        <v>45730.63277777778</v>
      </c>
      <c r="C414" s="1" t="n">
        <v>45884</v>
      </c>
      <c r="D414" t="inlineStr">
        <is>
          <t>KALMAR LÄN</t>
        </is>
      </c>
      <c r="E414" t="inlineStr">
        <is>
          <t>NYBRO</t>
        </is>
      </c>
      <c r="F414" t="inlineStr">
        <is>
          <t>Kommuner</t>
        </is>
      </c>
      <c r="G414" t="n">
        <v>2.3</v>
      </c>
      <c r="H414" t="n">
        <v>0</v>
      </c>
      <c r="I414" t="n">
        <v>0</v>
      </c>
      <c r="J414" t="n">
        <v>1</v>
      </c>
      <c r="K414" t="n">
        <v>0</v>
      </c>
      <c r="L414" t="n">
        <v>1</v>
      </c>
      <c r="M414" t="n">
        <v>0</v>
      </c>
      <c r="N414" t="n">
        <v>0</v>
      </c>
      <c r="O414" t="n">
        <v>2</v>
      </c>
      <c r="P414" t="n">
        <v>1</v>
      </c>
      <c r="Q414" t="n">
        <v>2</v>
      </c>
      <c r="R414" s="2" t="inlineStr">
        <is>
          <t>Ask
Rödbrun blankbock</t>
        </is>
      </c>
      <c r="S414">
        <f>HYPERLINK("https://klasma.github.io/Logging_0881/artfynd/A 12506-2025 artfynd.xlsx", "A 12506-2025")</f>
        <v/>
      </c>
      <c r="T414">
        <f>HYPERLINK("https://klasma.github.io/Logging_0881/kartor/A 12506-2025 karta.png", "A 12506-2025")</f>
        <v/>
      </c>
      <c r="V414">
        <f>HYPERLINK("https://klasma.github.io/Logging_0881/klagomål/A 12506-2025 FSC-klagomål.docx", "A 12506-2025")</f>
        <v/>
      </c>
      <c r="W414">
        <f>HYPERLINK("https://klasma.github.io/Logging_0881/klagomålsmail/A 12506-2025 FSC-klagomål mail.docx", "A 12506-2025")</f>
        <v/>
      </c>
      <c r="X414">
        <f>HYPERLINK("https://klasma.github.io/Logging_0881/tillsyn/A 12506-2025 tillsynsbegäran.docx", "A 12506-2025")</f>
        <v/>
      </c>
      <c r="Y414">
        <f>HYPERLINK("https://klasma.github.io/Logging_0881/tillsynsmail/A 12506-2025 tillsynsbegäran mail.docx", "A 12506-2025")</f>
        <v/>
      </c>
    </row>
    <row r="415" ht="15" customHeight="1">
      <c r="A415" t="inlineStr">
        <is>
          <t>A 22396-2025</t>
        </is>
      </c>
      <c r="B415" s="1" t="n">
        <v>45786.52827546297</v>
      </c>
      <c r="C415" s="1" t="n">
        <v>45884</v>
      </c>
      <c r="D415" t="inlineStr">
        <is>
          <t>KALMAR LÄN</t>
        </is>
      </c>
      <c r="E415" t="inlineStr">
        <is>
          <t>VIMMERBY</t>
        </is>
      </c>
      <c r="G415" t="n">
        <v>2.5</v>
      </c>
      <c r="H415" t="n">
        <v>2</v>
      </c>
      <c r="I415" t="n">
        <v>0</v>
      </c>
      <c r="J415" t="n">
        <v>0</v>
      </c>
      <c r="K415" t="n">
        <v>1</v>
      </c>
      <c r="L415" t="n">
        <v>0</v>
      </c>
      <c r="M415" t="n">
        <v>0</v>
      </c>
      <c r="N415" t="n">
        <v>0</v>
      </c>
      <c r="O415" t="n">
        <v>1</v>
      </c>
      <c r="P415" t="n">
        <v>1</v>
      </c>
      <c r="Q415" t="n">
        <v>2</v>
      </c>
      <c r="R415" s="2" t="inlineStr">
        <is>
          <t>Knärot
Kungsfågel</t>
        </is>
      </c>
      <c r="S415">
        <f>HYPERLINK("https://klasma.github.io/Logging_0884/artfynd/A 22396-2025 artfynd.xlsx", "A 22396-2025")</f>
        <v/>
      </c>
      <c r="T415">
        <f>HYPERLINK("https://klasma.github.io/Logging_0884/kartor/A 22396-2025 karta.png", "A 22396-2025")</f>
        <v/>
      </c>
      <c r="U415">
        <f>HYPERLINK("https://klasma.github.io/Logging_0884/knärot/A 22396-2025 karta knärot.png", "A 22396-2025")</f>
        <v/>
      </c>
      <c r="V415">
        <f>HYPERLINK("https://klasma.github.io/Logging_0884/klagomål/A 22396-2025 FSC-klagomål.docx", "A 22396-2025")</f>
        <v/>
      </c>
      <c r="W415">
        <f>HYPERLINK("https://klasma.github.io/Logging_0884/klagomålsmail/A 22396-2025 FSC-klagomål mail.docx", "A 22396-2025")</f>
        <v/>
      </c>
      <c r="X415">
        <f>HYPERLINK("https://klasma.github.io/Logging_0884/tillsyn/A 22396-2025 tillsynsbegäran.docx", "A 22396-2025")</f>
        <v/>
      </c>
      <c r="Y415">
        <f>HYPERLINK("https://klasma.github.io/Logging_0884/tillsynsmail/A 22396-2025 tillsynsbegäran mail.docx", "A 22396-2025")</f>
        <v/>
      </c>
      <c r="Z415">
        <f>HYPERLINK("https://klasma.github.io/Logging_0884/fåglar/A 22396-2025 prioriterade fågelarter.docx", "A 22396-2025")</f>
        <v/>
      </c>
    </row>
    <row r="416" ht="15" customHeight="1">
      <c r="A416" t="inlineStr">
        <is>
          <t>A 9705-2021</t>
        </is>
      </c>
      <c r="B416" s="1" t="n">
        <v>44252</v>
      </c>
      <c r="C416" s="1" t="n">
        <v>45884</v>
      </c>
      <c r="D416" t="inlineStr">
        <is>
          <t>KALMAR LÄN</t>
        </is>
      </c>
      <c r="E416" t="inlineStr">
        <is>
          <t>OSKARSHAMN</t>
        </is>
      </c>
      <c r="G416" t="n">
        <v>19.7</v>
      </c>
      <c r="H416" t="n">
        <v>1</v>
      </c>
      <c r="I416" t="n">
        <v>0</v>
      </c>
      <c r="J416" t="n">
        <v>2</v>
      </c>
      <c r="K416" t="n">
        <v>0</v>
      </c>
      <c r="L416" t="n">
        <v>0</v>
      </c>
      <c r="M416" t="n">
        <v>0</v>
      </c>
      <c r="N416" t="n">
        <v>0</v>
      </c>
      <c r="O416" t="n">
        <v>2</v>
      </c>
      <c r="P416" t="n">
        <v>0</v>
      </c>
      <c r="Q416" t="n">
        <v>2</v>
      </c>
      <c r="R416" s="2" t="inlineStr">
        <is>
          <t>Leptoporus mollis
Spillkråka</t>
        </is>
      </c>
      <c r="S416">
        <f>HYPERLINK("https://klasma.github.io/Logging_0882/artfynd/A 9705-2021 artfynd.xlsx", "A 9705-2021")</f>
        <v/>
      </c>
      <c r="T416">
        <f>HYPERLINK("https://klasma.github.io/Logging_0882/kartor/A 9705-2021 karta.png", "A 9705-2021")</f>
        <v/>
      </c>
      <c r="V416">
        <f>HYPERLINK("https://klasma.github.io/Logging_0882/klagomål/A 9705-2021 FSC-klagomål.docx", "A 9705-2021")</f>
        <v/>
      </c>
      <c r="W416">
        <f>HYPERLINK("https://klasma.github.io/Logging_0882/klagomålsmail/A 9705-2021 FSC-klagomål mail.docx", "A 9705-2021")</f>
        <v/>
      </c>
      <c r="X416">
        <f>HYPERLINK("https://klasma.github.io/Logging_0882/tillsyn/A 9705-2021 tillsynsbegäran.docx", "A 9705-2021")</f>
        <v/>
      </c>
      <c r="Y416">
        <f>HYPERLINK("https://klasma.github.io/Logging_0882/tillsynsmail/A 9705-2021 tillsynsbegäran mail.docx", "A 9705-2021")</f>
        <v/>
      </c>
      <c r="Z416">
        <f>HYPERLINK("https://klasma.github.io/Logging_0882/fåglar/A 9705-2021 prioriterade fågelarter.docx", "A 9705-2021")</f>
        <v/>
      </c>
    </row>
    <row r="417" ht="15" customHeight="1">
      <c r="A417" t="inlineStr">
        <is>
          <t>A 6396-2021</t>
        </is>
      </c>
      <c r="B417" s="1" t="n">
        <v>44235</v>
      </c>
      <c r="C417" s="1" t="n">
        <v>45884</v>
      </c>
      <c r="D417" t="inlineStr">
        <is>
          <t>KALMAR LÄN</t>
        </is>
      </c>
      <c r="E417" t="inlineStr">
        <is>
          <t>HULTSFRED</t>
        </is>
      </c>
      <c r="G417" t="n">
        <v>0.6</v>
      </c>
      <c r="H417" t="n">
        <v>2</v>
      </c>
      <c r="I417" t="n">
        <v>0</v>
      </c>
      <c r="J417" t="n">
        <v>1</v>
      </c>
      <c r="K417" t="n">
        <v>0</v>
      </c>
      <c r="L417" t="n">
        <v>0</v>
      </c>
      <c r="M417" t="n">
        <v>0</v>
      </c>
      <c r="N417" t="n">
        <v>0</v>
      </c>
      <c r="O417" t="n">
        <v>1</v>
      </c>
      <c r="P417" t="n">
        <v>0</v>
      </c>
      <c r="Q417" t="n">
        <v>2</v>
      </c>
      <c r="R417" s="2" t="inlineStr">
        <is>
          <t>Spillkråka
Revlummer</t>
        </is>
      </c>
      <c r="S417">
        <f>HYPERLINK("https://klasma.github.io/Logging_0860/artfynd/A 6396-2021 artfynd.xlsx", "A 6396-2021")</f>
        <v/>
      </c>
      <c r="T417">
        <f>HYPERLINK("https://klasma.github.io/Logging_0860/kartor/A 6396-2021 karta.png", "A 6396-2021")</f>
        <v/>
      </c>
      <c r="V417">
        <f>HYPERLINK("https://klasma.github.io/Logging_0860/klagomål/A 6396-2021 FSC-klagomål.docx", "A 6396-2021")</f>
        <v/>
      </c>
      <c r="W417">
        <f>HYPERLINK("https://klasma.github.io/Logging_0860/klagomålsmail/A 6396-2021 FSC-klagomål mail.docx", "A 6396-2021")</f>
        <v/>
      </c>
      <c r="X417">
        <f>HYPERLINK("https://klasma.github.io/Logging_0860/tillsyn/A 6396-2021 tillsynsbegäran.docx", "A 6396-2021")</f>
        <v/>
      </c>
      <c r="Y417">
        <f>HYPERLINK("https://klasma.github.io/Logging_0860/tillsynsmail/A 6396-2021 tillsynsbegäran mail.docx", "A 6396-2021")</f>
        <v/>
      </c>
      <c r="Z417">
        <f>HYPERLINK("https://klasma.github.io/Logging_0860/fåglar/A 6396-2021 prioriterade fågelarter.docx", "A 6396-2021")</f>
        <v/>
      </c>
    </row>
    <row r="418" ht="15" customHeight="1">
      <c r="A418" t="inlineStr">
        <is>
          <t>A 16419-2024</t>
        </is>
      </c>
      <c r="B418" s="1" t="n">
        <v>45407</v>
      </c>
      <c r="C418" s="1" t="n">
        <v>45884</v>
      </c>
      <c r="D418" t="inlineStr">
        <is>
          <t>KALMAR LÄN</t>
        </is>
      </c>
      <c r="E418" t="inlineStr">
        <is>
          <t>VÄSTERVIK</t>
        </is>
      </c>
      <c r="F418" t="inlineStr">
        <is>
          <t>Holmen skog AB</t>
        </is>
      </c>
      <c r="G418" t="n">
        <v>1.8</v>
      </c>
      <c r="H418" t="n">
        <v>2</v>
      </c>
      <c r="I418" t="n">
        <v>0</v>
      </c>
      <c r="J418" t="n">
        <v>1</v>
      </c>
      <c r="K418" t="n">
        <v>1</v>
      </c>
      <c r="L418" t="n">
        <v>0</v>
      </c>
      <c r="M418" t="n">
        <v>0</v>
      </c>
      <c r="N418" t="n">
        <v>0</v>
      </c>
      <c r="O418" t="n">
        <v>2</v>
      </c>
      <c r="P418" t="n">
        <v>1</v>
      </c>
      <c r="Q418" t="n">
        <v>2</v>
      </c>
      <c r="R418" s="2" t="inlineStr">
        <is>
          <t>Knärot
Spillkråka</t>
        </is>
      </c>
      <c r="S418">
        <f>HYPERLINK("https://klasma.github.io/Logging_0883/artfynd/A 16419-2024 artfynd.xlsx", "A 16419-2024")</f>
        <v/>
      </c>
      <c r="T418">
        <f>HYPERLINK("https://klasma.github.io/Logging_0883/kartor/A 16419-2024 karta.png", "A 16419-2024")</f>
        <v/>
      </c>
      <c r="U418">
        <f>HYPERLINK("https://klasma.github.io/Logging_0883/knärot/A 16419-2024 karta knärot.png", "A 16419-2024")</f>
        <v/>
      </c>
      <c r="V418">
        <f>HYPERLINK("https://klasma.github.io/Logging_0883/klagomål/A 16419-2024 FSC-klagomål.docx", "A 16419-2024")</f>
        <v/>
      </c>
      <c r="W418">
        <f>HYPERLINK("https://klasma.github.io/Logging_0883/klagomålsmail/A 16419-2024 FSC-klagomål mail.docx", "A 16419-2024")</f>
        <v/>
      </c>
      <c r="X418">
        <f>HYPERLINK("https://klasma.github.io/Logging_0883/tillsyn/A 16419-2024 tillsynsbegäran.docx", "A 16419-2024")</f>
        <v/>
      </c>
      <c r="Y418">
        <f>HYPERLINK("https://klasma.github.io/Logging_0883/tillsynsmail/A 16419-2024 tillsynsbegäran mail.docx", "A 16419-2024")</f>
        <v/>
      </c>
      <c r="Z418">
        <f>HYPERLINK("https://klasma.github.io/Logging_0883/fåglar/A 16419-2024 prioriterade fågelarter.docx", "A 16419-2024")</f>
        <v/>
      </c>
    </row>
    <row r="419" ht="15" customHeight="1">
      <c r="A419" t="inlineStr">
        <is>
          <t>A 31314-2023</t>
        </is>
      </c>
      <c r="B419" s="1" t="n">
        <v>45114</v>
      </c>
      <c r="C419" s="1" t="n">
        <v>45884</v>
      </c>
      <c r="D419" t="inlineStr">
        <is>
          <t>KALMAR LÄN</t>
        </is>
      </c>
      <c r="E419" t="inlineStr">
        <is>
          <t>KALMAR</t>
        </is>
      </c>
      <c r="G419" t="n">
        <v>5.5</v>
      </c>
      <c r="H419" t="n">
        <v>1</v>
      </c>
      <c r="I419" t="n">
        <v>1</v>
      </c>
      <c r="J419" t="n">
        <v>0</v>
      </c>
      <c r="K419" t="n">
        <v>0</v>
      </c>
      <c r="L419" t="n">
        <v>0</v>
      </c>
      <c r="M419" t="n">
        <v>0</v>
      </c>
      <c r="N419" t="n">
        <v>0</v>
      </c>
      <c r="O419" t="n">
        <v>0</v>
      </c>
      <c r="P419" t="n">
        <v>0</v>
      </c>
      <c r="Q419" t="n">
        <v>2</v>
      </c>
      <c r="R419" s="2" t="inlineStr">
        <is>
          <t>Grönpyrola
Blåsippa</t>
        </is>
      </c>
      <c r="S419">
        <f>HYPERLINK("https://klasma.github.io/Logging_0880/artfynd/A 31314-2023 artfynd.xlsx", "A 31314-2023")</f>
        <v/>
      </c>
      <c r="T419">
        <f>HYPERLINK("https://klasma.github.io/Logging_0880/kartor/A 31314-2023 karta.png", "A 31314-2023")</f>
        <v/>
      </c>
      <c r="V419">
        <f>HYPERLINK("https://klasma.github.io/Logging_0880/klagomål/A 31314-2023 FSC-klagomål.docx", "A 31314-2023")</f>
        <v/>
      </c>
      <c r="W419">
        <f>HYPERLINK("https://klasma.github.io/Logging_0880/klagomålsmail/A 31314-2023 FSC-klagomål mail.docx", "A 31314-2023")</f>
        <v/>
      </c>
      <c r="X419">
        <f>HYPERLINK("https://klasma.github.io/Logging_0880/tillsyn/A 31314-2023 tillsynsbegäran.docx", "A 31314-2023")</f>
        <v/>
      </c>
      <c r="Y419">
        <f>HYPERLINK("https://klasma.github.io/Logging_0880/tillsynsmail/A 31314-2023 tillsynsbegäran mail.docx", "A 31314-2023")</f>
        <v/>
      </c>
    </row>
    <row r="420" ht="15" customHeight="1">
      <c r="A420" t="inlineStr">
        <is>
          <t>A 52723-2024</t>
        </is>
      </c>
      <c r="B420" s="1" t="n">
        <v>45610.44008101852</v>
      </c>
      <c r="C420" s="1" t="n">
        <v>45884</v>
      </c>
      <c r="D420" t="inlineStr">
        <is>
          <t>KALMAR LÄN</t>
        </is>
      </c>
      <c r="E420" t="inlineStr">
        <is>
          <t>VÄSTERVIK</t>
        </is>
      </c>
      <c r="F420" t="inlineStr">
        <is>
          <t>Holmen skog AB</t>
        </is>
      </c>
      <c r="G420" t="n">
        <v>6.5</v>
      </c>
      <c r="H420" t="n">
        <v>2</v>
      </c>
      <c r="I420" t="n">
        <v>1</v>
      </c>
      <c r="J420" t="n">
        <v>1</v>
      </c>
      <c r="K420" t="n">
        <v>0</v>
      </c>
      <c r="L420" t="n">
        <v>0</v>
      </c>
      <c r="M420" t="n">
        <v>0</v>
      </c>
      <c r="N420" t="n">
        <v>0</v>
      </c>
      <c r="O420" t="n">
        <v>1</v>
      </c>
      <c r="P420" t="n">
        <v>0</v>
      </c>
      <c r="Q420" t="n">
        <v>2</v>
      </c>
      <c r="R420" s="2" t="inlineStr">
        <is>
          <t>Talltita
Ekoxe</t>
        </is>
      </c>
      <c r="S420">
        <f>HYPERLINK("https://klasma.github.io/Logging_0883/artfynd/A 52723-2024 artfynd.xlsx", "A 52723-2024")</f>
        <v/>
      </c>
      <c r="T420">
        <f>HYPERLINK("https://klasma.github.io/Logging_0883/kartor/A 52723-2024 karta.png", "A 52723-2024")</f>
        <v/>
      </c>
      <c r="V420">
        <f>HYPERLINK("https://klasma.github.io/Logging_0883/klagomål/A 52723-2024 FSC-klagomål.docx", "A 52723-2024")</f>
        <v/>
      </c>
      <c r="W420">
        <f>HYPERLINK("https://klasma.github.io/Logging_0883/klagomålsmail/A 52723-2024 FSC-klagomål mail.docx", "A 52723-2024")</f>
        <v/>
      </c>
      <c r="X420">
        <f>HYPERLINK("https://klasma.github.io/Logging_0883/tillsyn/A 52723-2024 tillsynsbegäran.docx", "A 52723-2024")</f>
        <v/>
      </c>
      <c r="Y420">
        <f>HYPERLINK("https://klasma.github.io/Logging_0883/tillsynsmail/A 52723-2024 tillsynsbegäran mail.docx", "A 52723-2024")</f>
        <v/>
      </c>
      <c r="Z420">
        <f>HYPERLINK("https://klasma.github.io/Logging_0883/fåglar/A 52723-2024 prioriterade fågelarter.docx", "A 52723-2024")</f>
        <v/>
      </c>
    </row>
    <row r="421" ht="15" customHeight="1">
      <c r="A421" t="inlineStr">
        <is>
          <t>A 26992-2024</t>
        </is>
      </c>
      <c r="B421" s="1" t="n">
        <v>45471</v>
      </c>
      <c r="C421" s="1" t="n">
        <v>45884</v>
      </c>
      <c r="D421" t="inlineStr">
        <is>
          <t>KALMAR LÄN</t>
        </is>
      </c>
      <c r="E421" t="inlineStr">
        <is>
          <t>VÄSTERVIK</t>
        </is>
      </c>
      <c r="F421" t="inlineStr">
        <is>
          <t>Holmen skog AB</t>
        </is>
      </c>
      <c r="G421" t="n">
        <v>4.6</v>
      </c>
      <c r="H421" t="n">
        <v>2</v>
      </c>
      <c r="I421" t="n">
        <v>0</v>
      </c>
      <c r="J421" t="n">
        <v>2</v>
      </c>
      <c r="K421" t="n">
        <v>0</v>
      </c>
      <c r="L421" t="n">
        <v>0</v>
      </c>
      <c r="M421" t="n">
        <v>0</v>
      </c>
      <c r="N421" t="n">
        <v>0</v>
      </c>
      <c r="O421" t="n">
        <v>2</v>
      </c>
      <c r="P421" t="n">
        <v>0</v>
      </c>
      <c r="Q421" t="n">
        <v>2</v>
      </c>
      <c r="R421" s="2" t="inlineStr">
        <is>
          <t>Mindre hackspett
Talltita</t>
        </is>
      </c>
      <c r="S421">
        <f>HYPERLINK("https://klasma.github.io/Logging_0883/artfynd/A 26992-2024 artfynd.xlsx", "A 26992-2024")</f>
        <v/>
      </c>
      <c r="T421">
        <f>HYPERLINK("https://klasma.github.io/Logging_0883/kartor/A 26992-2024 karta.png", "A 26992-2024")</f>
        <v/>
      </c>
      <c r="V421">
        <f>HYPERLINK("https://klasma.github.io/Logging_0883/klagomål/A 26992-2024 FSC-klagomål.docx", "A 26992-2024")</f>
        <v/>
      </c>
      <c r="W421">
        <f>HYPERLINK("https://klasma.github.io/Logging_0883/klagomålsmail/A 26992-2024 FSC-klagomål mail.docx", "A 26992-2024")</f>
        <v/>
      </c>
      <c r="X421">
        <f>HYPERLINK("https://klasma.github.io/Logging_0883/tillsyn/A 26992-2024 tillsynsbegäran.docx", "A 26992-2024")</f>
        <v/>
      </c>
      <c r="Y421">
        <f>HYPERLINK("https://klasma.github.io/Logging_0883/tillsynsmail/A 26992-2024 tillsynsbegäran mail.docx", "A 26992-2024")</f>
        <v/>
      </c>
      <c r="Z421">
        <f>HYPERLINK("https://klasma.github.io/Logging_0883/fåglar/A 26992-2024 prioriterade fågelarter.docx", "A 26992-2024")</f>
        <v/>
      </c>
    </row>
    <row r="422" ht="15" customHeight="1">
      <c r="A422" t="inlineStr">
        <is>
          <t>A 32174-2022</t>
        </is>
      </c>
      <c r="B422" s="1" t="n">
        <v>44781</v>
      </c>
      <c r="C422" s="1" t="n">
        <v>45884</v>
      </c>
      <c r="D422" t="inlineStr">
        <is>
          <t>KALMAR LÄN</t>
        </is>
      </c>
      <c r="E422" t="inlineStr">
        <is>
          <t>BORGHOLM</t>
        </is>
      </c>
      <c r="F422" t="inlineStr">
        <is>
          <t>Sveaskog</t>
        </is>
      </c>
      <c r="G422" t="n">
        <v>1.6</v>
      </c>
      <c r="H422" t="n">
        <v>1</v>
      </c>
      <c r="I422" t="n">
        <v>1</v>
      </c>
      <c r="J422" t="n">
        <v>1</v>
      </c>
      <c r="K422" t="n">
        <v>0</v>
      </c>
      <c r="L422" t="n">
        <v>0</v>
      </c>
      <c r="M422" t="n">
        <v>0</v>
      </c>
      <c r="N422" t="n">
        <v>0</v>
      </c>
      <c r="O422" t="n">
        <v>1</v>
      </c>
      <c r="P422" t="n">
        <v>0</v>
      </c>
      <c r="Q422" t="n">
        <v>2</v>
      </c>
      <c r="R422" s="2" t="inlineStr">
        <is>
          <t>Backklöver
Tvåblad</t>
        </is>
      </c>
      <c r="S422">
        <f>HYPERLINK("https://klasma.github.io/Logging_0885/artfynd/A 32174-2022 artfynd.xlsx", "A 32174-2022")</f>
        <v/>
      </c>
      <c r="T422">
        <f>HYPERLINK("https://klasma.github.io/Logging_0885/kartor/A 32174-2022 karta.png", "A 32174-2022")</f>
        <v/>
      </c>
      <c r="V422">
        <f>HYPERLINK("https://klasma.github.io/Logging_0885/klagomål/A 32174-2022 FSC-klagomål.docx", "A 32174-2022")</f>
        <v/>
      </c>
      <c r="W422">
        <f>HYPERLINK("https://klasma.github.io/Logging_0885/klagomålsmail/A 32174-2022 FSC-klagomål mail.docx", "A 32174-2022")</f>
        <v/>
      </c>
      <c r="X422">
        <f>HYPERLINK("https://klasma.github.io/Logging_0885/tillsyn/A 32174-2022 tillsynsbegäran.docx", "A 32174-2022")</f>
        <v/>
      </c>
      <c r="Y422">
        <f>HYPERLINK("https://klasma.github.io/Logging_0885/tillsynsmail/A 32174-2022 tillsynsbegäran mail.docx", "A 32174-2022")</f>
        <v/>
      </c>
    </row>
    <row r="423" ht="15" customHeight="1">
      <c r="A423" t="inlineStr">
        <is>
          <t>A 2950-2025</t>
        </is>
      </c>
      <c r="B423" s="1" t="n">
        <v>45678</v>
      </c>
      <c r="C423" s="1" t="n">
        <v>45884</v>
      </c>
      <c r="D423" t="inlineStr">
        <is>
          <t>KALMAR LÄN</t>
        </is>
      </c>
      <c r="E423" t="inlineStr">
        <is>
          <t>VÄSTERVIK</t>
        </is>
      </c>
      <c r="G423" t="n">
        <v>6.1</v>
      </c>
      <c r="H423" t="n">
        <v>1</v>
      </c>
      <c r="I423" t="n">
        <v>1</v>
      </c>
      <c r="J423" t="n">
        <v>0</v>
      </c>
      <c r="K423" t="n">
        <v>1</v>
      </c>
      <c r="L423" t="n">
        <v>0</v>
      </c>
      <c r="M423" t="n">
        <v>0</v>
      </c>
      <c r="N423" t="n">
        <v>0</v>
      </c>
      <c r="O423" t="n">
        <v>1</v>
      </c>
      <c r="P423" t="n">
        <v>1</v>
      </c>
      <c r="Q423" t="n">
        <v>2</v>
      </c>
      <c r="R423" s="2" t="inlineStr">
        <is>
          <t>Knärot
Grovticka</t>
        </is>
      </c>
      <c r="S423">
        <f>HYPERLINK("https://klasma.github.io/Logging_0883/artfynd/A 2950-2025 artfynd.xlsx", "A 2950-2025")</f>
        <v/>
      </c>
      <c r="T423">
        <f>HYPERLINK("https://klasma.github.io/Logging_0883/kartor/A 2950-2025 karta.png", "A 2950-2025")</f>
        <v/>
      </c>
      <c r="U423">
        <f>HYPERLINK("https://klasma.github.io/Logging_0883/knärot/A 2950-2025 karta knärot.png", "A 2950-2025")</f>
        <v/>
      </c>
      <c r="V423">
        <f>HYPERLINK("https://klasma.github.io/Logging_0883/klagomål/A 2950-2025 FSC-klagomål.docx", "A 2950-2025")</f>
        <v/>
      </c>
      <c r="W423">
        <f>HYPERLINK("https://klasma.github.io/Logging_0883/klagomålsmail/A 2950-2025 FSC-klagomål mail.docx", "A 2950-2025")</f>
        <v/>
      </c>
      <c r="X423">
        <f>HYPERLINK("https://klasma.github.io/Logging_0883/tillsyn/A 2950-2025 tillsynsbegäran.docx", "A 2950-2025")</f>
        <v/>
      </c>
      <c r="Y423">
        <f>HYPERLINK("https://klasma.github.io/Logging_0883/tillsynsmail/A 2950-2025 tillsynsbegäran mail.docx", "A 2950-2025")</f>
        <v/>
      </c>
    </row>
    <row r="424" ht="15" customHeight="1">
      <c r="A424" t="inlineStr">
        <is>
          <t>A 43756-2022</t>
        </is>
      </c>
      <c r="B424" s="1" t="n">
        <v>44837</v>
      </c>
      <c r="C424" s="1" t="n">
        <v>45884</v>
      </c>
      <c r="D424" t="inlineStr">
        <is>
          <t>KALMAR LÄN</t>
        </is>
      </c>
      <c r="E424" t="inlineStr">
        <is>
          <t>BORGHOLM</t>
        </is>
      </c>
      <c r="G424" t="n">
        <v>2.2</v>
      </c>
      <c r="H424" t="n">
        <v>1</v>
      </c>
      <c r="I424" t="n">
        <v>1</v>
      </c>
      <c r="J424" t="n">
        <v>0</v>
      </c>
      <c r="K424" t="n">
        <v>0</v>
      </c>
      <c r="L424" t="n">
        <v>0</v>
      </c>
      <c r="M424" t="n">
        <v>0</v>
      </c>
      <c r="N424" t="n">
        <v>0</v>
      </c>
      <c r="O424" t="n">
        <v>0</v>
      </c>
      <c r="P424" t="n">
        <v>0</v>
      </c>
      <c r="Q424" t="n">
        <v>2</v>
      </c>
      <c r="R424" s="2" t="inlineStr">
        <is>
          <t>Murgröna
Blåsippa</t>
        </is>
      </c>
      <c r="S424">
        <f>HYPERLINK("https://klasma.github.io/Logging_0885/artfynd/A 43756-2022 artfynd.xlsx", "A 43756-2022")</f>
        <v/>
      </c>
      <c r="T424">
        <f>HYPERLINK("https://klasma.github.io/Logging_0885/kartor/A 43756-2022 karta.png", "A 43756-2022")</f>
        <v/>
      </c>
      <c r="V424">
        <f>HYPERLINK("https://klasma.github.io/Logging_0885/klagomål/A 43756-2022 FSC-klagomål.docx", "A 43756-2022")</f>
        <v/>
      </c>
      <c r="W424">
        <f>HYPERLINK("https://klasma.github.io/Logging_0885/klagomålsmail/A 43756-2022 FSC-klagomål mail.docx", "A 43756-2022")</f>
        <v/>
      </c>
      <c r="X424">
        <f>HYPERLINK("https://klasma.github.io/Logging_0885/tillsyn/A 43756-2022 tillsynsbegäran.docx", "A 43756-2022")</f>
        <v/>
      </c>
      <c r="Y424">
        <f>HYPERLINK("https://klasma.github.io/Logging_0885/tillsynsmail/A 43756-2022 tillsynsbegäran mail.docx", "A 43756-2022")</f>
        <v/>
      </c>
    </row>
    <row r="425" ht="15" customHeight="1">
      <c r="A425" t="inlineStr">
        <is>
          <t>A 21081-2025</t>
        </is>
      </c>
      <c r="B425" s="1" t="n">
        <v>45777.60479166666</v>
      </c>
      <c r="C425" s="1" t="n">
        <v>45884</v>
      </c>
      <c r="D425" t="inlineStr">
        <is>
          <t>KALMAR LÄN</t>
        </is>
      </c>
      <c r="E425" t="inlineStr">
        <is>
          <t>VÄSTERVIK</t>
        </is>
      </c>
      <c r="G425" t="n">
        <v>1</v>
      </c>
      <c r="H425" t="n">
        <v>1</v>
      </c>
      <c r="I425" t="n">
        <v>0</v>
      </c>
      <c r="J425" t="n">
        <v>1</v>
      </c>
      <c r="K425" t="n">
        <v>1</v>
      </c>
      <c r="L425" t="n">
        <v>0</v>
      </c>
      <c r="M425" t="n">
        <v>0</v>
      </c>
      <c r="N425" t="n">
        <v>0</v>
      </c>
      <c r="O425" t="n">
        <v>2</v>
      </c>
      <c r="P425" t="n">
        <v>1</v>
      </c>
      <c r="Q425" t="n">
        <v>2</v>
      </c>
      <c r="R425" s="2" t="inlineStr">
        <is>
          <t>Knärot
Ullticka</t>
        </is>
      </c>
      <c r="S425">
        <f>HYPERLINK("https://klasma.github.io/Logging_0883/artfynd/A 21081-2025 artfynd.xlsx", "A 21081-2025")</f>
        <v/>
      </c>
      <c r="T425">
        <f>HYPERLINK("https://klasma.github.io/Logging_0883/kartor/A 21081-2025 karta.png", "A 21081-2025")</f>
        <v/>
      </c>
      <c r="U425">
        <f>HYPERLINK("https://klasma.github.io/Logging_0883/knärot/A 21081-2025 karta knärot.png", "A 21081-2025")</f>
        <v/>
      </c>
      <c r="V425">
        <f>HYPERLINK("https://klasma.github.io/Logging_0883/klagomål/A 21081-2025 FSC-klagomål.docx", "A 21081-2025")</f>
        <v/>
      </c>
      <c r="W425">
        <f>HYPERLINK("https://klasma.github.io/Logging_0883/klagomålsmail/A 21081-2025 FSC-klagomål mail.docx", "A 21081-2025")</f>
        <v/>
      </c>
      <c r="X425">
        <f>HYPERLINK("https://klasma.github.io/Logging_0883/tillsyn/A 21081-2025 tillsynsbegäran.docx", "A 21081-2025")</f>
        <v/>
      </c>
      <c r="Y425">
        <f>HYPERLINK("https://klasma.github.io/Logging_0883/tillsynsmail/A 21081-2025 tillsynsbegäran mail.docx", "A 21081-2025")</f>
        <v/>
      </c>
    </row>
    <row r="426" ht="15" customHeight="1">
      <c r="A426" t="inlineStr">
        <is>
          <t>A 30933-2023</t>
        </is>
      </c>
      <c r="B426" s="1" t="n">
        <v>45113</v>
      </c>
      <c r="C426" s="1" t="n">
        <v>45884</v>
      </c>
      <c r="D426" t="inlineStr">
        <is>
          <t>KALMAR LÄN</t>
        </is>
      </c>
      <c r="E426" t="inlineStr">
        <is>
          <t>OSKARSHAMN</t>
        </is>
      </c>
      <c r="G426" t="n">
        <v>3.7</v>
      </c>
      <c r="H426" t="n">
        <v>2</v>
      </c>
      <c r="I426" t="n">
        <v>0</v>
      </c>
      <c r="J426" t="n">
        <v>2</v>
      </c>
      <c r="K426" t="n">
        <v>0</v>
      </c>
      <c r="L426" t="n">
        <v>0</v>
      </c>
      <c r="M426" t="n">
        <v>0</v>
      </c>
      <c r="N426" t="n">
        <v>0</v>
      </c>
      <c r="O426" t="n">
        <v>2</v>
      </c>
      <c r="P426" t="n">
        <v>0</v>
      </c>
      <c r="Q426" t="n">
        <v>2</v>
      </c>
      <c r="R426" s="2" t="inlineStr">
        <is>
          <t>Mindre hackspett
Spillkråka</t>
        </is>
      </c>
      <c r="S426">
        <f>HYPERLINK("https://klasma.github.io/Logging_0882/artfynd/A 30933-2023 artfynd.xlsx", "A 30933-2023")</f>
        <v/>
      </c>
      <c r="T426">
        <f>HYPERLINK("https://klasma.github.io/Logging_0882/kartor/A 30933-2023 karta.png", "A 30933-2023")</f>
        <v/>
      </c>
      <c r="V426">
        <f>HYPERLINK("https://klasma.github.io/Logging_0882/klagomål/A 30933-2023 FSC-klagomål.docx", "A 30933-2023")</f>
        <v/>
      </c>
      <c r="W426">
        <f>HYPERLINK("https://klasma.github.io/Logging_0882/klagomålsmail/A 30933-2023 FSC-klagomål mail.docx", "A 30933-2023")</f>
        <v/>
      </c>
      <c r="X426">
        <f>HYPERLINK("https://klasma.github.io/Logging_0882/tillsyn/A 30933-2023 tillsynsbegäran.docx", "A 30933-2023")</f>
        <v/>
      </c>
      <c r="Y426">
        <f>HYPERLINK("https://klasma.github.io/Logging_0882/tillsynsmail/A 30933-2023 tillsynsbegäran mail.docx", "A 30933-2023")</f>
        <v/>
      </c>
      <c r="Z426">
        <f>HYPERLINK("https://klasma.github.io/Logging_0882/fåglar/A 30933-2023 prioriterade fågelarter.docx", "A 30933-2023")</f>
        <v/>
      </c>
    </row>
    <row r="427" ht="15" customHeight="1">
      <c r="A427" t="inlineStr">
        <is>
          <t>A 9040-2023</t>
        </is>
      </c>
      <c r="B427" s="1" t="n">
        <v>44979</v>
      </c>
      <c r="C427" s="1" t="n">
        <v>45884</v>
      </c>
      <c r="D427" t="inlineStr">
        <is>
          <t>KALMAR LÄN</t>
        </is>
      </c>
      <c r="E427" t="inlineStr">
        <is>
          <t>VÄSTERVIK</t>
        </is>
      </c>
      <c r="G427" t="n">
        <v>5.1</v>
      </c>
      <c r="H427" t="n">
        <v>1</v>
      </c>
      <c r="I427" t="n">
        <v>1</v>
      </c>
      <c r="J427" t="n">
        <v>0</v>
      </c>
      <c r="K427" t="n">
        <v>1</v>
      </c>
      <c r="L427" t="n">
        <v>0</v>
      </c>
      <c r="M427" t="n">
        <v>0</v>
      </c>
      <c r="N427" t="n">
        <v>0</v>
      </c>
      <c r="O427" t="n">
        <v>1</v>
      </c>
      <c r="P427" t="n">
        <v>1</v>
      </c>
      <c r="Q427" t="n">
        <v>2</v>
      </c>
      <c r="R427" s="2" t="inlineStr">
        <is>
          <t>Knärot
Grönpyrola</t>
        </is>
      </c>
      <c r="S427">
        <f>HYPERLINK("https://klasma.github.io/Logging_0883/artfynd/A 9040-2023 artfynd.xlsx", "A 9040-2023")</f>
        <v/>
      </c>
      <c r="T427">
        <f>HYPERLINK("https://klasma.github.io/Logging_0883/kartor/A 9040-2023 karta.png", "A 9040-2023")</f>
        <v/>
      </c>
      <c r="U427">
        <f>HYPERLINK("https://klasma.github.io/Logging_0883/knärot/A 9040-2023 karta knärot.png", "A 9040-2023")</f>
        <v/>
      </c>
      <c r="V427">
        <f>HYPERLINK("https://klasma.github.io/Logging_0883/klagomål/A 9040-2023 FSC-klagomål.docx", "A 9040-2023")</f>
        <v/>
      </c>
      <c r="W427">
        <f>HYPERLINK("https://klasma.github.io/Logging_0883/klagomålsmail/A 9040-2023 FSC-klagomål mail.docx", "A 9040-2023")</f>
        <v/>
      </c>
      <c r="X427">
        <f>HYPERLINK("https://klasma.github.io/Logging_0883/tillsyn/A 9040-2023 tillsynsbegäran.docx", "A 9040-2023")</f>
        <v/>
      </c>
      <c r="Y427">
        <f>HYPERLINK("https://klasma.github.io/Logging_0883/tillsynsmail/A 9040-2023 tillsynsbegäran mail.docx", "A 9040-2023")</f>
        <v/>
      </c>
    </row>
    <row r="428" ht="15" customHeight="1">
      <c r="A428" t="inlineStr">
        <is>
          <t>A 14090-2025</t>
        </is>
      </c>
      <c r="B428" s="1" t="n">
        <v>45740.44487268518</v>
      </c>
      <c r="C428" s="1" t="n">
        <v>45884</v>
      </c>
      <c r="D428" t="inlineStr">
        <is>
          <t>KALMAR LÄN</t>
        </is>
      </c>
      <c r="E428" t="inlineStr">
        <is>
          <t>VÄSTERVIK</t>
        </is>
      </c>
      <c r="F428" t="inlineStr">
        <is>
          <t>Sveaskog</t>
        </is>
      </c>
      <c r="G428" t="n">
        <v>1</v>
      </c>
      <c r="H428" t="n">
        <v>2</v>
      </c>
      <c r="I428" t="n">
        <v>0</v>
      </c>
      <c r="J428" t="n">
        <v>1</v>
      </c>
      <c r="K428" t="n">
        <v>0</v>
      </c>
      <c r="L428" t="n">
        <v>0</v>
      </c>
      <c r="M428" t="n">
        <v>0</v>
      </c>
      <c r="N428" t="n">
        <v>0</v>
      </c>
      <c r="O428" t="n">
        <v>1</v>
      </c>
      <c r="P428" t="n">
        <v>0</v>
      </c>
      <c r="Q428" t="n">
        <v>2</v>
      </c>
      <c r="R428" s="2" t="inlineStr">
        <is>
          <t>Grönsångare
Åkergroda</t>
        </is>
      </c>
      <c r="S428">
        <f>HYPERLINK("https://klasma.github.io/Logging_0883/artfynd/A 14090-2025 artfynd.xlsx", "A 14090-2025")</f>
        <v/>
      </c>
      <c r="T428">
        <f>HYPERLINK("https://klasma.github.io/Logging_0883/kartor/A 14090-2025 karta.png", "A 14090-2025")</f>
        <v/>
      </c>
      <c r="V428">
        <f>HYPERLINK("https://klasma.github.io/Logging_0883/klagomål/A 14090-2025 FSC-klagomål.docx", "A 14090-2025")</f>
        <v/>
      </c>
      <c r="W428">
        <f>HYPERLINK("https://klasma.github.io/Logging_0883/klagomålsmail/A 14090-2025 FSC-klagomål mail.docx", "A 14090-2025")</f>
        <v/>
      </c>
      <c r="X428">
        <f>HYPERLINK("https://klasma.github.io/Logging_0883/tillsyn/A 14090-2025 tillsynsbegäran.docx", "A 14090-2025")</f>
        <v/>
      </c>
      <c r="Y428">
        <f>HYPERLINK("https://klasma.github.io/Logging_0883/tillsynsmail/A 14090-2025 tillsynsbegäran mail.docx", "A 14090-2025")</f>
        <v/>
      </c>
      <c r="Z428">
        <f>HYPERLINK("https://klasma.github.io/Logging_0883/fåglar/A 14090-2025 prioriterade fågelarter.docx", "A 14090-2025")</f>
        <v/>
      </c>
    </row>
    <row r="429" ht="15" customHeight="1">
      <c r="A429" t="inlineStr">
        <is>
          <t>A 11849-2024</t>
        </is>
      </c>
      <c r="B429" s="1" t="n">
        <v>45376.41797453703</v>
      </c>
      <c r="C429" s="1" t="n">
        <v>45884</v>
      </c>
      <c r="D429" t="inlineStr">
        <is>
          <t>KALMAR LÄN</t>
        </is>
      </c>
      <c r="E429" t="inlineStr">
        <is>
          <t>VÄSTERVIK</t>
        </is>
      </c>
      <c r="F429" t="inlineStr">
        <is>
          <t>Sveaskog</t>
        </is>
      </c>
      <c r="G429" t="n">
        <v>5.3</v>
      </c>
      <c r="H429" t="n">
        <v>2</v>
      </c>
      <c r="I429" t="n">
        <v>0</v>
      </c>
      <c r="J429" t="n">
        <v>0</v>
      </c>
      <c r="K429" t="n">
        <v>0</v>
      </c>
      <c r="L429" t="n">
        <v>0</v>
      </c>
      <c r="M429" t="n">
        <v>0</v>
      </c>
      <c r="N429" t="n">
        <v>0</v>
      </c>
      <c r="O429" t="n">
        <v>0</v>
      </c>
      <c r="P429" t="n">
        <v>0</v>
      </c>
      <c r="Q429" t="n">
        <v>2</v>
      </c>
      <c r="R429" s="2" t="inlineStr">
        <is>
          <t>Mattlummer
Revlummer</t>
        </is>
      </c>
      <c r="S429">
        <f>HYPERLINK("https://klasma.github.io/Logging_0883/artfynd/A 11849-2024 artfynd.xlsx", "A 11849-2024")</f>
        <v/>
      </c>
      <c r="T429">
        <f>HYPERLINK("https://klasma.github.io/Logging_0883/kartor/A 11849-2024 karta.png", "A 11849-2024")</f>
        <v/>
      </c>
      <c r="V429">
        <f>HYPERLINK("https://klasma.github.io/Logging_0883/klagomål/A 11849-2024 FSC-klagomål.docx", "A 11849-2024")</f>
        <v/>
      </c>
      <c r="W429">
        <f>HYPERLINK("https://klasma.github.io/Logging_0883/klagomålsmail/A 11849-2024 FSC-klagomål mail.docx", "A 11849-2024")</f>
        <v/>
      </c>
      <c r="X429">
        <f>HYPERLINK("https://klasma.github.io/Logging_0883/tillsyn/A 11849-2024 tillsynsbegäran.docx", "A 11849-2024")</f>
        <v/>
      </c>
      <c r="Y429">
        <f>HYPERLINK("https://klasma.github.io/Logging_0883/tillsynsmail/A 11849-2024 tillsynsbegäran mail.docx", "A 11849-2024")</f>
        <v/>
      </c>
    </row>
    <row r="430" ht="15" customHeight="1">
      <c r="A430" t="inlineStr">
        <is>
          <t>A 10784-2025</t>
        </is>
      </c>
      <c r="B430" s="1" t="n">
        <v>45722</v>
      </c>
      <c r="C430" s="1" t="n">
        <v>45884</v>
      </c>
      <c r="D430" t="inlineStr">
        <is>
          <t>KALMAR LÄN</t>
        </is>
      </c>
      <c r="E430" t="inlineStr">
        <is>
          <t>VÄSTERVIK</t>
        </is>
      </c>
      <c r="G430" t="n">
        <v>2.1</v>
      </c>
      <c r="H430" t="n">
        <v>2</v>
      </c>
      <c r="I430" t="n">
        <v>0</v>
      </c>
      <c r="J430" t="n">
        <v>1</v>
      </c>
      <c r="K430" t="n">
        <v>0</v>
      </c>
      <c r="L430" t="n">
        <v>0</v>
      </c>
      <c r="M430" t="n">
        <v>0</v>
      </c>
      <c r="N430" t="n">
        <v>0</v>
      </c>
      <c r="O430" t="n">
        <v>1</v>
      </c>
      <c r="P430" t="n">
        <v>0</v>
      </c>
      <c r="Q430" t="n">
        <v>2</v>
      </c>
      <c r="R430" s="2" t="inlineStr">
        <is>
          <t>Talltita
Kungsfågel</t>
        </is>
      </c>
      <c r="S430">
        <f>HYPERLINK("https://klasma.github.io/Logging_0883/artfynd/A 10784-2025 artfynd.xlsx", "A 10784-2025")</f>
        <v/>
      </c>
      <c r="T430">
        <f>HYPERLINK("https://klasma.github.io/Logging_0883/kartor/A 10784-2025 karta.png", "A 10784-2025")</f>
        <v/>
      </c>
      <c r="V430">
        <f>HYPERLINK("https://klasma.github.io/Logging_0883/klagomål/A 10784-2025 FSC-klagomål.docx", "A 10784-2025")</f>
        <v/>
      </c>
      <c r="W430">
        <f>HYPERLINK("https://klasma.github.io/Logging_0883/klagomålsmail/A 10784-2025 FSC-klagomål mail.docx", "A 10784-2025")</f>
        <v/>
      </c>
      <c r="X430">
        <f>HYPERLINK("https://klasma.github.io/Logging_0883/tillsyn/A 10784-2025 tillsynsbegäran.docx", "A 10784-2025")</f>
        <v/>
      </c>
      <c r="Y430">
        <f>HYPERLINK("https://klasma.github.io/Logging_0883/tillsynsmail/A 10784-2025 tillsynsbegäran mail.docx", "A 10784-2025")</f>
        <v/>
      </c>
      <c r="Z430">
        <f>HYPERLINK("https://klasma.github.io/Logging_0883/fåglar/A 10784-2025 prioriterade fågelarter.docx", "A 10784-2025")</f>
        <v/>
      </c>
    </row>
    <row r="431" ht="15" customHeight="1">
      <c r="A431" t="inlineStr">
        <is>
          <t>A 1767-2025</t>
        </is>
      </c>
      <c r="B431" s="1" t="n">
        <v>45671</v>
      </c>
      <c r="C431" s="1" t="n">
        <v>45884</v>
      </c>
      <c r="D431" t="inlineStr">
        <is>
          <t>KALMAR LÄN</t>
        </is>
      </c>
      <c r="E431" t="inlineStr">
        <is>
          <t>VÄSTERVIK</t>
        </is>
      </c>
      <c r="G431" t="n">
        <v>1.4</v>
      </c>
      <c r="H431" t="n">
        <v>1</v>
      </c>
      <c r="I431" t="n">
        <v>0</v>
      </c>
      <c r="J431" t="n">
        <v>2</v>
      </c>
      <c r="K431" t="n">
        <v>0</v>
      </c>
      <c r="L431" t="n">
        <v>0</v>
      </c>
      <c r="M431" t="n">
        <v>0</v>
      </c>
      <c r="N431" t="n">
        <v>0</v>
      </c>
      <c r="O431" t="n">
        <v>2</v>
      </c>
      <c r="P431" t="n">
        <v>0</v>
      </c>
      <c r="Q431" t="n">
        <v>2</v>
      </c>
      <c r="R431" s="2" t="inlineStr">
        <is>
          <t>Garnlav
Spillkråka</t>
        </is>
      </c>
      <c r="S431">
        <f>HYPERLINK("https://klasma.github.io/Logging_0883/artfynd/A 1767-2025 artfynd.xlsx", "A 1767-2025")</f>
        <v/>
      </c>
      <c r="T431">
        <f>HYPERLINK("https://klasma.github.io/Logging_0883/kartor/A 1767-2025 karta.png", "A 1767-2025")</f>
        <v/>
      </c>
      <c r="U431">
        <f>HYPERLINK("https://klasma.github.io/Logging_0883/knärot/A 1767-2025 karta knärot.png", "A 1767-2025")</f>
        <v/>
      </c>
      <c r="V431">
        <f>HYPERLINK("https://klasma.github.io/Logging_0883/klagomål/A 1767-2025 FSC-klagomål.docx", "A 1767-2025")</f>
        <v/>
      </c>
      <c r="W431">
        <f>HYPERLINK("https://klasma.github.io/Logging_0883/klagomålsmail/A 1767-2025 FSC-klagomål mail.docx", "A 1767-2025")</f>
        <v/>
      </c>
      <c r="X431">
        <f>HYPERLINK("https://klasma.github.io/Logging_0883/tillsyn/A 1767-2025 tillsynsbegäran.docx", "A 1767-2025")</f>
        <v/>
      </c>
      <c r="Y431">
        <f>HYPERLINK("https://klasma.github.io/Logging_0883/tillsynsmail/A 1767-2025 tillsynsbegäran mail.docx", "A 1767-2025")</f>
        <v/>
      </c>
      <c r="Z431">
        <f>HYPERLINK("https://klasma.github.io/Logging_0883/fåglar/A 1767-2025 prioriterade fågelarter.docx", "A 1767-2025")</f>
        <v/>
      </c>
    </row>
    <row r="432" ht="15" customHeight="1">
      <c r="A432" t="inlineStr">
        <is>
          <t>A 17438-2024</t>
        </is>
      </c>
      <c r="B432" s="1" t="n">
        <v>45415</v>
      </c>
      <c r="C432" s="1" t="n">
        <v>45884</v>
      </c>
      <c r="D432" t="inlineStr">
        <is>
          <t>KALMAR LÄN</t>
        </is>
      </c>
      <c r="E432" t="inlineStr">
        <is>
          <t>VÄSTERVIK</t>
        </is>
      </c>
      <c r="G432" t="n">
        <v>3.8</v>
      </c>
      <c r="H432" t="n">
        <v>2</v>
      </c>
      <c r="I432" t="n">
        <v>0</v>
      </c>
      <c r="J432" t="n">
        <v>1</v>
      </c>
      <c r="K432" t="n">
        <v>1</v>
      </c>
      <c r="L432" t="n">
        <v>0</v>
      </c>
      <c r="M432" t="n">
        <v>0</v>
      </c>
      <c r="N432" t="n">
        <v>0</v>
      </c>
      <c r="O432" t="n">
        <v>2</v>
      </c>
      <c r="P432" t="n">
        <v>1</v>
      </c>
      <c r="Q432" t="n">
        <v>2</v>
      </c>
      <c r="R432" s="2" t="inlineStr">
        <is>
          <t>Knärot
Spillkråka</t>
        </is>
      </c>
      <c r="S432">
        <f>HYPERLINK("https://klasma.github.io/Logging_0883/artfynd/A 17438-2024 artfynd.xlsx", "A 17438-2024")</f>
        <v/>
      </c>
      <c r="T432">
        <f>HYPERLINK("https://klasma.github.io/Logging_0883/kartor/A 17438-2024 karta.png", "A 17438-2024")</f>
        <v/>
      </c>
      <c r="U432">
        <f>HYPERLINK("https://klasma.github.io/Logging_0883/knärot/A 17438-2024 karta knärot.png", "A 17438-2024")</f>
        <v/>
      </c>
      <c r="V432">
        <f>HYPERLINK("https://klasma.github.io/Logging_0883/klagomål/A 17438-2024 FSC-klagomål.docx", "A 17438-2024")</f>
        <v/>
      </c>
      <c r="W432">
        <f>HYPERLINK("https://klasma.github.io/Logging_0883/klagomålsmail/A 17438-2024 FSC-klagomål mail.docx", "A 17438-2024")</f>
        <v/>
      </c>
      <c r="X432">
        <f>HYPERLINK("https://klasma.github.io/Logging_0883/tillsyn/A 17438-2024 tillsynsbegäran.docx", "A 17438-2024")</f>
        <v/>
      </c>
      <c r="Y432">
        <f>HYPERLINK("https://klasma.github.io/Logging_0883/tillsynsmail/A 17438-2024 tillsynsbegäran mail.docx", "A 17438-2024")</f>
        <v/>
      </c>
      <c r="Z432">
        <f>HYPERLINK("https://klasma.github.io/Logging_0883/fåglar/A 17438-2024 prioriterade fågelarter.docx", "A 17438-2024")</f>
        <v/>
      </c>
    </row>
    <row r="433" ht="15" customHeight="1">
      <c r="A433" t="inlineStr">
        <is>
          <t>A 31218-2025</t>
        </is>
      </c>
      <c r="B433" s="1" t="n">
        <v>45832</v>
      </c>
      <c r="C433" s="1" t="n">
        <v>45884</v>
      </c>
      <c r="D433" t="inlineStr">
        <is>
          <t>KALMAR LÄN</t>
        </is>
      </c>
      <c r="E433" t="inlineStr">
        <is>
          <t>NYBRO</t>
        </is>
      </c>
      <c r="G433" t="n">
        <v>4.4</v>
      </c>
      <c r="H433" t="n">
        <v>1</v>
      </c>
      <c r="I433" t="n">
        <v>1</v>
      </c>
      <c r="J433" t="n">
        <v>1</v>
      </c>
      <c r="K433" t="n">
        <v>0</v>
      </c>
      <c r="L433" t="n">
        <v>0</v>
      </c>
      <c r="M433" t="n">
        <v>0</v>
      </c>
      <c r="N433" t="n">
        <v>0</v>
      </c>
      <c r="O433" t="n">
        <v>1</v>
      </c>
      <c r="P433" t="n">
        <v>0</v>
      </c>
      <c r="Q433" t="n">
        <v>2</v>
      </c>
      <c r="R433" s="2" t="inlineStr">
        <is>
          <t>Spillkråka
Björksplintborre</t>
        </is>
      </c>
      <c r="S433">
        <f>HYPERLINK("https://klasma.github.io/Logging_0881/artfynd/A 31218-2025 artfynd.xlsx", "A 31218-2025")</f>
        <v/>
      </c>
      <c r="T433">
        <f>HYPERLINK("https://klasma.github.io/Logging_0881/kartor/A 31218-2025 karta.png", "A 31218-2025")</f>
        <v/>
      </c>
      <c r="V433">
        <f>HYPERLINK("https://klasma.github.io/Logging_0881/klagomål/A 31218-2025 FSC-klagomål.docx", "A 31218-2025")</f>
        <v/>
      </c>
      <c r="W433">
        <f>HYPERLINK("https://klasma.github.io/Logging_0881/klagomålsmail/A 31218-2025 FSC-klagomål mail.docx", "A 31218-2025")</f>
        <v/>
      </c>
      <c r="X433">
        <f>HYPERLINK("https://klasma.github.io/Logging_0881/tillsyn/A 31218-2025 tillsynsbegäran.docx", "A 31218-2025")</f>
        <v/>
      </c>
      <c r="Y433">
        <f>HYPERLINK("https://klasma.github.io/Logging_0881/tillsynsmail/A 31218-2025 tillsynsbegäran mail.docx", "A 31218-2025")</f>
        <v/>
      </c>
      <c r="Z433">
        <f>HYPERLINK("https://klasma.github.io/Logging_0881/fåglar/A 31218-2025 prioriterade fågelarter.docx", "A 31218-2025")</f>
        <v/>
      </c>
    </row>
    <row r="434" ht="15" customHeight="1">
      <c r="A434" t="inlineStr">
        <is>
          <t>A 14626-2021</t>
        </is>
      </c>
      <c r="B434" s="1" t="n">
        <v>44280</v>
      </c>
      <c r="C434" s="1" t="n">
        <v>45884</v>
      </c>
      <c r="D434" t="inlineStr">
        <is>
          <t>KALMAR LÄN</t>
        </is>
      </c>
      <c r="E434" t="inlineStr">
        <is>
          <t>HULTSFRED</t>
        </is>
      </c>
      <c r="G434" t="n">
        <v>19.3</v>
      </c>
      <c r="H434" t="n">
        <v>0</v>
      </c>
      <c r="I434" t="n">
        <v>1</v>
      </c>
      <c r="J434" t="n">
        <v>1</v>
      </c>
      <c r="K434" t="n">
        <v>0</v>
      </c>
      <c r="L434" t="n">
        <v>0</v>
      </c>
      <c r="M434" t="n">
        <v>0</v>
      </c>
      <c r="N434" t="n">
        <v>0</v>
      </c>
      <c r="O434" t="n">
        <v>1</v>
      </c>
      <c r="P434" t="n">
        <v>0</v>
      </c>
      <c r="Q434" t="n">
        <v>2</v>
      </c>
      <c r="R434" s="2" t="inlineStr">
        <is>
          <t>Skogshare
Jättesvampmal</t>
        </is>
      </c>
      <c r="S434">
        <f>HYPERLINK("https://klasma.github.io/Logging_0860/artfynd/A 14626-2021 artfynd.xlsx", "A 14626-2021")</f>
        <v/>
      </c>
      <c r="T434">
        <f>HYPERLINK("https://klasma.github.io/Logging_0860/kartor/A 14626-2021 karta.png", "A 14626-2021")</f>
        <v/>
      </c>
      <c r="V434">
        <f>HYPERLINK("https://klasma.github.io/Logging_0860/klagomål/A 14626-2021 FSC-klagomål.docx", "A 14626-2021")</f>
        <v/>
      </c>
      <c r="W434">
        <f>HYPERLINK("https://klasma.github.io/Logging_0860/klagomålsmail/A 14626-2021 FSC-klagomål mail.docx", "A 14626-2021")</f>
        <v/>
      </c>
      <c r="X434">
        <f>HYPERLINK("https://klasma.github.io/Logging_0860/tillsyn/A 14626-2021 tillsynsbegäran.docx", "A 14626-2021")</f>
        <v/>
      </c>
      <c r="Y434">
        <f>HYPERLINK("https://klasma.github.io/Logging_0860/tillsynsmail/A 14626-2021 tillsynsbegäran mail.docx", "A 14626-2021")</f>
        <v/>
      </c>
    </row>
    <row r="435" ht="15" customHeight="1">
      <c r="A435" t="inlineStr">
        <is>
          <t>A 35252-2025</t>
        </is>
      </c>
      <c r="B435" s="1" t="n">
        <v>45853</v>
      </c>
      <c r="C435" s="1" t="n">
        <v>45884</v>
      </c>
      <c r="D435" t="inlineStr">
        <is>
          <t>KALMAR LÄN</t>
        </is>
      </c>
      <c r="E435" t="inlineStr">
        <is>
          <t>NYBRO</t>
        </is>
      </c>
      <c r="G435" t="n">
        <v>4.9</v>
      </c>
      <c r="H435" t="n">
        <v>2</v>
      </c>
      <c r="I435" t="n">
        <v>0</v>
      </c>
      <c r="J435" t="n">
        <v>0</v>
      </c>
      <c r="K435" t="n">
        <v>0</v>
      </c>
      <c r="L435" t="n">
        <v>0</v>
      </c>
      <c r="M435" t="n">
        <v>0</v>
      </c>
      <c r="N435" t="n">
        <v>0</v>
      </c>
      <c r="O435" t="n">
        <v>0</v>
      </c>
      <c r="P435" t="n">
        <v>0</v>
      </c>
      <c r="Q435" t="n">
        <v>2</v>
      </c>
      <c r="R435" s="2" t="inlineStr">
        <is>
          <t>Mattlummer
Revlummer</t>
        </is>
      </c>
      <c r="S435">
        <f>HYPERLINK("https://klasma.github.io/Logging_0881/artfynd/A 35252-2025 artfynd.xlsx", "A 35252-2025")</f>
        <v/>
      </c>
      <c r="T435">
        <f>HYPERLINK("https://klasma.github.io/Logging_0881/kartor/A 35252-2025 karta.png", "A 35252-2025")</f>
        <v/>
      </c>
      <c r="V435">
        <f>HYPERLINK("https://klasma.github.io/Logging_0881/klagomål/A 35252-2025 FSC-klagomål.docx", "A 35252-2025")</f>
        <v/>
      </c>
      <c r="W435">
        <f>HYPERLINK("https://klasma.github.io/Logging_0881/klagomålsmail/A 35252-2025 FSC-klagomål mail.docx", "A 35252-2025")</f>
        <v/>
      </c>
      <c r="X435">
        <f>HYPERLINK("https://klasma.github.io/Logging_0881/tillsyn/A 35252-2025 tillsynsbegäran.docx", "A 35252-2025")</f>
        <v/>
      </c>
      <c r="Y435">
        <f>HYPERLINK("https://klasma.github.io/Logging_0881/tillsynsmail/A 35252-2025 tillsynsbegäran mail.docx", "A 35252-2025")</f>
        <v/>
      </c>
    </row>
    <row r="436" ht="15" customHeight="1">
      <c r="A436" t="inlineStr">
        <is>
          <t>A 25776-2024</t>
        </is>
      </c>
      <c r="B436" s="1" t="n">
        <v>45466.63329861111</v>
      </c>
      <c r="C436" s="1" t="n">
        <v>45884</v>
      </c>
      <c r="D436" t="inlineStr">
        <is>
          <t>KALMAR LÄN</t>
        </is>
      </c>
      <c r="E436" t="inlineStr">
        <is>
          <t>HULTSFRED</t>
        </is>
      </c>
      <c r="G436" t="n">
        <v>0.7</v>
      </c>
      <c r="H436" t="n">
        <v>2</v>
      </c>
      <c r="I436" t="n">
        <v>0</v>
      </c>
      <c r="J436" t="n">
        <v>2</v>
      </c>
      <c r="K436" t="n">
        <v>0</v>
      </c>
      <c r="L436" t="n">
        <v>0</v>
      </c>
      <c r="M436" t="n">
        <v>0</v>
      </c>
      <c r="N436" t="n">
        <v>0</v>
      </c>
      <c r="O436" t="n">
        <v>2</v>
      </c>
      <c r="P436" t="n">
        <v>0</v>
      </c>
      <c r="Q436" t="n">
        <v>2</v>
      </c>
      <c r="R436" s="2" t="inlineStr">
        <is>
          <t>Spillkråka
Ärtsångare</t>
        </is>
      </c>
      <c r="S436">
        <f>HYPERLINK("https://klasma.github.io/Logging_0860/artfynd/A 25776-2024 artfynd.xlsx", "A 25776-2024")</f>
        <v/>
      </c>
      <c r="T436">
        <f>HYPERLINK("https://klasma.github.io/Logging_0860/kartor/A 25776-2024 karta.png", "A 25776-2024")</f>
        <v/>
      </c>
      <c r="V436">
        <f>HYPERLINK("https://klasma.github.io/Logging_0860/klagomål/A 25776-2024 FSC-klagomål.docx", "A 25776-2024")</f>
        <v/>
      </c>
      <c r="W436">
        <f>HYPERLINK("https://klasma.github.io/Logging_0860/klagomålsmail/A 25776-2024 FSC-klagomål mail.docx", "A 25776-2024")</f>
        <v/>
      </c>
      <c r="X436">
        <f>HYPERLINK("https://klasma.github.io/Logging_0860/tillsyn/A 25776-2024 tillsynsbegäran.docx", "A 25776-2024")</f>
        <v/>
      </c>
      <c r="Y436">
        <f>HYPERLINK("https://klasma.github.io/Logging_0860/tillsynsmail/A 25776-2024 tillsynsbegäran mail.docx", "A 25776-2024")</f>
        <v/>
      </c>
      <c r="Z436">
        <f>HYPERLINK("https://klasma.github.io/Logging_0860/fåglar/A 25776-2024 prioriterade fågelarter.docx", "A 25776-2024")</f>
        <v/>
      </c>
    </row>
    <row r="437" ht="15" customHeight="1">
      <c r="A437" t="inlineStr">
        <is>
          <t>A 10603-2023</t>
        </is>
      </c>
      <c r="B437" s="1" t="n">
        <v>44988</v>
      </c>
      <c r="C437" s="1" t="n">
        <v>45884</v>
      </c>
      <c r="D437" t="inlineStr">
        <is>
          <t>KALMAR LÄN</t>
        </is>
      </c>
      <c r="E437" t="inlineStr">
        <is>
          <t>TORSÅS</t>
        </is>
      </c>
      <c r="G437" t="n">
        <v>0.9</v>
      </c>
      <c r="H437" t="n">
        <v>2</v>
      </c>
      <c r="I437" t="n">
        <v>0</v>
      </c>
      <c r="J437" t="n">
        <v>0</v>
      </c>
      <c r="K437" t="n">
        <v>1</v>
      </c>
      <c r="L437" t="n">
        <v>0</v>
      </c>
      <c r="M437" t="n">
        <v>0</v>
      </c>
      <c r="N437" t="n">
        <v>0</v>
      </c>
      <c r="O437" t="n">
        <v>1</v>
      </c>
      <c r="P437" t="n">
        <v>1</v>
      </c>
      <c r="Q437" t="n">
        <v>2</v>
      </c>
      <c r="R437" s="2" t="inlineStr">
        <is>
          <t>Stare
Skogsödla</t>
        </is>
      </c>
      <c r="S437">
        <f>HYPERLINK("https://klasma.github.io/Logging_0834/artfynd/A 10603-2023 artfynd.xlsx", "A 10603-2023")</f>
        <v/>
      </c>
      <c r="T437">
        <f>HYPERLINK("https://klasma.github.io/Logging_0834/kartor/A 10603-2023 karta.png", "A 10603-2023")</f>
        <v/>
      </c>
      <c r="V437">
        <f>HYPERLINK("https://klasma.github.io/Logging_0834/klagomål/A 10603-2023 FSC-klagomål.docx", "A 10603-2023")</f>
        <v/>
      </c>
      <c r="W437">
        <f>HYPERLINK("https://klasma.github.io/Logging_0834/klagomålsmail/A 10603-2023 FSC-klagomål mail.docx", "A 10603-2023")</f>
        <v/>
      </c>
      <c r="X437">
        <f>HYPERLINK("https://klasma.github.io/Logging_0834/tillsyn/A 10603-2023 tillsynsbegäran.docx", "A 10603-2023")</f>
        <v/>
      </c>
      <c r="Y437">
        <f>HYPERLINK("https://klasma.github.io/Logging_0834/tillsynsmail/A 10603-2023 tillsynsbegäran mail.docx", "A 10603-2023")</f>
        <v/>
      </c>
    </row>
    <row r="438" ht="15" customHeight="1">
      <c r="A438" t="inlineStr">
        <is>
          <t>A 26672-2025</t>
        </is>
      </c>
      <c r="B438" s="1" t="n">
        <v>45810.41737268519</v>
      </c>
      <c r="C438" s="1" t="n">
        <v>45884</v>
      </c>
      <c r="D438" t="inlineStr">
        <is>
          <t>KALMAR LÄN</t>
        </is>
      </c>
      <c r="E438" t="inlineStr">
        <is>
          <t>HULTSFRED</t>
        </is>
      </c>
      <c r="G438" t="n">
        <v>3.5</v>
      </c>
      <c r="H438" t="n">
        <v>0</v>
      </c>
      <c r="I438" t="n">
        <v>1</v>
      </c>
      <c r="J438" t="n">
        <v>1</v>
      </c>
      <c r="K438" t="n">
        <v>0</v>
      </c>
      <c r="L438" t="n">
        <v>0</v>
      </c>
      <c r="M438" t="n">
        <v>0</v>
      </c>
      <c r="N438" t="n">
        <v>0</v>
      </c>
      <c r="O438" t="n">
        <v>1</v>
      </c>
      <c r="P438" t="n">
        <v>0</v>
      </c>
      <c r="Q438" t="n">
        <v>2</v>
      </c>
      <c r="R438" s="2" t="inlineStr">
        <is>
          <t>Gropticka
Kornig nållav</t>
        </is>
      </c>
      <c r="S438">
        <f>HYPERLINK("https://klasma.github.io/Logging_0860/artfynd/A 26672-2025 artfynd.xlsx", "A 26672-2025")</f>
        <v/>
      </c>
      <c r="T438">
        <f>HYPERLINK("https://klasma.github.io/Logging_0860/kartor/A 26672-2025 karta.png", "A 26672-2025")</f>
        <v/>
      </c>
      <c r="V438">
        <f>HYPERLINK("https://klasma.github.io/Logging_0860/klagomål/A 26672-2025 FSC-klagomål.docx", "A 26672-2025")</f>
        <v/>
      </c>
      <c r="W438">
        <f>HYPERLINK("https://klasma.github.io/Logging_0860/klagomålsmail/A 26672-2025 FSC-klagomål mail.docx", "A 26672-2025")</f>
        <v/>
      </c>
      <c r="X438">
        <f>HYPERLINK("https://klasma.github.io/Logging_0860/tillsyn/A 26672-2025 tillsynsbegäran.docx", "A 26672-2025")</f>
        <v/>
      </c>
      <c r="Y438">
        <f>HYPERLINK("https://klasma.github.io/Logging_0860/tillsynsmail/A 26672-2025 tillsynsbegäran mail.docx", "A 26672-2025")</f>
        <v/>
      </c>
    </row>
    <row r="439" ht="15" customHeight="1">
      <c r="A439" t="inlineStr">
        <is>
          <t>A 1373-2024</t>
        </is>
      </c>
      <c r="B439" s="1" t="n">
        <v>45303</v>
      </c>
      <c r="C439" s="1" t="n">
        <v>45884</v>
      </c>
      <c r="D439" t="inlineStr">
        <is>
          <t>KALMAR LÄN</t>
        </is>
      </c>
      <c r="E439" t="inlineStr">
        <is>
          <t>VÄSTERVIK</t>
        </is>
      </c>
      <c r="G439" t="n">
        <v>3.7</v>
      </c>
      <c r="H439" t="n">
        <v>1</v>
      </c>
      <c r="I439" t="n">
        <v>0</v>
      </c>
      <c r="J439" t="n">
        <v>2</v>
      </c>
      <c r="K439" t="n">
        <v>0</v>
      </c>
      <c r="L439" t="n">
        <v>0</v>
      </c>
      <c r="M439" t="n">
        <v>0</v>
      </c>
      <c r="N439" t="n">
        <v>0</v>
      </c>
      <c r="O439" t="n">
        <v>2</v>
      </c>
      <c r="P439" t="n">
        <v>0</v>
      </c>
      <c r="Q439" t="n">
        <v>2</v>
      </c>
      <c r="R439" s="2" t="inlineStr">
        <is>
          <t>Tallticka
Talltita</t>
        </is>
      </c>
      <c r="S439">
        <f>HYPERLINK("https://klasma.github.io/Logging_0883/artfynd/A 1373-2024 artfynd.xlsx", "A 1373-2024")</f>
        <v/>
      </c>
      <c r="T439">
        <f>HYPERLINK("https://klasma.github.io/Logging_0883/kartor/A 1373-2024 karta.png", "A 1373-2024")</f>
        <v/>
      </c>
      <c r="U439">
        <f>HYPERLINK("https://klasma.github.io/Logging_0883/knärot/A 1373-2024 karta knärot.png", "A 1373-2024")</f>
        <v/>
      </c>
      <c r="V439">
        <f>HYPERLINK("https://klasma.github.io/Logging_0883/klagomål/A 1373-2024 FSC-klagomål.docx", "A 1373-2024")</f>
        <v/>
      </c>
      <c r="W439">
        <f>HYPERLINK("https://klasma.github.io/Logging_0883/klagomålsmail/A 1373-2024 FSC-klagomål mail.docx", "A 1373-2024")</f>
        <v/>
      </c>
      <c r="X439">
        <f>HYPERLINK("https://klasma.github.io/Logging_0883/tillsyn/A 1373-2024 tillsynsbegäran.docx", "A 1373-2024")</f>
        <v/>
      </c>
      <c r="Y439">
        <f>HYPERLINK("https://klasma.github.io/Logging_0883/tillsynsmail/A 1373-2024 tillsynsbegäran mail.docx", "A 1373-2024")</f>
        <v/>
      </c>
      <c r="Z439">
        <f>HYPERLINK("https://klasma.github.io/Logging_0883/fåglar/A 1373-2024 prioriterade fågelarter.docx", "A 1373-2024")</f>
        <v/>
      </c>
    </row>
    <row r="440" ht="15" customHeight="1">
      <c r="A440" t="inlineStr">
        <is>
          <t>A 15534-2024</t>
        </is>
      </c>
      <c r="B440" s="1" t="n">
        <v>45401</v>
      </c>
      <c r="C440" s="1" t="n">
        <v>45884</v>
      </c>
      <c r="D440" t="inlineStr">
        <is>
          <t>KALMAR LÄN</t>
        </is>
      </c>
      <c r="E440" t="inlineStr">
        <is>
          <t>VÄSTERVIK</t>
        </is>
      </c>
      <c r="F440" t="inlineStr">
        <is>
          <t>Holmen skog AB</t>
        </is>
      </c>
      <c r="G440" t="n">
        <v>5.1</v>
      </c>
      <c r="H440" t="n">
        <v>1</v>
      </c>
      <c r="I440" t="n">
        <v>0</v>
      </c>
      <c r="J440" t="n">
        <v>1</v>
      </c>
      <c r="K440" t="n">
        <v>1</v>
      </c>
      <c r="L440" t="n">
        <v>0</v>
      </c>
      <c r="M440" t="n">
        <v>0</v>
      </c>
      <c r="N440" t="n">
        <v>0</v>
      </c>
      <c r="O440" t="n">
        <v>2</v>
      </c>
      <c r="P440" t="n">
        <v>1</v>
      </c>
      <c r="Q440" t="n">
        <v>2</v>
      </c>
      <c r="R440" s="2" t="inlineStr">
        <is>
          <t>Knärot
Tallticka</t>
        </is>
      </c>
      <c r="S440">
        <f>HYPERLINK("https://klasma.github.io/Logging_0883/artfynd/A 15534-2024 artfynd.xlsx", "A 15534-2024")</f>
        <v/>
      </c>
      <c r="T440">
        <f>HYPERLINK("https://klasma.github.io/Logging_0883/kartor/A 15534-2024 karta.png", "A 15534-2024")</f>
        <v/>
      </c>
      <c r="U440">
        <f>HYPERLINK("https://klasma.github.io/Logging_0883/knärot/A 15534-2024 karta knärot.png", "A 15534-2024")</f>
        <v/>
      </c>
      <c r="V440">
        <f>HYPERLINK("https://klasma.github.io/Logging_0883/klagomål/A 15534-2024 FSC-klagomål.docx", "A 15534-2024")</f>
        <v/>
      </c>
      <c r="W440">
        <f>HYPERLINK("https://klasma.github.io/Logging_0883/klagomålsmail/A 15534-2024 FSC-klagomål mail.docx", "A 15534-2024")</f>
        <v/>
      </c>
      <c r="X440">
        <f>HYPERLINK("https://klasma.github.io/Logging_0883/tillsyn/A 15534-2024 tillsynsbegäran.docx", "A 15534-2024")</f>
        <v/>
      </c>
      <c r="Y440">
        <f>HYPERLINK("https://klasma.github.io/Logging_0883/tillsynsmail/A 15534-2024 tillsynsbegäran mail.docx", "A 15534-2024")</f>
        <v/>
      </c>
    </row>
    <row r="441" ht="15" customHeight="1">
      <c r="A441" t="inlineStr">
        <is>
          <t>A 28187-2025</t>
        </is>
      </c>
      <c r="B441" s="1" t="n">
        <v>45818</v>
      </c>
      <c r="C441" s="1" t="n">
        <v>45884</v>
      </c>
      <c r="D441" t="inlineStr">
        <is>
          <t>KALMAR LÄN</t>
        </is>
      </c>
      <c r="E441" t="inlineStr">
        <is>
          <t>EMMABODA</t>
        </is>
      </c>
      <c r="G441" t="n">
        <v>10.8</v>
      </c>
      <c r="H441" t="n">
        <v>1</v>
      </c>
      <c r="I441" t="n">
        <v>0</v>
      </c>
      <c r="J441" t="n">
        <v>1</v>
      </c>
      <c r="K441" t="n">
        <v>0</v>
      </c>
      <c r="L441" t="n">
        <v>0</v>
      </c>
      <c r="M441" t="n">
        <v>0</v>
      </c>
      <c r="N441" t="n">
        <v>0</v>
      </c>
      <c r="O441" t="n">
        <v>1</v>
      </c>
      <c r="P441" t="n">
        <v>0</v>
      </c>
      <c r="Q441" t="n">
        <v>2</v>
      </c>
      <c r="R441" s="2" t="inlineStr">
        <is>
          <t>Gullklöver
Hasselmus</t>
        </is>
      </c>
      <c r="S441">
        <f>HYPERLINK("https://klasma.github.io/Logging_0862/artfynd/A 28187-2025 artfynd.xlsx", "A 28187-2025")</f>
        <v/>
      </c>
      <c r="T441">
        <f>HYPERLINK("https://klasma.github.io/Logging_0862/kartor/A 28187-2025 karta.png", "A 28187-2025")</f>
        <v/>
      </c>
      <c r="V441">
        <f>HYPERLINK("https://klasma.github.io/Logging_0862/klagomål/A 28187-2025 FSC-klagomål.docx", "A 28187-2025")</f>
        <v/>
      </c>
      <c r="W441">
        <f>HYPERLINK("https://klasma.github.io/Logging_0862/klagomålsmail/A 28187-2025 FSC-klagomål mail.docx", "A 28187-2025")</f>
        <v/>
      </c>
      <c r="X441">
        <f>HYPERLINK("https://klasma.github.io/Logging_0862/tillsyn/A 28187-2025 tillsynsbegäran.docx", "A 28187-2025")</f>
        <v/>
      </c>
      <c r="Y441">
        <f>HYPERLINK("https://klasma.github.io/Logging_0862/tillsynsmail/A 28187-2025 tillsynsbegäran mail.docx", "A 28187-2025")</f>
        <v/>
      </c>
    </row>
    <row r="442" ht="15" customHeight="1">
      <c r="A442" t="inlineStr">
        <is>
          <t>A 28779-2025</t>
        </is>
      </c>
      <c r="B442" s="1" t="n">
        <v>45820.44920138889</v>
      </c>
      <c r="C442" s="1" t="n">
        <v>45884</v>
      </c>
      <c r="D442" t="inlineStr">
        <is>
          <t>KALMAR LÄN</t>
        </is>
      </c>
      <c r="E442" t="inlineStr">
        <is>
          <t>BORGHOLM</t>
        </is>
      </c>
      <c r="F442" t="inlineStr">
        <is>
          <t>Sveaskog</t>
        </is>
      </c>
      <c r="G442" t="n">
        <v>4.1</v>
      </c>
      <c r="H442" t="n">
        <v>2</v>
      </c>
      <c r="I442" t="n">
        <v>1</v>
      </c>
      <c r="J442" t="n">
        <v>1</v>
      </c>
      <c r="K442" t="n">
        <v>0</v>
      </c>
      <c r="L442" t="n">
        <v>0</v>
      </c>
      <c r="M442" t="n">
        <v>0</v>
      </c>
      <c r="N442" t="n">
        <v>0</v>
      </c>
      <c r="O442" t="n">
        <v>1</v>
      </c>
      <c r="P442" t="n">
        <v>0</v>
      </c>
      <c r="Q442" t="n">
        <v>2</v>
      </c>
      <c r="R442" s="2" t="inlineStr">
        <is>
          <t>Havsörn
Skogsknipprot</t>
        </is>
      </c>
      <c r="S442">
        <f>HYPERLINK("https://klasma.github.io/Logging_0885/artfynd/A 28779-2025 artfynd.xlsx", "A 28779-2025")</f>
        <v/>
      </c>
      <c r="T442">
        <f>HYPERLINK("https://klasma.github.io/Logging_0885/kartor/A 28779-2025 karta.png", "A 28779-2025")</f>
        <v/>
      </c>
      <c r="V442">
        <f>HYPERLINK("https://klasma.github.io/Logging_0885/klagomål/A 28779-2025 FSC-klagomål.docx", "A 28779-2025")</f>
        <v/>
      </c>
      <c r="W442">
        <f>HYPERLINK("https://klasma.github.io/Logging_0885/klagomålsmail/A 28779-2025 FSC-klagomål mail.docx", "A 28779-2025")</f>
        <v/>
      </c>
      <c r="X442">
        <f>HYPERLINK("https://klasma.github.io/Logging_0885/tillsyn/A 28779-2025 tillsynsbegäran.docx", "A 28779-2025")</f>
        <v/>
      </c>
      <c r="Y442">
        <f>HYPERLINK("https://klasma.github.io/Logging_0885/tillsynsmail/A 28779-2025 tillsynsbegäran mail.docx", "A 28779-2025")</f>
        <v/>
      </c>
      <c r="Z442">
        <f>HYPERLINK("https://klasma.github.io/Logging_0885/fåglar/A 28779-2025 prioriterade fågelarter.docx", "A 28779-2025")</f>
        <v/>
      </c>
    </row>
    <row r="443" ht="15" customHeight="1">
      <c r="A443" t="inlineStr">
        <is>
          <t>A 30981-2025</t>
        </is>
      </c>
      <c r="B443" s="1" t="n">
        <v>45832.47028935186</v>
      </c>
      <c r="C443" s="1" t="n">
        <v>45884</v>
      </c>
      <c r="D443" t="inlineStr">
        <is>
          <t>KALMAR LÄN</t>
        </is>
      </c>
      <c r="E443" t="inlineStr">
        <is>
          <t>KALMAR</t>
        </is>
      </c>
      <c r="F443" t="inlineStr">
        <is>
          <t>Kommuner</t>
        </is>
      </c>
      <c r="G443" t="n">
        <v>1.3</v>
      </c>
      <c r="H443" t="n">
        <v>0</v>
      </c>
      <c r="I443" t="n">
        <v>0</v>
      </c>
      <c r="J443" t="n">
        <v>2</v>
      </c>
      <c r="K443" t="n">
        <v>0</v>
      </c>
      <c r="L443" t="n">
        <v>0</v>
      </c>
      <c r="M443" t="n">
        <v>0</v>
      </c>
      <c r="N443" t="n">
        <v>0</v>
      </c>
      <c r="O443" t="n">
        <v>2</v>
      </c>
      <c r="P443" t="n">
        <v>0</v>
      </c>
      <c r="Q443" t="n">
        <v>2</v>
      </c>
      <c r="R443" s="2" t="inlineStr">
        <is>
          <t>Igelkott
Sumpviol</t>
        </is>
      </c>
      <c r="S443">
        <f>HYPERLINK("https://klasma.github.io/Logging_0880/artfynd/A 30981-2025 artfynd.xlsx", "A 30981-2025")</f>
        <v/>
      </c>
      <c r="T443">
        <f>HYPERLINK("https://klasma.github.io/Logging_0880/kartor/A 30981-2025 karta.png", "A 30981-2025")</f>
        <v/>
      </c>
      <c r="V443">
        <f>HYPERLINK("https://klasma.github.io/Logging_0880/klagomål/A 30981-2025 FSC-klagomål.docx", "A 30981-2025")</f>
        <v/>
      </c>
      <c r="W443">
        <f>HYPERLINK("https://klasma.github.io/Logging_0880/klagomålsmail/A 30981-2025 FSC-klagomål mail.docx", "A 30981-2025")</f>
        <v/>
      </c>
      <c r="X443">
        <f>HYPERLINK("https://klasma.github.io/Logging_0880/tillsyn/A 30981-2025 tillsynsbegäran.docx", "A 30981-2025")</f>
        <v/>
      </c>
      <c r="Y443">
        <f>HYPERLINK("https://klasma.github.io/Logging_0880/tillsynsmail/A 30981-2025 tillsynsbegäran mail.docx", "A 30981-2025")</f>
        <v/>
      </c>
    </row>
    <row r="444" ht="15" customHeight="1">
      <c r="A444" t="inlineStr">
        <is>
          <t>A 36941-2025</t>
        </is>
      </c>
      <c r="B444" s="1" t="n">
        <v>45874.5900462963</v>
      </c>
      <c r="C444" s="1" t="n">
        <v>45884</v>
      </c>
      <c r="D444" t="inlineStr">
        <is>
          <t>KALMAR LÄN</t>
        </is>
      </c>
      <c r="E444" t="inlineStr">
        <is>
          <t>KALMAR</t>
        </is>
      </c>
      <c r="G444" t="n">
        <v>3.1</v>
      </c>
      <c r="H444" t="n">
        <v>1</v>
      </c>
      <c r="I444" t="n">
        <v>1</v>
      </c>
      <c r="J444" t="n">
        <v>0</v>
      </c>
      <c r="K444" t="n">
        <v>1</v>
      </c>
      <c r="L444" t="n">
        <v>0</v>
      </c>
      <c r="M444" t="n">
        <v>0</v>
      </c>
      <c r="N444" t="n">
        <v>0</v>
      </c>
      <c r="O444" t="n">
        <v>1</v>
      </c>
      <c r="P444" t="n">
        <v>1</v>
      </c>
      <c r="Q444" t="n">
        <v>2</v>
      </c>
      <c r="R444" s="2" t="inlineStr">
        <is>
          <t>Knärot
Blåmossa</t>
        </is>
      </c>
      <c r="S444">
        <f>HYPERLINK("https://klasma.github.io/Logging_0880/artfynd/A 36941-2025 artfynd.xlsx", "A 36941-2025")</f>
        <v/>
      </c>
      <c r="T444">
        <f>HYPERLINK("https://klasma.github.io/Logging_0880/kartor/A 36941-2025 karta.png", "A 36941-2025")</f>
        <v/>
      </c>
      <c r="U444">
        <f>HYPERLINK("https://klasma.github.io/Logging_0880/knärot/A 36941-2025 karta knärot.png", "A 36941-2025")</f>
        <v/>
      </c>
      <c r="V444">
        <f>HYPERLINK("https://klasma.github.io/Logging_0880/klagomål/A 36941-2025 FSC-klagomål.docx", "A 36941-2025")</f>
        <v/>
      </c>
      <c r="W444">
        <f>HYPERLINK("https://klasma.github.io/Logging_0880/klagomålsmail/A 36941-2025 FSC-klagomål mail.docx", "A 36941-2025")</f>
        <v/>
      </c>
      <c r="X444">
        <f>HYPERLINK("https://klasma.github.io/Logging_0880/tillsyn/A 36941-2025 tillsynsbegäran.docx", "A 36941-2025")</f>
        <v/>
      </c>
      <c r="Y444">
        <f>HYPERLINK("https://klasma.github.io/Logging_0880/tillsynsmail/A 36941-2025 tillsynsbegäran mail.docx", "A 36941-2025")</f>
        <v/>
      </c>
    </row>
    <row r="445" ht="15" customHeight="1">
      <c r="A445" t="inlineStr">
        <is>
          <t>A 36940-2025</t>
        </is>
      </c>
      <c r="B445" s="1" t="n">
        <v>45874.58605324074</v>
      </c>
      <c r="C445" s="1" t="n">
        <v>45884</v>
      </c>
      <c r="D445" t="inlineStr">
        <is>
          <t>KALMAR LÄN</t>
        </is>
      </c>
      <c r="E445" t="inlineStr">
        <is>
          <t>KALMAR</t>
        </is>
      </c>
      <c r="G445" t="n">
        <v>3.5</v>
      </c>
      <c r="H445" t="n">
        <v>0</v>
      </c>
      <c r="I445" t="n">
        <v>1</v>
      </c>
      <c r="J445" t="n">
        <v>0</v>
      </c>
      <c r="K445" t="n">
        <v>1</v>
      </c>
      <c r="L445" t="n">
        <v>0</v>
      </c>
      <c r="M445" t="n">
        <v>0</v>
      </c>
      <c r="N445" t="n">
        <v>0</v>
      </c>
      <c r="O445" t="n">
        <v>1</v>
      </c>
      <c r="P445" t="n">
        <v>1</v>
      </c>
      <c r="Q445" t="n">
        <v>2</v>
      </c>
      <c r="R445" s="2" t="inlineStr">
        <is>
          <t>Växeltandsfibbla
Flagellkvastmossa</t>
        </is>
      </c>
      <c r="S445">
        <f>HYPERLINK("https://klasma.github.io/Logging_0880/artfynd/A 36940-2025 artfynd.xlsx", "A 36940-2025")</f>
        <v/>
      </c>
      <c r="T445">
        <f>HYPERLINK("https://klasma.github.io/Logging_0880/kartor/A 36940-2025 karta.png", "A 36940-2025")</f>
        <v/>
      </c>
      <c r="V445">
        <f>HYPERLINK("https://klasma.github.io/Logging_0880/klagomål/A 36940-2025 FSC-klagomål.docx", "A 36940-2025")</f>
        <v/>
      </c>
      <c r="W445">
        <f>HYPERLINK("https://klasma.github.io/Logging_0880/klagomålsmail/A 36940-2025 FSC-klagomål mail.docx", "A 36940-2025")</f>
        <v/>
      </c>
      <c r="X445">
        <f>HYPERLINK("https://klasma.github.io/Logging_0880/tillsyn/A 36940-2025 tillsynsbegäran.docx", "A 36940-2025")</f>
        <v/>
      </c>
      <c r="Y445">
        <f>HYPERLINK("https://klasma.github.io/Logging_0880/tillsynsmail/A 36940-2025 tillsynsbegäran mail.docx", "A 36940-2025")</f>
        <v/>
      </c>
    </row>
    <row r="446" ht="15" customHeight="1">
      <c r="A446" t="inlineStr">
        <is>
          <t>A 4778-2025</t>
        </is>
      </c>
      <c r="B446" s="1" t="n">
        <v>45688</v>
      </c>
      <c r="C446" s="1" t="n">
        <v>45884</v>
      </c>
      <c r="D446" t="inlineStr">
        <is>
          <t>KALMAR LÄN</t>
        </is>
      </c>
      <c r="E446" t="inlineStr">
        <is>
          <t>VÄSTERVIK</t>
        </is>
      </c>
      <c r="F446" t="inlineStr">
        <is>
          <t>Holmen skog AB</t>
        </is>
      </c>
      <c r="G446" t="n">
        <v>3.8</v>
      </c>
      <c r="H446" t="n">
        <v>2</v>
      </c>
      <c r="I446" t="n">
        <v>0</v>
      </c>
      <c r="J446" t="n">
        <v>1</v>
      </c>
      <c r="K446" t="n">
        <v>1</v>
      </c>
      <c r="L446" t="n">
        <v>0</v>
      </c>
      <c r="M446" t="n">
        <v>0</v>
      </c>
      <c r="N446" t="n">
        <v>0</v>
      </c>
      <c r="O446" t="n">
        <v>2</v>
      </c>
      <c r="P446" t="n">
        <v>1</v>
      </c>
      <c r="Q446" t="n">
        <v>2</v>
      </c>
      <c r="R446" s="2" t="inlineStr">
        <is>
          <t>Knärot
Talltita</t>
        </is>
      </c>
      <c r="S446">
        <f>HYPERLINK("https://klasma.github.io/Logging_0883/artfynd/A 4778-2025 artfynd.xlsx", "A 4778-2025")</f>
        <v/>
      </c>
      <c r="T446">
        <f>HYPERLINK("https://klasma.github.io/Logging_0883/kartor/A 4778-2025 karta.png", "A 4778-2025")</f>
        <v/>
      </c>
      <c r="U446">
        <f>HYPERLINK("https://klasma.github.io/Logging_0883/knärot/A 4778-2025 karta knärot.png", "A 4778-2025")</f>
        <v/>
      </c>
      <c r="V446">
        <f>HYPERLINK("https://klasma.github.io/Logging_0883/klagomål/A 4778-2025 FSC-klagomål.docx", "A 4778-2025")</f>
        <v/>
      </c>
      <c r="W446">
        <f>HYPERLINK("https://klasma.github.io/Logging_0883/klagomålsmail/A 4778-2025 FSC-klagomål mail.docx", "A 4778-2025")</f>
        <v/>
      </c>
      <c r="X446">
        <f>HYPERLINK("https://klasma.github.io/Logging_0883/tillsyn/A 4778-2025 tillsynsbegäran.docx", "A 4778-2025")</f>
        <v/>
      </c>
      <c r="Y446">
        <f>HYPERLINK("https://klasma.github.io/Logging_0883/tillsynsmail/A 4778-2025 tillsynsbegäran mail.docx", "A 4778-2025")</f>
        <v/>
      </c>
      <c r="Z446">
        <f>HYPERLINK("https://klasma.github.io/Logging_0883/fåglar/A 4778-2025 prioriterade fågelarter.docx", "A 4778-2025")</f>
        <v/>
      </c>
    </row>
    <row r="447" ht="15" customHeight="1">
      <c r="A447" t="inlineStr">
        <is>
          <t>A 9499-2025</t>
        </is>
      </c>
      <c r="B447" s="1" t="n">
        <v>45715</v>
      </c>
      <c r="C447" s="1" t="n">
        <v>45884</v>
      </c>
      <c r="D447" t="inlineStr">
        <is>
          <t>KALMAR LÄN</t>
        </is>
      </c>
      <c r="E447" t="inlineStr">
        <is>
          <t>HULTSFRED</t>
        </is>
      </c>
      <c r="G447" t="n">
        <v>7.4</v>
      </c>
      <c r="H447" t="n">
        <v>2</v>
      </c>
      <c r="I447" t="n">
        <v>0</v>
      </c>
      <c r="J447" t="n">
        <v>0</v>
      </c>
      <c r="K447" t="n">
        <v>1</v>
      </c>
      <c r="L447" t="n">
        <v>0</v>
      </c>
      <c r="M447" t="n">
        <v>0</v>
      </c>
      <c r="N447" t="n">
        <v>0</v>
      </c>
      <c r="O447" t="n">
        <v>1</v>
      </c>
      <c r="P447" t="n">
        <v>1</v>
      </c>
      <c r="Q447" t="n">
        <v>2</v>
      </c>
      <c r="R447" s="2" t="inlineStr">
        <is>
          <t>Backsippa
Skogsödla</t>
        </is>
      </c>
      <c r="S447">
        <f>HYPERLINK("https://klasma.github.io/Logging_0860/artfynd/A 9499-2025 artfynd.xlsx", "A 9499-2025")</f>
        <v/>
      </c>
      <c r="T447">
        <f>HYPERLINK("https://klasma.github.io/Logging_0860/kartor/A 9499-2025 karta.png", "A 9499-2025")</f>
        <v/>
      </c>
      <c r="V447">
        <f>HYPERLINK("https://klasma.github.io/Logging_0860/klagomål/A 9499-2025 FSC-klagomål.docx", "A 9499-2025")</f>
        <v/>
      </c>
      <c r="W447">
        <f>HYPERLINK("https://klasma.github.io/Logging_0860/klagomålsmail/A 9499-2025 FSC-klagomål mail.docx", "A 9499-2025")</f>
        <v/>
      </c>
      <c r="X447">
        <f>HYPERLINK("https://klasma.github.io/Logging_0860/tillsyn/A 9499-2025 tillsynsbegäran.docx", "A 9499-2025")</f>
        <v/>
      </c>
      <c r="Y447">
        <f>HYPERLINK("https://klasma.github.io/Logging_0860/tillsynsmail/A 9499-2025 tillsynsbegäran mail.docx", "A 9499-2025")</f>
        <v/>
      </c>
    </row>
    <row r="448" ht="15" customHeight="1">
      <c r="A448" t="inlineStr">
        <is>
          <t>A 33184-2025</t>
        </is>
      </c>
      <c r="B448" s="1" t="n">
        <v>45840.59291666667</v>
      </c>
      <c r="C448" s="1" t="n">
        <v>45884</v>
      </c>
      <c r="D448" t="inlineStr">
        <is>
          <t>KALMAR LÄN</t>
        </is>
      </c>
      <c r="E448" t="inlineStr">
        <is>
          <t>VÄSTERVIK</t>
        </is>
      </c>
      <c r="G448" t="n">
        <v>3.5</v>
      </c>
      <c r="H448" t="n">
        <v>2</v>
      </c>
      <c r="I448" t="n">
        <v>0</v>
      </c>
      <c r="J448" t="n">
        <v>2</v>
      </c>
      <c r="K448" t="n">
        <v>0</v>
      </c>
      <c r="L448" t="n">
        <v>0</v>
      </c>
      <c r="M448" t="n">
        <v>0</v>
      </c>
      <c r="N448" t="n">
        <v>0</v>
      </c>
      <c r="O448" t="n">
        <v>2</v>
      </c>
      <c r="P448" t="n">
        <v>0</v>
      </c>
      <c r="Q448" t="n">
        <v>2</v>
      </c>
      <c r="R448" s="2" t="inlineStr">
        <is>
          <t>Spillkråka
Talltita</t>
        </is>
      </c>
      <c r="S448">
        <f>HYPERLINK("https://klasma.github.io/Logging_0883/artfynd/A 33184-2025 artfynd.xlsx", "A 33184-2025")</f>
        <v/>
      </c>
      <c r="T448">
        <f>HYPERLINK("https://klasma.github.io/Logging_0883/kartor/A 33184-2025 karta.png", "A 33184-2025")</f>
        <v/>
      </c>
      <c r="V448">
        <f>HYPERLINK("https://klasma.github.io/Logging_0883/klagomål/A 33184-2025 FSC-klagomål.docx", "A 33184-2025")</f>
        <v/>
      </c>
      <c r="W448">
        <f>HYPERLINK("https://klasma.github.io/Logging_0883/klagomålsmail/A 33184-2025 FSC-klagomål mail.docx", "A 33184-2025")</f>
        <v/>
      </c>
      <c r="X448">
        <f>HYPERLINK("https://klasma.github.io/Logging_0883/tillsyn/A 33184-2025 tillsynsbegäran.docx", "A 33184-2025")</f>
        <v/>
      </c>
      <c r="Y448">
        <f>HYPERLINK("https://klasma.github.io/Logging_0883/tillsynsmail/A 33184-2025 tillsynsbegäran mail.docx", "A 33184-2025")</f>
        <v/>
      </c>
      <c r="Z448">
        <f>HYPERLINK("https://klasma.github.io/Logging_0883/fåglar/A 33184-2025 prioriterade fågelarter.docx", "A 33184-2025")</f>
        <v/>
      </c>
    </row>
    <row r="449" ht="15" customHeight="1">
      <c r="A449" t="inlineStr">
        <is>
          <t>A 33687-2025</t>
        </is>
      </c>
      <c r="B449" s="1" t="n">
        <v>45841.69072916666</v>
      </c>
      <c r="C449" s="1" t="n">
        <v>45884</v>
      </c>
      <c r="D449" t="inlineStr">
        <is>
          <t>KALMAR LÄN</t>
        </is>
      </c>
      <c r="E449" t="inlineStr">
        <is>
          <t>VÄSTERVIK</t>
        </is>
      </c>
      <c r="G449" t="n">
        <v>1.7</v>
      </c>
      <c r="H449" t="n">
        <v>2</v>
      </c>
      <c r="I449" t="n">
        <v>0</v>
      </c>
      <c r="J449" t="n">
        <v>1</v>
      </c>
      <c r="K449" t="n">
        <v>1</v>
      </c>
      <c r="L449" t="n">
        <v>0</v>
      </c>
      <c r="M449" t="n">
        <v>0</v>
      </c>
      <c r="N449" t="n">
        <v>0</v>
      </c>
      <c r="O449" t="n">
        <v>2</v>
      </c>
      <c r="P449" t="n">
        <v>1</v>
      </c>
      <c r="Q449" t="n">
        <v>2</v>
      </c>
      <c r="R449" s="2" t="inlineStr">
        <is>
          <t>Knärot
Talltita</t>
        </is>
      </c>
      <c r="S449">
        <f>HYPERLINK("https://klasma.github.io/Logging_0883/artfynd/A 33687-2025 artfynd.xlsx", "A 33687-2025")</f>
        <v/>
      </c>
      <c r="T449">
        <f>HYPERLINK("https://klasma.github.io/Logging_0883/kartor/A 33687-2025 karta.png", "A 33687-2025")</f>
        <v/>
      </c>
      <c r="U449">
        <f>HYPERLINK("https://klasma.github.io/Logging_0883/knärot/A 33687-2025 karta knärot.png", "A 33687-2025")</f>
        <v/>
      </c>
      <c r="V449">
        <f>HYPERLINK("https://klasma.github.io/Logging_0883/klagomål/A 33687-2025 FSC-klagomål.docx", "A 33687-2025")</f>
        <v/>
      </c>
      <c r="W449">
        <f>HYPERLINK("https://klasma.github.io/Logging_0883/klagomålsmail/A 33687-2025 FSC-klagomål mail.docx", "A 33687-2025")</f>
        <v/>
      </c>
      <c r="X449">
        <f>HYPERLINK("https://klasma.github.io/Logging_0883/tillsyn/A 33687-2025 tillsynsbegäran.docx", "A 33687-2025")</f>
        <v/>
      </c>
      <c r="Y449">
        <f>HYPERLINK("https://klasma.github.io/Logging_0883/tillsynsmail/A 33687-2025 tillsynsbegäran mail.docx", "A 33687-2025")</f>
        <v/>
      </c>
      <c r="Z449">
        <f>HYPERLINK("https://klasma.github.io/Logging_0883/fåglar/A 33687-2025 prioriterade fågelarter.docx", "A 33687-2025")</f>
        <v/>
      </c>
    </row>
    <row r="450" ht="15" customHeight="1">
      <c r="A450" t="inlineStr">
        <is>
          <t>A 40734-2020</t>
        </is>
      </c>
      <c r="B450" s="1" t="n">
        <v>44069</v>
      </c>
      <c r="C450" s="1" t="n">
        <v>45884</v>
      </c>
      <c r="D450" t="inlineStr">
        <is>
          <t>KALMAR LÄN</t>
        </is>
      </c>
      <c r="E450" t="inlineStr">
        <is>
          <t>KALMAR</t>
        </is>
      </c>
      <c r="G450" t="n">
        <v>1.6</v>
      </c>
      <c r="H450" t="n">
        <v>1</v>
      </c>
      <c r="I450" t="n">
        <v>1</v>
      </c>
      <c r="J450" t="n">
        <v>0</v>
      </c>
      <c r="K450" t="n">
        <v>0</v>
      </c>
      <c r="L450" t="n">
        <v>0</v>
      </c>
      <c r="M450" t="n">
        <v>0</v>
      </c>
      <c r="N450" t="n">
        <v>0</v>
      </c>
      <c r="O450" t="n">
        <v>0</v>
      </c>
      <c r="P450" t="n">
        <v>0</v>
      </c>
      <c r="Q450" t="n">
        <v>1</v>
      </c>
      <c r="R450" s="2" t="inlineStr">
        <is>
          <t>Ekoxe</t>
        </is>
      </c>
      <c r="S450">
        <f>HYPERLINK("https://klasma.github.io/Logging_0880/artfynd/A 40734-2020 artfynd.xlsx", "A 40734-2020")</f>
        <v/>
      </c>
      <c r="T450">
        <f>HYPERLINK("https://klasma.github.io/Logging_0880/kartor/A 40734-2020 karta.png", "A 40734-2020")</f>
        <v/>
      </c>
      <c r="V450">
        <f>HYPERLINK("https://klasma.github.io/Logging_0880/klagomål/A 40734-2020 FSC-klagomål.docx", "A 40734-2020")</f>
        <v/>
      </c>
      <c r="W450">
        <f>HYPERLINK("https://klasma.github.io/Logging_0880/klagomålsmail/A 40734-2020 FSC-klagomål mail.docx", "A 40734-2020")</f>
        <v/>
      </c>
      <c r="X450">
        <f>HYPERLINK("https://klasma.github.io/Logging_0880/tillsyn/A 40734-2020 tillsynsbegäran.docx", "A 40734-2020")</f>
        <v/>
      </c>
      <c r="Y450">
        <f>HYPERLINK("https://klasma.github.io/Logging_0880/tillsynsmail/A 40734-2020 tillsynsbegäran mail.docx", "A 40734-2020")</f>
        <v/>
      </c>
    </row>
    <row r="451" ht="15" customHeight="1">
      <c r="A451" t="inlineStr">
        <is>
          <t>A 23604-2021</t>
        </is>
      </c>
      <c r="B451" s="1" t="n">
        <v>44334</v>
      </c>
      <c r="C451" s="1" t="n">
        <v>45884</v>
      </c>
      <c r="D451" t="inlineStr">
        <is>
          <t>KALMAR LÄN</t>
        </is>
      </c>
      <c r="E451" t="inlineStr">
        <is>
          <t>HÖGSBY</t>
        </is>
      </c>
      <c r="G451" t="n">
        <v>1.4</v>
      </c>
      <c r="H451" t="n">
        <v>0</v>
      </c>
      <c r="I451" t="n">
        <v>0</v>
      </c>
      <c r="J451" t="n">
        <v>1</v>
      </c>
      <c r="K451" t="n">
        <v>0</v>
      </c>
      <c r="L451" t="n">
        <v>0</v>
      </c>
      <c r="M451" t="n">
        <v>0</v>
      </c>
      <c r="N451" t="n">
        <v>0</v>
      </c>
      <c r="O451" t="n">
        <v>1</v>
      </c>
      <c r="P451" t="n">
        <v>0</v>
      </c>
      <c r="Q451" t="n">
        <v>1</v>
      </c>
      <c r="R451" s="2" t="inlineStr">
        <is>
          <t>Backtimjan</t>
        </is>
      </c>
      <c r="S451">
        <f>HYPERLINK("https://klasma.github.io/Logging_0821/artfynd/A 23604-2021 artfynd.xlsx", "A 23604-2021")</f>
        <v/>
      </c>
      <c r="T451">
        <f>HYPERLINK("https://klasma.github.io/Logging_0821/kartor/A 23604-2021 karta.png", "A 23604-2021")</f>
        <v/>
      </c>
      <c r="V451">
        <f>HYPERLINK("https://klasma.github.io/Logging_0821/klagomål/A 23604-2021 FSC-klagomål.docx", "A 23604-2021")</f>
        <v/>
      </c>
      <c r="W451">
        <f>HYPERLINK("https://klasma.github.io/Logging_0821/klagomålsmail/A 23604-2021 FSC-klagomål mail.docx", "A 23604-2021")</f>
        <v/>
      </c>
      <c r="X451">
        <f>HYPERLINK("https://klasma.github.io/Logging_0821/tillsyn/A 23604-2021 tillsynsbegäran.docx", "A 23604-2021")</f>
        <v/>
      </c>
      <c r="Y451">
        <f>HYPERLINK("https://klasma.github.io/Logging_0821/tillsynsmail/A 23604-2021 tillsynsbegäran mail.docx", "A 23604-2021")</f>
        <v/>
      </c>
    </row>
    <row r="452" ht="15" customHeight="1">
      <c r="A452" t="inlineStr">
        <is>
          <t>A 42694-2020</t>
        </is>
      </c>
      <c r="B452" s="1" t="n">
        <v>44077</v>
      </c>
      <c r="C452" s="1" t="n">
        <v>45884</v>
      </c>
      <c r="D452" t="inlineStr">
        <is>
          <t>KALMAR LÄN</t>
        </is>
      </c>
      <c r="E452" t="inlineStr">
        <is>
          <t>MÖRBYLÅNGA</t>
        </is>
      </c>
      <c r="G452" t="n">
        <v>0.9</v>
      </c>
      <c r="H452" t="n">
        <v>0</v>
      </c>
      <c r="I452" t="n">
        <v>0</v>
      </c>
      <c r="J452" t="n">
        <v>0</v>
      </c>
      <c r="K452" t="n">
        <v>1</v>
      </c>
      <c r="L452" t="n">
        <v>0</v>
      </c>
      <c r="M452" t="n">
        <v>0</v>
      </c>
      <c r="N452" t="n">
        <v>0</v>
      </c>
      <c r="O452" t="n">
        <v>1</v>
      </c>
      <c r="P452" t="n">
        <v>1</v>
      </c>
      <c r="Q452" t="n">
        <v>1</v>
      </c>
      <c r="R452" s="2" t="inlineStr">
        <is>
          <t>Gaffelfibbla</t>
        </is>
      </c>
      <c r="S452">
        <f>HYPERLINK("https://klasma.github.io/Logging_0840/artfynd/A 42694-2020 artfynd.xlsx", "A 42694-2020")</f>
        <v/>
      </c>
      <c r="T452">
        <f>HYPERLINK("https://klasma.github.io/Logging_0840/kartor/A 42694-2020 karta.png", "A 42694-2020")</f>
        <v/>
      </c>
      <c r="V452">
        <f>HYPERLINK("https://klasma.github.io/Logging_0840/klagomål/A 42694-2020 FSC-klagomål.docx", "A 42694-2020")</f>
        <v/>
      </c>
      <c r="W452">
        <f>HYPERLINK("https://klasma.github.io/Logging_0840/klagomålsmail/A 42694-2020 FSC-klagomål mail.docx", "A 42694-2020")</f>
        <v/>
      </c>
      <c r="X452">
        <f>HYPERLINK("https://klasma.github.io/Logging_0840/tillsyn/A 42694-2020 tillsynsbegäran.docx", "A 42694-2020")</f>
        <v/>
      </c>
      <c r="Y452">
        <f>HYPERLINK("https://klasma.github.io/Logging_0840/tillsynsmail/A 42694-2020 tillsynsbegäran mail.docx", "A 42694-2020")</f>
        <v/>
      </c>
    </row>
    <row r="453" ht="15" customHeight="1">
      <c r="A453" t="inlineStr">
        <is>
          <t>A 33791-2021</t>
        </is>
      </c>
      <c r="B453" s="1" t="n">
        <v>44378.55797453703</v>
      </c>
      <c r="C453" s="1" t="n">
        <v>45884</v>
      </c>
      <c r="D453" t="inlineStr">
        <is>
          <t>KALMAR LÄN</t>
        </is>
      </c>
      <c r="E453" t="inlineStr">
        <is>
          <t>KALMAR</t>
        </is>
      </c>
      <c r="G453" t="n">
        <v>1</v>
      </c>
      <c r="H453" t="n">
        <v>1</v>
      </c>
      <c r="I453" t="n">
        <v>0</v>
      </c>
      <c r="J453" t="n">
        <v>0</v>
      </c>
      <c r="K453" t="n">
        <v>1</v>
      </c>
      <c r="L453" t="n">
        <v>0</v>
      </c>
      <c r="M453" t="n">
        <v>0</v>
      </c>
      <c r="N453" t="n">
        <v>0</v>
      </c>
      <c r="O453" t="n">
        <v>1</v>
      </c>
      <c r="P453" t="n">
        <v>1</v>
      </c>
      <c r="Q453" t="n">
        <v>1</v>
      </c>
      <c r="R453" s="2" t="inlineStr">
        <is>
          <t>Sandödla</t>
        </is>
      </c>
      <c r="S453">
        <f>HYPERLINK("https://klasma.github.io/Logging_0880/artfynd/A 33791-2021 artfynd.xlsx", "A 33791-2021")</f>
        <v/>
      </c>
      <c r="T453">
        <f>HYPERLINK("https://klasma.github.io/Logging_0880/kartor/A 33791-2021 karta.png", "A 33791-2021")</f>
        <v/>
      </c>
      <c r="V453">
        <f>HYPERLINK("https://klasma.github.io/Logging_0880/klagomål/A 33791-2021 FSC-klagomål.docx", "A 33791-2021")</f>
        <v/>
      </c>
      <c r="W453">
        <f>HYPERLINK("https://klasma.github.io/Logging_0880/klagomålsmail/A 33791-2021 FSC-klagomål mail.docx", "A 33791-2021")</f>
        <v/>
      </c>
      <c r="X453">
        <f>HYPERLINK("https://klasma.github.io/Logging_0880/tillsyn/A 33791-2021 tillsynsbegäran.docx", "A 33791-2021")</f>
        <v/>
      </c>
      <c r="Y453">
        <f>HYPERLINK("https://klasma.github.io/Logging_0880/tillsynsmail/A 33791-2021 tillsynsbegäran mail.docx", "A 33791-2021")</f>
        <v/>
      </c>
    </row>
    <row r="454" ht="15" customHeight="1">
      <c r="A454" t="inlineStr">
        <is>
          <t>A 49410-2021</t>
        </is>
      </c>
      <c r="B454" s="1" t="n">
        <v>44454</v>
      </c>
      <c r="C454" s="1" t="n">
        <v>45884</v>
      </c>
      <c r="D454" t="inlineStr">
        <is>
          <t>KALMAR LÄN</t>
        </is>
      </c>
      <c r="E454" t="inlineStr">
        <is>
          <t>TORSÅS</t>
        </is>
      </c>
      <c r="G454" t="n">
        <v>0.6</v>
      </c>
      <c r="H454" t="n">
        <v>1</v>
      </c>
      <c r="I454" t="n">
        <v>0</v>
      </c>
      <c r="J454" t="n">
        <v>0</v>
      </c>
      <c r="K454" t="n">
        <v>0</v>
      </c>
      <c r="L454" t="n">
        <v>0</v>
      </c>
      <c r="M454" t="n">
        <v>0</v>
      </c>
      <c r="N454" t="n">
        <v>0</v>
      </c>
      <c r="O454" t="n">
        <v>0</v>
      </c>
      <c r="P454" t="n">
        <v>0</v>
      </c>
      <c r="Q454" t="n">
        <v>1</v>
      </c>
      <c r="R454" s="2" t="inlineStr">
        <is>
          <t>Nattviol</t>
        </is>
      </c>
      <c r="S454">
        <f>HYPERLINK("https://klasma.github.io/Logging_0834/artfynd/A 49410-2021 artfynd.xlsx", "A 49410-2021")</f>
        <v/>
      </c>
      <c r="T454">
        <f>HYPERLINK("https://klasma.github.io/Logging_0834/kartor/A 49410-2021 karta.png", "A 49410-2021")</f>
        <v/>
      </c>
      <c r="V454">
        <f>HYPERLINK("https://klasma.github.io/Logging_0834/klagomål/A 49410-2021 FSC-klagomål.docx", "A 49410-2021")</f>
        <v/>
      </c>
      <c r="W454">
        <f>HYPERLINK("https://klasma.github.io/Logging_0834/klagomålsmail/A 49410-2021 FSC-klagomål mail.docx", "A 49410-2021")</f>
        <v/>
      </c>
      <c r="X454">
        <f>HYPERLINK("https://klasma.github.io/Logging_0834/tillsyn/A 49410-2021 tillsynsbegäran.docx", "A 49410-2021")</f>
        <v/>
      </c>
      <c r="Y454">
        <f>HYPERLINK("https://klasma.github.io/Logging_0834/tillsynsmail/A 49410-2021 tillsynsbegäran mail.docx", "A 49410-2021")</f>
        <v/>
      </c>
    </row>
    <row r="455" ht="15" customHeight="1">
      <c r="A455" t="inlineStr">
        <is>
          <t>A 4313-2021</t>
        </is>
      </c>
      <c r="B455" s="1" t="n">
        <v>44223</v>
      </c>
      <c r="C455" s="1" t="n">
        <v>45884</v>
      </c>
      <c r="D455" t="inlineStr">
        <is>
          <t>KALMAR LÄN</t>
        </is>
      </c>
      <c r="E455" t="inlineStr">
        <is>
          <t>MÖNSTERÅS</t>
        </is>
      </c>
      <c r="G455" t="n">
        <v>16.5</v>
      </c>
      <c r="H455" t="n">
        <v>1</v>
      </c>
      <c r="I455" t="n">
        <v>0</v>
      </c>
      <c r="J455" t="n">
        <v>0</v>
      </c>
      <c r="K455" t="n">
        <v>1</v>
      </c>
      <c r="L455" t="n">
        <v>0</v>
      </c>
      <c r="M455" t="n">
        <v>0</v>
      </c>
      <c r="N455" t="n">
        <v>0</v>
      </c>
      <c r="O455" t="n">
        <v>1</v>
      </c>
      <c r="P455" t="n">
        <v>1</v>
      </c>
      <c r="Q455" t="n">
        <v>1</v>
      </c>
      <c r="R455" s="2" t="inlineStr">
        <is>
          <t>Knärot</t>
        </is>
      </c>
      <c r="S455">
        <f>HYPERLINK("https://klasma.github.io/Logging_0861/artfynd/A 4313-2021 artfynd.xlsx", "A 4313-2021")</f>
        <v/>
      </c>
      <c r="T455">
        <f>HYPERLINK("https://klasma.github.io/Logging_0861/kartor/A 4313-2021 karta.png", "A 4313-2021")</f>
        <v/>
      </c>
      <c r="U455">
        <f>HYPERLINK("https://klasma.github.io/Logging_0861/knärot/A 4313-2021 karta knärot.png", "A 4313-2021")</f>
        <v/>
      </c>
      <c r="V455">
        <f>HYPERLINK("https://klasma.github.io/Logging_0861/klagomål/A 4313-2021 FSC-klagomål.docx", "A 4313-2021")</f>
        <v/>
      </c>
      <c r="W455">
        <f>HYPERLINK("https://klasma.github.io/Logging_0861/klagomålsmail/A 4313-2021 FSC-klagomål mail.docx", "A 4313-2021")</f>
        <v/>
      </c>
      <c r="X455">
        <f>HYPERLINK("https://klasma.github.io/Logging_0861/tillsyn/A 4313-2021 tillsynsbegäran.docx", "A 4313-2021")</f>
        <v/>
      </c>
      <c r="Y455">
        <f>HYPERLINK("https://klasma.github.io/Logging_0861/tillsynsmail/A 4313-2021 tillsynsbegäran mail.docx", "A 4313-2021")</f>
        <v/>
      </c>
    </row>
    <row r="456" ht="15" customHeight="1">
      <c r="A456" t="inlineStr">
        <is>
          <t>A 3871-2021</t>
        </is>
      </c>
      <c r="B456" s="1" t="n">
        <v>44222</v>
      </c>
      <c r="C456" s="1" t="n">
        <v>45884</v>
      </c>
      <c r="D456" t="inlineStr">
        <is>
          <t>KALMAR LÄN</t>
        </is>
      </c>
      <c r="E456" t="inlineStr">
        <is>
          <t>BORGHOLM</t>
        </is>
      </c>
      <c r="G456" t="n">
        <v>1.7</v>
      </c>
      <c r="H456" t="n">
        <v>0</v>
      </c>
      <c r="I456" t="n">
        <v>1</v>
      </c>
      <c r="J456" t="n">
        <v>0</v>
      </c>
      <c r="K456" t="n">
        <v>0</v>
      </c>
      <c r="L456" t="n">
        <v>0</v>
      </c>
      <c r="M456" t="n">
        <v>0</v>
      </c>
      <c r="N456" t="n">
        <v>0</v>
      </c>
      <c r="O456" t="n">
        <v>0</v>
      </c>
      <c r="P456" t="n">
        <v>0</v>
      </c>
      <c r="Q456" t="n">
        <v>1</v>
      </c>
      <c r="R456" s="2" t="inlineStr">
        <is>
          <t>Scharlakansskål</t>
        </is>
      </c>
      <c r="S456">
        <f>HYPERLINK("https://klasma.github.io/Logging_0885/artfynd/A 3871-2021 artfynd.xlsx", "A 3871-2021")</f>
        <v/>
      </c>
      <c r="T456">
        <f>HYPERLINK("https://klasma.github.io/Logging_0885/kartor/A 3871-2021 karta.png", "A 3871-2021")</f>
        <v/>
      </c>
      <c r="V456">
        <f>HYPERLINK("https://klasma.github.io/Logging_0885/klagomål/A 3871-2021 FSC-klagomål.docx", "A 3871-2021")</f>
        <v/>
      </c>
      <c r="W456">
        <f>HYPERLINK("https://klasma.github.io/Logging_0885/klagomålsmail/A 3871-2021 FSC-klagomål mail.docx", "A 3871-2021")</f>
        <v/>
      </c>
      <c r="X456">
        <f>HYPERLINK("https://klasma.github.io/Logging_0885/tillsyn/A 3871-2021 tillsynsbegäran.docx", "A 3871-2021")</f>
        <v/>
      </c>
      <c r="Y456">
        <f>HYPERLINK("https://klasma.github.io/Logging_0885/tillsynsmail/A 3871-2021 tillsynsbegäran mail.docx", "A 3871-2021")</f>
        <v/>
      </c>
    </row>
    <row r="457" ht="15" customHeight="1">
      <c r="A457" t="inlineStr">
        <is>
          <t>A 49919-2021</t>
        </is>
      </c>
      <c r="B457" s="1" t="n">
        <v>44455</v>
      </c>
      <c r="C457" s="1" t="n">
        <v>45884</v>
      </c>
      <c r="D457" t="inlineStr">
        <is>
          <t>KALMAR LÄN</t>
        </is>
      </c>
      <c r="E457" t="inlineStr">
        <is>
          <t>HULTSFRED</t>
        </is>
      </c>
      <c r="G457" t="n">
        <v>5</v>
      </c>
      <c r="H457" t="n">
        <v>0</v>
      </c>
      <c r="I457" t="n">
        <v>0</v>
      </c>
      <c r="J457" t="n">
        <v>1</v>
      </c>
      <c r="K457" t="n">
        <v>0</v>
      </c>
      <c r="L457" t="n">
        <v>0</v>
      </c>
      <c r="M457" t="n">
        <v>0</v>
      </c>
      <c r="N457" t="n">
        <v>0</v>
      </c>
      <c r="O457" t="n">
        <v>1</v>
      </c>
      <c r="P457" t="n">
        <v>0</v>
      </c>
      <c r="Q457" t="n">
        <v>1</v>
      </c>
      <c r="R457" s="2" t="inlineStr">
        <is>
          <t>Småjungfrukam</t>
        </is>
      </c>
      <c r="S457">
        <f>HYPERLINK("https://klasma.github.io/Logging_0860/artfynd/A 49919-2021 artfynd.xlsx", "A 49919-2021")</f>
        <v/>
      </c>
      <c r="T457">
        <f>HYPERLINK("https://klasma.github.io/Logging_0860/kartor/A 49919-2021 karta.png", "A 49919-2021")</f>
        <v/>
      </c>
      <c r="V457">
        <f>HYPERLINK("https://klasma.github.io/Logging_0860/klagomål/A 49919-2021 FSC-klagomål.docx", "A 49919-2021")</f>
        <v/>
      </c>
      <c r="W457">
        <f>HYPERLINK("https://klasma.github.io/Logging_0860/klagomålsmail/A 49919-2021 FSC-klagomål mail.docx", "A 49919-2021")</f>
        <v/>
      </c>
      <c r="X457">
        <f>HYPERLINK("https://klasma.github.io/Logging_0860/tillsyn/A 49919-2021 tillsynsbegäran.docx", "A 49919-2021")</f>
        <v/>
      </c>
      <c r="Y457">
        <f>HYPERLINK("https://klasma.github.io/Logging_0860/tillsynsmail/A 49919-2021 tillsynsbegäran mail.docx", "A 49919-2021")</f>
        <v/>
      </c>
    </row>
    <row r="458" ht="15" customHeight="1">
      <c r="A458" t="inlineStr">
        <is>
          <t>A 58927-2021</t>
        </is>
      </c>
      <c r="B458" s="1" t="n">
        <v>44489</v>
      </c>
      <c r="C458" s="1" t="n">
        <v>45884</v>
      </c>
      <c r="D458" t="inlineStr">
        <is>
          <t>KALMAR LÄN</t>
        </is>
      </c>
      <c r="E458" t="inlineStr">
        <is>
          <t>KALMAR</t>
        </is>
      </c>
      <c r="G458" t="n">
        <v>3.6</v>
      </c>
      <c r="H458" t="n">
        <v>1</v>
      </c>
      <c r="I458" t="n">
        <v>0</v>
      </c>
      <c r="J458" t="n">
        <v>1</v>
      </c>
      <c r="K458" t="n">
        <v>0</v>
      </c>
      <c r="L458" t="n">
        <v>0</v>
      </c>
      <c r="M458" t="n">
        <v>0</v>
      </c>
      <c r="N458" t="n">
        <v>0</v>
      </c>
      <c r="O458" t="n">
        <v>1</v>
      </c>
      <c r="P458" t="n">
        <v>0</v>
      </c>
      <c r="Q458" t="n">
        <v>1</v>
      </c>
      <c r="R458" s="2" t="inlineStr">
        <is>
          <t>Talltita</t>
        </is>
      </c>
      <c r="S458">
        <f>HYPERLINK("https://klasma.github.io/Logging_0880/artfynd/A 58927-2021 artfynd.xlsx", "A 58927-2021")</f>
        <v/>
      </c>
      <c r="T458">
        <f>HYPERLINK("https://klasma.github.io/Logging_0880/kartor/A 58927-2021 karta.png", "A 58927-2021")</f>
        <v/>
      </c>
      <c r="V458">
        <f>HYPERLINK("https://klasma.github.io/Logging_0880/klagomål/A 58927-2021 FSC-klagomål.docx", "A 58927-2021")</f>
        <v/>
      </c>
      <c r="W458">
        <f>HYPERLINK("https://klasma.github.io/Logging_0880/klagomålsmail/A 58927-2021 FSC-klagomål mail.docx", "A 58927-2021")</f>
        <v/>
      </c>
      <c r="X458">
        <f>HYPERLINK("https://klasma.github.io/Logging_0880/tillsyn/A 58927-2021 tillsynsbegäran.docx", "A 58927-2021")</f>
        <v/>
      </c>
      <c r="Y458">
        <f>HYPERLINK("https://klasma.github.io/Logging_0880/tillsynsmail/A 58927-2021 tillsynsbegäran mail.docx", "A 58927-2021")</f>
        <v/>
      </c>
      <c r="Z458">
        <f>HYPERLINK("https://klasma.github.io/Logging_0880/fåglar/A 58927-2021 prioriterade fågelarter.docx", "A 58927-2021")</f>
        <v/>
      </c>
    </row>
    <row r="459" ht="15" customHeight="1">
      <c r="A459" t="inlineStr">
        <is>
          <t>A 49211-2020</t>
        </is>
      </c>
      <c r="B459" s="1" t="n">
        <v>44105</v>
      </c>
      <c r="C459" s="1" t="n">
        <v>45884</v>
      </c>
      <c r="D459" t="inlineStr">
        <is>
          <t>KALMAR LÄN</t>
        </is>
      </c>
      <c r="E459" t="inlineStr">
        <is>
          <t>TORSÅS</t>
        </is>
      </c>
      <c r="G459" t="n">
        <v>3</v>
      </c>
      <c r="H459" t="n">
        <v>0</v>
      </c>
      <c r="I459" t="n">
        <v>0</v>
      </c>
      <c r="J459" t="n">
        <v>1</v>
      </c>
      <c r="K459" t="n">
        <v>0</v>
      </c>
      <c r="L459" t="n">
        <v>0</v>
      </c>
      <c r="M459" t="n">
        <v>0</v>
      </c>
      <c r="N459" t="n">
        <v>0</v>
      </c>
      <c r="O459" t="n">
        <v>1</v>
      </c>
      <c r="P459" t="n">
        <v>0</v>
      </c>
      <c r="Q459" t="n">
        <v>1</v>
      </c>
      <c r="R459" s="2" t="inlineStr">
        <is>
          <t>Tallticka</t>
        </is>
      </c>
      <c r="S459">
        <f>HYPERLINK("https://klasma.github.io/Logging_0834/artfynd/A 49211-2020 artfynd.xlsx", "A 49211-2020")</f>
        <v/>
      </c>
      <c r="T459">
        <f>HYPERLINK("https://klasma.github.io/Logging_0834/kartor/A 49211-2020 karta.png", "A 49211-2020")</f>
        <v/>
      </c>
      <c r="V459">
        <f>HYPERLINK("https://klasma.github.io/Logging_0834/klagomål/A 49211-2020 FSC-klagomål.docx", "A 49211-2020")</f>
        <v/>
      </c>
      <c r="W459">
        <f>HYPERLINK("https://klasma.github.io/Logging_0834/klagomålsmail/A 49211-2020 FSC-klagomål mail.docx", "A 49211-2020")</f>
        <v/>
      </c>
      <c r="X459">
        <f>HYPERLINK("https://klasma.github.io/Logging_0834/tillsyn/A 49211-2020 tillsynsbegäran.docx", "A 49211-2020")</f>
        <v/>
      </c>
      <c r="Y459">
        <f>HYPERLINK("https://klasma.github.io/Logging_0834/tillsynsmail/A 49211-2020 tillsynsbegäran mail.docx", "A 49211-2020")</f>
        <v/>
      </c>
    </row>
    <row r="460" ht="15" customHeight="1">
      <c r="A460" t="inlineStr">
        <is>
          <t>A 14343-2021</t>
        </is>
      </c>
      <c r="B460" s="1" t="n">
        <v>44279</v>
      </c>
      <c r="C460" s="1" t="n">
        <v>45884</v>
      </c>
      <c r="D460" t="inlineStr">
        <is>
          <t>KALMAR LÄN</t>
        </is>
      </c>
      <c r="E460" t="inlineStr">
        <is>
          <t>KALMAR</t>
        </is>
      </c>
      <c r="G460" t="n">
        <v>2.7</v>
      </c>
      <c r="H460" t="n">
        <v>0</v>
      </c>
      <c r="I460" t="n">
        <v>1</v>
      </c>
      <c r="J460" t="n">
        <v>0</v>
      </c>
      <c r="K460" t="n">
        <v>0</v>
      </c>
      <c r="L460" t="n">
        <v>0</v>
      </c>
      <c r="M460" t="n">
        <v>0</v>
      </c>
      <c r="N460" t="n">
        <v>0</v>
      </c>
      <c r="O460" t="n">
        <v>0</v>
      </c>
      <c r="P460" t="n">
        <v>0</v>
      </c>
      <c r="Q460" t="n">
        <v>1</v>
      </c>
      <c r="R460" s="2" t="inlineStr">
        <is>
          <t>Myskmadra</t>
        </is>
      </c>
      <c r="S460">
        <f>HYPERLINK("https://klasma.github.io/Logging_0880/artfynd/A 14343-2021 artfynd.xlsx", "A 14343-2021")</f>
        <v/>
      </c>
      <c r="T460">
        <f>HYPERLINK("https://klasma.github.io/Logging_0880/kartor/A 14343-2021 karta.png", "A 14343-2021")</f>
        <v/>
      </c>
      <c r="V460">
        <f>HYPERLINK("https://klasma.github.io/Logging_0880/klagomål/A 14343-2021 FSC-klagomål.docx", "A 14343-2021")</f>
        <v/>
      </c>
      <c r="W460">
        <f>HYPERLINK("https://klasma.github.io/Logging_0880/klagomålsmail/A 14343-2021 FSC-klagomål mail.docx", "A 14343-2021")</f>
        <v/>
      </c>
      <c r="X460">
        <f>HYPERLINK("https://klasma.github.io/Logging_0880/tillsyn/A 14343-2021 tillsynsbegäran.docx", "A 14343-2021")</f>
        <v/>
      </c>
      <c r="Y460">
        <f>HYPERLINK("https://klasma.github.io/Logging_0880/tillsynsmail/A 14343-2021 tillsynsbegäran mail.docx", "A 14343-2021")</f>
        <v/>
      </c>
    </row>
    <row r="461" ht="15" customHeight="1">
      <c r="A461" t="inlineStr">
        <is>
          <t>A 66724-2021</t>
        </is>
      </c>
      <c r="B461" s="1" t="n">
        <v>44519.98922453704</v>
      </c>
      <c r="C461" s="1" t="n">
        <v>45884</v>
      </c>
      <c r="D461" t="inlineStr">
        <is>
          <t>KALMAR LÄN</t>
        </is>
      </c>
      <c r="E461" t="inlineStr">
        <is>
          <t>HULTSFRED</t>
        </is>
      </c>
      <c r="G461" t="n">
        <v>3</v>
      </c>
      <c r="H461" t="n">
        <v>0</v>
      </c>
      <c r="I461" t="n">
        <v>1</v>
      </c>
      <c r="J461" t="n">
        <v>0</v>
      </c>
      <c r="K461" t="n">
        <v>0</v>
      </c>
      <c r="L461" t="n">
        <v>0</v>
      </c>
      <c r="M461" t="n">
        <v>0</v>
      </c>
      <c r="N461" t="n">
        <v>0</v>
      </c>
      <c r="O461" t="n">
        <v>0</v>
      </c>
      <c r="P461" t="n">
        <v>0</v>
      </c>
      <c r="Q461" t="n">
        <v>1</v>
      </c>
      <c r="R461" s="2" t="inlineStr">
        <is>
          <t>Murgröna</t>
        </is>
      </c>
      <c r="S461">
        <f>HYPERLINK("https://klasma.github.io/Logging_0860/artfynd/A 66724-2021 artfynd.xlsx", "A 66724-2021")</f>
        <v/>
      </c>
      <c r="T461">
        <f>HYPERLINK("https://klasma.github.io/Logging_0860/kartor/A 66724-2021 karta.png", "A 66724-2021")</f>
        <v/>
      </c>
      <c r="V461">
        <f>HYPERLINK("https://klasma.github.io/Logging_0860/klagomål/A 66724-2021 FSC-klagomål.docx", "A 66724-2021")</f>
        <v/>
      </c>
      <c r="W461">
        <f>HYPERLINK("https://klasma.github.io/Logging_0860/klagomålsmail/A 66724-2021 FSC-klagomål mail.docx", "A 66724-2021")</f>
        <v/>
      </c>
      <c r="X461">
        <f>HYPERLINK("https://klasma.github.io/Logging_0860/tillsyn/A 66724-2021 tillsynsbegäran.docx", "A 66724-2021")</f>
        <v/>
      </c>
      <c r="Y461">
        <f>HYPERLINK("https://klasma.github.io/Logging_0860/tillsynsmail/A 66724-2021 tillsynsbegäran mail.docx", "A 66724-2021")</f>
        <v/>
      </c>
    </row>
    <row r="462" ht="15" customHeight="1">
      <c r="A462" t="inlineStr">
        <is>
          <t>A 7032-2022</t>
        </is>
      </c>
      <c r="B462" s="1" t="n">
        <v>44603</v>
      </c>
      <c r="C462" s="1" t="n">
        <v>45884</v>
      </c>
      <c r="D462" t="inlineStr">
        <is>
          <t>KALMAR LÄN</t>
        </is>
      </c>
      <c r="E462" t="inlineStr">
        <is>
          <t>HÖGSBY</t>
        </is>
      </c>
      <c r="G462" t="n">
        <v>0.7</v>
      </c>
      <c r="H462" t="n">
        <v>1</v>
      </c>
      <c r="I462" t="n">
        <v>0</v>
      </c>
      <c r="J462" t="n">
        <v>0</v>
      </c>
      <c r="K462" t="n">
        <v>1</v>
      </c>
      <c r="L462" t="n">
        <v>0</v>
      </c>
      <c r="M462" t="n">
        <v>0</v>
      </c>
      <c r="N462" t="n">
        <v>0</v>
      </c>
      <c r="O462" t="n">
        <v>1</v>
      </c>
      <c r="P462" t="n">
        <v>1</v>
      </c>
      <c r="Q462" t="n">
        <v>1</v>
      </c>
      <c r="R462" s="2" t="inlineStr">
        <is>
          <t>Sandödla</t>
        </is>
      </c>
      <c r="S462">
        <f>HYPERLINK("https://klasma.github.io/Logging_0821/artfynd/A 7032-2022 artfynd.xlsx", "A 7032-2022")</f>
        <v/>
      </c>
      <c r="T462">
        <f>HYPERLINK("https://klasma.github.io/Logging_0821/kartor/A 7032-2022 karta.png", "A 7032-2022")</f>
        <v/>
      </c>
      <c r="V462">
        <f>HYPERLINK("https://klasma.github.io/Logging_0821/klagomål/A 7032-2022 FSC-klagomål.docx", "A 7032-2022")</f>
        <v/>
      </c>
      <c r="W462">
        <f>HYPERLINK("https://klasma.github.io/Logging_0821/klagomålsmail/A 7032-2022 FSC-klagomål mail.docx", "A 7032-2022")</f>
        <v/>
      </c>
      <c r="X462">
        <f>HYPERLINK("https://klasma.github.io/Logging_0821/tillsyn/A 7032-2022 tillsynsbegäran.docx", "A 7032-2022")</f>
        <v/>
      </c>
      <c r="Y462">
        <f>HYPERLINK("https://klasma.github.io/Logging_0821/tillsynsmail/A 7032-2022 tillsynsbegäran mail.docx", "A 7032-2022")</f>
        <v/>
      </c>
    </row>
    <row r="463" ht="15" customHeight="1">
      <c r="A463" t="inlineStr">
        <is>
          <t>A 38317-2021</t>
        </is>
      </c>
      <c r="B463" s="1" t="n">
        <v>44406</v>
      </c>
      <c r="C463" s="1" t="n">
        <v>45884</v>
      </c>
      <c r="D463" t="inlineStr">
        <is>
          <t>KALMAR LÄN</t>
        </is>
      </c>
      <c r="E463" t="inlineStr">
        <is>
          <t>OSKARSHAMN</t>
        </is>
      </c>
      <c r="G463" t="n">
        <v>14.4</v>
      </c>
      <c r="H463" t="n">
        <v>1</v>
      </c>
      <c r="I463" t="n">
        <v>0</v>
      </c>
      <c r="J463" t="n">
        <v>0</v>
      </c>
      <c r="K463" t="n">
        <v>0</v>
      </c>
      <c r="L463" t="n">
        <v>0</v>
      </c>
      <c r="M463" t="n">
        <v>0</v>
      </c>
      <c r="N463" t="n">
        <v>0</v>
      </c>
      <c r="O463" t="n">
        <v>0</v>
      </c>
      <c r="P463" t="n">
        <v>0</v>
      </c>
      <c r="Q463" t="n">
        <v>1</v>
      </c>
      <c r="R463" s="2" t="inlineStr">
        <is>
          <t>Tjäder</t>
        </is>
      </c>
      <c r="S463">
        <f>HYPERLINK("https://klasma.github.io/Logging_0882/artfynd/A 38317-2021 artfynd.xlsx", "A 38317-2021")</f>
        <v/>
      </c>
      <c r="T463">
        <f>HYPERLINK("https://klasma.github.io/Logging_0882/kartor/A 38317-2021 karta.png", "A 38317-2021")</f>
        <v/>
      </c>
      <c r="V463">
        <f>HYPERLINK("https://klasma.github.io/Logging_0882/klagomål/A 38317-2021 FSC-klagomål.docx", "A 38317-2021")</f>
        <v/>
      </c>
      <c r="W463">
        <f>HYPERLINK("https://klasma.github.io/Logging_0882/klagomålsmail/A 38317-2021 FSC-klagomål mail.docx", "A 38317-2021")</f>
        <v/>
      </c>
      <c r="X463">
        <f>HYPERLINK("https://klasma.github.io/Logging_0882/tillsyn/A 38317-2021 tillsynsbegäran.docx", "A 38317-2021")</f>
        <v/>
      </c>
      <c r="Y463">
        <f>HYPERLINK("https://klasma.github.io/Logging_0882/tillsynsmail/A 38317-2021 tillsynsbegäran mail.docx", "A 38317-2021")</f>
        <v/>
      </c>
      <c r="Z463">
        <f>HYPERLINK("https://klasma.github.io/Logging_0882/fåglar/A 38317-2021 prioriterade fågelarter.docx", "A 38317-2021")</f>
        <v/>
      </c>
    </row>
    <row r="464" ht="15" customHeight="1">
      <c r="A464" t="inlineStr">
        <is>
          <t>A 16824-2021</t>
        </is>
      </c>
      <c r="B464" s="1" t="n">
        <v>44295</v>
      </c>
      <c r="C464" s="1" t="n">
        <v>45884</v>
      </c>
      <c r="D464" t="inlineStr">
        <is>
          <t>KALMAR LÄN</t>
        </is>
      </c>
      <c r="E464" t="inlineStr">
        <is>
          <t>HULTSFRED</t>
        </is>
      </c>
      <c r="G464" t="n">
        <v>1.5</v>
      </c>
      <c r="H464" t="n">
        <v>0</v>
      </c>
      <c r="I464" t="n">
        <v>0</v>
      </c>
      <c r="J464" t="n">
        <v>1</v>
      </c>
      <c r="K464" t="n">
        <v>0</v>
      </c>
      <c r="L464" t="n">
        <v>0</v>
      </c>
      <c r="M464" t="n">
        <v>0</v>
      </c>
      <c r="N464" t="n">
        <v>0</v>
      </c>
      <c r="O464" t="n">
        <v>1</v>
      </c>
      <c r="P464" t="n">
        <v>0</v>
      </c>
      <c r="Q464" t="n">
        <v>1</v>
      </c>
      <c r="R464" s="2" t="inlineStr">
        <is>
          <t>Sommarfibbla</t>
        </is>
      </c>
      <c r="S464">
        <f>HYPERLINK("https://klasma.github.io/Logging_0860/artfynd/A 16824-2021 artfynd.xlsx", "A 16824-2021")</f>
        <v/>
      </c>
      <c r="T464">
        <f>HYPERLINK("https://klasma.github.io/Logging_0860/kartor/A 16824-2021 karta.png", "A 16824-2021")</f>
        <v/>
      </c>
      <c r="V464">
        <f>HYPERLINK("https://klasma.github.io/Logging_0860/klagomål/A 16824-2021 FSC-klagomål.docx", "A 16824-2021")</f>
        <v/>
      </c>
      <c r="W464">
        <f>HYPERLINK("https://klasma.github.io/Logging_0860/klagomålsmail/A 16824-2021 FSC-klagomål mail.docx", "A 16824-2021")</f>
        <v/>
      </c>
      <c r="X464">
        <f>HYPERLINK("https://klasma.github.io/Logging_0860/tillsyn/A 16824-2021 tillsynsbegäran.docx", "A 16824-2021")</f>
        <v/>
      </c>
      <c r="Y464">
        <f>HYPERLINK("https://klasma.github.io/Logging_0860/tillsynsmail/A 16824-2021 tillsynsbegäran mail.docx", "A 16824-2021")</f>
        <v/>
      </c>
    </row>
    <row r="465" ht="15" customHeight="1">
      <c r="A465" t="inlineStr">
        <is>
          <t>A 7490-2021</t>
        </is>
      </c>
      <c r="B465" s="1" t="n">
        <v>44238</v>
      </c>
      <c r="C465" s="1" t="n">
        <v>45884</v>
      </c>
      <c r="D465" t="inlineStr">
        <is>
          <t>KALMAR LÄN</t>
        </is>
      </c>
      <c r="E465" t="inlineStr">
        <is>
          <t>EMMABODA</t>
        </is>
      </c>
      <c r="G465" t="n">
        <v>1.4</v>
      </c>
      <c r="H465" t="n">
        <v>1</v>
      </c>
      <c r="I465" t="n">
        <v>0</v>
      </c>
      <c r="J465" t="n">
        <v>0</v>
      </c>
      <c r="K465" t="n">
        <v>0</v>
      </c>
      <c r="L465" t="n">
        <v>0</v>
      </c>
      <c r="M465" t="n">
        <v>0</v>
      </c>
      <c r="N465" t="n">
        <v>0</v>
      </c>
      <c r="O465" t="n">
        <v>0</v>
      </c>
      <c r="P465" t="n">
        <v>0</v>
      </c>
      <c r="Q465" t="n">
        <v>1</v>
      </c>
      <c r="R465" s="2" t="inlineStr">
        <is>
          <t>Blåsippa</t>
        </is>
      </c>
      <c r="S465">
        <f>HYPERLINK("https://klasma.github.io/Logging_0862/artfynd/A 7490-2021 artfynd.xlsx", "A 7490-2021")</f>
        <v/>
      </c>
      <c r="T465">
        <f>HYPERLINK("https://klasma.github.io/Logging_0862/kartor/A 7490-2021 karta.png", "A 7490-2021")</f>
        <v/>
      </c>
      <c r="V465">
        <f>HYPERLINK("https://klasma.github.io/Logging_0862/klagomål/A 7490-2021 FSC-klagomål.docx", "A 7490-2021")</f>
        <v/>
      </c>
      <c r="W465">
        <f>HYPERLINK("https://klasma.github.io/Logging_0862/klagomålsmail/A 7490-2021 FSC-klagomål mail.docx", "A 7490-2021")</f>
        <v/>
      </c>
      <c r="X465">
        <f>HYPERLINK("https://klasma.github.io/Logging_0862/tillsyn/A 7490-2021 tillsynsbegäran.docx", "A 7490-2021")</f>
        <v/>
      </c>
      <c r="Y465">
        <f>HYPERLINK("https://klasma.github.io/Logging_0862/tillsynsmail/A 7490-2021 tillsynsbegäran mail.docx", "A 7490-2021")</f>
        <v/>
      </c>
    </row>
    <row r="466" ht="15" customHeight="1">
      <c r="A466" t="inlineStr">
        <is>
          <t>A 24939-2021</t>
        </is>
      </c>
      <c r="B466" s="1" t="n">
        <v>44341</v>
      </c>
      <c r="C466" s="1" t="n">
        <v>45884</v>
      </c>
      <c r="D466" t="inlineStr">
        <is>
          <t>KALMAR LÄN</t>
        </is>
      </c>
      <c r="E466" t="inlineStr">
        <is>
          <t>HULTSFRED</t>
        </is>
      </c>
      <c r="G466" t="n">
        <v>8.6</v>
      </c>
      <c r="H466" t="n">
        <v>1</v>
      </c>
      <c r="I466" t="n">
        <v>0</v>
      </c>
      <c r="J466" t="n">
        <v>1</v>
      </c>
      <c r="K466" t="n">
        <v>0</v>
      </c>
      <c r="L466" t="n">
        <v>0</v>
      </c>
      <c r="M466" t="n">
        <v>0</v>
      </c>
      <c r="N466" t="n">
        <v>0</v>
      </c>
      <c r="O466" t="n">
        <v>1</v>
      </c>
      <c r="P466" t="n">
        <v>0</v>
      </c>
      <c r="Q466" t="n">
        <v>1</v>
      </c>
      <c r="R466" s="2" t="inlineStr">
        <is>
          <t>Svartvit flugsnappare</t>
        </is>
      </c>
      <c r="S466">
        <f>HYPERLINK("https://klasma.github.io/Logging_0860/artfynd/A 24939-2021 artfynd.xlsx", "A 24939-2021")</f>
        <v/>
      </c>
      <c r="T466">
        <f>HYPERLINK("https://klasma.github.io/Logging_0860/kartor/A 24939-2021 karta.png", "A 24939-2021")</f>
        <v/>
      </c>
      <c r="V466">
        <f>HYPERLINK("https://klasma.github.io/Logging_0860/klagomål/A 24939-2021 FSC-klagomål.docx", "A 24939-2021")</f>
        <v/>
      </c>
      <c r="W466">
        <f>HYPERLINK("https://klasma.github.io/Logging_0860/klagomålsmail/A 24939-2021 FSC-klagomål mail.docx", "A 24939-2021")</f>
        <v/>
      </c>
      <c r="X466">
        <f>HYPERLINK("https://klasma.github.io/Logging_0860/tillsyn/A 24939-2021 tillsynsbegäran.docx", "A 24939-2021")</f>
        <v/>
      </c>
      <c r="Y466">
        <f>HYPERLINK("https://klasma.github.io/Logging_0860/tillsynsmail/A 24939-2021 tillsynsbegäran mail.docx", "A 24939-2021")</f>
        <v/>
      </c>
      <c r="Z466">
        <f>HYPERLINK("https://klasma.github.io/Logging_0860/fåglar/A 24939-2021 prioriterade fågelarter.docx", "A 24939-2021")</f>
        <v/>
      </c>
    </row>
    <row r="467" ht="15" customHeight="1">
      <c r="A467" t="inlineStr">
        <is>
          <t>A 65962-2020</t>
        </is>
      </c>
      <c r="B467" s="1" t="n">
        <v>44175</v>
      </c>
      <c r="C467" s="1" t="n">
        <v>45884</v>
      </c>
      <c r="D467" t="inlineStr">
        <is>
          <t>KALMAR LÄN</t>
        </is>
      </c>
      <c r="E467" t="inlineStr">
        <is>
          <t>NYBRO</t>
        </is>
      </c>
      <c r="F467" t="inlineStr">
        <is>
          <t>Sveaskog</t>
        </is>
      </c>
      <c r="G467" t="n">
        <v>0.6</v>
      </c>
      <c r="H467" t="n">
        <v>1</v>
      </c>
      <c r="I467" t="n">
        <v>0</v>
      </c>
      <c r="J467" t="n">
        <v>1</v>
      </c>
      <c r="K467" t="n">
        <v>0</v>
      </c>
      <c r="L467" t="n">
        <v>0</v>
      </c>
      <c r="M467" t="n">
        <v>0</v>
      </c>
      <c r="N467" t="n">
        <v>0</v>
      </c>
      <c r="O467" t="n">
        <v>1</v>
      </c>
      <c r="P467" t="n">
        <v>0</v>
      </c>
      <c r="Q467" t="n">
        <v>1</v>
      </c>
      <c r="R467" s="2" t="inlineStr">
        <is>
          <t>Talltita</t>
        </is>
      </c>
      <c r="S467">
        <f>HYPERLINK("https://klasma.github.io/Logging_0881/artfynd/A 65962-2020 artfynd.xlsx", "A 65962-2020")</f>
        <v/>
      </c>
      <c r="T467">
        <f>HYPERLINK("https://klasma.github.io/Logging_0881/kartor/A 65962-2020 karta.png", "A 65962-2020")</f>
        <v/>
      </c>
      <c r="V467">
        <f>HYPERLINK("https://klasma.github.io/Logging_0881/klagomål/A 65962-2020 FSC-klagomål.docx", "A 65962-2020")</f>
        <v/>
      </c>
      <c r="W467">
        <f>HYPERLINK("https://klasma.github.io/Logging_0881/klagomålsmail/A 65962-2020 FSC-klagomål mail.docx", "A 65962-2020")</f>
        <v/>
      </c>
      <c r="X467">
        <f>HYPERLINK("https://klasma.github.io/Logging_0881/tillsyn/A 65962-2020 tillsynsbegäran.docx", "A 65962-2020")</f>
        <v/>
      </c>
      <c r="Y467">
        <f>HYPERLINK("https://klasma.github.io/Logging_0881/tillsynsmail/A 65962-2020 tillsynsbegäran mail.docx", "A 65962-2020")</f>
        <v/>
      </c>
      <c r="Z467">
        <f>HYPERLINK("https://klasma.github.io/Logging_0881/fåglar/A 65962-2020 prioriterade fågelarter.docx", "A 65962-2020")</f>
        <v/>
      </c>
    </row>
    <row r="468" ht="15" customHeight="1">
      <c r="A468" t="inlineStr">
        <is>
          <t>A 34097-2021</t>
        </is>
      </c>
      <c r="B468" s="1" t="n">
        <v>44379.43670138889</v>
      </c>
      <c r="C468" s="1" t="n">
        <v>45884</v>
      </c>
      <c r="D468" t="inlineStr">
        <is>
          <t>KALMAR LÄN</t>
        </is>
      </c>
      <c r="E468" t="inlineStr">
        <is>
          <t>MÖNSTERÅS</t>
        </is>
      </c>
      <c r="G468" t="n">
        <v>7.5</v>
      </c>
      <c r="H468" t="n">
        <v>1</v>
      </c>
      <c r="I468" t="n">
        <v>0</v>
      </c>
      <c r="J468" t="n">
        <v>0</v>
      </c>
      <c r="K468" t="n">
        <v>0</v>
      </c>
      <c r="L468" t="n">
        <v>0</v>
      </c>
      <c r="M468" t="n">
        <v>0</v>
      </c>
      <c r="N468" t="n">
        <v>0</v>
      </c>
      <c r="O468" t="n">
        <v>0</v>
      </c>
      <c r="P468" t="n">
        <v>0</v>
      </c>
      <c r="Q468" t="n">
        <v>1</v>
      </c>
      <c r="R468" s="2" t="inlineStr">
        <is>
          <t>Nattviol</t>
        </is>
      </c>
      <c r="S468">
        <f>HYPERLINK("https://klasma.github.io/Logging_0861/artfynd/A 34097-2021 artfynd.xlsx", "A 34097-2021")</f>
        <v/>
      </c>
      <c r="T468">
        <f>HYPERLINK("https://klasma.github.io/Logging_0861/kartor/A 34097-2021 karta.png", "A 34097-2021")</f>
        <v/>
      </c>
      <c r="V468">
        <f>HYPERLINK("https://klasma.github.io/Logging_0861/klagomål/A 34097-2021 FSC-klagomål.docx", "A 34097-2021")</f>
        <v/>
      </c>
      <c r="W468">
        <f>HYPERLINK("https://klasma.github.io/Logging_0861/klagomålsmail/A 34097-2021 FSC-klagomål mail.docx", "A 34097-2021")</f>
        <v/>
      </c>
      <c r="X468">
        <f>HYPERLINK("https://klasma.github.io/Logging_0861/tillsyn/A 34097-2021 tillsynsbegäran.docx", "A 34097-2021")</f>
        <v/>
      </c>
      <c r="Y468">
        <f>HYPERLINK("https://klasma.github.io/Logging_0861/tillsynsmail/A 34097-2021 tillsynsbegäran mail.docx", "A 34097-2021")</f>
        <v/>
      </c>
    </row>
    <row r="469" ht="15" customHeight="1">
      <c r="A469" t="inlineStr">
        <is>
          <t>A 54192-2021</t>
        </is>
      </c>
      <c r="B469" s="1" t="n">
        <v>44470</v>
      </c>
      <c r="C469" s="1" t="n">
        <v>45884</v>
      </c>
      <c r="D469" t="inlineStr">
        <is>
          <t>KALMAR LÄN</t>
        </is>
      </c>
      <c r="E469" t="inlineStr">
        <is>
          <t>MÖRBYLÅNGA</t>
        </is>
      </c>
      <c r="G469" t="n">
        <v>1.5</v>
      </c>
      <c r="H469" t="n">
        <v>0</v>
      </c>
      <c r="I469" t="n">
        <v>0</v>
      </c>
      <c r="J469" t="n">
        <v>1</v>
      </c>
      <c r="K469" t="n">
        <v>0</v>
      </c>
      <c r="L469" t="n">
        <v>0</v>
      </c>
      <c r="M469" t="n">
        <v>0</v>
      </c>
      <c r="N469" t="n">
        <v>0</v>
      </c>
      <c r="O469" t="n">
        <v>1</v>
      </c>
      <c r="P469" t="n">
        <v>0</v>
      </c>
      <c r="Q469" t="n">
        <v>1</v>
      </c>
      <c r="R469" s="2" t="inlineStr">
        <is>
          <t>Sminkrot</t>
        </is>
      </c>
      <c r="S469">
        <f>HYPERLINK("https://klasma.github.io/Logging_0840/artfynd/A 54192-2021 artfynd.xlsx", "A 54192-2021")</f>
        <v/>
      </c>
      <c r="T469">
        <f>HYPERLINK("https://klasma.github.io/Logging_0840/kartor/A 54192-2021 karta.png", "A 54192-2021")</f>
        <v/>
      </c>
      <c r="V469">
        <f>HYPERLINK("https://klasma.github.io/Logging_0840/klagomål/A 54192-2021 FSC-klagomål.docx", "A 54192-2021")</f>
        <v/>
      </c>
      <c r="W469">
        <f>HYPERLINK("https://klasma.github.io/Logging_0840/klagomålsmail/A 54192-2021 FSC-klagomål mail.docx", "A 54192-2021")</f>
        <v/>
      </c>
      <c r="X469">
        <f>HYPERLINK("https://klasma.github.io/Logging_0840/tillsyn/A 54192-2021 tillsynsbegäran.docx", "A 54192-2021")</f>
        <v/>
      </c>
      <c r="Y469">
        <f>HYPERLINK("https://klasma.github.io/Logging_0840/tillsynsmail/A 54192-2021 tillsynsbegäran mail.docx", "A 54192-2021")</f>
        <v/>
      </c>
    </row>
    <row r="470" ht="15" customHeight="1">
      <c r="A470" t="inlineStr">
        <is>
          <t>A 59683-2021</t>
        </is>
      </c>
      <c r="B470" s="1" t="n">
        <v>44494</v>
      </c>
      <c r="C470" s="1" t="n">
        <v>45884</v>
      </c>
      <c r="D470" t="inlineStr">
        <is>
          <t>KALMAR LÄN</t>
        </is>
      </c>
      <c r="E470" t="inlineStr">
        <is>
          <t>OSKARSHAMN</t>
        </is>
      </c>
      <c r="G470" t="n">
        <v>1.6</v>
      </c>
      <c r="H470" t="n">
        <v>1</v>
      </c>
      <c r="I470" t="n">
        <v>0</v>
      </c>
      <c r="J470" t="n">
        <v>1</v>
      </c>
      <c r="K470" t="n">
        <v>0</v>
      </c>
      <c r="L470" t="n">
        <v>0</v>
      </c>
      <c r="M470" t="n">
        <v>0</v>
      </c>
      <c r="N470" t="n">
        <v>0</v>
      </c>
      <c r="O470" t="n">
        <v>1</v>
      </c>
      <c r="P470" t="n">
        <v>0</v>
      </c>
      <c r="Q470" t="n">
        <v>1</v>
      </c>
      <c r="R470" s="2" t="inlineStr">
        <is>
          <t>Talltita</t>
        </is>
      </c>
      <c r="S470">
        <f>HYPERLINK("https://klasma.github.io/Logging_0882/artfynd/A 59683-2021 artfynd.xlsx", "A 59683-2021")</f>
        <v/>
      </c>
      <c r="T470">
        <f>HYPERLINK("https://klasma.github.io/Logging_0882/kartor/A 59683-2021 karta.png", "A 59683-2021")</f>
        <v/>
      </c>
      <c r="V470">
        <f>HYPERLINK("https://klasma.github.io/Logging_0882/klagomål/A 59683-2021 FSC-klagomål.docx", "A 59683-2021")</f>
        <v/>
      </c>
      <c r="W470">
        <f>HYPERLINK("https://klasma.github.io/Logging_0882/klagomålsmail/A 59683-2021 FSC-klagomål mail.docx", "A 59683-2021")</f>
        <v/>
      </c>
      <c r="X470">
        <f>HYPERLINK("https://klasma.github.io/Logging_0882/tillsyn/A 59683-2021 tillsynsbegäran.docx", "A 59683-2021")</f>
        <v/>
      </c>
      <c r="Y470">
        <f>HYPERLINK("https://klasma.github.io/Logging_0882/tillsynsmail/A 59683-2021 tillsynsbegäran mail.docx", "A 59683-2021")</f>
        <v/>
      </c>
      <c r="Z470">
        <f>HYPERLINK("https://klasma.github.io/Logging_0882/fåglar/A 59683-2021 prioriterade fågelarter.docx", "A 59683-2021")</f>
        <v/>
      </c>
    </row>
    <row r="471" ht="15" customHeight="1">
      <c r="A471" t="inlineStr">
        <is>
          <t>A 39836-2020</t>
        </is>
      </c>
      <c r="B471" s="1" t="n">
        <v>44064</v>
      </c>
      <c r="C471" s="1" t="n">
        <v>45884</v>
      </c>
      <c r="D471" t="inlineStr">
        <is>
          <t>KALMAR LÄN</t>
        </is>
      </c>
      <c r="E471" t="inlineStr">
        <is>
          <t>VÄSTERVIK</t>
        </is>
      </c>
      <c r="G471" t="n">
        <v>13.4</v>
      </c>
      <c r="H471" t="n">
        <v>1</v>
      </c>
      <c r="I471" t="n">
        <v>0</v>
      </c>
      <c r="J471" t="n">
        <v>1</v>
      </c>
      <c r="K471" t="n">
        <v>0</v>
      </c>
      <c r="L471" t="n">
        <v>0</v>
      </c>
      <c r="M471" t="n">
        <v>0</v>
      </c>
      <c r="N471" t="n">
        <v>0</v>
      </c>
      <c r="O471" t="n">
        <v>1</v>
      </c>
      <c r="P471" t="n">
        <v>0</v>
      </c>
      <c r="Q471" t="n">
        <v>1</v>
      </c>
      <c r="R471" s="2" t="inlineStr">
        <is>
          <t>Havsörn</t>
        </is>
      </c>
      <c r="S471">
        <f>HYPERLINK("https://klasma.github.io/Logging_0883/artfynd/A 39836-2020 artfynd.xlsx", "A 39836-2020")</f>
        <v/>
      </c>
      <c r="T471">
        <f>HYPERLINK("https://klasma.github.io/Logging_0883/kartor/A 39836-2020 karta.png", "A 39836-2020")</f>
        <v/>
      </c>
      <c r="V471">
        <f>HYPERLINK("https://klasma.github.io/Logging_0883/klagomål/A 39836-2020 FSC-klagomål.docx", "A 39836-2020")</f>
        <v/>
      </c>
      <c r="W471">
        <f>HYPERLINK("https://klasma.github.io/Logging_0883/klagomålsmail/A 39836-2020 FSC-klagomål mail.docx", "A 39836-2020")</f>
        <v/>
      </c>
      <c r="X471">
        <f>HYPERLINK("https://klasma.github.io/Logging_0883/tillsyn/A 39836-2020 tillsynsbegäran.docx", "A 39836-2020")</f>
        <v/>
      </c>
      <c r="Y471">
        <f>HYPERLINK("https://klasma.github.io/Logging_0883/tillsynsmail/A 39836-2020 tillsynsbegäran mail.docx", "A 39836-2020")</f>
        <v/>
      </c>
      <c r="Z471">
        <f>HYPERLINK("https://klasma.github.io/Logging_0883/fåglar/A 39836-2020 prioriterade fågelarter.docx", "A 39836-2020")</f>
        <v/>
      </c>
    </row>
    <row r="472" ht="15" customHeight="1">
      <c r="A472" t="inlineStr">
        <is>
          <t>A 49001-2021</t>
        </is>
      </c>
      <c r="B472" s="1" t="n">
        <v>44453</v>
      </c>
      <c r="C472" s="1" t="n">
        <v>45884</v>
      </c>
      <c r="D472" t="inlineStr">
        <is>
          <t>KALMAR LÄN</t>
        </is>
      </c>
      <c r="E472" t="inlineStr">
        <is>
          <t>TORSÅS</t>
        </is>
      </c>
      <c r="G472" t="n">
        <v>1</v>
      </c>
      <c r="H472" t="n">
        <v>0</v>
      </c>
      <c r="I472" t="n">
        <v>1</v>
      </c>
      <c r="J472" t="n">
        <v>0</v>
      </c>
      <c r="K472" t="n">
        <v>0</v>
      </c>
      <c r="L472" t="n">
        <v>0</v>
      </c>
      <c r="M472" t="n">
        <v>0</v>
      </c>
      <c r="N472" t="n">
        <v>0</v>
      </c>
      <c r="O472" t="n">
        <v>0</v>
      </c>
      <c r="P472" t="n">
        <v>0</v>
      </c>
      <c r="Q472" t="n">
        <v>1</v>
      </c>
      <c r="R472" s="2" t="inlineStr">
        <is>
          <t>Blåmossa</t>
        </is>
      </c>
      <c r="S472">
        <f>HYPERLINK("https://klasma.github.io/Logging_0834/artfynd/A 49001-2021 artfynd.xlsx", "A 49001-2021")</f>
        <v/>
      </c>
      <c r="T472">
        <f>HYPERLINK("https://klasma.github.io/Logging_0834/kartor/A 49001-2021 karta.png", "A 49001-2021")</f>
        <v/>
      </c>
      <c r="V472">
        <f>HYPERLINK("https://klasma.github.io/Logging_0834/klagomål/A 49001-2021 FSC-klagomål.docx", "A 49001-2021")</f>
        <v/>
      </c>
      <c r="W472">
        <f>HYPERLINK("https://klasma.github.io/Logging_0834/klagomålsmail/A 49001-2021 FSC-klagomål mail.docx", "A 49001-2021")</f>
        <v/>
      </c>
      <c r="X472">
        <f>HYPERLINK("https://klasma.github.io/Logging_0834/tillsyn/A 49001-2021 tillsynsbegäran.docx", "A 49001-2021")</f>
        <v/>
      </c>
      <c r="Y472">
        <f>HYPERLINK("https://klasma.github.io/Logging_0834/tillsynsmail/A 49001-2021 tillsynsbegäran mail.docx", "A 49001-2021")</f>
        <v/>
      </c>
    </row>
    <row r="473" ht="15" customHeight="1">
      <c r="A473" t="inlineStr">
        <is>
          <t>A 12329-2021</t>
        </is>
      </c>
      <c r="B473" s="1" t="n">
        <v>44267</v>
      </c>
      <c r="C473" s="1" t="n">
        <v>45884</v>
      </c>
      <c r="D473" t="inlineStr">
        <is>
          <t>KALMAR LÄN</t>
        </is>
      </c>
      <c r="E473" t="inlineStr">
        <is>
          <t>OSKARSHAMN</t>
        </is>
      </c>
      <c r="G473" t="n">
        <v>16.6</v>
      </c>
      <c r="H473" t="n">
        <v>0</v>
      </c>
      <c r="I473" t="n">
        <v>0</v>
      </c>
      <c r="J473" t="n">
        <v>1</v>
      </c>
      <c r="K473" t="n">
        <v>0</v>
      </c>
      <c r="L473" t="n">
        <v>0</v>
      </c>
      <c r="M473" t="n">
        <v>0</v>
      </c>
      <c r="N473" t="n">
        <v>0</v>
      </c>
      <c r="O473" t="n">
        <v>1</v>
      </c>
      <c r="P473" t="n">
        <v>0</v>
      </c>
      <c r="Q473" t="n">
        <v>1</v>
      </c>
      <c r="R473" s="2" t="inlineStr">
        <is>
          <t>Åkerkulla</t>
        </is>
      </c>
      <c r="S473">
        <f>HYPERLINK("https://klasma.github.io/Logging_0882/artfynd/A 12329-2021 artfynd.xlsx", "A 12329-2021")</f>
        <v/>
      </c>
      <c r="T473">
        <f>HYPERLINK("https://klasma.github.io/Logging_0882/kartor/A 12329-2021 karta.png", "A 12329-2021")</f>
        <v/>
      </c>
      <c r="V473">
        <f>HYPERLINK("https://klasma.github.io/Logging_0882/klagomål/A 12329-2021 FSC-klagomål.docx", "A 12329-2021")</f>
        <v/>
      </c>
      <c r="W473">
        <f>HYPERLINK("https://klasma.github.io/Logging_0882/klagomålsmail/A 12329-2021 FSC-klagomål mail.docx", "A 12329-2021")</f>
        <v/>
      </c>
      <c r="X473">
        <f>HYPERLINK("https://klasma.github.io/Logging_0882/tillsyn/A 12329-2021 tillsynsbegäran.docx", "A 12329-2021")</f>
        <v/>
      </c>
      <c r="Y473">
        <f>HYPERLINK("https://klasma.github.io/Logging_0882/tillsynsmail/A 12329-2021 tillsynsbegäran mail.docx", "A 12329-2021")</f>
        <v/>
      </c>
    </row>
    <row r="474" ht="15" customHeight="1">
      <c r="A474" t="inlineStr">
        <is>
          <t>A 32936-2021</t>
        </is>
      </c>
      <c r="B474" s="1" t="n">
        <v>44375</v>
      </c>
      <c r="C474" s="1" t="n">
        <v>45884</v>
      </c>
      <c r="D474" t="inlineStr">
        <is>
          <t>KALMAR LÄN</t>
        </is>
      </c>
      <c r="E474" t="inlineStr">
        <is>
          <t>NYBRO</t>
        </is>
      </c>
      <c r="G474" t="n">
        <v>1.9</v>
      </c>
      <c r="H474" t="n">
        <v>1</v>
      </c>
      <c r="I474" t="n">
        <v>0</v>
      </c>
      <c r="J474" t="n">
        <v>0</v>
      </c>
      <c r="K474" t="n">
        <v>0</v>
      </c>
      <c r="L474" t="n">
        <v>0</v>
      </c>
      <c r="M474" t="n">
        <v>0</v>
      </c>
      <c r="N474" t="n">
        <v>0</v>
      </c>
      <c r="O474" t="n">
        <v>0</v>
      </c>
      <c r="P474" t="n">
        <v>0</v>
      </c>
      <c r="Q474" t="n">
        <v>1</v>
      </c>
      <c r="R474" s="2" t="inlineStr">
        <is>
          <t>Orre</t>
        </is>
      </c>
      <c r="S474">
        <f>HYPERLINK("https://klasma.github.io/Logging_0881/artfynd/A 32936-2021 artfynd.xlsx", "A 32936-2021")</f>
        <v/>
      </c>
      <c r="T474">
        <f>HYPERLINK("https://klasma.github.io/Logging_0881/kartor/A 32936-2021 karta.png", "A 32936-2021")</f>
        <v/>
      </c>
      <c r="V474">
        <f>HYPERLINK("https://klasma.github.io/Logging_0881/klagomål/A 32936-2021 FSC-klagomål.docx", "A 32936-2021")</f>
        <v/>
      </c>
      <c r="W474">
        <f>HYPERLINK("https://klasma.github.io/Logging_0881/klagomålsmail/A 32936-2021 FSC-klagomål mail.docx", "A 32936-2021")</f>
        <v/>
      </c>
      <c r="X474">
        <f>HYPERLINK("https://klasma.github.io/Logging_0881/tillsyn/A 32936-2021 tillsynsbegäran.docx", "A 32936-2021")</f>
        <v/>
      </c>
      <c r="Y474">
        <f>HYPERLINK("https://klasma.github.io/Logging_0881/tillsynsmail/A 32936-2021 tillsynsbegäran mail.docx", "A 32936-2021")</f>
        <v/>
      </c>
      <c r="Z474">
        <f>HYPERLINK("https://klasma.github.io/Logging_0881/fåglar/A 32936-2021 prioriterade fågelarter.docx", "A 32936-2021")</f>
        <v/>
      </c>
    </row>
    <row r="475" ht="15" customHeight="1">
      <c r="A475" t="inlineStr">
        <is>
          <t>A 6849-2022</t>
        </is>
      </c>
      <c r="B475" s="1" t="n">
        <v>44602</v>
      </c>
      <c r="C475" s="1" t="n">
        <v>45884</v>
      </c>
      <c r="D475" t="inlineStr">
        <is>
          <t>KALMAR LÄN</t>
        </is>
      </c>
      <c r="E475" t="inlineStr">
        <is>
          <t>NYBRO</t>
        </is>
      </c>
      <c r="G475" t="n">
        <v>1.8</v>
      </c>
      <c r="H475" t="n">
        <v>0</v>
      </c>
      <c r="I475" t="n">
        <v>1</v>
      </c>
      <c r="J475" t="n">
        <v>0</v>
      </c>
      <c r="K475" t="n">
        <v>0</v>
      </c>
      <c r="L475" t="n">
        <v>0</v>
      </c>
      <c r="M475" t="n">
        <v>0</v>
      </c>
      <c r="N475" t="n">
        <v>0</v>
      </c>
      <c r="O475" t="n">
        <v>0</v>
      </c>
      <c r="P475" t="n">
        <v>0</v>
      </c>
      <c r="Q475" t="n">
        <v>1</v>
      </c>
      <c r="R475" s="2" t="inlineStr">
        <is>
          <t>Vågbandad barkbock</t>
        </is>
      </c>
      <c r="S475">
        <f>HYPERLINK("https://klasma.github.io/Logging_0881/artfynd/A 6849-2022 artfynd.xlsx", "A 6849-2022")</f>
        <v/>
      </c>
      <c r="T475">
        <f>HYPERLINK("https://klasma.github.io/Logging_0881/kartor/A 6849-2022 karta.png", "A 6849-2022")</f>
        <v/>
      </c>
      <c r="V475">
        <f>HYPERLINK("https://klasma.github.io/Logging_0881/klagomål/A 6849-2022 FSC-klagomål.docx", "A 6849-2022")</f>
        <v/>
      </c>
      <c r="W475">
        <f>HYPERLINK("https://klasma.github.io/Logging_0881/klagomålsmail/A 6849-2022 FSC-klagomål mail.docx", "A 6849-2022")</f>
        <v/>
      </c>
      <c r="X475">
        <f>HYPERLINK("https://klasma.github.io/Logging_0881/tillsyn/A 6849-2022 tillsynsbegäran.docx", "A 6849-2022")</f>
        <v/>
      </c>
      <c r="Y475">
        <f>HYPERLINK("https://klasma.github.io/Logging_0881/tillsynsmail/A 6849-2022 tillsynsbegäran mail.docx", "A 6849-2022")</f>
        <v/>
      </c>
    </row>
    <row r="476" ht="15" customHeight="1">
      <c r="A476" t="inlineStr">
        <is>
          <t>A 69632-2020</t>
        </is>
      </c>
      <c r="B476" s="1" t="n">
        <v>44195</v>
      </c>
      <c r="C476" s="1" t="n">
        <v>45884</v>
      </c>
      <c r="D476" t="inlineStr">
        <is>
          <t>KALMAR LÄN</t>
        </is>
      </c>
      <c r="E476" t="inlineStr">
        <is>
          <t>VÄSTERVIK</t>
        </is>
      </c>
      <c r="G476" t="n">
        <v>2.5</v>
      </c>
      <c r="H476" t="n">
        <v>0</v>
      </c>
      <c r="I476" t="n">
        <v>0</v>
      </c>
      <c r="J476" t="n">
        <v>1</v>
      </c>
      <c r="K476" t="n">
        <v>0</v>
      </c>
      <c r="L476" t="n">
        <v>0</v>
      </c>
      <c r="M476" t="n">
        <v>0</v>
      </c>
      <c r="N476" t="n">
        <v>0</v>
      </c>
      <c r="O476" t="n">
        <v>1</v>
      </c>
      <c r="P476" t="n">
        <v>0</v>
      </c>
      <c r="Q476" t="n">
        <v>1</v>
      </c>
      <c r="R476" s="2" t="inlineStr">
        <is>
          <t>Tallticka</t>
        </is>
      </c>
      <c r="S476">
        <f>HYPERLINK("https://klasma.github.io/Logging_0883/artfynd/A 69632-2020 artfynd.xlsx", "A 69632-2020")</f>
        <v/>
      </c>
      <c r="T476">
        <f>HYPERLINK("https://klasma.github.io/Logging_0883/kartor/A 69632-2020 karta.png", "A 69632-2020")</f>
        <v/>
      </c>
      <c r="V476">
        <f>HYPERLINK("https://klasma.github.io/Logging_0883/klagomål/A 69632-2020 FSC-klagomål.docx", "A 69632-2020")</f>
        <v/>
      </c>
      <c r="W476">
        <f>HYPERLINK("https://klasma.github.io/Logging_0883/klagomålsmail/A 69632-2020 FSC-klagomål mail.docx", "A 69632-2020")</f>
        <v/>
      </c>
      <c r="X476">
        <f>HYPERLINK("https://klasma.github.io/Logging_0883/tillsyn/A 69632-2020 tillsynsbegäran.docx", "A 69632-2020")</f>
        <v/>
      </c>
      <c r="Y476">
        <f>HYPERLINK("https://klasma.github.io/Logging_0883/tillsynsmail/A 69632-2020 tillsynsbegäran mail.docx", "A 69632-2020")</f>
        <v/>
      </c>
    </row>
    <row r="477" ht="15" customHeight="1">
      <c r="A477" t="inlineStr">
        <is>
          <t>A 37346-2021</t>
        </is>
      </c>
      <c r="B477" s="1" t="n">
        <v>44397.6375462963</v>
      </c>
      <c r="C477" s="1" t="n">
        <v>45884</v>
      </c>
      <c r="D477" t="inlineStr">
        <is>
          <t>KALMAR LÄN</t>
        </is>
      </c>
      <c r="E477" t="inlineStr">
        <is>
          <t>HULTSFRED</t>
        </is>
      </c>
      <c r="G477" t="n">
        <v>5.9</v>
      </c>
      <c r="H477" t="n">
        <v>1</v>
      </c>
      <c r="I477" t="n">
        <v>0</v>
      </c>
      <c r="J477" t="n">
        <v>0</v>
      </c>
      <c r="K477" t="n">
        <v>1</v>
      </c>
      <c r="L477" t="n">
        <v>0</v>
      </c>
      <c r="M477" t="n">
        <v>0</v>
      </c>
      <c r="N477" t="n">
        <v>0</v>
      </c>
      <c r="O477" t="n">
        <v>1</v>
      </c>
      <c r="P477" t="n">
        <v>1</v>
      </c>
      <c r="Q477" t="n">
        <v>1</v>
      </c>
      <c r="R477" s="2" t="inlineStr">
        <is>
          <t>Knärot</t>
        </is>
      </c>
      <c r="S477">
        <f>HYPERLINK("https://klasma.github.io/Logging_0860/artfynd/A 37346-2021 artfynd.xlsx", "A 37346-2021")</f>
        <v/>
      </c>
      <c r="T477">
        <f>HYPERLINK("https://klasma.github.io/Logging_0860/kartor/A 37346-2021 karta.png", "A 37346-2021")</f>
        <v/>
      </c>
      <c r="U477">
        <f>HYPERLINK("https://klasma.github.io/Logging_0860/knärot/A 37346-2021 karta knärot.png", "A 37346-2021")</f>
        <v/>
      </c>
      <c r="V477">
        <f>HYPERLINK("https://klasma.github.io/Logging_0860/klagomål/A 37346-2021 FSC-klagomål.docx", "A 37346-2021")</f>
        <v/>
      </c>
      <c r="W477">
        <f>HYPERLINK("https://klasma.github.io/Logging_0860/klagomålsmail/A 37346-2021 FSC-klagomål mail.docx", "A 37346-2021")</f>
        <v/>
      </c>
      <c r="X477">
        <f>HYPERLINK("https://klasma.github.io/Logging_0860/tillsyn/A 37346-2021 tillsynsbegäran.docx", "A 37346-2021")</f>
        <v/>
      </c>
      <c r="Y477">
        <f>HYPERLINK("https://klasma.github.io/Logging_0860/tillsynsmail/A 37346-2021 tillsynsbegäran mail.docx", "A 37346-2021")</f>
        <v/>
      </c>
    </row>
    <row r="478" ht="15" customHeight="1">
      <c r="A478" t="inlineStr">
        <is>
          <t>A 52831-2021</t>
        </is>
      </c>
      <c r="B478" s="1" t="n">
        <v>44467</v>
      </c>
      <c r="C478" s="1" t="n">
        <v>45884</v>
      </c>
      <c r="D478" t="inlineStr">
        <is>
          <t>KALMAR LÄN</t>
        </is>
      </c>
      <c r="E478" t="inlineStr">
        <is>
          <t>VÄSTERVIK</t>
        </is>
      </c>
      <c r="G478" t="n">
        <v>0.8</v>
      </c>
      <c r="H478" t="n">
        <v>0</v>
      </c>
      <c r="I478" t="n">
        <v>0</v>
      </c>
      <c r="J478" t="n">
        <v>1</v>
      </c>
      <c r="K478" t="n">
        <v>0</v>
      </c>
      <c r="L478" t="n">
        <v>0</v>
      </c>
      <c r="M478" t="n">
        <v>0</v>
      </c>
      <c r="N478" t="n">
        <v>0</v>
      </c>
      <c r="O478" t="n">
        <v>1</v>
      </c>
      <c r="P478" t="n">
        <v>0</v>
      </c>
      <c r="Q478" t="n">
        <v>1</v>
      </c>
      <c r="R478" s="2" t="inlineStr">
        <is>
          <t>Tallticka</t>
        </is>
      </c>
      <c r="S478">
        <f>HYPERLINK("https://klasma.github.io/Logging_0883/artfynd/A 52831-2021 artfynd.xlsx", "A 52831-2021")</f>
        <v/>
      </c>
      <c r="T478">
        <f>HYPERLINK("https://klasma.github.io/Logging_0883/kartor/A 52831-2021 karta.png", "A 52831-2021")</f>
        <v/>
      </c>
      <c r="V478">
        <f>HYPERLINK("https://klasma.github.io/Logging_0883/klagomål/A 52831-2021 FSC-klagomål.docx", "A 52831-2021")</f>
        <v/>
      </c>
      <c r="W478">
        <f>HYPERLINK("https://klasma.github.io/Logging_0883/klagomålsmail/A 52831-2021 FSC-klagomål mail.docx", "A 52831-2021")</f>
        <v/>
      </c>
      <c r="X478">
        <f>HYPERLINK("https://klasma.github.io/Logging_0883/tillsyn/A 52831-2021 tillsynsbegäran.docx", "A 52831-2021")</f>
        <v/>
      </c>
      <c r="Y478">
        <f>HYPERLINK("https://klasma.github.io/Logging_0883/tillsynsmail/A 52831-2021 tillsynsbegäran mail.docx", "A 52831-2021")</f>
        <v/>
      </c>
    </row>
    <row r="479" ht="15" customHeight="1">
      <c r="A479" t="inlineStr">
        <is>
          <t>A 51244-2021</t>
        </is>
      </c>
      <c r="B479" s="1" t="n">
        <v>44460</v>
      </c>
      <c r="C479" s="1" t="n">
        <v>45884</v>
      </c>
      <c r="D479" t="inlineStr">
        <is>
          <t>KALMAR LÄN</t>
        </is>
      </c>
      <c r="E479" t="inlineStr">
        <is>
          <t>MÖRBYLÅNGA</t>
        </is>
      </c>
      <c r="G479" t="n">
        <v>1.9</v>
      </c>
      <c r="H479" t="n">
        <v>0</v>
      </c>
      <c r="I479" t="n">
        <v>0</v>
      </c>
      <c r="J479" t="n">
        <v>0</v>
      </c>
      <c r="K479" t="n">
        <v>0</v>
      </c>
      <c r="L479" t="n">
        <v>1</v>
      </c>
      <c r="M479" t="n">
        <v>0</v>
      </c>
      <c r="N479" t="n">
        <v>0</v>
      </c>
      <c r="O479" t="n">
        <v>1</v>
      </c>
      <c r="P479" t="n">
        <v>1</v>
      </c>
      <c r="Q479" t="n">
        <v>1</v>
      </c>
      <c r="R479" s="2" t="inlineStr">
        <is>
          <t>Stäppbandbi</t>
        </is>
      </c>
      <c r="S479">
        <f>HYPERLINK("https://klasma.github.io/Logging_0840/artfynd/A 51244-2021 artfynd.xlsx", "A 51244-2021")</f>
        <v/>
      </c>
      <c r="T479">
        <f>HYPERLINK("https://klasma.github.io/Logging_0840/kartor/A 51244-2021 karta.png", "A 51244-2021")</f>
        <v/>
      </c>
      <c r="V479">
        <f>HYPERLINK("https://klasma.github.io/Logging_0840/klagomål/A 51244-2021 FSC-klagomål.docx", "A 51244-2021")</f>
        <v/>
      </c>
      <c r="W479">
        <f>HYPERLINK("https://klasma.github.io/Logging_0840/klagomålsmail/A 51244-2021 FSC-klagomål mail.docx", "A 51244-2021")</f>
        <v/>
      </c>
      <c r="X479">
        <f>HYPERLINK("https://klasma.github.io/Logging_0840/tillsyn/A 51244-2021 tillsynsbegäran.docx", "A 51244-2021")</f>
        <v/>
      </c>
      <c r="Y479">
        <f>HYPERLINK("https://klasma.github.io/Logging_0840/tillsynsmail/A 51244-2021 tillsynsbegäran mail.docx", "A 51244-2021")</f>
        <v/>
      </c>
    </row>
    <row r="480" ht="15" customHeight="1">
      <c r="A480" t="inlineStr">
        <is>
          <t>A 38954-2021</t>
        </is>
      </c>
      <c r="B480" s="1" t="n">
        <v>44411.66887731481</v>
      </c>
      <c r="C480" s="1" t="n">
        <v>45884</v>
      </c>
      <c r="D480" t="inlineStr">
        <is>
          <t>KALMAR LÄN</t>
        </is>
      </c>
      <c r="E480" t="inlineStr">
        <is>
          <t>OSKARSHAMN</t>
        </is>
      </c>
      <c r="G480" t="n">
        <v>7.3</v>
      </c>
      <c r="H480" t="n">
        <v>1</v>
      </c>
      <c r="I480" t="n">
        <v>0</v>
      </c>
      <c r="J480" t="n">
        <v>0</v>
      </c>
      <c r="K480" t="n">
        <v>0</v>
      </c>
      <c r="L480" t="n">
        <v>0</v>
      </c>
      <c r="M480" t="n">
        <v>0</v>
      </c>
      <c r="N480" t="n">
        <v>0</v>
      </c>
      <c r="O480" t="n">
        <v>0</v>
      </c>
      <c r="P480" t="n">
        <v>0</v>
      </c>
      <c r="Q480" t="n">
        <v>1</v>
      </c>
      <c r="R480" s="2" t="inlineStr">
        <is>
          <t>Tjäder</t>
        </is>
      </c>
      <c r="S480">
        <f>HYPERLINK("https://klasma.github.io/Logging_0882/artfynd/A 38954-2021 artfynd.xlsx", "A 38954-2021")</f>
        <v/>
      </c>
      <c r="T480">
        <f>HYPERLINK("https://klasma.github.io/Logging_0882/kartor/A 38954-2021 karta.png", "A 38954-2021")</f>
        <v/>
      </c>
      <c r="V480">
        <f>HYPERLINK("https://klasma.github.io/Logging_0882/klagomål/A 38954-2021 FSC-klagomål.docx", "A 38954-2021")</f>
        <v/>
      </c>
      <c r="W480">
        <f>HYPERLINK("https://klasma.github.io/Logging_0882/klagomålsmail/A 38954-2021 FSC-klagomål mail.docx", "A 38954-2021")</f>
        <v/>
      </c>
      <c r="X480">
        <f>HYPERLINK("https://klasma.github.io/Logging_0882/tillsyn/A 38954-2021 tillsynsbegäran.docx", "A 38954-2021")</f>
        <v/>
      </c>
      <c r="Y480">
        <f>HYPERLINK("https://klasma.github.io/Logging_0882/tillsynsmail/A 38954-2021 tillsynsbegäran mail.docx", "A 38954-2021")</f>
        <v/>
      </c>
      <c r="Z480">
        <f>HYPERLINK("https://klasma.github.io/Logging_0882/fåglar/A 38954-2021 prioriterade fågelarter.docx", "A 38954-2021")</f>
        <v/>
      </c>
    </row>
    <row r="481" ht="15" customHeight="1">
      <c r="A481" t="inlineStr">
        <is>
          <t>A 42374-2021</t>
        </is>
      </c>
      <c r="B481" s="1" t="n">
        <v>44427</v>
      </c>
      <c r="C481" s="1" t="n">
        <v>45884</v>
      </c>
      <c r="D481" t="inlineStr">
        <is>
          <t>KALMAR LÄN</t>
        </is>
      </c>
      <c r="E481" t="inlineStr">
        <is>
          <t>OSKARSHAMN</t>
        </is>
      </c>
      <c r="G481" t="n">
        <v>29.4</v>
      </c>
      <c r="H481" t="n">
        <v>1</v>
      </c>
      <c r="I481" t="n">
        <v>0</v>
      </c>
      <c r="J481" t="n">
        <v>1</v>
      </c>
      <c r="K481" t="n">
        <v>0</v>
      </c>
      <c r="L481" t="n">
        <v>0</v>
      </c>
      <c r="M481" t="n">
        <v>0</v>
      </c>
      <c r="N481" t="n">
        <v>0</v>
      </c>
      <c r="O481" t="n">
        <v>1</v>
      </c>
      <c r="P481" t="n">
        <v>0</v>
      </c>
      <c r="Q481" t="n">
        <v>1</v>
      </c>
      <c r="R481" s="2" t="inlineStr">
        <is>
          <t>Talltita</t>
        </is>
      </c>
      <c r="S481">
        <f>HYPERLINK("https://klasma.github.io/Logging_0882/artfynd/A 42374-2021 artfynd.xlsx", "A 42374-2021")</f>
        <v/>
      </c>
      <c r="T481">
        <f>HYPERLINK("https://klasma.github.io/Logging_0882/kartor/A 42374-2021 karta.png", "A 42374-2021")</f>
        <v/>
      </c>
      <c r="V481">
        <f>HYPERLINK("https://klasma.github.io/Logging_0882/klagomål/A 42374-2021 FSC-klagomål.docx", "A 42374-2021")</f>
        <v/>
      </c>
      <c r="W481">
        <f>HYPERLINK("https://klasma.github.io/Logging_0882/klagomålsmail/A 42374-2021 FSC-klagomål mail.docx", "A 42374-2021")</f>
        <v/>
      </c>
      <c r="X481">
        <f>HYPERLINK("https://klasma.github.io/Logging_0882/tillsyn/A 42374-2021 tillsynsbegäran.docx", "A 42374-2021")</f>
        <v/>
      </c>
      <c r="Y481">
        <f>HYPERLINK("https://klasma.github.io/Logging_0882/tillsynsmail/A 42374-2021 tillsynsbegäran mail.docx", "A 42374-2021")</f>
        <v/>
      </c>
      <c r="Z481">
        <f>HYPERLINK("https://klasma.github.io/Logging_0882/fåglar/A 42374-2021 prioriterade fågelarter.docx", "A 42374-2021")</f>
        <v/>
      </c>
    </row>
    <row r="482" ht="15" customHeight="1">
      <c r="A482" t="inlineStr">
        <is>
          <t>A 12295-2021</t>
        </is>
      </c>
      <c r="B482" s="1" t="n">
        <v>44267.34533564815</v>
      </c>
      <c r="C482" s="1" t="n">
        <v>45884</v>
      </c>
      <c r="D482" t="inlineStr">
        <is>
          <t>KALMAR LÄN</t>
        </is>
      </c>
      <c r="E482" t="inlineStr">
        <is>
          <t>TORSÅS</t>
        </is>
      </c>
      <c r="G482" t="n">
        <v>12</v>
      </c>
      <c r="H482" t="n">
        <v>1</v>
      </c>
      <c r="I482" t="n">
        <v>0</v>
      </c>
      <c r="J482" t="n">
        <v>0</v>
      </c>
      <c r="K482" t="n">
        <v>0</v>
      </c>
      <c r="L482" t="n">
        <v>0</v>
      </c>
      <c r="M482" t="n">
        <v>0</v>
      </c>
      <c r="N482" t="n">
        <v>0</v>
      </c>
      <c r="O482" t="n">
        <v>0</v>
      </c>
      <c r="P482" t="n">
        <v>0</v>
      </c>
      <c r="Q482" t="n">
        <v>1</v>
      </c>
      <c r="R482" s="2" t="inlineStr">
        <is>
          <t>Revlummer</t>
        </is>
      </c>
      <c r="S482">
        <f>HYPERLINK("https://klasma.github.io/Logging_0834/artfynd/A 12295-2021 artfynd.xlsx", "A 12295-2021")</f>
        <v/>
      </c>
      <c r="T482">
        <f>HYPERLINK("https://klasma.github.io/Logging_0834/kartor/A 12295-2021 karta.png", "A 12295-2021")</f>
        <v/>
      </c>
      <c r="V482">
        <f>HYPERLINK("https://klasma.github.io/Logging_0834/klagomål/A 12295-2021 FSC-klagomål.docx", "A 12295-2021")</f>
        <v/>
      </c>
      <c r="W482">
        <f>HYPERLINK("https://klasma.github.io/Logging_0834/klagomålsmail/A 12295-2021 FSC-klagomål mail.docx", "A 12295-2021")</f>
        <v/>
      </c>
      <c r="X482">
        <f>HYPERLINK("https://klasma.github.io/Logging_0834/tillsyn/A 12295-2021 tillsynsbegäran.docx", "A 12295-2021")</f>
        <v/>
      </c>
      <c r="Y482">
        <f>HYPERLINK("https://klasma.github.io/Logging_0834/tillsynsmail/A 12295-2021 tillsynsbegäran mail.docx", "A 12295-2021")</f>
        <v/>
      </c>
    </row>
    <row r="483" ht="15" customHeight="1">
      <c r="A483" t="inlineStr">
        <is>
          <t>A 54675-2022</t>
        </is>
      </c>
      <c r="B483" s="1" t="n">
        <v>44883.45847222222</v>
      </c>
      <c r="C483" s="1" t="n">
        <v>45884</v>
      </c>
      <c r="D483" t="inlineStr">
        <is>
          <t>KALMAR LÄN</t>
        </is>
      </c>
      <c r="E483" t="inlineStr">
        <is>
          <t>HULTSFRED</t>
        </is>
      </c>
      <c r="G483" t="n">
        <v>1.1</v>
      </c>
      <c r="H483" t="n">
        <v>1</v>
      </c>
      <c r="I483" t="n">
        <v>0</v>
      </c>
      <c r="J483" t="n">
        <v>1</v>
      </c>
      <c r="K483" t="n">
        <v>0</v>
      </c>
      <c r="L483" t="n">
        <v>0</v>
      </c>
      <c r="M483" t="n">
        <v>0</v>
      </c>
      <c r="N483" t="n">
        <v>0</v>
      </c>
      <c r="O483" t="n">
        <v>1</v>
      </c>
      <c r="P483" t="n">
        <v>0</v>
      </c>
      <c r="Q483" t="n">
        <v>1</v>
      </c>
      <c r="R483" s="2" t="inlineStr">
        <is>
          <t>Talltita</t>
        </is>
      </c>
      <c r="S483">
        <f>HYPERLINK("https://klasma.github.io/Logging_0860/artfynd/A 54675-2022 artfynd.xlsx", "A 54675-2022")</f>
        <v/>
      </c>
      <c r="T483">
        <f>HYPERLINK("https://klasma.github.io/Logging_0860/kartor/A 54675-2022 karta.png", "A 54675-2022")</f>
        <v/>
      </c>
      <c r="V483">
        <f>HYPERLINK("https://klasma.github.io/Logging_0860/klagomål/A 54675-2022 FSC-klagomål.docx", "A 54675-2022")</f>
        <v/>
      </c>
      <c r="W483">
        <f>HYPERLINK("https://klasma.github.io/Logging_0860/klagomålsmail/A 54675-2022 FSC-klagomål mail.docx", "A 54675-2022")</f>
        <v/>
      </c>
      <c r="X483">
        <f>HYPERLINK("https://klasma.github.io/Logging_0860/tillsyn/A 54675-2022 tillsynsbegäran.docx", "A 54675-2022")</f>
        <v/>
      </c>
      <c r="Y483">
        <f>HYPERLINK("https://klasma.github.io/Logging_0860/tillsynsmail/A 54675-2022 tillsynsbegäran mail.docx", "A 54675-2022")</f>
        <v/>
      </c>
      <c r="Z483">
        <f>HYPERLINK("https://klasma.github.io/Logging_0860/fåglar/A 54675-2022 prioriterade fågelarter.docx", "A 54675-2022")</f>
        <v/>
      </c>
    </row>
    <row r="484" ht="15" customHeight="1">
      <c r="A484" t="inlineStr">
        <is>
          <t>A 831-2022</t>
        </is>
      </c>
      <c r="B484" s="1" t="n">
        <v>44571.39400462963</v>
      </c>
      <c r="C484" s="1" t="n">
        <v>45884</v>
      </c>
      <c r="D484" t="inlineStr">
        <is>
          <t>KALMAR LÄN</t>
        </is>
      </c>
      <c r="E484" t="inlineStr">
        <is>
          <t>TORSÅS</t>
        </is>
      </c>
      <c r="G484" t="n">
        <v>0.5</v>
      </c>
      <c r="H484" t="n">
        <v>1</v>
      </c>
      <c r="I484" t="n">
        <v>0</v>
      </c>
      <c r="J484" t="n">
        <v>0</v>
      </c>
      <c r="K484" t="n">
        <v>1</v>
      </c>
      <c r="L484" t="n">
        <v>0</v>
      </c>
      <c r="M484" t="n">
        <v>0</v>
      </c>
      <c r="N484" t="n">
        <v>0</v>
      </c>
      <c r="O484" t="n">
        <v>1</v>
      </c>
      <c r="P484" t="n">
        <v>1</v>
      </c>
      <c r="Q484" t="n">
        <v>1</v>
      </c>
      <c r="R484" s="2" t="inlineStr">
        <is>
          <t>Knärot</t>
        </is>
      </c>
      <c r="S484">
        <f>HYPERLINK("https://klasma.github.io/Logging_0834/artfynd/A 831-2022 artfynd.xlsx", "A 831-2022")</f>
        <v/>
      </c>
      <c r="T484">
        <f>HYPERLINK("https://klasma.github.io/Logging_0834/kartor/A 831-2022 karta.png", "A 831-2022")</f>
        <v/>
      </c>
      <c r="U484">
        <f>HYPERLINK("https://klasma.github.io/Logging_0834/knärot/A 831-2022 karta knärot.png", "A 831-2022")</f>
        <v/>
      </c>
      <c r="V484">
        <f>HYPERLINK("https://klasma.github.io/Logging_0834/klagomål/A 831-2022 FSC-klagomål.docx", "A 831-2022")</f>
        <v/>
      </c>
      <c r="W484">
        <f>HYPERLINK("https://klasma.github.io/Logging_0834/klagomålsmail/A 831-2022 FSC-klagomål mail.docx", "A 831-2022")</f>
        <v/>
      </c>
      <c r="X484">
        <f>HYPERLINK("https://klasma.github.io/Logging_0834/tillsyn/A 831-2022 tillsynsbegäran.docx", "A 831-2022")</f>
        <v/>
      </c>
      <c r="Y484">
        <f>HYPERLINK("https://klasma.github.io/Logging_0834/tillsynsmail/A 831-2022 tillsynsbegäran mail.docx", "A 831-2022")</f>
        <v/>
      </c>
    </row>
    <row r="485" ht="15" customHeight="1">
      <c r="A485" t="inlineStr">
        <is>
          <t>A 32396-2021</t>
        </is>
      </c>
      <c r="B485" s="1" t="n">
        <v>44371</v>
      </c>
      <c r="C485" s="1" t="n">
        <v>45884</v>
      </c>
      <c r="D485" t="inlineStr">
        <is>
          <t>KALMAR LÄN</t>
        </is>
      </c>
      <c r="E485" t="inlineStr">
        <is>
          <t>VIMMERBY</t>
        </is>
      </c>
      <c r="G485" t="n">
        <v>2.8</v>
      </c>
      <c r="H485" t="n">
        <v>1</v>
      </c>
      <c r="I485" t="n">
        <v>0</v>
      </c>
      <c r="J485" t="n">
        <v>0</v>
      </c>
      <c r="K485" t="n">
        <v>0</v>
      </c>
      <c r="L485" t="n">
        <v>0</v>
      </c>
      <c r="M485" t="n">
        <v>0</v>
      </c>
      <c r="N485" t="n">
        <v>0</v>
      </c>
      <c r="O485" t="n">
        <v>0</v>
      </c>
      <c r="P485" t="n">
        <v>0</v>
      </c>
      <c r="Q485" t="n">
        <v>1</v>
      </c>
      <c r="R485" s="2" t="inlineStr">
        <is>
          <t>Blåsippa</t>
        </is>
      </c>
      <c r="S485">
        <f>HYPERLINK("https://klasma.github.io/Logging_0884/artfynd/A 32396-2021 artfynd.xlsx", "A 32396-2021")</f>
        <v/>
      </c>
      <c r="T485">
        <f>HYPERLINK("https://klasma.github.io/Logging_0884/kartor/A 32396-2021 karta.png", "A 32396-2021")</f>
        <v/>
      </c>
      <c r="V485">
        <f>HYPERLINK("https://klasma.github.io/Logging_0884/klagomål/A 32396-2021 FSC-klagomål.docx", "A 32396-2021")</f>
        <v/>
      </c>
      <c r="W485">
        <f>HYPERLINK("https://klasma.github.io/Logging_0884/klagomålsmail/A 32396-2021 FSC-klagomål mail.docx", "A 32396-2021")</f>
        <v/>
      </c>
      <c r="X485">
        <f>HYPERLINK("https://klasma.github.io/Logging_0884/tillsyn/A 32396-2021 tillsynsbegäran.docx", "A 32396-2021")</f>
        <v/>
      </c>
      <c r="Y485">
        <f>HYPERLINK("https://klasma.github.io/Logging_0884/tillsynsmail/A 32396-2021 tillsynsbegäran mail.docx", "A 32396-2021")</f>
        <v/>
      </c>
    </row>
    <row r="486" ht="15" customHeight="1">
      <c r="A486" t="inlineStr">
        <is>
          <t>A 31295-2022</t>
        </is>
      </c>
      <c r="B486" s="1" t="n">
        <v>44772</v>
      </c>
      <c r="C486" s="1" t="n">
        <v>45884</v>
      </c>
      <c r="D486" t="inlineStr">
        <is>
          <t>KALMAR LÄN</t>
        </is>
      </c>
      <c r="E486" t="inlineStr">
        <is>
          <t>BORGHOLM</t>
        </is>
      </c>
      <c r="F486" t="inlineStr">
        <is>
          <t>Sveaskog</t>
        </is>
      </c>
      <c r="G486" t="n">
        <v>6.1</v>
      </c>
      <c r="H486" t="n">
        <v>0</v>
      </c>
      <c r="I486" t="n">
        <v>0</v>
      </c>
      <c r="J486" t="n">
        <v>0</v>
      </c>
      <c r="K486" t="n">
        <v>0</v>
      </c>
      <c r="L486" t="n">
        <v>1</v>
      </c>
      <c r="M486" t="n">
        <v>0</v>
      </c>
      <c r="N486" t="n">
        <v>0</v>
      </c>
      <c r="O486" t="n">
        <v>1</v>
      </c>
      <c r="P486" t="n">
        <v>1</v>
      </c>
      <c r="Q486" t="n">
        <v>1</v>
      </c>
      <c r="R486" s="2" t="inlineStr">
        <is>
          <t>Skärrande gräshoppa</t>
        </is>
      </c>
      <c r="S486">
        <f>HYPERLINK("https://klasma.github.io/Logging_0885/artfynd/A 31295-2022 artfynd.xlsx", "A 31295-2022")</f>
        <v/>
      </c>
      <c r="T486">
        <f>HYPERLINK("https://klasma.github.io/Logging_0885/kartor/A 31295-2022 karta.png", "A 31295-2022")</f>
        <v/>
      </c>
      <c r="V486">
        <f>HYPERLINK("https://klasma.github.io/Logging_0885/klagomål/A 31295-2022 FSC-klagomål.docx", "A 31295-2022")</f>
        <v/>
      </c>
      <c r="W486">
        <f>HYPERLINK("https://klasma.github.io/Logging_0885/klagomålsmail/A 31295-2022 FSC-klagomål mail.docx", "A 31295-2022")</f>
        <v/>
      </c>
      <c r="X486">
        <f>HYPERLINK("https://klasma.github.io/Logging_0885/tillsyn/A 31295-2022 tillsynsbegäran.docx", "A 31295-2022")</f>
        <v/>
      </c>
      <c r="Y486">
        <f>HYPERLINK("https://klasma.github.io/Logging_0885/tillsynsmail/A 31295-2022 tillsynsbegäran mail.docx", "A 31295-2022")</f>
        <v/>
      </c>
    </row>
    <row r="487" ht="15" customHeight="1">
      <c r="A487" t="inlineStr">
        <is>
          <t>A 66329-2020</t>
        </is>
      </c>
      <c r="B487" s="1" t="n">
        <v>44176</v>
      </c>
      <c r="C487" s="1" t="n">
        <v>45884</v>
      </c>
      <c r="D487" t="inlineStr">
        <is>
          <t>KALMAR LÄN</t>
        </is>
      </c>
      <c r="E487" t="inlineStr">
        <is>
          <t>BORGHOLM</t>
        </is>
      </c>
      <c r="G487" t="n">
        <v>7.4</v>
      </c>
      <c r="H487" t="n">
        <v>0</v>
      </c>
      <c r="I487" t="n">
        <v>0</v>
      </c>
      <c r="J487" t="n">
        <v>1</v>
      </c>
      <c r="K487" t="n">
        <v>0</v>
      </c>
      <c r="L487" t="n">
        <v>0</v>
      </c>
      <c r="M487" t="n">
        <v>0</v>
      </c>
      <c r="N487" t="n">
        <v>0</v>
      </c>
      <c r="O487" t="n">
        <v>1</v>
      </c>
      <c r="P487" t="n">
        <v>0</v>
      </c>
      <c r="Q487" t="n">
        <v>1</v>
      </c>
      <c r="R487" s="2" t="inlineStr">
        <is>
          <t>Säfferot</t>
        </is>
      </c>
      <c r="S487">
        <f>HYPERLINK("https://klasma.github.io/Logging_0885/artfynd/A 66329-2020 artfynd.xlsx", "A 66329-2020")</f>
        <v/>
      </c>
      <c r="T487">
        <f>HYPERLINK("https://klasma.github.io/Logging_0885/kartor/A 66329-2020 karta.png", "A 66329-2020")</f>
        <v/>
      </c>
      <c r="V487">
        <f>HYPERLINK("https://klasma.github.io/Logging_0885/klagomål/A 66329-2020 FSC-klagomål.docx", "A 66329-2020")</f>
        <v/>
      </c>
      <c r="W487">
        <f>HYPERLINK("https://klasma.github.io/Logging_0885/klagomålsmail/A 66329-2020 FSC-klagomål mail.docx", "A 66329-2020")</f>
        <v/>
      </c>
      <c r="X487">
        <f>HYPERLINK("https://klasma.github.io/Logging_0885/tillsyn/A 66329-2020 tillsynsbegäran.docx", "A 66329-2020")</f>
        <v/>
      </c>
      <c r="Y487">
        <f>HYPERLINK("https://klasma.github.io/Logging_0885/tillsynsmail/A 66329-2020 tillsynsbegäran mail.docx", "A 66329-2020")</f>
        <v/>
      </c>
    </row>
    <row r="488" ht="15" customHeight="1">
      <c r="A488" t="inlineStr">
        <is>
          <t>A 29455-2021</t>
        </is>
      </c>
      <c r="B488" s="1" t="n">
        <v>44361</v>
      </c>
      <c r="C488" s="1" t="n">
        <v>45884</v>
      </c>
      <c r="D488" t="inlineStr">
        <is>
          <t>KALMAR LÄN</t>
        </is>
      </c>
      <c r="E488" t="inlineStr">
        <is>
          <t>VÄSTERVIK</t>
        </is>
      </c>
      <c r="F488" t="inlineStr">
        <is>
          <t>Övriga Aktiebolag</t>
        </is>
      </c>
      <c r="G488" t="n">
        <v>3.1</v>
      </c>
      <c r="H488" t="n">
        <v>1</v>
      </c>
      <c r="I488" t="n">
        <v>0</v>
      </c>
      <c r="J488" t="n">
        <v>0</v>
      </c>
      <c r="K488" t="n">
        <v>1</v>
      </c>
      <c r="L488" t="n">
        <v>0</v>
      </c>
      <c r="M488" t="n">
        <v>0</v>
      </c>
      <c r="N488" t="n">
        <v>0</v>
      </c>
      <c r="O488" t="n">
        <v>1</v>
      </c>
      <c r="P488" t="n">
        <v>1</v>
      </c>
      <c r="Q488" t="n">
        <v>1</v>
      </c>
      <c r="R488" s="2" t="inlineStr">
        <is>
          <t>Knärot</t>
        </is>
      </c>
      <c r="S488">
        <f>HYPERLINK("https://klasma.github.io/Logging_0883/artfynd/A 29455-2021 artfynd.xlsx", "A 29455-2021")</f>
        <v/>
      </c>
      <c r="T488">
        <f>HYPERLINK("https://klasma.github.io/Logging_0883/kartor/A 29455-2021 karta.png", "A 29455-2021")</f>
        <v/>
      </c>
      <c r="U488">
        <f>HYPERLINK("https://klasma.github.io/Logging_0883/knärot/A 29455-2021 karta knärot.png", "A 29455-2021")</f>
        <v/>
      </c>
      <c r="V488">
        <f>HYPERLINK("https://klasma.github.io/Logging_0883/klagomål/A 29455-2021 FSC-klagomål.docx", "A 29455-2021")</f>
        <v/>
      </c>
      <c r="W488">
        <f>HYPERLINK("https://klasma.github.io/Logging_0883/klagomålsmail/A 29455-2021 FSC-klagomål mail.docx", "A 29455-2021")</f>
        <v/>
      </c>
      <c r="X488">
        <f>HYPERLINK("https://klasma.github.io/Logging_0883/tillsyn/A 29455-2021 tillsynsbegäran.docx", "A 29455-2021")</f>
        <v/>
      </c>
      <c r="Y488">
        <f>HYPERLINK("https://klasma.github.io/Logging_0883/tillsynsmail/A 29455-2021 tillsynsbegäran mail.docx", "A 29455-2021")</f>
        <v/>
      </c>
    </row>
    <row r="489" ht="15" customHeight="1">
      <c r="A489" t="inlineStr">
        <is>
          <t>A 59361-2023</t>
        </is>
      </c>
      <c r="B489" s="1" t="n">
        <v>45253</v>
      </c>
      <c r="C489" s="1" t="n">
        <v>45884</v>
      </c>
      <c r="D489" t="inlineStr">
        <is>
          <t>KALMAR LÄN</t>
        </is>
      </c>
      <c r="E489" t="inlineStr">
        <is>
          <t>TORSÅS</t>
        </is>
      </c>
      <c r="G489" t="n">
        <v>1.7</v>
      </c>
      <c r="H489" t="n">
        <v>0</v>
      </c>
      <c r="I489" t="n">
        <v>1</v>
      </c>
      <c r="J489" t="n">
        <v>0</v>
      </c>
      <c r="K489" t="n">
        <v>0</v>
      </c>
      <c r="L489" t="n">
        <v>0</v>
      </c>
      <c r="M489" t="n">
        <v>0</v>
      </c>
      <c r="N489" t="n">
        <v>0</v>
      </c>
      <c r="O489" t="n">
        <v>0</v>
      </c>
      <c r="P489" t="n">
        <v>0</v>
      </c>
      <c r="Q489" t="n">
        <v>1</v>
      </c>
      <c r="R489" s="2" t="inlineStr">
        <is>
          <t>Murgröna</t>
        </is>
      </c>
      <c r="S489">
        <f>HYPERLINK("https://klasma.github.io/Logging_0834/artfynd/A 59361-2023 artfynd.xlsx", "A 59361-2023")</f>
        <v/>
      </c>
      <c r="T489">
        <f>HYPERLINK("https://klasma.github.io/Logging_0834/kartor/A 59361-2023 karta.png", "A 59361-2023")</f>
        <v/>
      </c>
      <c r="V489">
        <f>HYPERLINK("https://klasma.github.io/Logging_0834/klagomål/A 59361-2023 FSC-klagomål.docx", "A 59361-2023")</f>
        <v/>
      </c>
      <c r="W489">
        <f>HYPERLINK("https://klasma.github.io/Logging_0834/klagomålsmail/A 59361-2023 FSC-klagomål mail.docx", "A 59361-2023")</f>
        <v/>
      </c>
      <c r="X489">
        <f>HYPERLINK("https://klasma.github.io/Logging_0834/tillsyn/A 59361-2023 tillsynsbegäran.docx", "A 59361-2023")</f>
        <v/>
      </c>
      <c r="Y489">
        <f>HYPERLINK("https://klasma.github.io/Logging_0834/tillsynsmail/A 59361-2023 tillsynsbegäran mail.docx", "A 59361-2023")</f>
        <v/>
      </c>
    </row>
    <row r="490" ht="15" customHeight="1">
      <c r="A490" t="inlineStr">
        <is>
          <t>A 31556-2023</t>
        </is>
      </c>
      <c r="B490" s="1" t="n">
        <v>45117</v>
      </c>
      <c r="C490" s="1" t="n">
        <v>45884</v>
      </c>
      <c r="D490" t="inlineStr">
        <is>
          <t>KALMAR LÄN</t>
        </is>
      </c>
      <c r="E490" t="inlineStr">
        <is>
          <t>KALMAR</t>
        </is>
      </c>
      <c r="G490" t="n">
        <v>11</v>
      </c>
      <c r="H490" t="n">
        <v>0</v>
      </c>
      <c r="I490" t="n">
        <v>1</v>
      </c>
      <c r="J490" t="n">
        <v>0</v>
      </c>
      <c r="K490" t="n">
        <v>0</v>
      </c>
      <c r="L490" t="n">
        <v>0</v>
      </c>
      <c r="M490" t="n">
        <v>0</v>
      </c>
      <c r="N490" t="n">
        <v>0</v>
      </c>
      <c r="O490" t="n">
        <v>0</v>
      </c>
      <c r="P490" t="n">
        <v>0</v>
      </c>
      <c r="Q490" t="n">
        <v>1</v>
      </c>
      <c r="R490" s="2" t="inlineStr">
        <is>
          <t>Murgröna</t>
        </is>
      </c>
      <c r="S490">
        <f>HYPERLINK("https://klasma.github.io/Logging_0880/artfynd/A 31556-2023 artfynd.xlsx", "A 31556-2023")</f>
        <v/>
      </c>
      <c r="T490">
        <f>HYPERLINK("https://klasma.github.io/Logging_0880/kartor/A 31556-2023 karta.png", "A 31556-2023")</f>
        <v/>
      </c>
      <c r="V490">
        <f>HYPERLINK("https://klasma.github.io/Logging_0880/klagomål/A 31556-2023 FSC-klagomål.docx", "A 31556-2023")</f>
        <v/>
      </c>
      <c r="W490">
        <f>HYPERLINK("https://klasma.github.io/Logging_0880/klagomålsmail/A 31556-2023 FSC-klagomål mail.docx", "A 31556-2023")</f>
        <v/>
      </c>
      <c r="X490">
        <f>HYPERLINK("https://klasma.github.io/Logging_0880/tillsyn/A 31556-2023 tillsynsbegäran.docx", "A 31556-2023")</f>
        <v/>
      </c>
      <c r="Y490">
        <f>HYPERLINK("https://klasma.github.io/Logging_0880/tillsynsmail/A 31556-2023 tillsynsbegäran mail.docx", "A 31556-2023")</f>
        <v/>
      </c>
    </row>
    <row r="491" ht="15" customHeight="1">
      <c r="A491" t="inlineStr">
        <is>
          <t>A 33815-2023</t>
        </is>
      </c>
      <c r="B491" s="1" t="n">
        <v>45133.59306712963</v>
      </c>
      <c r="C491" s="1" t="n">
        <v>45884</v>
      </c>
      <c r="D491" t="inlineStr">
        <is>
          <t>KALMAR LÄN</t>
        </is>
      </c>
      <c r="E491" t="inlineStr">
        <is>
          <t>VÄSTERVIK</t>
        </is>
      </c>
      <c r="G491" t="n">
        <v>3.4</v>
      </c>
      <c r="H491" t="n">
        <v>0</v>
      </c>
      <c r="I491" t="n">
        <v>1</v>
      </c>
      <c r="J491" t="n">
        <v>0</v>
      </c>
      <c r="K491" t="n">
        <v>0</v>
      </c>
      <c r="L491" t="n">
        <v>0</v>
      </c>
      <c r="M491" t="n">
        <v>0</v>
      </c>
      <c r="N491" t="n">
        <v>0</v>
      </c>
      <c r="O491" t="n">
        <v>0</v>
      </c>
      <c r="P491" t="n">
        <v>0</v>
      </c>
      <c r="Q491" t="n">
        <v>1</v>
      </c>
      <c r="R491" s="2" t="inlineStr">
        <is>
          <t>Grönpyrola</t>
        </is>
      </c>
      <c r="S491">
        <f>HYPERLINK("https://klasma.github.io/Logging_0883/artfynd/A 33815-2023 artfynd.xlsx", "A 33815-2023")</f>
        <v/>
      </c>
      <c r="T491">
        <f>HYPERLINK("https://klasma.github.io/Logging_0883/kartor/A 33815-2023 karta.png", "A 33815-2023")</f>
        <v/>
      </c>
      <c r="V491">
        <f>HYPERLINK("https://klasma.github.io/Logging_0883/klagomål/A 33815-2023 FSC-klagomål.docx", "A 33815-2023")</f>
        <v/>
      </c>
      <c r="W491">
        <f>HYPERLINK("https://klasma.github.io/Logging_0883/klagomålsmail/A 33815-2023 FSC-klagomål mail.docx", "A 33815-2023")</f>
        <v/>
      </c>
      <c r="X491">
        <f>HYPERLINK("https://klasma.github.io/Logging_0883/tillsyn/A 33815-2023 tillsynsbegäran.docx", "A 33815-2023")</f>
        <v/>
      </c>
      <c r="Y491">
        <f>HYPERLINK("https://klasma.github.io/Logging_0883/tillsynsmail/A 33815-2023 tillsynsbegäran mail.docx", "A 33815-2023")</f>
        <v/>
      </c>
    </row>
    <row r="492" ht="15" customHeight="1">
      <c r="A492" t="inlineStr">
        <is>
          <t>A 33816-2023</t>
        </is>
      </c>
      <c r="B492" s="1" t="n">
        <v>45133.59490740741</v>
      </c>
      <c r="C492" s="1" t="n">
        <v>45884</v>
      </c>
      <c r="D492" t="inlineStr">
        <is>
          <t>KALMAR LÄN</t>
        </is>
      </c>
      <c r="E492" t="inlineStr">
        <is>
          <t>VÄSTERVIK</t>
        </is>
      </c>
      <c r="G492" t="n">
        <v>4.9</v>
      </c>
      <c r="H492" t="n">
        <v>0</v>
      </c>
      <c r="I492" t="n">
        <v>0</v>
      </c>
      <c r="J492" t="n">
        <v>1</v>
      </c>
      <c r="K492" t="n">
        <v>0</v>
      </c>
      <c r="L492" t="n">
        <v>0</v>
      </c>
      <c r="M492" t="n">
        <v>0</v>
      </c>
      <c r="N492" t="n">
        <v>0</v>
      </c>
      <c r="O492" t="n">
        <v>1</v>
      </c>
      <c r="P492" t="n">
        <v>0</v>
      </c>
      <c r="Q492" t="n">
        <v>1</v>
      </c>
      <c r="R492" s="2" t="inlineStr">
        <is>
          <t>Tallticka</t>
        </is>
      </c>
      <c r="S492">
        <f>HYPERLINK("https://klasma.github.io/Logging_0883/artfynd/A 33816-2023 artfynd.xlsx", "A 33816-2023")</f>
        <v/>
      </c>
      <c r="T492">
        <f>HYPERLINK("https://klasma.github.io/Logging_0883/kartor/A 33816-2023 karta.png", "A 33816-2023")</f>
        <v/>
      </c>
      <c r="V492">
        <f>HYPERLINK("https://klasma.github.io/Logging_0883/klagomål/A 33816-2023 FSC-klagomål.docx", "A 33816-2023")</f>
        <v/>
      </c>
      <c r="W492">
        <f>HYPERLINK("https://klasma.github.io/Logging_0883/klagomålsmail/A 33816-2023 FSC-klagomål mail.docx", "A 33816-2023")</f>
        <v/>
      </c>
      <c r="X492">
        <f>HYPERLINK("https://klasma.github.io/Logging_0883/tillsyn/A 33816-2023 tillsynsbegäran.docx", "A 33816-2023")</f>
        <v/>
      </c>
      <c r="Y492">
        <f>HYPERLINK("https://klasma.github.io/Logging_0883/tillsynsmail/A 33816-2023 tillsynsbegäran mail.docx", "A 33816-2023")</f>
        <v/>
      </c>
    </row>
    <row r="493" ht="15" customHeight="1">
      <c r="A493" t="inlineStr">
        <is>
          <t>A 10333-2023</t>
        </is>
      </c>
      <c r="B493" s="1" t="n">
        <v>44980</v>
      </c>
      <c r="C493" s="1" t="n">
        <v>45884</v>
      </c>
      <c r="D493" t="inlineStr">
        <is>
          <t>KALMAR LÄN</t>
        </is>
      </c>
      <c r="E493" t="inlineStr">
        <is>
          <t>HULTSFRED</t>
        </is>
      </c>
      <c r="G493" t="n">
        <v>5</v>
      </c>
      <c r="H493" t="n">
        <v>1</v>
      </c>
      <c r="I493" t="n">
        <v>0</v>
      </c>
      <c r="J493" t="n">
        <v>0</v>
      </c>
      <c r="K493" t="n">
        <v>0</v>
      </c>
      <c r="L493" t="n">
        <v>0</v>
      </c>
      <c r="M493" t="n">
        <v>0</v>
      </c>
      <c r="N493" t="n">
        <v>0</v>
      </c>
      <c r="O493" t="n">
        <v>0</v>
      </c>
      <c r="P493" t="n">
        <v>0</v>
      </c>
      <c r="Q493" t="n">
        <v>1</v>
      </c>
      <c r="R493" s="2" t="inlineStr">
        <is>
          <t>Blåsippa</t>
        </is>
      </c>
      <c r="S493">
        <f>HYPERLINK("https://klasma.github.io/Logging_0860/artfynd/A 10333-2023 artfynd.xlsx", "A 10333-2023")</f>
        <v/>
      </c>
      <c r="T493">
        <f>HYPERLINK("https://klasma.github.io/Logging_0860/kartor/A 10333-2023 karta.png", "A 10333-2023")</f>
        <v/>
      </c>
      <c r="V493">
        <f>HYPERLINK("https://klasma.github.io/Logging_0860/klagomål/A 10333-2023 FSC-klagomål.docx", "A 10333-2023")</f>
        <v/>
      </c>
      <c r="W493">
        <f>HYPERLINK("https://klasma.github.io/Logging_0860/klagomålsmail/A 10333-2023 FSC-klagomål mail.docx", "A 10333-2023")</f>
        <v/>
      </c>
      <c r="X493">
        <f>HYPERLINK("https://klasma.github.io/Logging_0860/tillsyn/A 10333-2023 tillsynsbegäran.docx", "A 10333-2023")</f>
        <v/>
      </c>
      <c r="Y493">
        <f>HYPERLINK("https://klasma.github.io/Logging_0860/tillsynsmail/A 10333-2023 tillsynsbegäran mail.docx", "A 10333-2023")</f>
        <v/>
      </c>
    </row>
    <row r="494" ht="15" customHeight="1">
      <c r="A494" t="inlineStr">
        <is>
          <t>A 42740-2024</t>
        </is>
      </c>
      <c r="B494" s="1" t="n">
        <v>45566.4780787037</v>
      </c>
      <c r="C494" s="1" t="n">
        <v>45884</v>
      </c>
      <c r="D494" t="inlineStr">
        <is>
          <t>KALMAR LÄN</t>
        </is>
      </c>
      <c r="E494" t="inlineStr">
        <is>
          <t>HULTSFRED</t>
        </is>
      </c>
      <c r="G494" t="n">
        <v>1.1</v>
      </c>
      <c r="H494" t="n">
        <v>0</v>
      </c>
      <c r="I494" t="n">
        <v>1</v>
      </c>
      <c r="J494" t="n">
        <v>0</v>
      </c>
      <c r="K494" t="n">
        <v>0</v>
      </c>
      <c r="L494" t="n">
        <v>0</v>
      </c>
      <c r="M494" t="n">
        <v>0</v>
      </c>
      <c r="N494" t="n">
        <v>0</v>
      </c>
      <c r="O494" t="n">
        <v>0</v>
      </c>
      <c r="P494" t="n">
        <v>0</v>
      </c>
      <c r="Q494" t="n">
        <v>1</v>
      </c>
      <c r="R494" s="2" t="inlineStr">
        <is>
          <t>Grönpyrola</t>
        </is>
      </c>
      <c r="S494">
        <f>HYPERLINK("https://klasma.github.io/Logging_0860/artfynd/A 42740-2024 artfynd.xlsx", "A 42740-2024")</f>
        <v/>
      </c>
      <c r="T494">
        <f>HYPERLINK("https://klasma.github.io/Logging_0860/kartor/A 42740-2024 karta.png", "A 42740-2024")</f>
        <v/>
      </c>
      <c r="V494">
        <f>HYPERLINK("https://klasma.github.io/Logging_0860/klagomål/A 42740-2024 FSC-klagomål.docx", "A 42740-2024")</f>
        <v/>
      </c>
      <c r="W494">
        <f>HYPERLINK("https://klasma.github.io/Logging_0860/klagomålsmail/A 42740-2024 FSC-klagomål mail.docx", "A 42740-2024")</f>
        <v/>
      </c>
      <c r="X494">
        <f>HYPERLINK("https://klasma.github.io/Logging_0860/tillsyn/A 42740-2024 tillsynsbegäran.docx", "A 42740-2024")</f>
        <v/>
      </c>
      <c r="Y494">
        <f>HYPERLINK("https://klasma.github.io/Logging_0860/tillsynsmail/A 42740-2024 tillsynsbegäran mail.docx", "A 42740-2024")</f>
        <v/>
      </c>
    </row>
    <row r="495" ht="15" customHeight="1">
      <c r="A495" t="inlineStr">
        <is>
          <t>A 8304-2024</t>
        </is>
      </c>
      <c r="B495" s="1" t="n">
        <v>45350</v>
      </c>
      <c r="C495" s="1" t="n">
        <v>45884</v>
      </c>
      <c r="D495" t="inlineStr">
        <is>
          <t>KALMAR LÄN</t>
        </is>
      </c>
      <c r="E495" t="inlineStr">
        <is>
          <t>TORSÅS</t>
        </is>
      </c>
      <c r="G495" t="n">
        <v>0.9</v>
      </c>
      <c r="H495" t="n">
        <v>0</v>
      </c>
      <c r="I495" t="n">
        <v>0</v>
      </c>
      <c r="J495" t="n">
        <v>0</v>
      </c>
      <c r="K495" t="n">
        <v>0</v>
      </c>
      <c r="L495" t="n">
        <v>1</v>
      </c>
      <c r="M495" t="n">
        <v>0</v>
      </c>
      <c r="N495" t="n">
        <v>0</v>
      </c>
      <c r="O495" t="n">
        <v>1</v>
      </c>
      <c r="P495" t="n">
        <v>1</v>
      </c>
      <c r="Q495" t="n">
        <v>1</v>
      </c>
      <c r="R495" s="2" t="inlineStr">
        <is>
          <t>Korndådra</t>
        </is>
      </c>
      <c r="S495">
        <f>HYPERLINK("https://klasma.github.io/Logging_0834/artfynd/A 8304-2024 artfynd.xlsx", "A 8304-2024")</f>
        <v/>
      </c>
      <c r="T495">
        <f>HYPERLINK("https://klasma.github.io/Logging_0834/kartor/A 8304-2024 karta.png", "A 8304-2024")</f>
        <v/>
      </c>
      <c r="V495">
        <f>HYPERLINK("https://klasma.github.io/Logging_0834/klagomål/A 8304-2024 FSC-klagomål.docx", "A 8304-2024")</f>
        <v/>
      </c>
      <c r="W495">
        <f>HYPERLINK("https://klasma.github.io/Logging_0834/klagomålsmail/A 8304-2024 FSC-klagomål mail.docx", "A 8304-2024")</f>
        <v/>
      </c>
      <c r="X495">
        <f>HYPERLINK("https://klasma.github.io/Logging_0834/tillsyn/A 8304-2024 tillsynsbegäran.docx", "A 8304-2024")</f>
        <v/>
      </c>
      <c r="Y495">
        <f>HYPERLINK("https://klasma.github.io/Logging_0834/tillsynsmail/A 8304-2024 tillsynsbegäran mail.docx", "A 8304-2024")</f>
        <v/>
      </c>
    </row>
    <row r="496" ht="15" customHeight="1">
      <c r="A496" t="inlineStr">
        <is>
          <t>A 20233-2021</t>
        </is>
      </c>
      <c r="B496" s="1" t="n">
        <v>44314</v>
      </c>
      <c r="C496" s="1" t="n">
        <v>45884</v>
      </c>
      <c r="D496" t="inlineStr">
        <is>
          <t>KALMAR LÄN</t>
        </is>
      </c>
      <c r="E496" t="inlineStr">
        <is>
          <t>VÄSTERVIK</t>
        </is>
      </c>
      <c r="F496" t="inlineStr">
        <is>
          <t>Holmen skog AB</t>
        </is>
      </c>
      <c r="G496" t="n">
        <v>11.8</v>
      </c>
      <c r="H496" t="n">
        <v>0</v>
      </c>
      <c r="I496" t="n">
        <v>0</v>
      </c>
      <c r="J496" t="n">
        <v>1</v>
      </c>
      <c r="K496" t="n">
        <v>0</v>
      </c>
      <c r="L496" t="n">
        <v>0</v>
      </c>
      <c r="M496" t="n">
        <v>0</v>
      </c>
      <c r="N496" t="n">
        <v>0</v>
      </c>
      <c r="O496" t="n">
        <v>1</v>
      </c>
      <c r="P496" t="n">
        <v>0</v>
      </c>
      <c r="Q496" t="n">
        <v>1</v>
      </c>
      <c r="R496" s="2" t="inlineStr">
        <is>
          <t>Skogsklocka</t>
        </is>
      </c>
      <c r="S496">
        <f>HYPERLINK("https://klasma.github.io/Logging_0883/artfynd/A 20233-2021 artfynd.xlsx", "A 20233-2021")</f>
        <v/>
      </c>
      <c r="T496">
        <f>HYPERLINK("https://klasma.github.io/Logging_0883/kartor/A 20233-2021 karta.png", "A 20233-2021")</f>
        <v/>
      </c>
      <c r="V496">
        <f>HYPERLINK("https://klasma.github.io/Logging_0883/klagomål/A 20233-2021 FSC-klagomål.docx", "A 20233-2021")</f>
        <v/>
      </c>
      <c r="W496">
        <f>HYPERLINK("https://klasma.github.io/Logging_0883/klagomålsmail/A 20233-2021 FSC-klagomål mail.docx", "A 20233-2021")</f>
        <v/>
      </c>
      <c r="X496">
        <f>HYPERLINK("https://klasma.github.io/Logging_0883/tillsyn/A 20233-2021 tillsynsbegäran.docx", "A 20233-2021")</f>
        <v/>
      </c>
      <c r="Y496">
        <f>HYPERLINK("https://klasma.github.io/Logging_0883/tillsynsmail/A 20233-2021 tillsynsbegäran mail.docx", "A 20233-2021")</f>
        <v/>
      </c>
    </row>
    <row r="497" ht="15" customHeight="1">
      <c r="A497" t="inlineStr">
        <is>
          <t>A 6025-2024</t>
        </is>
      </c>
      <c r="B497" s="1" t="n">
        <v>45336</v>
      </c>
      <c r="C497" s="1" t="n">
        <v>45884</v>
      </c>
      <c r="D497" t="inlineStr">
        <is>
          <t>KALMAR LÄN</t>
        </is>
      </c>
      <c r="E497" t="inlineStr">
        <is>
          <t>VÄSTERVIK</t>
        </is>
      </c>
      <c r="G497" t="n">
        <v>2.8</v>
      </c>
      <c r="H497" t="n">
        <v>0</v>
      </c>
      <c r="I497" t="n">
        <v>0</v>
      </c>
      <c r="J497" t="n">
        <v>1</v>
      </c>
      <c r="K497" t="n">
        <v>0</v>
      </c>
      <c r="L497" t="n">
        <v>0</v>
      </c>
      <c r="M497" t="n">
        <v>0</v>
      </c>
      <c r="N497" t="n">
        <v>0</v>
      </c>
      <c r="O497" t="n">
        <v>1</v>
      </c>
      <c r="P497" t="n">
        <v>0</v>
      </c>
      <c r="Q497" t="n">
        <v>1</v>
      </c>
      <c r="R497" s="2" t="inlineStr">
        <is>
          <t>Tallticka</t>
        </is>
      </c>
      <c r="S497">
        <f>HYPERLINK("https://klasma.github.io/Logging_0883/artfynd/A 6025-2024 artfynd.xlsx", "A 6025-2024")</f>
        <v/>
      </c>
      <c r="T497">
        <f>HYPERLINK("https://klasma.github.io/Logging_0883/kartor/A 6025-2024 karta.png", "A 6025-2024")</f>
        <v/>
      </c>
      <c r="V497">
        <f>HYPERLINK("https://klasma.github.io/Logging_0883/klagomål/A 6025-2024 FSC-klagomål.docx", "A 6025-2024")</f>
        <v/>
      </c>
      <c r="W497">
        <f>HYPERLINK("https://klasma.github.io/Logging_0883/klagomålsmail/A 6025-2024 FSC-klagomål mail.docx", "A 6025-2024")</f>
        <v/>
      </c>
      <c r="X497">
        <f>HYPERLINK("https://klasma.github.io/Logging_0883/tillsyn/A 6025-2024 tillsynsbegäran.docx", "A 6025-2024")</f>
        <v/>
      </c>
      <c r="Y497">
        <f>HYPERLINK("https://klasma.github.io/Logging_0883/tillsynsmail/A 6025-2024 tillsynsbegäran mail.docx", "A 6025-2024")</f>
        <v/>
      </c>
    </row>
    <row r="498" ht="15" customHeight="1">
      <c r="A498" t="inlineStr">
        <is>
          <t>A 41879-2022</t>
        </is>
      </c>
      <c r="B498" s="1" t="n">
        <v>44827</v>
      </c>
      <c r="C498" s="1" t="n">
        <v>45884</v>
      </c>
      <c r="D498" t="inlineStr">
        <is>
          <t>KALMAR LÄN</t>
        </is>
      </c>
      <c r="E498" t="inlineStr">
        <is>
          <t>MÖNSTERÅS</t>
        </is>
      </c>
      <c r="F498" t="inlineStr">
        <is>
          <t>Kyrkan</t>
        </is>
      </c>
      <c r="G498" t="n">
        <v>1</v>
      </c>
      <c r="H498" t="n">
        <v>0</v>
      </c>
      <c r="I498" t="n">
        <v>0</v>
      </c>
      <c r="J498" t="n">
        <v>1</v>
      </c>
      <c r="K498" t="n">
        <v>0</v>
      </c>
      <c r="L498" t="n">
        <v>0</v>
      </c>
      <c r="M498" t="n">
        <v>0</v>
      </c>
      <c r="N498" t="n">
        <v>0</v>
      </c>
      <c r="O498" t="n">
        <v>1</v>
      </c>
      <c r="P498" t="n">
        <v>0</v>
      </c>
      <c r="Q498" t="n">
        <v>1</v>
      </c>
      <c r="R498" s="2" t="inlineStr">
        <is>
          <t>Brunag</t>
        </is>
      </c>
      <c r="S498">
        <f>HYPERLINK("https://klasma.github.io/Logging_0861/artfynd/A 41879-2022 artfynd.xlsx", "A 41879-2022")</f>
        <v/>
      </c>
      <c r="T498">
        <f>HYPERLINK("https://klasma.github.io/Logging_0861/kartor/A 41879-2022 karta.png", "A 41879-2022")</f>
        <v/>
      </c>
      <c r="V498">
        <f>HYPERLINK("https://klasma.github.io/Logging_0861/klagomål/A 41879-2022 FSC-klagomål.docx", "A 41879-2022")</f>
        <v/>
      </c>
      <c r="W498">
        <f>HYPERLINK("https://klasma.github.io/Logging_0861/klagomålsmail/A 41879-2022 FSC-klagomål mail.docx", "A 41879-2022")</f>
        <v/>
      </c>
      <c r="X498">
        <f>HYPERLINK("https://klasma.github.io/Logging_0861/tillsyn/A 41879-2022 tillsynsbegäran.docx", "A 41879-2022")</f>
        <v/>
      </c>
      <c r="Y498">
        <f>HYPERLINK("https://klasma.github.io/Logging_0861/tillsynsmail/A 41879-2022 tillsynsbegäran mail.docx", "A 41879-2022")</f>
        <v/>
      </c>
    </row>
    <row r="499" ht="15" customHeight="1">
      <c r="A499" t="inlineStr">
        <is>
          <t>A 53841-2024</t>
        </is>
      </c>
      <c r="B499" s="1" t="n">
        <v>45615.62699074074</v>
      </c>
      <c r="C499" s="1" t="n">
        <v>45884</v>
      </c>
      <c r="D499" t="inlineStr">
        <is>
          <t>KALMAR LÄN</t>
        </is>
      </c>
      <c r="E499" t="inlineStr">
        <is>
          <t>NYBRO</t>
        </is>
      </c>
      <c r="G499" t="n">
        <v>1.8</v>
      </c>
      <c r="H499" t="n">
        <v>1</v>
      </c>
      <c r="I499" t="n">
        <v>0</v>
      </c>
      <c r="J499" t="n">
        <v>0</v>
      </c>
      <c r="K499" t="n">
        <v>0</v>
      </c>
      <c r="L499" t="n">
        <v>0</v>
      </c>
      <c r="M499" t="n">
        <v>0</v>
      </c>
      <c r="N499" t="n">
        <v>0</v>
      </c>
      <c r="O499" t="n">
        <v>0</v>
      </c>
      <c r="P499" t="n">
        <v>0</v>
      </c>
      <c r="Q499" t="n">
        <v>1</v>
      </c>
      <c r="R499" s="2" t="inlineStr">
        <is>
          <t>Mattlummer</t>
        </is>
      </c>
      <c r="S499">
        <f>HYPERLINK("https://klasma.github.io/Logging_0881/artfynd/A 53841-2024 artfynd.xlsx", "A 53841-2024")</f>
        <v/>
      </c>
      <c r="T499">
        <f>HYPERLINK("https://klasma.github.io/Logging_0881/kartor/A 53841-2024 karta.png", "A 53841-2024")</f>
        <v/>
      </c>
      <c r="V499">
        <f>HYPERLINK("https://klasma.github.io/Logging_0881/klagomål/A 53841-2024 FSC-klagomål.docx", "A 53841-2024")</f>
        <v/>
      </c>
      <c r="W499">
        <f>HYPERLINK("https://klasma.github.io/Logging_0881/klagomålsmail/A 53841-2024 FSC-klagomål mail.docx", "A 53841-2024")</f>
        <v/>
      </c>
      <c r="X499">
        <f>HYPERLINK("https://klasma.github.io/Logging_0881/tillsyn/A 53841-2024 tillsynsbegäran.docx", "A 53841-2024")</f>
        <v/>
      </c>
      <c r="Y499">
        <f>HYPERLINK("https://klasma.github.io/Logging_0881/tillsynsmail/A 53841-2024 tillsynsbegäran mail.docx", "A 53841-2024")</f>
        <v/>
      </c>
    </row>
    <row r="500" ht="15" customHeight="1">
      <c r="A500" t="inlineStr">
        <is>
          <t>A 49265-2024</t>
        </is>
      </c>
      <c r="B500" s="1" t="n">
        <v>45595</v>
      </c>
      <c r="C500" s="1" t="n">
        <v>45884</v>
      </c>
      <c r="D500" t="inlineStr">
        <is>
          <t>KALMAR LÄN</t>
        </is>
      </c>
      <c r="E500" t="inlineStr">
        <is>
          <t>HULTSFRED</t>
        </is>
      </c>
      <c r="G500" t="n">
        <v>4.9</v>
      </c>
      <c r="H500" t="n">
        <v>0</v>
      </c>
      <c r="I500" t="n">
        <v>0</v>
      </c>
      <c r="J500" t="n">
        <v>1</v>
      </c>
      <c r="K500" t="n">
        <v>0</v>
      </c>
      <c r="L500" t="n">
        <v>0</v>
      </c>
      <c r="M500" t="n">
        <v>0</v>
      </c>
      <c r="N500" t="n">
        <v>0</v>
      </c>
      <c r="O500" t="n">
        <v>1</v>
      </c>
      <c r="P500" t="n">
        <v>0</v>
      </c>
      <c r="Q500" t="n">
        <v>1</v>
      </c>
      <c r="R500" s="2" t="inlineStr">
        <is>
          <t>Tennfibbla</t>
        </is>
      </c>
      <c r="S500">
        <f>HYPERLINK("https://klasma.github.io/Logging_0860/artfynd/A 49265-2024 artfynd.xlsx", "A 49265-2024")</f>
        <v/>
      </c>
      <c r="T500">
        <f>HYPERLINK("https://klasma.github.io/Logging_0860/kartor/A 49265-2024 karta.png", "A 49265-2024")</f>
        <v/>
      </c>
      <c r="V500">
        <f>HYPERLINK("https://klasma.github.io/Logging_0860/klagomål/A 49265-2024 FSC-klagomål.docx", "A 49265-2024")</f>
        <v/>
      </c>
      <c r="W500">
        <f>HYPERLINK("https://klasma.github.io/Logging_0860/klagomålsmail/A 49265-2024 FSC-klagomål mail.docx", "A 49265-2024")</f>
        <v/>
      </c>
      <c r="X500">
        <f>HYPERLINK("https://klasma.github.io/Logging_0860/tillsyn/A 49265-2024 tillsynsbegäran.docx", "A 49265-2024")</f>
        <v/>
      </c>
      <c r="Y500">
        <f>HYPERLINK("https://klasma.github.io/Logging_0860/tillsynsmail/A 49265-2024 tillsynsbegäran mail.docx", "A 49265-2024")</f>
        <v/>
      </c>
    </row>
    <row r="501" ht="15" customHeight="1">
      <c r="A501" t="inlineStr">
        <is>
          <t>A 25447-2021</t>
        </is>
      </c>
      <c r="B501" s="1" t="n">
        <v>44342</v>
      </c>
      <c r="C501" s="1" t="n">
        <v>45884</v>
      </c>
      <c r="D501" t="inlineStr">
        <is>
          <t>KALMAR LÄN</t>
        </is>
      </c>
      <c r="E501" t="inlineStr">
        <is>
          <t>VÄSTERVIK</t>
        </is>
      </c>
      <c r="F501" t="inlineStr">
        <is>
          <t>Holmen skog AB</t>
        </is>
      </c>
      <c r="G501" t="n">
        <v>9</v>
      </c>
      <c r="H501" t="n">
        <v>1</v>
      </c>
      <c r="I501" t="n">
        <v>0</v>
      </c>
      <c r="J501" t="n">
        <v>0</v>
      </c>
      <c r="K501" t="n">
        <v>1</v>
      </c>
      <c r="L501" t="n">
        <v>0</v>
      </c>
      <c r="M501" t="n">
        <v>0</v>
      </c>
      <c r="N501" t="n">
        <v>0</v>
      </c>
      <c r="O501" t="n">
        <v>1</v>
      </c>
      <c r="P501" t="n">
        <v>1</v>
      </c>
      <c r="Q501" t="n">
        <v>1</v>
      </c>
      <c r="R501" s="2" t="inlineStr">
        <is>
          <t>Knärot</t>
        </is>
      </c>
      <c r="S501">
        <f>HYPERLINK("https://klasma.github.io/Logging_0883/artfynd/A 25447-2021 artfynd.xlsx", "A 25447-2021")</f>
        <v/>
      </c>
      <c r="T501">
        <f>HYPERLINK("https://klasma.github.io/Logging_0883/kartor/A 25447-2021 karta.png", "A 25447-2021")</f>
        <v/>
      </c>
      <c r="U501">
        <f>HYPERLINK("https://klasma.github.io/Logging_0883/knärot/A 25447-2021 karta knärot.png", "A 25447-2021")</f>
        <v/>
      </c>
      <c r="V501">
        <f>HYPERLINK("https://klasma.github.io/Logging_0883/klagomål/A 25447-2021 FSC-klagomål.docx", "A 25447-2021")</f>
        <v/>
      </c>
      <c r="W501">
        <f>HYPERLINK("https://klasma.github.io/Logging_0883/klagomålsmail/A 25447-2021 FSC-klagomål mail.docx", "A 25447-2021")</f>
        <v/>
      </c>
      <c r="X501">
        <f>HYPERLINK("https://klasma.github.io/Logging_0883/tillsyn/A 25447-2021 tillsynsbegäran.docx", "A 25447-2021")</f>
        <v/>
      </c>
      <c r="Y501">
        <f>HYPERLINK("https://klasma.github.io/Logging_0883/tillsynsmail/A 25447-2021 tillsynsbegäran mail.docx", "A 25447-2021")</f>
        <v/>
      </c>
    </row>
    <row r="502" ht="15" customHeight="1">
      <c r="A502" t="inlineStr">
        <is>
          <t>A 1519-2022</t>
        </is>
      </c>
      <c r="B502" s="1" t="n">
        <v>44573</v>
      </c>
      <c r="C502" s="1" t="n">
        <v>45884</v>
      </c>
      <c r="D502" t="inlineStr">
        <is>
          <t>KALMAR LÄN</t>
        </is>
      </c>
      <c r="E502" t="inlineStr">
        <is>
          <t>HÖGSBY</t>
        </is>
      </c>
      <c r="G502" t="n">
        <v>2.6</v>
      </c>
      <c r="H502" t="n">
        <v>0</v>
      </c>
      <c r="I502" t="n">
        <v>0</v>
      </c>
      <c r="J502" t="n">
        <v>0</v>
      </c>
      <c r="K502" t="n">
        <v>1</v>
      </c>
      <c r="L502" t="n">
        <v>0</v>
      </c>
      <c r="M502" t="n">
        <v>0</v>
      </c>
      <c r="N502" t="n">
        <v>0</v>
      </c>
      <c r="O502" t="n">
        <v>1</v>
      </c>
      <c r="P502" t="n">
        <v>1</v>
      </c>
      <c r="Q502" t="n">
        <v>1</v>
      </c>
      <c r="R502" s="2" t="inlineStr">
        <is>
          <t>Slåttergubbe</t>
        </is>
      </c>
      <c r="S502">
        <f>HYPERLINK("https://klasma.github.io/Logging_0821/artfynd/A 1519-2022 artfynd.xlsx", "A 1519-2022")</f>
        <v/>
      </c>
      <c r="T502">
        <f>HYPERLINK("https://klasma.github.io/Logging_0821/kartor/A 1519-2022 karta.png", "A 1519-2022")</f>
        <v/>
      </c>
      <c r="V502">
        <f>HYPERLINK("https://klasma.github.io/Logging_0821/klagomål/A 1519-2022 FSC-klagomål.docx", "A 1519-2022")</f>
        <v/>
      </c>
      <c r="W502">
        <f>HYPERLINK("https://klasma.github.io/Logging_0821/klagomålsmail/A 1519-2022 FSC-klagomål mail.docx", "A 1519-2022")</f>
        <v/>
      </c>
      <c r="X502">
        <f>HYPERLINK("https://klasma.github.io/Logging_0821/tillsyn/A 1519-2022 tillsynsbegäran.docx", "A 1519-2022")</f>
        <v/>
      </c>
      <c r="Y502">
        <f>HYPERLINK("https://klasma.github.io/Logging_0821/tillsynsmail/A 1519-2022 tillsynsbegäran mail.docx", "A 1519-2022")</f>
        <v/>
      </c>
    </row>
    <row r="503" ht="15" customHeight="1">
      <c r="A503" t="inlineStr">
        <is>
          <t>A 50008-2023</t>
        </is>
      </c>
      <c r="B503" s="1" t="n">
        <v>45215</v>
      </c>
      <c r="C503" s="1" t="n">
        <v>45884</v>
      </c>
      <c r="D503" t="inlineStr">
        <is>
          <t>KALMAR LÄN</t>
        </is>
      </c>
      <c r="E503" t="inlineStr">
        <is>
          <t>NYBRO</t>
        </is>
      </c>
      <c r="G503" t="n">
        <v>2.1</v>
      </c>
      <c r="H503" t="n">
        <v>0</v>
      </c>
      <c r="I503" t="n">
        <v>0</v>
      </c>
      <c r="J503" t="n">
        <v>1</v>
      </c>
      <c r="K503" t="n">
        <v>0</v>
      </c>
      <c r="L503" t="n">
        <v>0</v>
      </c>
      <c r="M503" t="n">
        <v>0</v>
      </c>
      <c r="N503" t="n">
        <v>0</v>
      </c>
      <c r="O503" t="n">
        <v>1</v>
      </c>
      <c r="P503" t="n">
        <v>0</v>
      </c>
      <c r="Q503" t="n">
        <v>1</v>
      </c>
      <c r="R503" s="2" t="inlineStr">
        <is>
          <t>Mindre bastardsvärmare</t>
        </is>
      </c>
      <c r="S503">
        <f>HYPERLINK("https://klasma.github.io/Logging_0881/artfynd/A 50008-2023 artfynd.xlsx", "A 50008-2023")</f>
        <v/>
      </c>
      <c r="T503">
        <f>HYPERLINK("https://klasma.github.io/Logging_0881/kartor/A 50008-2023 karta.png", "A 50008-2023")</f>
        <v/>
      </c>
      <c r="V503">
        <f>HYPERLINK("https://klasma.github.io/Logging_0881/klagomål/A 50008-2023 FSC-klagomål.docx", "A 50008-2023")</f>
        <v/>
      </c>
      <c r="W503">
        <f>HYPERLINK("https://klasma.github.io/Logging_0881/klagomålsmail/A 50008-2023 FSC-klagomål mail.docx", "A 50008-2023")</f>
        <v/>
      </c>
      <c r="X503">
        <f>HYPERLINK("https://klasma.github.io/Logging_0881/tillsyn/A 50008-2023 tillsynsbegäran.docx", "A 50008-2023")</f>
        <v/>
      </c>
      <c r="Y503">
        <f>HYPERLINK("https://klasma.github.io/Logging_0881/tillsynsmail/A 50008-2023 tillsynsbegäran mail.docx", "A 50008-2023")</f>
        <v/>
      </c>
    </row>
    <row r="504" ht="15" customHeight="1">
      <c r="A504" t="inlineStr">
        <is>
          <t>A 25677-2021</t>
        </is>
      </c>
      <c r="B504" s="1" t="n">
        <v>44343</v>
      </c>
      <c r="C504" s="1" t="n">
        <v>45884</v>
      </c>
      <c r="D504" t="inlineStr">
        <is>
          <t>KALMAR LÄN</t>
        </is>
      </c>
      <c r="E504" t="inlineStr">
        <is>
          <t>OSKARSHAMN</t>
        </is>
      </c>
      <c r="G504" t="n">
        <v>7.5</v>
      </c>
      <c r="H504" t="n">
        <v>1</v>
      </c>
      <c r="I504" t="n">
        <v>0</v>
      </c>
      <c r="J504" t="n">
        <v>1</v>
      </c>
      <c r="K504" t="n">
        <v>0</v>
      </c>
      <c r="L504" t="n">
        <v>0</v>
      </c>
      <c r="M504" t="n">
        <v>0</v>
      </c>
      <c r="N504" t="n">
        <v>0</v>
      </c>
      <c r="O504" t="n">
        <v>1</v>
      </c>
      <c r="P504" t="n">
        <v>0</v>
      </c>
      <c r="Q504" t="n">
        <v>1</v>
      </c>
      <c r="R504" s="2" t="inlineStr">
        <is>
          <t>Talltita</t>
        </is>
      </c>
      <c r="S504">
        <f>HYPERLINK("https://klasma.github.io/Logging_0882/artfynd/A 25677-2021 artfynd.xlsx", "A 25677-2021")</f>
        <v/>
      </c>
      <c r="T504">
        <f>HYPERLINK("https://klasma.github.io/Logging_0882/kartor/A 25677-2021 karta.png", "A 25677-2021")</f>
        <v/>
      </c>
      <c r="V504">
        <f>HYPERLINK("https://klasma.github.io/Logging_0882/klagomål/A 25677-2021 FSC-klagomål.docx", "A 25677-2021")</f>
        <v/>
      </c>
      <c r="W504">
        <f>HYPERLINK("https://klasma.github.io/Logging_0882/klagomålsmail/A 25677-2021 FSC-klagomål mail.docx", "A 25677-2021")</f>
        <v/>
      </c>
      <c r="X504">
        <f>HYPERLINK("https://klasma.github.io/Logging_0882/tillsyn/A 25677-2021 tillsynsbegäran.docx", "A 25677-2021")</f>
        <v/>
      </c>
      <c r="Y504">
        <f>HYPERLINK("https://klasma.github.io/Logging_0882/tillsynsmail/A 25677-2021 tillsynsbegäran mail.docx", "A 25677-2021")</f>
        <v/>
      </c>
      <c r="Z504">
        <f>HYPERLINK("https://klasma.github.io/Logging_0882/fåglar/A 25677-2021 prioriterade fågelarter.docx", "A 25677-2021")</f>
        <v/>
      </c>
    </row>
    <row r="505" ht="15" customHeight="1">
      <c r="A505" t="inlineStr">
        <is>
          <t>A 11195-2024</t>
        </is>
      </c>
      <c r="B505" s="1" t="n">
        <v>45371</v>
      </c>
      <c r="C505" s="1" t="n">
        <v>45884</v>
      </c>
      <c r="D505" t="inlineStr">
        <is>
          <t>KALMAR LÄN</t>
        </is>
      </c>
      <c r="E505" t="inlineStr">
        <is>
          <t>VÄSTERVIK</t>
        </is>
      </c>
      <c r="G505" t="n">
        <v>1.9</v>
      </c>
      <c r="H505" t="n">
        <v>1</v>
      </c>
      <c r="I505" t="n">
        <v>0</v>
      </c>
      <c r="J505" t="n">
        <v>0</v>
      </c>
      <c r="K505" t="n">
        <v>1</v>
      </c>
      <c r="L505" t="n">
        <v>0</v>
      </c>
      <c r="M505" t="n">
        <v>0</v>
      </c>
      <c r="N505" t="n">
        <v>0</v>
      </c>
      <c r="O505" t="n">
        <v>1</v>
      </c>
      <c r="P505" t="n">
        <v>1</v>
      </c>
      <c r="Q505" t="n">
        <v>1</v>
      </c>
      <c r="R505" s="2" t="inlineStr">
        <is>
          <t>Knärot</t>
        </is>
      </c>
      <c r="S505">
        <f>HYPERLINK("https://klasma.github.io/Logging_0883/artfynd/A 11195-2024 artfynd.xlsx", "A 11195-2024")</f>
        <v/>
      </c>
      <c r="T505">
        <f>HYPERLINK("https://klasma.github.io/Logging_0883/kartor/A 11195-2024 karta.png", "A 11195-2024")</f>
        <v/>
      </c>
      <c r="U505">
        <f>HYPERLINK("https://klasma.github.io/Logging_0883/knärot/A 11195-2024 karta knärot.png", "A 11195-2024")</f>
        <v/>
      </c>
      <c r="V505">
        <f>HYPERLINK("https://klasma.github.io/Logging_0883/klagomål/A 11195-2024 FSC-klagomål.docx", "A 11195-2024")</f>
        <v/>
      </c>
      <c r="W505">
        <f>HYPERLINK("https://klasma.github.io/Logging_0883/klagomålsmail/A 11195-2024 FSC-klagomål mail.docx", "A 11195-2024")</f>
        <v/>
      </c>
      <c r="X505">
        <f>HYPERLINK("https://klasma.github.io/Logging_0883/tillsyn/A 11195-2024 tillsynsbegäran.docx", "A 11195-2024")</f>
        <v/>
      </c>
      <c r="Y505">
        <f>HYPERLINK("https://klasma.github.io/Logging_0883/tillsynsmail/A 11195-2024 tillsynsbegäran mail.docx", "A 11195-2024")</f>
        <v/>
      </c>
    </row>
    <row r="506" ht="15" customHeight="1">
      <c r="A506" t="inlineStr">
        <is>
          <t>A 35517-2023</t>
        </is>
      </c>
      <c r="B506" s="1" t="n">
        <v>45147</v>
      </c>
      <c r="C506" s="1" t="n">
        <v>45884</v>
      </c>
      <c r="D506" t="inlineStr">
        <is>
          <t>KALMAR LÄN</t>
        </is>
      </c>
      <c r="E506" t="inlineStr">
        <is>
          <t>HULTSFRED</t>
        </is>
      </c>
      <c r="G506" t="n">
        <v>3.5</v>
      </c>
      <c r="H506" t="n">
        <v>1</v>
      </c>
      <c r="I506" t="n">
        <v>0</v>
      </c>
      <c r="J506" t="n">
        <v>0</v>
      </c>
      <c r="K506" t="n">
        <v>0</v>
      </c>
      <c r="L506" t="n">
        <v>0</v>
      </c>
      <c r="M506" t="n">
        <v>0</v>
      </c>
      <c r="N506" t="n">
        <v>0</v>
      </c>
      <c r="O506" t="n">
        <v>0</v>
      </c>
      <c r="P506" t="n">
        <v>0</v>
      </c>
      <c r="Q506" t="n">
        <v>1</v>
      </c>
      <c r="R506" s="2" t="inlineStr">
        <is>
          <t>Revlummer</t>
        </is>
      </c>
      <c r="S506">
        <f>HYPERLINK("https://klasma.github.io/Logging_0860/artfynd/A 35517-2023 artfynd.xlsx", "A 35517-2023")</f>
        <v/>
      </c>
      <c r="T506">
        <f>HYPERLINK("https://klasma.github.io/Logging_0860/kartor/A 35517-2023 karta.png", "A 35517-2023")</f>
        <v/>
      </c>
      <c r="V506">
        <f>HYPERLINK("https://klasma.github.io/Logging_0860/klagomål/A 35517-2023 FSC-klagomål.docx", "A 35517-2023")</f>
        <v/>
      </c>
      <c r="W506">
        <f>HYPERLINK("https://klasma.github.io/Logging_0860/klagomålsmail/A 35517-2023 FSC-klagomål mail.docx", "A 35517-2023")</f>
        <v/>
      </c>
      <c r="X506">
        <f>HYPERLINK("https://klasma.github.io/Logging_0860/tillsyn/A 35517-2023 tillsynsbegäran.docx", "A 35517-2023")</f>
        <v/>
      </c>
      <c r="Y506">
        <f>HYPERLINK("https://klasma.github.io/Logging_0860/tillsynsmail/A 35517-2023 tillsynsbegäran mail.docx", "A 35517-2023")</f>
        <v/>
      </c>
    </row>
    <row r="507" ht="15" customHeight="1">
      <c r="A507" t="inlineStr">
        <is>
          <t>A 2637-2023</t>
        </is>
      </c>
      <c r="B507" s="1" t="n">
        <v>44942</v>
      </c>
      <c r="C507" s="1" t="n">
        <v>45884</v>
      </c>
      <c r="D507" t="inlineStr">
        <is>
          <t>KALMAR LÄN</t>
        </is>
      </c>
      <c r="E507" t="inlineStr">
        <is>
          <t>HULTSFRED</t>
        </is>
      </c>
      <c r="G507" t="n">
        <v>13.1</v>
      </c>
      <c r="H507" t="n">
        <v>0</v>
      </c>
      <c r="I507" t="n">
        <v>1</v>
      </c>
      <c r="J507" t="n">
        <v>0</v>
      </c>
      <c r="K507" t="n">
        <v>0</v>
      </c>
      <c r="L507" t="n">
        <v>0</v>
      </c>
      <c r="M507" t="n">
        <v>0</v>
      </c>
      <c r="N507" t="n">
        <v>0</v>
      </c>
      <c r="O507" t="n">
        <v>0</v>
      </c>
      <c r="P507" t="n">
        <v>0</v>
      </c>
      <c r="Q507" t="n">
        <v>1</v>
      </c>
      <c r="R507" s="2" t="inlineStr">
        <is>
          <t>Björksplintborre</t>
        </is>
      </c>
      <c r="S507">
        <f>HYPERLINK("https://klasma.github.io/Logging_0860/artfynd/A 2637-2023 artfynd.xlsx", "A 2637-2023")</f>
        <v/>
      </c>
      <c r="T507">
        <f>HYPERLINK("https://klasma.github.io/Logging_0860/kartor/A 2637-2023 karta.png", "A 2637-2023")</f>
        <v/>
      </c>
      <c r="V507">
        <f>HYPERLINK("https://klasma.github.io/Logging_0860/klagomål/A 2637-2023 FSC-klagomål.docx", "A 2637-2023")</f>
        <v/>
      </c>
      <c r="W507">
        <f>HYPERLINK("https://klasma.github.io/Logging_0860/klagomålsmail/A 2637-2023 FSC-klagomål mail.docx", "A 2637-2023")</f>
        <v/>
      </c>
      <c r="X507">
        <f>HYPERLINK("https://klasma.github.io/Logging_0860/tillsyn/A 2637-2023 tillsynsbegäran.docx", "A 2637-2023")</f>
        <v/>
      </c>
      <c r="Y507">
        <f>HYPERLINK("https://klasma.github.io/Logging_0860/tillsynsmail/A 2637-2023 tillsynsbegäran mail.docx", "A 2637-2023")</f>
        <v/>
      </c>
    </row>
    <row r="508" ht="15" customHeight="1">
      <c r="A508" t="inlineStr">
        <is>
          <t>A 52670-2021</t>
        </is>
      </c>
      <c r="B508" s="1" t="n">
        <v>44466</v>
      </c>
      <c r="C508" s="1" t="n">
        <v>45884</v>
      </c>
      <c r="D508" t="inlineStr">
        <is>
          <t>KALMAR LÄN</t>
        </is>
      </c>
      <c r="E508" t="inlineStr">
        <is>
          <t>KALMAR</t>
        </is>
      </c>
      <c r="G508" t="n">
        <v>5.7</v>
      </c>
      <c r="H508" t="n">
        <v>1</v>
      </c>
      <c r="I508" t="n">
        <v>0</v>
      </c>
      <c r="J508" t="n">
        <v>0</v>
      </c>
      <c r="K508" t="n">
        <v>1</v>
      </c>
      <c r="L508" t="n">
        <v>0</v>
      </c>
      <c r="M508" t="n">
        <v>0</v>
      </c>
      <c r="N508" t="n">
        <v>0</v>
      </c>
      <c r="O508" t="n">
        <v>1</v>
      </c>
      <c r="P508" t="n">
        <v>1</v>
      </c>
      <c r="Q508" t="n">
        <v>1</v>
      </c>
      <c r="R508" s="2" t="inlineStr">
        <is>
          <t>Knärot</t>
        </is>
      </c>
      <c r="S508">
        <f>HYPERLINK("https://klasma.github.io/Logging_0880/artfynd/A 52670-2021 artfynd.xlsx", "A 52670-2021")</f>
        <v/>
      </c>
      <c r="T508">
        <f>HYPERLINK("https://klasma.github.io/Logging_0880/kartor/A 52670-2021 karta.png", "A 52670-2021")</f>
        <v/>
      </c>
      <c r="U508">
        <f>HYPERLINK("https://klasma.github.io/Logging_0880/knärot/A 52670-2021 karta knärot.png", "A 52670-2021")</f>
        <v/>
      </c>
      <c r="V508">
        <f>HYPERLINK("https://klasma.github.io/Logging_0880/klagomål/A 52670-2021 FSC-klagomål.docx", "A 52670-2021")</f>
        <v/>
      </c>
      <c r="W508">
        <f>HYPERLINK("https://klasma.github.io/Logging_0880/klagomålsmail/A 52670-2021 FSC-klagomål mail.docx", "A 52670-2021")</f>
        <v/>
      </c>
      <c r="X508">
        <f>HYPERLINK("https://klasma.github.io/Logging_0880/tillsyn/A 52670-2021 tillsynsbegäran.docx", "A 52670-2021")</f>
        <v/>
      </c>
      <c r="Y508">
        <f>HYPERLINK("https://klasma.github.io/Logging_0880/tillsynsmail/A 52670-2021 tillsynsbegäran mail.docx", "A 52670-2021")</f>
        <v/>
      </c>
    </row>
    <row r="509" ht="15" customHeight="1">
      <c r="A509" t="inlineStr">
        <is>
          <t>A 6612-2023</t>
        </is>
      </c>
      <c r="B509" s="1" t="n">
        <v>44966.54540509259</v>
      </c>
      <c r="C509" s="1" t="n">
        <v>45884</v>
      </c>
      <c r="D509" t="inlineStr">
        <is>
          <t>KALMAR LÄN</t>
        </is>
      </c>
      <c r="E509" t="inlineStr">
        <is>
          <t>EMMABODA</t>
        </is>
      </c>
      <c r="G509" t="n">
        <v>1</v>
      </c>
      <c r="H509" t="n">
        <v>1</v>
      </c>
      <c r="I509" t="n">
        <v>1</v>
      </c>
      <c r="J509" t="n">
        <v>0</v>
      </c>
      <c r="K509" t="n">
        <v>0</v>
      </c>
      <c r="L509" t="n">
        <v>0</v>
      </c>
      <c r="M509" t="n">
        <v>0</v>
      </c>
      <c r="N509" t="n">
        <v>0</v>
      </c>
      <c r="O509" t="n">
        <v>0</v>
      </c>
      <c r="P509" t="n">
        <v>0</v>
      </c>
      <c r="Q509" t="n">
        <v>1</v>
      </c>
      <c r="R509" s="2" t="inlineStr">
        <is>
          <t>Korallrot</t>
        </is>
      </c>
      <c r="S509">
        <f>HYPERLINK("https://klasma.github.io/Logging_0862/artfynd/A 6612-2023 artfynd.xlsx", "A 6612-2023")</f>
        <v/>
      </c>
      <c r="T509">
        <f>HYPERLINK("https://klasma.github.io/Logging_0862/kartor/A 6612-2023 karta.png", "A 6612-2023")</f>
        <v/>
      </c>
      <c r="V509">
        <f>HYPERLINK("https://klasma.github.io/Logging_0862/klagomål/A 6612-2023 FSC-klagomål.docx", "A 6612-2023")</f>
        <v/>
      </c>
      <c r="W509">
        <f>HYPERLINK("https://klasma.github.io/Logging_0862/klagomålsmail/A 6612-2023 FSC-klagomål mail.docx", "A 6612-2023")</f>
        <v/>
      </c>
      <c r="X509">
        <f>HYPERLINK("https://klasma.github.io/Logging_0862/tillsyn/A 6612-2023 tillsynsbegäran.docx", "A 6612-2023")</f>
        <v/>
      </c>
      <c r="Y509">
        <f>HYPERLINK("https://klasma.github.io/Logging_0862/tillsynsmail/A 6612-2023 tillsynsbegäran mail.docx", "A 6612-2023")</f>
        <v/>
      </c>
    </row>
    <row r="510" ht="15" customHeight="1">
      <c r="A510" t="inlineStr">
        <is>
          <t>A 6676-2023</t>
        </is>
      </c>
      <c r="B510" s="1" t="n">
        <v>44966.64579861111</v>
      </c>
      <c r="C510" s="1" t="n">
        <v>45884</v>
      </c>
      <c r="D510" t="inlineStr">
        <is>
          <t>KALMAR LÄN</t>
        </is>
      </c>
      <c r="E510" t="inlineStr">
        <is>
          <t>NYBRO</t>
        </is>
      </c>
      <c r="G510" t="n">
        <v>0.7</v>
      </c>
      <c r="H510" t="n">
        <v>0</v>
      </c>
      <c r="I510" t="n">
        <v>0</v>
      </c>
      <c r="J510" t="n">
        <v>1</v>
      </c>
      <c r="K510" t="n">
        <v>0</v>
      </c>
      <c r="L510" t="n">
        <v>0</v>
      </c>
      <c r="M510" t="n">
        <v>0</v>
      </c>
      <c r="N510" t="n">
        <v>0</v>
      </c>
      <c r="O510" t="n">
        <v>1</v>
      </c>
      <c r="P510" t="n">
        <v>0</v>
      </c>
      <c r="Q510" t="n">
        <v>1</v>
      </c>
      <c r="R510" s="2" t="inlineStr">
        <is>
          <t>Etternässla</t>
        </is>
      </c>
      <c r="S510">
        <f>HYPERLINK("https://klasma.github.io/Logging_0881/artfynd/A 6676-2023 artfynd.xlsx", "A 6676-2023")</f>
        <v/>
      </c>
      <c r="T510">
        <f>HYPERLINK("https://klasma.github.io/Logging_0881/kartor/A 6676-2023 karta.png", "A 6676-2023")</f>
        <v/>
      </c>
      <c r="V510">
        <f>HYPERLINK("https://klasma.github.io/Logging_0881/klagomål/A 6676-2023 FSC-klagomål.docx", "A 6676-2023")</f>
        <v/>
      </c>
      <c r="W510">
        <f>HYPERLINK("https://klasma.github.io/Logging_0881/klagomålsmail/A 6676-2023 FSC-klagomål mail.docx", "A 6676-2023")</f>
        <v/>
      </c>
      <c r="X510">
        <f>HYPERLINK("https://klasma.github.io/Logging_0881/tillsyn/A 6676-2023 tillsynsbegäran.docx", "A 6676-2023")</f>
        <v/>
      </c>
      <c r="Y510">
        <f>HYPERLINK("https://klasma.github.io/Logging_0881/tillsynsmail/A 6676-2023 tillsynsbegäran mail.docx", "A 6676-2023")</f>
        <v/>
      </c>
    </row>
    <row r="511" ht="15" customHeight="1">
      <c r="A511" t="inlineStr">
        <is>
          <t>A 36625-2022</t>
        </is>
      </c>
      <c r="B511" s="1" t="n">
        <v>44804</v>
      </c>
      <c r="C511" s="1" t="n">
        <v>45884</v>
      </c>
      <c r="D511" t="inlineStr">
        <is>
          <t>KALMAR LÄN</t>
        </is>
      </c>
      <c r="E511" t="inlineStr">
        <is>
          <t>TORSÅS</t>
        </is>
      </c>
      <c r="G511" t="n">
        <v>7.5</v>
      </c>
      <c r="H511" t="n">
        <v>0</v>
      </c>
      <c r="I511" t="n">
        <v>1</v>
      </c>
      <c r="J511" t="n">
        <v>0</v>
      </c>
      <c r="K511" t="n">
        <v>0</v>
      </c>
      <c r="L511" t="n">
        <v>0</v>
      </c>
      <c r="M511" t="n">
        <v>0</v>
      </c>
      <c r="N511" t="n">
        <v>0</v>
      </c>
      <c r="O511" t="n">
        <v>0</v>
      </c>
      <c r="P511" t="n">
        <v>0</v>
      </c>
      <c r="Q511" t="n">
        <v>1</v>
      </c>
      <c r="R511" s="2" t="inlineStr">
        <is>
          <t>Stor revmossa</t>
        </is>
      </c>
      <c r="S511">
        <f>HYPERLINK("https://klasma.github.io/Logging_0834/artfynd/A 36625-2022 artfynd.xlsx", "A 36625-2022")</f>
        <v/>
      </c>
      <c r="T511">
        <f>HYPERLINK("https://klasma.github.io/Logging_0834/kartor/A 36625-2022 karta.png", "A 36625-2022")</f>
        <v/>
      </c>
      <c r="V511">
        <f>HYPERLINK("https://klasma.github.io/Logging_0834/klagomål/A 36625-2022 FSC-klagomål.docx", "A 36625-2022")</f>
        <v/>
      </c>
      <c r="W511">
        <f>HYPERLINK("https://klasma.github.io/Logging_0834/klagomålsmail/A 36625-2022 FSC-klagomål mail.docx", "A 36625-2022")</f>
        <v/>
      </c>
      <c r="X511">
        <f>HYPERLINK("https://klasma.github.io/Logging_0834/tillsyn/A 36625-2022 tillsynsbegäran.docx", "A 36625-2022")</f>
        <v/>
      </c>
      <c r="Y511">
        <f>HYPERLINK("https://klasma.github.io/Logging_0834/tillsynsmail/A 36625-2022 tillsynsbegäran mail.docx", "A 36625-2022")</f>
        <v/>
      </c>
    </row>
    <row r="512" ht="15" customHeight="1">
      <c r="A512" t="inlineStr">
        <is>
          <t>A 4964-2025</t>
        </is>
      </c>
      <c r="B512" s="1" t="n">
        <v>45690.42671296297</v>
      </c>
      <c r="C512" s="1" t="n">
        <v>45884</v>
      </c>
      <c r="D512" t="inlineStr">
        <is>
          <t>KALMAR LÄN</t>
        </is>
      </c>
      <c r="E512" t="inlineStr">
        <is>
          <t>HULTSFRED</t>
        </is>
      </c>
      <c r="F512" t="inlineStr">
        <is>
          <t>Sveaskog</t>
        </is>
      </c>
      <c r="G512" t="n">
        <v>12.2</v>
      </c>
      <c r="H512" t="n">
        <v>1</v>
      </c>
      <c r="I512" t="n">
        <v>0</v>
      </c>
      <c r="J512" t="n">
        <v>1</v>
      </c>
      <c r="K512" t="n">
        <v>0</v>
      </c>
      <c r="L512" t="n">
        <v>0</v>
      </c>
      <c r="M512" t="n">
        <v>0</v>
      </c>
      <c r="N512" t="n">
        <v>0</v>
      </c>
      <c r="O512" t="n">
        <v>1</v>
      </c>
      <c r="P512" t="n">
        <v>0</v>
      </c>
      <c r="Q512" t="n">
        <v>1</v>
      </c>
      <c r="R512" s="2" t="inlineStr">
        <is>
          <t>Spillkråka</t>
        </is>
      </c>
      <c r="S512">
        <f>HYPERLINK("https://klasma.github.io/Logging_0860/artfynd/A 4964-2025 artfynd.xlsx", "A 4964-2025")</f>
        <v/>
      </c>
      <c r="T512">
        <f>HYPERLINK("https://klasma.github.io/Logging_0860/kartor/A 4964-2025 karta.png", "A 4964-2025")</f>
        <v/>
      </c>
      <c r="V512">
        <f>HYPERLINK("https://klasma.github.io/Logging_0860/klagomål/A 4964-2025 FSC-klagomål.docx", "A 4964-2025")</f>
        <v/>
      </c>
      <c r="W512">
        <f>HYPERLINK("https://klasma.github.io/Logging_0860/klagomålsmail/A 4964-2025 FSC-klagomål mail.docx", "A 4964-2025")</f>
        <v/>
      </c>
      <c r="X512">
        <f>HYPERLINK("https://klasma.github.io/Logging_0860/tillsyn/A 4964-2025 tillsynsbegäran.docx", "A 4964-2025")</f>
        <v/>
      </c>
      <c r="Y512">
        <f>HYPERLINK("https://klasma.github.io/Logging_0860/tillsynsmail/A 4964-2025 tillsynsbegäran mail.docx", "A 4964-2025")</f>
        <v/>
      </c>
      <c r="Z512">
        <f>HYPERLINK("https://klasma.github.io/Logging_0860/fåglar/A 4964-2025 prioriterade fågelarter.docx", "A 4964-2025")</f>
        <v/>
      </c>
    </row>
    <row r="513" ht="15" customHeight="1">
      <c r="A513" t="inlineStr">
        <is>
          <t>A 15110-2024</t>
        </is>
      </c>
      <c r="B513" s="1" t="n">
        <v>45399</v>
      </c>
      <c r="C513" s="1" t="n">
        <v>45884</v>
      </c>
      <c r="D513" t="inlineStr">
        <is>
          <t>KALMAR LÄN</t>
        </is>
      </c>
      <c r="E513" t="inlineStr">
        <is>
          <t>HULTSFRED</t>
        </is>
      </c>
      <c r="G513" t="n">
        <v>1.1</v>
      </c>
      <c r="H513" t="n">
        <v>1</v>
      </c>
      <c r="I513" t="n">
        <v>0</v>
      </c>
      <c r="J513" t="n">
        <v>1</v>
      </c>
      <c r="K513" t="n">
        <v>0</v>
      </c>
      <c r="L513" t="n">
        <v>0</v>
      </c>
      <c r="M513" t="n">
        <v>0</v>
      </c>
      <c r="N513" t="n">
        <v>0</v>
      </c>
      <c r="O513" t="n">
        <v>1</v>
      </c>
      <c r="P513" t="n">
        <v>0</v>
      </c>
      <c r="Q513" t="n">
        <v>1</v>
      </c>
      <c r="R513" s="2" t="inlineStr">
        <is>
          <t>Grönsångare</t>
        </is>
      </c>
      <c r="S513">
        <f>HYPERLINK("https://klasma.github.io/Logging_0860/artfynd/A 15110-2024 artfynd.xlsx", "A 15110-2024")</f>
        <v/>
      </c>
      <c r="T513">
        <f>HYPERLINK("https://klasma.github.io/Logging_0860/kartor/A 15110-2024 karta.png", "A 15110-2024")</f>
        <v/>
      </c>
      <c r="V513">
        <f>HYPERLINK("https://klasma.github.io/Logging_0860/klagomål/A 15110-2024 FSC-klagomål.docx", "A 15110-2024")</f>
        <v/>
      </c>
      <c r="W513">
        <f>HYPERLINK("https://klasma.github.io/Logging_0860/klagomålsmail/A 15110-2024 FSC-klagomål mail.docx", "A 15110-2024")</f>
        <v/>
      </c>
      <c r="X513">
        <f>HYPERLINK("https://klasma.github.io/Logging_0860/tillsyn/A 15110-2024 tillsynsbegäran.docx", "A 15110-2024")</f>
        <v/>
      </c>
      <c r="Y513">
        <f>HYPERLINK("https://klasma.github.io/Logging_0860/tillsynsmail/A 15110-2024 tillsynsbegäran mail.docx", "A 15110-2024")</f>
        <v/>
      </c>
      <c r="Z513">
        <f>HYPERLINK("https://klasma.github.io/Logging_0860/fåglar/A 15110-2024 prioriterade fågelarter.docx", "A 15110-2024")</f>
        <v/>
      </c>
    </row>
    <row r="514" ht="15" customHeight="1">
      <c r="A514" t="inlineStr">
        <is>
          <t>A 52301-2023</t>
        </is>
      </c>
      <c r="B514" s="1" t="n">
        <v>45224</v>
      </c>
      <c r="C514" s="1" t="n">
        <v>45884</v>
      </c>
      <c r="D514" t="inlineStr">
        <is>
          <t>KALMAR LÄN</t>
        </is>
      </c>
      <c r="E514" t="inlineStr">
        <is>
          <t>VIMMERBY</t>
        </is>
      </c>
      <c r="G514" t="n">
        <v>5.3</v>
      </c>
      <c r="H514" t="n">
        <v>0</v>
      </c>
      <c r="I514" t="n">
        <v>0</v>
      </c>
      <c r="J514" t="n">
        <v>0</v>
      </c>
      <c r="K514" t="n">
        <v>0</v>
      </c>
      <c r="L514" t="n">
        <v>1</v>
      </c>
      <c r="M514" t="n">
        <v>0</v>
      </c>
      <c r="N514" t="n">
        <v>0</v>
      </c>
      <c r="O514" t="n">
        <v>1</v>
      </c>
      <c r="P514" t="n">
        <v>1</v>
      </c>
      <c r="Q514" t="n">
        <v>1</v>
      </c>
      <c r="R514" s="2" t="inlineStr">
        <is>
          <t>Ask</t>
        </is>
      </c>
      <c r="S514">
        <f>HYPERLINK("https://klasma.github.io/Logging_0884/artfynd/A 52301-2023 artfynd.xlsx", "A 52301-2023")</f>
        <v/>
      </c>
      <c r="T514">
        <f>HYPERLINK("https://klasma.github.io/Logging_0884/kartor/A 52301-2023 karta.png", "A 52301-2023")</f>
        <v/>
      </c>
      <c r="V514">
        <f>HYPERLINK("https://klasma.github.io/Logging_0884/klagomål/A 52301-2023 FSC-klagomål.docx", "A 52301-2023")</f>
        <v/>
      </c>
      <c r="W514">
        <f>HYPERLINK("https://klasma.github.io/Logging_0884/klagomålsmail/A 52301-2023 FSC-klagomål mail.docx", "A 52301-2023")</f>
        <v/>
      </c>
      <c r="X514">
        <f>HYPERLINK("https://klasma.github.io/Logging_0884/tillsyn/A 52301-2023 tillsynsbegäran.docx", "A 52301-2023")</f>
        <v/>
      </c>
      <c r="Y514">
        <f>HYPERLINK("https://klasma.github.io/Logging_0884/tillsynsmail/A 52301-2023 tillsynsbegäran mail.docx", "A 52301-2023")</f>
        <v/>
      </c>
    </row>
    <row r="515" ht="15" customHeight="1">
      <c r="A515" t="inlineStr">
        <is>
          <t>A 9565-2023</t>
        </is>
      </c>
      <c r="B515" s="1" t="n">
        <v>44982.430625</v>
      </c>
      <c r="C515" s="1" t="n">
        <v>45884</v>
      </c>
      <c r="D515" t="inlineStr">
        <is>
          <t>KALMAR LÄN</t>
        </is>
      </c>
      <c r="E515" t="inlineStr">
        <is>
          <t>HÖGSBY</t>
        </is>
      </c>
      <c r="F515" t="inlineStr">
        <is>
          <t>Sveaskog</t>
        </is>
      </c>
      <c r="G515" t="n">
        <v>3.6</v>
      </c>
      <c r="H515" t="n">
        <v>0</v>
      </c>
      <c r="I515" t="n">
        <v>0</v>
      </c>
      <c r="J515" t="n">
        <v>1</v>
      </c>
      <c r="K515" t="n">
        <v>0</v>
      </c>
      <c r="L515" t="n">
        <v>0</v>
      </c>
      <c r="M515" t="n">
        <v>0</v>
      </c>
      <c r="N515" t="n">
        <v>0</v>
      </c>
      <c r="O515" t="n">
        <v>1</v>
      </c>
      <c r="P515" t="n">
        <v>0</v>
      </c>
      <c r="Q515" t="n">
        <v>1</v>
      </c>
      <c r="R515" s="2" t="inlineStr">
        <is>
          <t>Thamiaraea hospita</t>
        </is>
      </c>
      <c r="S515">
        <f>HYPERLINK("https://klasma.github.io/Logging_0821/artfynd/A 9565-2023 artfynd.xlsx", "A 9565-2023")</f>
        <v/>
      </c>
      <c r="T515">
        <f>HYPERLINK("https://klasma.github.io/Logging_0821/kartor/A 9565-2023 karta.png", "A 9565-2023")</f>
        <v/>
      </c>
      <c r="V515">
        <f>HYPERLINK("https://klasma.github.io/Logging_0821/klagomål/A 9565-2023 FSC-klagomål.docx", "A 9565-2023")</f>
        <v/>
      </c>
      <c r="W515">
        <f>HYPERLINK("https://klasma.github.io/Logging_0821/klagomålsmail/A 9565-2023 FSC-klagomål mail.docx", "A 9565-2023")</f>
        <v/>
      </c>
      <c r="X515">
        <f>HYPERLINK("https://klasma.github.io/Logging_0821/tillsyn/A 9565-2023 tillsynsbegäran.docx", "A 9565-2023")</f>
        <v/>
      </c>
      <c r="Y515">
        <f>HYPERLINK("https://klasma.github.io/Logging_0821/tillsynsmail/A 9565-2023 tillsynsbegäran mail.docx", "A 9565-2023")</f>
        <v/>
      </c>
    </row>
    <row r="516" ht="15" customHeight="1">
      <c r="A516" t="inlineStr">
        <is>
          <t>A 15817-2025</t>
        </is>
      </c>
      <c r="B516" s="1" t="n">
        <v>45748.67875</v>
      </c>
      <c r="C516" s="1" t="n">
        <v>45884</v>
      </c>
      <c r="D516" t="inlineStr">
        <is>
          <t>KALMAR LÄN</t>
        </is>
      </c>
      <c r="E516" t="inlineStr">
        <is>
          <t>OSKARSHAMN</t>
        </is>
      </c>
      <c r="G516" t="n">
        <v>0.9</v>
      </c>
      <c r="H516" t="n">
        <v>0</v>
      </c>
      <c r="I516" t="n">
        <v>0</v>
      </c>
      <c r="J516" t="n">
        <v>1</v>
      </c>
      <c r="K516" t="n">
        <v>0</v>
      </c>
      <c r="L516" t="n">
        <v>0</v>
      </c>
      <c r="M516" t="n">
        <v>0</v>
      </c>
      <c r="N516" t="n">
        <v>0</v>
      </c>
      <c r="O516" t="n">
        <v>1</v>
      </c>
      <c r="P516" t="n">
        <v>0</v>
      </c>
      <c r="Q516" t="n">
        <v>1</v>
      </c>
      <c r="R516" s="2" t="inlineStr">
        <is>
          <t>Svinrot</t>
        </is>
      </c>
      <c r="S516">
        <f>HYPERLINK("https://klasma.github.io/Logging_0882/artfynd/A 15817-2025 artfynd.xlsx", "A 15817-2025")</f>
        <v/>
      </c>
      <c r="T516">
        <f>HYPERLINK("https://klasma.github.io/Logging_0882/kartor/A 15817-2025 karta.png", "A 15817-2025")</f>
        <v/>
      </c>
      <c r="V516">
        <f>HYPERLINK("https://klasma.github.io/Logging_0882/klagomål/A 15817-2025 FSC-klagomål.docx", "A 15817-2025")</f>
        <v/>
      </c>
      <c r="W516">
        <f>HYPERLINK("https://klasma.github.io/Logging_0882/klagomålsmail/A 15817-2025 FSC-klagomål mail.docx", "A 15817-2025")</f>
        <v/>
      </c>
      <c r="X516">
        <f>HYPERLINK("https://klasma.github.io/Logging_0882/tillsyn/A 15817-2025 tillsynsbegäran.docx", "A 15817-2025")</f>
        <v/>
      </c>
      <c r="Y516">
        <f>HYPERLINK("https://klasma.github.io/Logging_0882/tillsynsmail/A 15817-2025 tillsynsbegäran mail.docx", "A 15817-2025")</f>
        <v/>
      </c>
    </row>
    <row r="517" ht="15" customHeight="1">
      <c r="A517" t="inlineStr">
        <is>
          <t>A 50296-2023</t>
        </is>
      </c>
      <c r="B517" s="1" t="n">
        <v>45216.47987268519</v>
      </c>
      <c r="C517" s="1" t="n">
        <v>45884</v>
      </c>
      <c r="D517" t="inlineStr">
        <is>
          <t>KALMAR LÄN</t>
        </is>
      </c>
      <c r="E517" t="inlineStr">
        <is>
          <t>HULTSFRED</t>
        </is>
      </c>
      <c r="G517" t="n">
        <v>8.5</v>
      </c>
      <c r="H517" t="n">
        <v>1</v>
      </c>
      <c r="I517" t="n">
        <v>0</v>
      </c>
      <c r="J517" t="n">
        <v>0</v>
      </c>
      <c r="K517" t="n">
        <v>1</v>
      </c>
      <c r="L517" t="n">
        <v>0</v>
      </c>
      <c r="M517" t="n">
        <v>0</v>
      </c>
      <c r="N517" t="n">
        <v>0</v>
      </c>
      <c r="O517" t="n">
        <v>1</v>
      </c>
      <c r="P517" t="n">
        <v>1</v>
      </c>
      <c r="Q517" t="n">
        <v>1</v>
      </c>
      <c r="R517" s="2" t="inlineStr">
        <is>
          <t>Knärot</t>
        </is>
      </c>
      <c r="S517">
        <f>HYPERLINK("https://klasma.github.io/Logging_0860/artfynd/A 50296-2023 artfynd.xlsx", "A 50296-2023")</f>
        <v/>
      </c>
      <c r="T517">
        <f>HYPERLINK("https://klasma.github.io/Logging_0860/kartor/A 50296-2023 karta.png", "A 50296-2023")</f>
        <v/>
      </c>
      <c r="U517">
        <f>HYPERLINK("https://klasma.github.io/Logging_0860/knärot/A 50296-2023 karta knärot.png", "A 50296-2023")</f>
        <v/>
      </c>
      <c r="V517">
        <f>HYPERLINK("https://klasma.github.io/Logging_0860/klagomål/A 50296-2023 FSC-klagomål.docx", "A 50296-2023")</f>
        <v/>
      </c>
      <c r="W517">
        <f>HYPERLINK("https://klasma.github.io/Logging_0860/klagomålsmail/A 50296-2023 FSC-klagomål mail.docx", "A 50296-2023")</f>
        <v/>
      </c>
      <c r="X517">
        <f>HYPERLINK("https://klasma.github.io/Logging_0860/tillsyn/A 50296-2023 tillsynsbegäran.docx", "A 50296-2023")</f>
        <v/>
      </c>
      <c r="Y517">
        <f>HYPERLINK("https://klasma.github.io/Logging_0860/tillsynsmail/A 50296-2023 tillsynsbegäran mail.docx", "A 50296-2023")</f>
        <v/>
      </c>
    </row>
    <row r="518" ht="15" customHeight="1">
      <c r="A518" t="inlineStr">
        <is>
          <t>A 1929-2022</t>
        </is>
      </c>
      <c r="B518" s="1" t="n">
        <v>44575.43100694445</v>
      </c>
      <c r="C518" s="1" t="n">
        <v>45884</v>
      </c>
      <c r="D518" t="inlineStr">
        <is>
          <t>KALMAR LÄN</t>
        </is>
      </c>
      <c r="E518" t="inlineStr">
        <is>
          <t>KALMAR</t>
        </is>
      </c>
      <c r="G518" t="n">
        <v>3.3</v>
      </c>
      <c r="H518" t="n">
        <v>1</v>
      </c>
      <c r="I518" t="n">
        <v>0</v>
      </c>
      <c r="J518" t="n">
        <v>0</v>
      </c>
      <c r="K518" t="n">
        <v>1</v>
      </c>
      <c r="L518" t="n">
        <v>0</v>
      </c>
      <c r="M518" t="n">
        <v>0</v>
      </c>
      <c r="N518" t="n">
        <v>0</v>
      </c>
      <c r="O518" t="n">
        <v>1</v>
      </c>
      <c r="P518" t="n">
        <v>1</v>
      </c>
      <c r="Q518" t="n">
        <v>1</v>
      </c>
      <c r="R518" s="2" t="inlineStr">
        <is>
          <t>Knärot</t>
        </is>
      </c>
      <c r="S518">
        <f>HYPERLINK("https://klasma.github.io/Logging_0880/artfynd/A 1929-2022 artfynd.xlsx", "A 1929-2022")</f>
        <v/>
      </c>
      <c r="T518">
        <f>HYPERLINK("https://klasma.github.io/Logging_0880/kartor/A 1929-2022 karta.png", "A 1929-2022")</f>
        <v/>
      </c>
      <c r="U518">
        <f>HYPERLINK("https://klasma.github.io/Logging_0880/knärot/A 1929-2022 karta knärot.png", "A 1929-2022")</f>
        <v/>
      </c>
      <c r="V518">
        <f>HYPERLINK("https://klasma.github.io/Logging_0880/klagomål/A 1929-2022 FSC-klagomål.docx", "A 1929-2022")</f>
        <v/>
      </c>
      <c r="W518">
        <f>HYPERLINK("https://klasma.github.io/Logging_0880/klagomålsmail/A 1929-2022 FSC-klagomål mail.docx", "A 1929-2022")</f>
        <v/>
      </c>
      <c r="X518">
        <f>HYPERLINK("https://klasma.github.io/Logging_0880/tillsyn/A 1929-2022 tillsynsbegäran.docx", "A 1929-2022")</f>
        <v/>
      </c>
      <c r="Y518">
        <f>HYPERLINK("https://klasma.github.io/Logging_0880/tillsynsmail/A 1929-2022 tillsynsbegäran mail.docx", "A 1929-2022")</f>
        <v/>
      </c>
    </row>
    <row r="519" ht="15" customHeight="1">
      <c r="A519" t="inlineStr">
        <is>
          <t>A 30597-2022</t>
        </is>
      </c>
      <c r="B519" s="1" t="n">
        <v>44762</v>
      </c>
      <c r="C519" s="1" t="n">
        <v>45884</v>
      </c>
      <c r="D519" t="inlineStr">
        <is>
          <t>KALMAR LÄN</t>
        </is>
      </c>
      <c r="E519" t="inlineStr">
        <is>
          <t>EMMABODA</t>
        </is>
      </c>
      <c r="G519" t="n">
        <v>0.9</v>
      </c>
      <c r="H519" t="n">
        <v>1</v>
      </c>
      <c r="I519" t="n">
        <v>0</v>
      </c>
      <c r="J519" t="n">
        <v>0</v>
      </c>
      <c r="K519" t="n">
        <v>0</v>
      </c>
      <c r="L519" t="n">
        <v>0</v>
      </c>
      <c r="M519" t="n">
        <v>0</v>
      </c>
      <c r="N519" t="n">
        <v>0</v>
      </c>
      <c r="O519" t="n">
        <v>0</v>
      </c>
      <c r="P519" t="n">
        <v>0</v>
      </c>
      <c r="Q519" t="n">
        <v>1</v>
      </c>
      <c r="R519" s="2" t="inlineStr">
        <is>
          <t>Hasselmus</t>
        </is>
      </c>
      <c r="S519">
        <f>HYPERLINK("https://klasma.github.io/Logging_0862/artfynd/A 30597-2022 artfynd.xlsx", "A 30597-2022")</f>
        <v/>
      </c>
      <c r="T519">
        <f>HYPERLINK("https://klasma.github.io/Logging_0862/kartor/A 30597-2022 karta.png", "A 30597-2022")</f>
        <v/>
      </c>
      <c r="V519">
        <f>HYPERLINK("https://klasma.github.io/Logging_0862/klagomål/A 30597-2022 FSC-klagomål.docx", "A 30597-2022")</f>
        <v/>
      </c>
      <c r="W519">
        <f>HYPERLINK("https://klasma.github.io/Logging_0862/klagomålsmail/A 30597-2022 FSC-klagomål mail.docx", "A 30597-2022")</f>
        <v/>
      </c>
      <c r="X519">
        <f>HYPERLINK("https://klasma.github.io/Logging_0862/tillsyn/A 30597-2022 tillsynsbegäran.docx", "A 30597-2022")</f>
        <v/>
      </c>
      <c r="Y519">
        <f>HYPERLINK("https://klasma.github.io/Logging_0862/tillsynsmail/A 30597-2022 tillsynsbegäran mail.docx", "A 30597-2022")</f>
        <v/>
      </c>
    </row>
    <row r="520" ht="15" customHeight="1">
      <c r="A520" t="inlineStr">
        <is>
          <t>A 32915-2022</t>
        </is>
      </c>
      <c r="B520" s="1" t="n">
        <v>44784</v>
      </c>
      <c r="C520" s="1" t="n">
        <v>45884</v>
      </c>
      <c r="D520" t="inlineStr">
        <is>
          <t>KALMAR LÄN</t>
        </is>
      </c>
      <c r="E520" t="inlineStr">
        <is>
          <t>KALMAR</t>
        </is>
      </c>
      <c r="G520" t="n">
        <v>3.8</v>
      </c>
      <c r="H520" t="n">
        <v>0</v>
      </c>
      <c r="I520" t="n">
        <v>0</v>
      </c>
      <c r="J520" t="n">
        <v>1</v>
      </c>
      <c r="K520" t="n">
        <v>0</v>
      </c>
      <c r="L520" t="n">
        <v>0</v>
      </c>
      <c r="M520" t="n">
        <v>0</v>
      </c>
      <c r="N520" t="n">
        <v>0</v>
      </c>
      <c r="O520" t="n">
        <v>1</v>
      </c>
      <c r="P520" t="n">
        <v>0</v>
      </c>
      <c r="Q520" t="n">
        <v>1</v>
      </c>
      <c r="R520" s="2" t="inlineStr">
        <is>
          <t>Svinrot</t>
        </is>
      </c>
      <c r="S520">
        <f>HYPERLINK("https://klasma.github.io/Logging_0880/artfynd/A 32915-2022 artfynd.xlsx", "A 32915-2022")</f>
        <v/>
      </c>
      <c r="T520">
        <f>HYPERLINK("https://klasma.github.io/Logging_0880/kartor/A 32915-2022 karta.png", "A 32915-2022")</f>
        <v/>
      </c>
      <c r="V520">
        <f>HYPERLINK("https://klasma.github.io/Logging_0880/klagomål/A 32915-2022 FSC-klagomål.docx", "A 32915-2022")</f>
        <v/>
      </c>
      <c r="W520">
        <f>HYPERLINK("https://klasma.github.io/Logging_0880/klagomålsmail/A 32915-2022 FSC-klagomål mail.docx", "A 32915-2022")</f>
        <v/>
      </c>
      <c r="X520">
        <f>HYPERLINK("https://klasma.github.io/Logging_0880/tillsyn/A 32915-2022 tillsynsbegäran.docx", "A 32915-2022")</f>
        <v/>
      </c>
      <c r="Y520">
        <f>HYPERLINK("https://klasma.github.io/Logging_0880/tillsynsmail/A 32915-2022 tillsynsbegäran mail.docx", "A 32915-2022")</f>
        <v/>
      </c>
    </row>
    <row r="521" ht="15" customHeight="1">
      <c r="A521" t="inlineStr">
        <is>
          <t>A 28647-2023</t>
        </is>
      </c>
      <c r="B521" s="1" t="n">
        <v>45103</v>
      </c>
      <c r="C521" s="1" t="n">
        <v>45884</v>
      </c>
      <c r="D521" t="inlineStr">
        <is>
          <t>KALMAR LÄN</t>
        </is>
      </c>
      <c r="E521" t="inlineStr">
        <is>
          <t>NYBRO</t>
        </is>
      </c>
      <c r="G521" t="n">
        <v>5.6</v>
      </c>
      <c r="H521" t="n">
        <v>0</v>
      </c>
      <c r="I521" t="n">
        <v>0</v>
      </c>
      <c r="J521" t="n">
        <v>0</v>
      </c>
      <c r="K521" t="n">
        <v>1</v>
      </c>
      <c r="L521" t="n">
        <v>0</v>
      </c>
      <c r="M521" t="n">
        <v>0</v>
      </c>
      <c r="N521" t="n">
        <v>0</v>
      </c>
      <c r="O521" t="n">
        <v>1</v>
      </c>
      <c r="P521" t="n">
        <v>1</v>
      </c>
      <c r="Q521" t="n">
        <v>1</v>
      </c>
      <c r="R521" s="2" t="inlineStr">
        <is>
          <t>Gulfläckig praktbagge</t>
        </is>
      </c>
      <c r="S521">
        <f>HYPERLINK("https://klasma.github.io/Logging_0881/artfynd/A 28647-2023 artfynd.xlsx", "A 28647-2023")</f>
        <v/>
      </c>
      <c r="T521">
        <f>HYPERLINK("https://klasma.github.io/Logging_0881/kartor/A 28647-2023 karta.png", "A 28647-2023")</f>
        <v/>
      </c>
      <c r="V521">
        <f>HYPERLINK("https://klasma.github.io/Logging_0881/klagomål/A 28647-2023 FSC-klagomål.docx", "A 28647-2023")</f>
        <v/>
      </c>
      <c r="W521">
        <f>HYPERLINK("https://klasma.github.io/Logging_0881/klagomålsmail/A 28647-2023 FSC-klagomål mail.docx", "A 28647-2023")</f>
        <v/>
      </c>
      <c r="X521">
        <f>HYPERLINK("https://klasma.github.io/Logging_0881/tillsyn/A 28647-2023 tillsynsbegäran.docx", "A 28647-2023")</f>
        <v/>
      </c>
      <c r="Y521">
        <f>HYPERLINK("https://klasma.github.io/Logging_0881/tillsynsmail/A 28647-2023 tillsynsbegäran mail.docx", "A 28647-2023")</f>
        <v/>
      </c>
    </row>
    <row r="522" ht="15" customHeight="1">
      <c r="A522" t="inlineStr">
        <is>
          <t>A 25594-2021</t>
        </is>
      </c>
      <c r="B522" s="1" t="n">
        <v>44343</v>
      </c>
      <c r="C522" s="1" t="n">
        <v>45884</v>
      </c>
      <c r="D522" t="inlineStr">
        <is>
          <t>KALMAR LÄN</t>
        </is>
      </c>
      <c r="E522" t="inlineStr">
        <is>
          <t>VÄSTERVIK</t>
        </is>
      </c>
      <c r="F522" t="inlineStr">
        <is>
          <t>Holmen skog AB</t>
        </is>
      </c>
      <c r="G522" t="n">
        <v>3.2</v>
      </c>
      <c r="H522" t="n">
        <v>1</v>
      </c>
      <c r="I522" t="n">
        <v>0</v>
      </c>
      <c r="J522" t="n">
        <v>0</v>
      </c>
      <c r="K522" t="n">
        <v>1</v>
      </c>
      <c r="L522" t="n">
        <v>0</v>
      </c>
      <c r="M522" t="n">
        <v>0</v>
      </c>
      <c r="N522" t="n">
        <v>0</v>
      </c>
      <c r="O522" t="n">
        <v>1</v>
      </c>
      <c r="P522" t="n">
        <v>1</v>
      </c>
      <c r="Q522" t="n">
        <v>1</v>
      </c>
      <c r="R522" s="2" t="inlineStr">
        <is>
          <t>Knärot</t>
        </is>
      </c>
      <c r="S522">
        <f>HYPERLINK("https://klasma.github.io/Logging_0883/artfynd/A 25594-2021 artfynd.xlsx", "A 25594-2021")</f>
        <v/>
      </c>
      <c r="T522">
        <f>HYPERLINK("https://klasma.github.io/Logging_0883/kartor/A 25594-2021 karta.png", "A 25594-2021")</f>
        <v/>
      </c>
      <c r="U522">
        <f>HYPERLINK("https://klasma.github.io/Logging_0883/knärot/A 25594-2021 karta knärot.png", "A 25594-2021")</f>
        <v/>
      </c>
      <c r="V522">
        <f>HYPERLINK("https://klasma.github.io/Logging_0883/klagomål/A 25594-2021 FSC-klagomål.docx", "A 25594-2021")</f>
        <v/>
      </c>
      <c r="W522">
        <f>HYPERLINK("https://klasma.github.io/Logging_0883/klagomålsmail/A 25594-2021 FSC-klagomål mail.docx", "A 25594-2021")</f>
        <v/>
      </c>
      <c r="X522">
        <f>HYPERLINK("https://klasma.github.io/Logging_0883/tillsyn/A 25594-2021 tillsynsbegäran.docx", "A 25594-2021")</f>
        <v/>
      </c>
      <c r="Y522">
        <f>HYPERLINK("https://klasma.github.io/Logging_0883/tillsynsmail/A 25594-2021 tillsynsbegäran mail.docx", "A 25594-2021")</f>
        <v/>
      </c>
    </row>
    <row r="523" ht="15" customHeight="1">
      <c r="A523" t="inlineStr">
        <is>
          <t>A 55360-2024</t>
        </is>
      </c>
      <c r="B523" s="1" t="n">
        <v>45621.8252199074</v>
      </c>
      <c r="C523" s="1" t="n">
        <v>45884</v>
      </c>
      <c r="D523" t="inlineStr">
        <is>
          <t>KALMAR LÄN</t>
        </is>
      </c>
      <c r="E523" t="inlineStr">
        <is>
          <t>VÄSTERVIK</t>
        </is>
      </c>
      <c r="F523" t="inlineStr">
        <is>
          <t>Sveaskog</t>
        </is>
      </c>
      <c r="G523" t="n">
        <v>11.1</v>
      </c>
      <c r="H523" t="n">
        <v>0</v>
      </c>
      <c r="I523" t="n">
        <v>0</v>
      </c>
      <c r="J523" t="n">
        <v>1</v>
      </c>
      <c r="K523" t="n">
        <v>0</v>
      </c>
      <c r="L523" t="n">
        <v>0</v>
      </c>
      <c r="M523" t="n">
        <v>0</v>
      </c>
      <c r="N523" t="n">
        <v>0</v>
      </c>
      <c r="O523" t="n">
        <v>1</v>
      </c>
      <c r="P523" t="n">
        <v>0</v>
      </c>
      <c r="Q523" t="n">
        <v>1</v>
      </c>
      <c r="R523" s="2" t="inlineStr">
        <is>
          <t>Vårstarr</t>
        </is>
      </c>
      <c r="S523">
        <f>HYPERLINK("https://klasma.github.io/Logging_0883/artfynd/A 55360-2024 artfynd.xlsx", "A 55360-2024")</f>
        <v/>
      </c>
      <c r="T523">
        <f>HYPERLINK("https://klasma.github.io/Logging_0883/kartor/A 55360-2024 karta.png", "A 55360-2024")</f>
        <v/>
      </c>
      <c r="V523">
        <f>HYPERLINK("https://klasma.github.io/Logging_0883/klagomål/A 55360-2024 FSC-klagomål.docx", "A 55360-2024")</f>
        <v/>
      </c>
      <c r="W523">
        <f>HYPERLINK("https://klasma.github.io/Logging_0883/klagomålsmail/A 55360-2024 FSC-klagomål mail.docx", "A 55360-2024")</f>
        <v/>
      </c>
      <c r="X523">
        <f>HYPERLINK("https://klasma.github.io/Logging_0883/tillsyn/A 55360-2024 tillsynsbegäran.docx", "A 55360-2024")</f>
        <v/>
      </c>
      <c r="Y523">
        <f>HYPERLINK("https://klasma.github.io/Logging_0883/tillsynsmail/A 55360-2024 tillsynsbegäran mail.docx", "A 55360-2024")</f>
        <v/>
      </c>
    </row>
    <row r="524" ht="15" customHeight="1">
      <c r="A524" t="inlineStr">
        <is>
          <t>A 33241-2022</t>
        </is>
      </c>
      <c r="B524" s="1" t="n">
        <v>44786</v>
      </c>
      <c r="C524" s="1" t="n">
        <v>45884</v>
      </c>
      <c r="D524" t="inlineStr">
        <is>
          <t>KALMAR LÄN</t>
        </is>
      </c>
      <c r="E524" t="inlineStr">
        <is>
          <t>OSKARSHAMN</t>
        </is>
      </c>
      <c r="G524" t="n">
        <v>3</v>
      </c>
      <c r="H524" t="n">
        <v>0</v>
      </c>
      <c r="I524" t="n">
        <v>1</v>
      </c>
      <c r="J524" t="n">
        <v>0</v>
      </c>
      <c r="K524" t="n">
        <v>0</v>
      </c>
      <c r="L524" t="n">
        <v>0</v>
      </c>
      <c r="M524" t="n">
        <v>0</v>
      </c>
      <c r="N524" t="n">
        <v>0</v>
      </c>
      <c r="O524" t="n">
        <v>0</v>
      </c>
      <c r="P524" t="n">
        <v>0</v>
      </c>
      <c r="Q524" t="n">
        <v>1</v>
      </c>
      <c r="R524" s="2" t="inlineStr">
        <is>
          <t>Fällmossa</t>
        </is>
      </c>
      <c r="S524">
        <f>HYPERLINK("https://klasma.github.io/Logging_0882/artfynd/A 33241-2022 artfynd.xlsx", "A 33241-2022")</f>
        <v/>
      </c>
      <c r="T524">
        <f>HYPERLINK("https://klasma.github.io/Logging_0882/kartor/A 33241-2022 karta.png", "A 33241-2022")</f>
        <v/>
      </c>
      <c r="V524">
        <f>HYPERLINK("https://klasma.github.io/Logging_0882/klagomål/A 33241-2022 FSC-klagomål.docx", "A 33241-2022")</f>
        <v/>
      </c>
      <c r="W524">
        <f>HYPERLINK("https://klasma.github.io/Logging_0882/klagomålsmail/A 33241-2022 FSC-klagomål mail.docx", "A 33241-2022")</f>
        <v/>
      </c>
      <c r="X524">
        <f>HYPERLINK("https://klasma.github.io/Logging_0882/tillsyn/A 33241-2022 tillsynsbegäran.docx", "A 33241-2022")</f>
        <v/>
      </c>
      <c r="Y524">
        <f>HYPERLINK("https://klasma.github.io/Logging_0882/tillsynsmail/A 33241-2022 tillsynsbegäran mail.docx", "A 33241-2022")</f>
        <v/>
      </c>
    </row>
    <row r="525" ht="15" customHeight="1">
      <c r="A525" t="inlineStr">
        <is>
          <t>A 46550-2021</t>
        </is>
      </c>
      <c r="B525" s="1" t="n">
        <v>44445</v>
      </c>
      <c r="C525" s="1" t="n">
        <v>45884</v>
      </c>
      <c r="D525" t="inlineStr">
        <is>
          <t>KALMAR LÄN</t>
        </is>
      </c>
      <c r="E525" t="inlineStr">
        <is>
          <t>EMMABODA</t>
        </is>
      </c>
      <c r="G525" t="n">
        <v>3.7</v>
      </c>
      <c r="H525" t="n">
        <v>0</v>
      </c>
      <c r="I525" t="n">
        <v>0</v>
      </c>
      <c r="J525" t="n">
        <v>1</v>
      </c>
      <c r="K525" t="n">
        <v>0</v>
      </c>
      <c r="L525" t="n">
        <v>0</v>
      </c>
      <c r="M525" t="n">
        <v>0</v>
      </c>
      <c r="N525" t="n">
        <v>0</v>
      </c>
      <c r="O525" t="n">
        <v>1</v>
      </c>
      <c r="P525" t="n">
        <v>0</v>
      </c>
      <c r="Q525" t="n">
        <v>1</v>
      </c>
      <c r="R525" s="2" t="inlineStr">
        <is>
          <t>Åkerkulla</t>
        </is>
      </c>
      <c r="S525">
        <f>HYPERLINK("https://klasma.github.io/Logging_0862/artfynd/A 46550-2021 artfynd.xlsx", "A 46550-2021")</f>
        <v/>
      </c>
      <c r="T525">
        <f>HYPERLINK("https://klasma.github.io/Logging_0862/kartor/A 46550-2021 karta.png", "A 46550-2021")</f>
        <v/>
      </c>
      <c r="V525">
        <f>HYPERLINK("https://klasma.github.io/Logging_0862/klagomål/A 46550-2021 FSC-klagomål.docx", "A 46550-2021")</f>
        <v/>
      </c>
      <c r="W525">
        <f>HYPERLINK("https://klasma.github.io/Logging_0862/klagomålsmail/A 46550-2021 FSC-klagomål mail.docx", "A 46550-2021")</f>
        <v/>
      </c>
      <c r="X525">
        <f>HYPERLINK("https://klasma.github.io/Logging_0862/tillsyn/A 46550-2021 tillsynsbegäran.docx", "A 46550-2021")</f>
        <v/>
      </c>
      <c r="Y525">
        <f>HYPERLINK("https://klasma.github.io/Logging_0862/tillsynsmail/A 46550-2021 tillsynsbegäran mail.docx", "A 46550-2021")</f>
        <v/>
      </c>
    </row>
    <row r="526" ht="15" customHeight="1">
      <c r="A526" t="inlineStr">
        <is>
          <t>A 37930-2021</t>
        </is>
      </c>
      <c r="B526" s="1" t="n">
        <v>44403</v>
      </c>
      <c r="C526" s="1" t="n">
        <v>45884</v>
      </c>
      <c r="D526" t="inlineStr">
        <is>
          <t>KALMAR LÄN</t>
        </is>
      </c>
      <c r="E526" t="inlineStr">
        <is>
          <t>VIMMERBY</t>
        </is>
      </c>
      <c r="G526" t="n">
        <v>4.4</v>
      </c>
      <c r="H526" t="n">
        <v>0</v>
      </c>
      <c r="I526" t="n">
        <v>0</v>
      </c>
      <c r="J526" t="n">
        <v>1</v>
      </c>
      <c r="K526" t="n">
        <v>0</v>
      </c>
      <c r="L526" t="n">
        <v>0</v>
      </c>
      <c r="M526" t="n">
        <v>0</v>
      </c>
      <c r="N526" t="n">
        <v>0</v>
      </c>
      <c r="O526" t="n">
        <v>1</v>
      </c>
      <c r="P526" t="n">
        <v>0</v>
      </c>
      <c r="Q526" t="n">
        <v>1</v>
      </c>
      <c r="R526" s="2" t="inlineStr">
        <is>
          <t>Spindelört</t>
        </is>
      </c>
      <c r="S526">
        <f>HYPERLINK("https://klasma.github.io/Logging_0884/artfynd/A 37930-2021 artfynd.xlsx", "A 37930-2021")</f>
        <v/>
      </c>
      <c r="T526">
        <f>HYPERLINK("https://klasma.github.io/Logging_0884/kartor/A 37930-2021 karta.png", "A 37930-2021")</f>
        <v/>
      </c>
      <c r="V526">
        <f>HYPERLINK("https://klasma.github.io/Logging_0884/klagomål/A 37930-2021 FSC-klagomål.docx", "A 37930-2021")</f>
        <v/>
      </c>
      <c r="W526">
        <f>HYPERLINK("https://klasma.github.io/Logging_0884/klagomålsmail/A 37930-2021 FSC-klagomål mail.docx", "A 37930-2021")</f>
        <v/>
      </c>
      <c r="X526">
        <f>HYPERLINK("https://klasma.github.io/Logging_0884/tillsyn/A 37930-2021 tillsynsbegäran.docx", "A 37930-2021")</f>
        <v/>
      </c>
      <c r="Y526">
        <f>HYPERLINK("https://klasma.github.io/Logging_0884/tillsynsmail/A 37930-2021 tillsynsbegäran mail.docx", "A 37930-2021")</f>
        <v/>
      </c>
    </row>
    <row r="527" ht="15" customHeight="1">
      <c r="A527" t="inlineStr">
        <is>
          <t>A 38830-2020</t>
        </is>
      </c>
      <c r="B527" s="1" t="n">
        <v>44062</v>
      </c>
      <c r="C527" s="1" t="n">
        <v>45884</v>
      </c>
      <c r="D527" t="inlineStr">
        <is>
          <t>KALMAR LÄN</t>
        </is>
      </c>
      <c r="E527" t="inlineStr">
        <is>
          <t>OSKARSHAMN</t>
        </is>
      </c>
      <c r="G527" t="n">
        <v>1.4</v>
      </c>
      <c r="H527" t="n">
        <v>0</v>
      </c>
      <c r="I527" t="n">
        <v>0</v>
      </c>
      <c r="J527" t="n">
        <v>0</v>
      </c>
      <c r="K527" t="n">
        <v>1</v>
      </c>
      <c r="L527" t="n">
        <v>0</v>
      </c>
      <c r="M527" t="n">
        <v>0</v>
      </c>
      <c r="N527" t="n">
        <v>0</v>
      </c>
      <c r="O527" t="n">
        <v>1</v>
      </c>
      <c r="P527" t="n">
        <v>1</v>
      </c>
      <c r="Q527" t="n">
        <v>1</v>
      </c>
      <c r="R527" s="2" t="inlineStr">
        <is>
          <t>Blek kraterlav</t>
        </is>
      </c>
      <c r="S527">
        <f>HYPERLINK("https://klasma.github.io/Logging_0882/artfynd/A 38830-2020 artfynd.xlsx", "A 38830-2020")</f>
        <v/>
      </c>
      <c r="T527">
        <f>HYPERLINK("https://klasma.github.io/Logging_0882/kartor/A 38830-2020 karta.png", "A 38830-2020")</f>
        <v/>
      </c>
      <c r="V527">
        <f>HYPERLINK("https://klasma.github.io/Logging_0882/klagomål/A 38830-2020 FSC-klagomål.docx", "A 38830-2020")</f>
        <v/>
      </c>
      <c r="W527">
        <f>HYPERLINK("https://klasma.github.io/Logging_0882/klagomålsmail/A 38830-2020 FSC-klagomål mail.docx", "A 38830-2020")</f>
        <v/>
      </c>
      <c r="X527">
        <f>HYPERLINK("https://klasma.github.io/Logging_0882/tillsyn/A 38830-2020 tillsynsbegäran.docx", "A 38830-2020")</f>
        <v/>
      </c>
      <c r="Y527">
        <f>HYPERLINK("https://klasma.github.io/Logging_0882/tillsynsmail/A 38830-2020 tillsynsbegäran mail.docx", "A 38830-2020")</f>
        <v/>
      </c>
    </row>
    <row r="528" ht="15" customHeight="1">
      <c r="A528" t="inlineStr">
        <is>
          <t>A 24701-2023</t>
        </is>
      </c>
      <c r="B528" s="1" t="n">
        <v>45084</v>
      </c>
      <c r="C528" s="1" t="n">
        <v>45884</v>
      </c>
      <c r="D528" t="inlineStr">
        <is>
          <t>KALMAR LÄN</t>
        </is>
      </c>
      <c r="E528" t="inlineStr">
        <is>
          <t>BORGHOLM</t>
        </is>
      </c>
      <c r="G528" t="n">
        <v>3</v>
      </c>
      <c r="H528" t="n">
        <v>0</v>
      </c>
      <c r="I528" t="n">
        <v>0</v>
      </c>
      <c r="J528" t="n">
        <v>0</v>
      </c>
      <c r="K528" t="n">
        <v>0</v>
      </c>
      <c r="L528" t="n">
        <v>1</v>
      </c>
      <c r="M528" t="n">
        <v>0</v>
      </c>
      <c r="N528" t="n">
        <v>0</v>
      </c>
      <c r="O528" t="n">
        <v>1</v>
      </c>
      <c r="P528" t="n">
        <v>1</v>
      </c>
      <c r="Q528" t="n">
        <v>1</v>
      </c>
      <c r="R528" s="2" t="inlineStr">
        <is>
          <t>Ask</t>
        </is>
      </c>
      <c r="S528">
        <f>HYPERLINK("https://klasma.github.io/Logging_0885/artfynd/A 24701-2023 artfynd.xlsx", "A 24701-2023")</f>
        <v/>
      </c>
      <c r="T528">
        <f>HYPERLINK("https://klasma.github.io/Logging_0885/kartor/A 24701-2023 karta.png", "A 24701-2023")</f>
        <v/>
      </c>
      <c r="V528">
        <f>HYPERLINK("https://klasma.github.io/Logging_0885/klagomål/A 24701-2023 FSC-klagomål.docx", "A 24701-2023")</f>
        <v/>
      </c>
      <c r="W528">
        <f>HYPERLINK("https://klasma.github.io/Logging_0885/klagomålsmail/A 24701-2023 FSC-klagomål mail.docx", "A 24701-2023")</f>
        <v/>
      </c>
      <c r="X528">
        <f>HYPERLINK("https://klasma.github.io/Logging_0885/tillsyn/A 24701-2023 tillsynsbegäran.docx", "A 24701-2023")</f>
        <v/>
      </c>
      <c r="Y528">
        <f>HYPERLINK("https://klasma.github.io/Logging_0885/tillsynsmail/A 24701-2023 tillsynsbegäran mail.docx", "A 24701-2023")</f>
        <v/>
      </c>
    </row>
    <row r="529" ht="15" customHeight="1">
      <c r="A529" t="inlineStr">
        <is>
          <t>A 9067-2025</t>
        </is>
      </c>
      <c r="B529" s="1" t="n">
        <v>45713</v>
      </c>
      <c r="C529" s="1" t="n">
        <v>45884</v>
      </c>
      <c r="D529" t="inlineStr">
        <is>
          <t>KALMAR LÄN</t>
        </is>
      </c>
      <c r="E529" t="inlineStr">
        <is>
          <t>VIMMERBY</t>
        </is>
      </c>
      <c r="G529" t="n">
        <v>3.9</v>
      </c>
      <c r="H529" t="n">
        <v>0</v>
      </c>
      <c r="I529" t="n">
        <v>1</v>
      </c>
      <c r="J529" t="n">
        <v>0</v>
      </c>
      <c r="K529" t="n">
        <v>0</v>
      </c>
      <c r="L529" t="n">
        <v>0</v>
      </c>
      <c r="M529" t="n">
        <v>0</v>
      </c>
      <c r="N529" t="n">
        <v>0</v>
      </c>
      <c r="O529" t="n">
        <v>0</v>
      </c>
      <c r="P529" t="n">
        <v>0</v>
      </c>
      <c r="Q529" t="n">
        <v>1</v>
      </c>
      <c r="R529" s="2" t="inlineStr">
        <is>
          <t>Ögonpyrola</t>
        </is>
      </c>
      <c r="S529">
        <f>HYPERLINK("https://klasma.github.io/Logging_0884/artfynd/A 9067-2025 artfynd.xlsx", "A 9067-2025")</f>
        <v/>
      </c>
      <c r="T529">
        <f>HYPERLINK("https://klasma.github.io/Logging_0884/kartor/A 9067-2025 karta.png", "A 9067-2025")</f>
        <v/>
      </c>
      <c r="V529">
        <f>HYPERLINK("https://klasma.github.io/Logging_0884/klagomål/A 9067-2025 FSC-klagomål.docx", "A 9067-2025")</f>
        <v/>
      </c>
      <c r="W529">
        <f>HYPERLINK("https://klasma.github.io/Logging_0884/klagomålsmail/A 9067-2025 FSC-klagomål mail.docx", "A 9067-2025")</f>
        <v/>
      </c>
      <c r="X529">
        <f>HYPERLINK("https://klasma.github.io/Logging_0884/tillsyn/A 9067-2025 tillsynsbegäran.docx", "A 9067-2025")</f>
        <v/>
      </c>
      <c r="Y529">
        <f>HYPERLINK("https://klasma.github.io/Logging_0884/tillsynsmail/A 9067-2025 tillsynsbegäran mail.docx", "A 9067-2025")</f>
        <v/>
      </c>
    </row>
    <row r="530" ht="15" customHeight="1">
      <c r="A530" t="inlineStr">
        <is>
          <t>A 40924-2022</t>
        </is>
      </c>
      <c r="B530" s="1" t="n">
        <v>44825</v>
      </c>
      <c r="C530" s="1" t="n">
        <v>45884</v>
      </c>
      <c r="D530" t="inlineStr">
        <is>
          <t>KALMAR LÄN</t>
        </is>
      </c>
      <c r="E530" t="inlineStr">
        <is>
          <t>VÄSTERVIK</t>
        </is>
      </c>
      <c r="F530" t="inlineStr">
        <is>
          <t>Sveaskog</t>
        </is>
      </c>
      <c r="G530" t="n">
        <v>0.5</v>
      </c>
      <c r="H530" t="n">
        <v>1</v>
      </c>
      <c r="I530" t="n">
        <v>0</v>
      </c>
      <c r="J530" t="n">
        <v>1</v>
      </c>
      <c r="K530" t="n">
        <v>0</v>
      </c>
      <c r="L530" t="n">
        <v>0</v>
      </c>
      <c r="M530" t="n">
        <v>0</v>
      </c>
      <c r="N530" t="n">
        <v>0</v>
      </c>
      <c r="O530" t="n">
        <v>1</v>
      </c>
      <c r="P530" t="n">
        <v>0</v>
      </c>
      <c r="Q530" t="n">
        <v>1</v>
      </c>
      <c r="R530" s="2" t="inlineStr">
        <is>
          <t>Barbastell</t>
        </is>
      </c>
      <c r="S530">
        <f>HYPERLINK("https://klasma.github.io/Logging_0883/artfynd/A 40924-2022 artfynd.xlsx", "A 40924-2022")</f>
        <v/>
      </c>
      <c r="T530">
        <f>HYPERLINK("https://klasma.github.io/Logging_0883/kartor/A 40924-2022 karta.png", "A 40924-2022")</f>
        <v/>
      </c>
      <c r="V530">
        <f>HYPERLINK("https://klasma.github.io/Logging_0883/klagomål/A 40924-2022 FSC-klagomål.docx", "A 40924-2022")</f>
        <v/>
      </c>
      <c r="W530">
        <f>HYPERLINK("https://klasma.github.io/Logging_0883/klagomålsmail/A 40924-2022 FSC-klagomål mail.docx", "A 40924-2022")</f>
        <v/>
      </c>
      <c r="X530">
        <f>HYPERLINK("https://klasma.github.io/Logging_0883/tillsyn/A 40924-2022 tillsynsbegäran.docx", "A 40924-2022")</f>
        <v/>
      </c>
      <c r="Y530">
        <f>HYPERLINK("https://klasma.github.io/Logging_0883/tillsynsmail/A 40924-2022 tillsynsbegäran mail.docx", "A 40924-2022")</f>
        <v/>
      </c>
    </row>
    <row r="531" ht="15" customHeight="1">
      <c r="A531" t="inlineStr">
        <is>
          <t>A 52954-2020</t>
        </is>
      </c>
      <c r="B531" s="1" t="n">
        <v>44120</v>
      </c>
      <c r="C531" s="1" t="n">
        <v>45884</v>
      </c>
      <c r="D531" t="inlineStr">
        <is>
          <t>KALMAR LÄN</t>
        </is>
      </c>
      <c r="E531" t="inlineStr">
        <is>
          <t>EMMABODA</t>
        </is>
      </c>
      <c r="F531" t="inlineStr">
        <is>
          <t>Sveaskog</t>
        </is>
      </c>
      <c r="G531" t="n">
        <v>2.2</v>
      </c>
      <c r="H531" t="n">
        <v>1</v>
      </c>
      <c r="I531" t="n">
        <v>0</v>
      </c>
      <c r="J531" t="n">
        <v>0</v>
      </c>
      <c r="K531" t="n">
        <v>1</v>
      </c>
      <c r="L531" t="n">
        <v>0</v>
      </c>
      <c r="M531" t="n">
        <v>0</v>
      </c>
      <c r="N531" t="n">
        <v>0</v>
      </c>
      <c r="O531" t="n">
        <v>1</v>
      </c>
      <c r="P531" t="n">
        <v>1</v>
      </c>
      <c r="Q531" t="n">
        <v>1</v>
      </c>
      <c r="R531" s="2" t="inlineStr">
        <is>
          <t>Knärot</t>
        </is>
      </c>
      <c r="S531">
        <f>HYPERLINK("https://klasma.github.io/Logging_0862/artfynd/A 52954-2020 artfynd.xlsx", "A 52954-2020")</f>
        <v/>
      </c>
      <c r="T531">
        <f>HYPERLINK("https://klasma.github.io/Logging_0862/kartor/A 52954-2020 karta.png", "A 52954-2020")</f>
        <v/>
      </c>
      <c r="U531">
        <f>HYPERLINK("https://klasma.github.io/Logging_0862/knärot/A 52954-2020 karta knärot.png", "A 52954-2020")</f>
        <v/>
      </c>
      <c r="V531">
        <f>HYPERLINK("https://klasma.github.io/Logging_0862/klagomål/A 52954-2020 FSC-klagomål.docx", "A 52954-2020")</f>
        <v/>
      </c>
      <c r="W531">
        <f>HYPERLINK("https://klasma.github.io/Logging_0862/klagomålsmail/A 52954-2020 FSC-klagomål mail.docx", "A 52954-2020")</f>
        <v/>
      </c>
      <c r="X531">
        <f>HYPERLINK("https://klasma.github.io/Logging_0862/tillsyn/A 52954-2020 tillsynsbegäran.docx", "A 52954-2020")</f>
        <v/>
      </c>
      <c r="Y531">
        <f>HYPERLINK("https://klasma.github.io/Logging_0862/tillsynsmail/A 52954-2020 tillsynsbegäran mail.docx", "A 52954-2020")</f>
        <v/>
      </c>
    </row>
    <row r="532" ht="15" customHeight="1">
      <c r="A532" t="inlineStr">
        <is>
          <t>A 27054-2022</t>
        </is>
      </c>
      <c r="B532" s="1" t="n">
        <v>44740</v>
      </c>
      <c r="C532" s="1" t="n">
        <v>45884</v>
      </c>
      <c r="D532" t="inlineStr">
        <is>
          <t>KALMAR LÄN</t>
        </is>
      </c>
      <c r="E532" t="inlineStr">
        <is>
          <t>KALMAR</t>
        </is>
      </c>
      <c r="G532" t="n">
        <v>1.1</v>
      </c>
      <c r="H532" t="n">
        <v>1</v>
      </c>
      <c r="I532" t="n">
        <v>0</v>
      </c>
      <c r="J532" t="n">
        <v>0</v>
      </c>
      <c r="K532" t="n">
        <v>0</v>
      </c>
      <c r="L532" t="n">
        <v>0</v>
      </c>
      <c r="M532" t="n">
        <v>0</v>
      </c>
      <c r="N532" t="n">
        <v>0</v>
      </c>
      <c r="O532" t="n">
        <v>0</v>
      </c>
      <c r="P532" t="n">
        <v>0</v>
      </c>
      <c r="Q532" t="n">
        <v>1</v>
      </c>
      <c r="R532" s="2" t="inlineStr">
        <is>
          <t>Blåsippa</t>
        </is>
      </c>
      <c r="S532">
        <f>HYPERLINK("https://klasma.github.io/Logging_0880/artfynd/A 27054-2022 artfynd.xlsx", "A 27054-2022")</f>
        <v/>
      </c>
      <c r="T532">
        <f>HYPERLINK("https://klasma.github.io/Logging_0880/kartor/A 27054-2022 karta.png", "A 27054-2022")</f>
        <v/>
      </c>
      <c r="V532">
        <f>HYPERLINK("https://klasma.github.io/Logging_0880/klagomål/A 27054-2022 FSC-klagomål.docx", "A 27054-2022")</f>
        <v/>
      </c>
      <c r="W532">
        <f>HYPERLINK("https://klasma.github.io/Logging_0880/klagomålsmail/A 27054-2022 FSC-klagomål mail.docx", "A 27054-2022")</f>
        <v/>
      </c>
      <c r="X532">
        <f>HYPERLINK("https://klasma.github.io/Logging_0880/tillsyn/A 27054-2022 tillsynsbegäran.docx", "A 27054-2022")</f>
        <v/>
      </c>
      <c r="Y532">
        <f>HYPERLINK("https://klasma.github.io/Logging_0880/tillsynsmail/A 27054-2022 tillsynsbegäran mail.docx", "A 27054-2022")</f>
        <v/>
      </c>
    </row>
    <row r="533" ht="15" customHeight="1">
      <c r="A533" t="inlineStr">
        <is>
          <t>A 10178-2024</t>
        </is>
      </c>
      <c r="B533" s="1" t="n">
        <v>45364.79518518518</v>
      </c>
      <c r="C533" s="1" t="n">
        <v>45884</v>
      </c>
      <c r="D533" t="inlineStr">
        <is>
          <t>KALMAR LÄN</t>
        </is>
      </c>
      <c r="E533" t="inlineStr">
        <is>
          <t>MÖNSTERÅS</t>
        </is>
      </c>
      <c r="F533" t="inlineStr">
        <is>
          <t>Övriga Aktiebolag</t>
        </is>
      </c>
      <c r="G533" t="n">
        <v>4.8</v>
      </c>
      <c r="H533" t="n">
        <v>1</v>
      </c>
      <c r="I533" t="n">
        <v>0</v>
      </c>
      <c r="J533" t="n">
        <v>1</v>
      </c>
      <c r="K533" t="n">
        <v>0</v>
      </c>
      <c r="L533" t="n">
        <v>0</v>
      </c>
      <c r="M533" t="n">
        <v>0</v>
      </c>
      <c r="N533" t="n">
        <v>0</v>
      </c>
      <c r="O533" t="n">
        <v>1</v>
      </c>
      <c r="P533" t="n">
        <v>0</v>
      </c>
      <c r="Q533" t="n">
        <v>1</v>
      </c>
      <c r="R533" s="2" t="inlineStr">
        <is>
          <t>Spillkråka</t>
        </is>
      </c>
      <c r="S533">
        <f>HYPERLINK("https://klasma.github.io/Logging_0861/artfynd/A 10178-2024 artfynd.xlsx", "A 10178-2024")</f>
        <v/>
      </c>
      <c r="T533">
        <f>HYPERLINK("https://klasma.github.io/Logging_0861/kartor/A 10178-2024 karta.png", "A 10178-2024")</f>
        <v/>
      </c>
      <c r="V533">
        <f>HYPERLINK("https://klasma.github.io/Logging_0861/klagomål/A 10178-2024 FSC-klagomål.docx", "A 10178-2024")</f>
        <v/>
      </c>
      <c r="W533">
        <f>HYPERLINK("https://klasma.github.io/Logging_0861/klagomålsmail/A 10178-2024 FSC-klagomål mail.docx", "A 10178-2024")</f>
        <v/>
      </c>
      <c r="X533">
        <f>HYPERLINK("https://klasma.github.io/Logging_0861/tillsyn/A 10178-2024 tillsynsbegäran.docx", "A 10178-2024")</f>
        <v/>
      </c>
      <c r="Y533">
        <f>HYPERLINK("https://klasma.github.io/Logging_0861/tillsynsmail/A 10178-2024 tillsynsbegäran mail.docx", "A 10178-2024")</f>
        <v/>
      </c>
      <c r="Z533">
        <f>HYPERLINK("https://klasma.github.io/Logging_0861/fåglar/A 10178-2024 prioriterade fågelarter.docx", "A 10178-2024")</f>
        <v/>
      </c>
    </row>
    <row r="534" ht="15" customHeight="1">
      <c r="A534" t="inlineStr">
        <is>
          <t>A 61790-2022</t>
        </is>
      </c>
      <c r="B534" s="1" t="n">
        <v>44917</v>
      </c>
      <c r="C534" s="1" t="n">
        <v>45884</v>
      </c>
      <c r="D534" t="inlineStr">
        <is>
          <t>KALMAR LÄN</t>
        </is>
      </c>
      <c r="E534" t="inlineStr">
        <is>
          <t>NYBRO</t>
        </is>
      </c>
      <c r="F534" t="inlineStr">
        <is>
          <t>Kommuner</t>
        </is>
      </c>
      <c r="G534" t="n">
        <v>3.7</v>
      </c>
      <c r="H534" t="n">
        <v>0</v>
      </c>
      <c r="I534" t="n">
        <v>1</v>
      </c>
      <c r="J534" t="n">
        <v>0</v>
      </c>
      <c r="K534" t="n">
        <v>0</v>
      </c>
      <c r="L534" t="n">
        <v>0</v>
      </c>
      <c r="M534" t="n">
        <v>0</v>
      </c>
      <c r="N534" t="n">
        <v>0</v>
      </c>
      <c r="O534" t="n">
        <v>0</v>
      </c>
      <c r="P534" t="n">
        <v>0</v>
      </c>
      <c r="Q534" t="n">
        <v>1</v>
      </c>
      <c r="R534" s="2" t="inlineStr">
        <is>
          <t>Grönpyrola</t>
        </is>
      </c>
      <c r="S534">
        <f>HYPERLINK("https://klasma.github.io/Logging_0881/artfynd/A 61790-2022 artfynd.xlsx", "A 61790-2022")</f>
        <v/>
      </c>
      <c r="T534">
        <f>HYPERLINK("https://klasma.github.io/Logging_0881/kartor/A 61790-2022 karta.png", "A 61790-2022")</f>
        <v/>
      </c>
      <c r="V534">
        <f>HYPERLINK("https://klasma.github.io/Logging_0881/klagomål/A 61790-2022 FSC-klagomål.docx", "A 61790-2022")</f>
        <v/>
      </c>
      <c r="W534">
        <f>HYPERLINK("https://klasma.github.io/Logging_0881/klagomålsmail/A 61790-2022 FSC-klagomål mail.docx", "A 61790-2022")</f>
        <v/>
      </c>
      <c r="X534">
        <f>HYPERLINK("https://klasma.github.io/Logging_0881/tillsyn/A 61790-2022 tillsynsbegäran.docx", "A 61790-2022")</f>
        <v/>
      </c>
      <c r="Y534">
        <f>HYPERLINK("https://klasma.github.io/Logging_0881/tillsynsmail/A 61790-2022 tillsynsbegäran mail.docx", "A 61790-2022")</f>
        <v/>
      </c>
    </row>
    <row r="535" ht="15" customHeight="1">
      <c r="A535" t="inlineStr">
        <is>
          <t>A 770-2022</t>
        </is>
      </c>
      <c r="B535" s="1" t="n">
        <v>44570.72098379629</v>
      </c>
      <c r="C535" s="1" t="n">
        <v>45884</v>
      </c>
      <c r="D535" t="inlineStr">
        <is>
          <t>KALMAR LÄN</t>
        </is>
      </c>
      <c r="E535" t="inlineStr">
        <is>
          <t>EMMABODA</t>
        </is>
      </c>
      <c r="G535" t="n">
        <v>3.7</v>
      </c>
      <c r="H535" t="n">
        <v>0</v>
      </c>
      <c r="I535" t="n">
        <v>1</v>
      </c>
      <c r="J535" t="n">
        <v>0</v>
      </c>
      <c r="K535" t="n">
        <v>0</v>
      </c>
      <c r="L535" t="n">
        <v>0</v>
      </c>
      <c r="M535" t="n">
        <v>0</v>
      </c>
      <c r="N535" t="n">
        <v>0</v>
      </c>
      <c r="O535" t="n">
        <v>0</v>
      </c>
      <c r="P535" t="n">
        <v>0</v>
      </c>
      <c r="Q535" t="n">
        <v>1</v>
      </c>
      <c r="R535" s="2" t="inlineStr">
        <is>
          <t>Grönpyrola</t>
        </is>
      </c>
      <c r="S535">
        <f>HYPERLINK("https://klasma.github.io/Logging_0862/artfynd/A 770-2022 artfynd.xlsx", "A 770-2022")</f>
        <v/>
      </c>
      <c r="T535">
        <f>HYPERLINK("https://klasma.github.io/Logging_0862/kartor/A 770-2022 karta.png", "A 770-2022")</f>
        <v/>
      </c>
      <c r="V535">
        <f>HYPERLINK("https://klasma.github.io/Logging_0862/klagomål/A 770-2022 FSC-klagomål.docx", "A 770-2022")</f>
        <v/>
      </c>
      <c r="W535">
        <f>HYPERLINK("https://klasma.github.io/Logging_0862/klagomålsmail/A 770-2022 FSC-klagomål mail.docx", "A 770-2022")</f>
        <v/>
      </c>
      <c r="X535">
        <f>HYPERLINK("https://klasma.github.io/Logging_0862/tillsyn/A 770-2022 tillsynsbegäran.docx", "A 770-2022")</f>
        <v/>
      </c>
      <c r="Y535">
        <f>HYPERLINK("https://klasma.github.io/Logging_0862/tillsynsmail/A 770-2022 tillsynsbegäran mail.docx", "A 770-2022")</f>
        <v/>
      </c>
    </row>
    <row r="536" ht="15" customHeight="1">
      <c r="A536" t="inlineStr">
        <is>
          <t>A 15440-2023</t>
        </is>
      </c>
      <c r="B536" s="1" t="n">
        <v>45016</v>
      </c>
      <c r="C536" s="1" t="n">
        <v>45884</v>
      </c>
      <c r="D536" t="inlineStr">
        <is>
          <t>KALMAR LÄN</t>
        </is>
      </c>
      <c r="E536" t="inlineStr">
        <is>
          <t>HULTSFRED</t>
        </is>
      </c>
      <c r="G536" t="n">
        <v>3.1</v>
      </c>
      <c r="H536" t="n">
        <v>1</v>
      </c>
      <c r="I536" t="n">
        <v>0</v>
      </c>
      <c r="J536" t="n">
        <v>1</v>
      </c>
      <c r="K536" t="n">
        <v>0</v>
      </c>
      <c r="L536" t="n">
        <v>0</v>
      </c>
      <c r="M536" t="n">
        <v>0</v>
      </c>
      <c r="N536" t="n">
        <v>0</v>
      </c>
      <c r="O536" t="n">
        <v>1</v>
      </c>
      <c r="P536" t="n">
        <v>0</v>
      </c>
      <c r="Q536" t="n">
        <v>1</v>
      </c>
      <c r="R536" s="2" t="inlineStr">
        <is>
          <t>Spillkråka</t>
        </is>
      </c>
      <c r="S536">
        <f>HYPERLINK("https://klasma.github.io/Logging_0860/artfynd/A 15440-2023 artfynd.xlsx", "A 15440-2023")</f>
        <v/>
      </c>
      <c r="T536">
        <f>HYPERLINK("https://klasma.github.io/Logging_0860/kartor/A 15440-2023 karta.png", "A 15440-2023")</f>
        <v/>
      </c>
      <c r="V536">
        <f>HYPERLINK("https://klasma.github.io/Logging_0860/klagomål/A 15440-2023 FSC-klagomål.docx", "A 15440-2023")</f>
        <v/>
      </c>
      <c r="W536">
        <f>HYPERLINK("https://klasma.github.io/Logging_0860/klagomålsmail/A 15440-2023 FSC-klagomål mail.docx", "A 15440-2023")</f>
        <v/>
      </c>
      <c r="X536">
        <f>HYPERLINK("https://klasma.github.io/Logging_0860/tillsyn/A 15440-2023 tillsynsbegäran.docx", "A 15440-2023")</f>
        <v/>
      </c>
      <c r="Y536">
        <f>HYPERLINK("https://klasma.github.io/Logging_0860/tillsynsmail/A 15440-2023 tillsynsbegäran mail.docx", "A 15440-2023")</f>
        <v/>
      </c>
      <c r="Z536">
        <f>HYPERLINK("https://klasma.github.io/Logging_0860/fåglar/A 15440-2023 prioriterade fågelarter.docx", "A 15440-2023")</f>
        <v/>
      </c>
    </row>
    <row r="537" ht="15" customHeight="1">
      <c r="A537" t="inlineStr">
        <is>
          <t>A 35072-2023</t>
        </is>
      </c>
      <c r="B537" s="1" t="n">
        <v>45145</v>
      </c>
      <c r="C537" s="1" t="n">
        <v>45884</v>
      </c>
      <c r="D537" t="inlineStr">
        <is>
          <t>KALMAR LÄN</t>
        </is>
      </c>
      <c r="E537" t="inlineStr">
        <is>
          <t>HÖGSBY</t>
        </is>
      </c>
      <c r="G537" t="n">
        <v>1.3</v>
      </c>
      <c r="H537" t="n">
        <v>1</v>
      </c>
      <c r="I537" t="n">
        <v>0</v>
      </c>
      <c r="J537" t="n">
        <v>0</v>
      </c>
      <c r="K537" t="n">
        <v>0</v>
      </c>
      <c r="L537" t="n">
        <v>0</v>
      </c>
      <c r="M537" t="n">
        <v>0</v>
      </c>
      <c r="N537" t="n">
        <v>0</v>
      </c>
      <c r="O537" t="n">
        <v>0</v>
      </c>
      <c r="P537" t="n">
        <v>0</v>
      </c>
      <c r="Q537" t="n">
        <v>1</v>
      </c>
      <c r="R537" s="2" t="inlineStr">
        <is>
          <t>Blåsippa</t>
        </is>
      </c>
      <c r="S537">
        <f>HYPERLINK("https://klasma.github.io/Logging_0821/artfynd/A 35072-2023 artfynd.xlsx", "A 35072-2023")</f>
        <v/>
      </c>
      <c r="T537">
        <f>HYPERLINK("https://klasma.github.io/Logging_0821/kartor/A 35072-2023 karta.png", "A 35072-2023")</f>
        <v/>
      </c>
      <c r="V537">
        <f>HYPERLINK("https://klasma.github.io/Logging_0821/klagomål/A 35072-2023 FSC-klagomål.docx", "A 35072-2023")</f>
        <v/>
      </c>
      <c r="W537">
        <f>HYPERLINK("https://klasma.github.io/Logging_0821/klagomålsmail/A 35072-2023 FSC-klagomål mail.docx", "A 35072-2023")</f>
        <v/>
      </c>
      <c r="X537">
        <f>HYPERLINK("https://klasma.github.io/Logging_0821/tillsyn/A 35072-2023 tillsynsbegäran.docx", "A 35072-2023")</f>
        <v/>
      </c>
      <c r="Y537">
        <f>HYPERLINK("https://klasma.github.io/Logging_0821/tillsynsmail/A 35072-2023 tillsynsbegäran mail.docx", "A 35072-2023")</f>
        <v/>
      </c>
    </row>
    <row r="538" ht="15" customHeight="1">
      <c r="A538" t="inlineStr">
        <is>
          <t>A 5861-2021</t>
        </is>
      </c>
      <c r="B538" s="1" t="n">
        <v>44231</v>
      </c>
      <c r="C538" s="1" t="n">
        <v>45884</v>
      </c>
      <c r="D538" t="inlineStr">
        <is>
          <t>KALMAR LÄN</t>
        </is>
      </c>
      <c r="E538" t="inlineStr">
        <is>
          <t>TORSÅS</t>
        </is>
      </c>
      <c r="G538" t="n">
        <v>4.2</v>
      </c>
      <c r="H538" t="n">
        <v>0</v>
      </c>
      <c r="I538" t="n">
        <v>0</v>
      </c>
      <c r="J538" t="n">
        <v>0</v>
      </c>
      <c r="K538" t="n">
        <v>0</v>
      </c>
      <c r="L538" t="n">
        <v>0</v>
      </c>
      <c r="M538" t="n">
        <v>1</v>
      </c>
      <c r="N538" t="n">
        <v>0</v>
      </c>
      <c r="O538" t="n">
        <v>1</v>
      </c>
      <c r="P538" t="n">
        <v>1</v>
      </c>
      <c r="Q538" t="n">
        <v>1</v>
      </c>
      <c r="R538" s="2" t="inlineStr">
        <is>
          <t>Skogsalm</t>
        </is>
      </c>
      <c r="S538">
        <f>HYPERLINK("https://klasma.github.io/Logging_0834/artfynd/A 5861-2021 artfynd.xlsx", "A 5861-2021")</f>
        <v/>
      </c>
      <c r="T538">
        <f>HYPERLINK("https://klasma.github.io/Logging_0834/kartor/A 5861-2021 karta.png", "A 5861-2021")</f>
        <v/>
      </c>
      <c r="V538">
        <f>HYPERLINK("https://klasma.github.io/Logging_0834/klagomål/A 5861-2021 FSC-klagomål.docx", "A 5861-2021")</f>
        <v/>
      </c>
      <c r="W538">
        <f>HYPERLINK("https://klasma.github.io/Logging_0834/klagomålsmail/A 5861-2021 FSC-klagomål mail.docx", "A 5861-2021")</f>
        <v/>
      </c>
      <c r="X538">
        <f>HYPERLINK("https://klasma.github.io/Logging_0834/tillsyn/A 5861-2021 tillsynsbegäran.docx", "A 5861-2021")</f>
        <v/>
      </c>
      <c r="Y538">
        <f>HYPERLINK("https://klasma.github.io/Logging_0834/tillsynsmail/A 5861-2021 tillsynsbegäran mail.docx", "A 5861-2021")</f>
        <v/>
      </c>
    </row>
    <row r="539" ht="15" customHeight="1">
      <c r="A539" t="inlineStr">
        <is>
          <t>A 27760-2024</t>
        </is>
      </c>
      <c r="B539" s="1" t="n">
        <v>45475</v>
      </c>
      <c r="C539" s="1" t="n">
        <v>45884</v>
      </c>
      <c r="D539" t="inlineStr">
        <is>
          <t>KALMAR LÄN</t>
        </is>
      </c>
      <c r="E539" t="inlineStr">
        <is>
          <t>KALMAR</t>
        </is>
      </c>
      <c r="G539" t="n">
        <v>3.3</v>
      </c>
      <c r="H539" t="n">
        <v>0</v>
      </c>
      <c r="I539" t="n">
        <v>1</v>
      </c>
      <c r="J539" t="n">
        <v>0</v>
      </c>
      <c r="K539" t="n">
        <v>0</v>
      </c>
      <c r="L539" t="n">
        <v>0</v>
      </c>
      <c r="M539" t="n">
        <v>0</v>
      </c>
      <c r="N539" t="n">
        <v>0</v>
      </c>
      <c r="O539" t="n">
        <v>0</v>
      </c>
      <c r="P539" t="n">
        <v>0</v>
      </c>
      <c r="Q539" t="n">
        <v>1</v>
      </c>
      <c r="R539" s="2" t="inlineStr">
        <is>
          <t>Vit vaxskivling</t>
        </is>
      </c>
      <c r="S539">
        <f>HYPERLINK("https://klasma.github.io/Logging_0880/artfynd/A 27760-2024 artfynd.xlsx", "A 27760-2024")</f>
        <v/>
      </c>
      <c r="T539">
        <f>HYPERLINK("https://klasma.github.io/Logging_0880/kartor/A 27760-2024 karta.png", "A 27760-2024")</f>
        <v/>
      </c>
      <c r="V539">
        <f>HYPERLINK("https://klasma.github.io/Logging_0880/klagomål/A 27760-2024 FSC-klagomål.docx", "A 27760-2024")</f>
        <v/>
      </c>
      <c r="W539">
        <f>HYPERLINK("https://klasma.github.io/Logging_0880/klagomålsmail/A 27760-2024 FSC-klagomål mail.docx", "A 27760-2024")</f>
        <v/>
      </c>
      <c r="X539">
        <f>HYPERLINK("https://klasma.github.io/Logging_0880/tillsyn/A 27760-2024 tillsynsbegäran.docx", "A 27760-2024")</f>
        <v/>
      </c>
      <c r="Y539">
        <f>HYPERLINK("https://klasma.github.io/Logging_0880/tillsynsmail/A 27760-2024 tillsynsbegäran mail.docx", "A 27760-2024")</f>
        <v/>
      </c>
    </row>
    <row r="540" ht="15" customHeight="1">
      <c r="A540" t="inlineStr">
        <is>
          <t>A 33436-2021</t>
        </is>
      </c>
      <c r="B540" s="1" t="n">
        <v>44377.61104166666</v>
      </c>
      <c r="C540" s="1" t="n">
        <v>45884</v>
      </c>
      <c r="D540" t="inlineStr">
        <is>
          <t>KALMAR LÄN</t>
        </is>
      </c>
      <c r="E540" t="inlineStr">
        <is>
          <t>VIMMERBY</t>
        </is>
      </c>
      <c r="G540" t="n">
        <v>11.8</v>
      </c>
      <c r="H540" t="n">
        <v>1</v>
      </c>
      <c r="I540" t="n">
        <v>0</v>
      </c>
      <c r="J540" t="n">
        <v>0</v>
      </c>
      <c r="K540" t="n">
        <v>1</v>
      </c>
      <c r="L540" t="n">
        <v>0</v>
      </c>
      <c r="M540" t="n">
        <v>0</v>
      </c>
      <c r="N540" t="n">
        <v>0</v>
      </c>
      <c r="O540" t="n">
        <v>1</v>
      </c>
      <c r="P540" t="n">
        <v>1</v>
      </c>
      <c r="Q540" t="n">
        <v>1</v>
      </c>
      <c r="R540" s="2" t="inlineStr">
        <is>
          <t>Knärot</t>
        </is>
      </c>
      <c r="S540">
        <f>HYPERLINK("https://klasma.github.io/Logging_0884/artfynd/A 33436-2021 artfynd.xlsx", "A 33436-2021")</f>
        <v/>
      </c>
      <c r="T540">
        <f>HYPERLINK("https://klasma.github.io/Logging_0884/kartor/A 33436-2021 karta.png", "A 33436-2021")</f>
        <v/>
      </c>
      <c r="U540">
        <f>HYPERLINK("https://klasma.github.io/Logging_0884/knärot/A 33436-2021 karta knärot.png", "A 33436-2021")</f>
        <v/>
      </c>
      <c r="V540">
        <f>HYPERLINK("https://klasma.github.io/Logging_0884/klagomål/A 33436-2021 FSC-klagomål.docx", "A 33436-2021")</f>
        <v/>
      </c>
      <c r="W540">
        <f>HYPERLINK("https://klasma.github.io/Logging_0884/klagomålsmail/A 33436-2021 FSC-klagomål mail.docx", "A 33436-2021")</f>
        <v/>
      </c>
      <c r="X540">
        <f>HYPERLINK("https://klasma.github.io/Logging_0884/tillsyn/A 33436-2021 tillsynsbegäran.docx", "A 33436-2021")</f>
        <v/>
      </c>
      <c r="Y540">
        <f>HYPERLINK("https://klasma.github.io/Logging_0884/tillsynsmail/A 33436-2021 tillsynsbegäran mail.docx", "A 33436-2021")</f>
        <v/>
      </c>
    </row>
    <row r="541" ht="15" customHeight="1">
      <c r="A541" t="inlineStr">
        <is>
          <t>A 28495-2023</t>
        </is>
      </c>
      <c r="B541" s="1" t="n">
        <v>45103</v>
      </c>
      <c r="C541" s="1" t="n">
        <v>45884</v>
      </c>
      <c r="D541" t="inlineStr">
        <is>
          <t>KALMAR LÄN</t>
        </is>
      </c>
      <c r="E541" t="inlineStr">
        <is>
          <t>VÄSTERVIK</t>
        </is>
      </c>
      <c r="G541" t="n">
        <v>3.1</v>
      </c>
      <c r="H541" t="n">
        <v>1</v>
      </c>
      <c r="I541" t="n">
        <v>0</v>
      </c>
      <c r="J541" t="n">
        <v>0</v>
      </c>
      <c r="K541" t="n">
        <v>1</v>
      </c>
      <c r="L541" t="n">
        <v>0</v>
      </c>
      <c r="M541" t="n">
        <v>0</v>
      </c>
      <c r="N541" t="n">
        <v>0</v>
      </c>
      <c r="O541" t="n">
        <v>1</v>
      </c>
      <c r="P541" t="n">
        <v>1</v>
      </c>
      <c r="Q541" t="n">
        <v>1</v>
      </c>
      <c r="R541" s="2" t="inlineStr">
        <is>
          <t>Knärot</t>
        </is>
      </c>
      <c r="S541">
        <f>HYPERLINK("https://klasma.github.io/Logging_0883/artfynd/A 28495-2023 artfynd.xlsx", "A 28495-2023")</f>
        <v/>
      </c>
      <c r="T541">
        <f>HYPERLINK("https://klasma.github.io/Logging_0883/kartor/A 28495-2023 karta.png", "A 28495-2023")</f>
        <v/>
      </c>
      <c r="U541">
        <f>HYPERLINK("https://klasma.github.io/Logging_0883/knärot/A 28495-2023 karta knärot.png", "A 28495-2023")</f>
        <v/>
      </c>
      <c r="V541">
        <f>HYPERLINK("https://klasma.github.io/Logging_0883/klagomål/A 28495-2023 FSC-klagomål.docx", "A 28495-2023")</f>
        <v/>
      </c>
      <c r="W541">
        <f>HYPERLINK("https://klasma.github.io/Logging_0883/klagomålsmail/A 28495-2023 FSC-klagomål mail.docx", "A 28495-2023")</f>
        <v/>
      </c>
      <c r="X541">
        <f>HYPERLINK("https://klasma.github.io/Logging_0883/tillsyn/A 28495-2023 tillsynsbegäran.docx", "A 28495-2023")</f>
        <v/>
      </c>
      <c r="Y541">
        <f>HYPERLINK("https://klasma.github.io/Logging_0883/tillsynsmail/A 28495-2023 tillsynsbegäran mail.docx", "A 28495-2023")</f>
        <v/>
      </c>
    </row>
    <row r="542" ht="15" customHeight="1">
      <c r="A542" t="inlineStr">
        <is>
          <t>A 13176-2025</t>
        </is>
      </c>
      <c r="B542" s="1" t="n">
        <v>45735.37159722222</v>
      </c>
      <c r="C542" s="1" t="n">
        <v>45884</v>
      </c>
      <c r="D542" t="inlineStr">
        <is>
          <t>KALMAR LÄN</t>
        </is>
      </c>
      <c r="E542" t="inlineStr">
        <is>
          <t>TORSÅS</t>
        </is>
      </c>
      <c r="G542" t="n">
        <v>7.2</v>
      </c>
      <c r="H542" t="n">
        <v>0</v>
      </c>
      <c r="I542" t="n">
        <v>1</v>
      </c>
      <c r="J542" t="n">
        <v>0</v>
      </c>
      <c r="K542" t="n">
        <v>0</v>
      </c>
      <c r="L542" t="n">
        <v>0</v>
      </c>
      <c r="M542" t="n">
        <v>0</v>
      </c>
      <c r="N542" t="n">
        <v>0</v>
      </c>
      <c r="O542" t="n">
        <v>0</v>
      </c>
      <c r="P542" t="n">
        <v>0</v>
      </c>
      <c r="Q542" t="n">
        <v>1</v>
      </c>
      <c r="R542" s="2" t="inlineStr">
        <is>
          <t>Blåmossa</t>
        </is>
      </c>
      <c r="S542">
        <f>HYPERLINK("https://klasma.github.io/Logging_0834/artfynd/A 13176-2025 artfynd.xlsx", "A 13176-2025")</f>
        <v/>
      </c>
      <c r="T542">
        <f>HYPERLINK("https://klasma.github.io/Logging_0834/kartor/A 13176-2025 karta.png", "A 13176-2025")</f>
        <v/>
      </c>
      <c r="V542">
        <f>HYPERLINK("https://klasma.github.io/Logging_0834/klagomål/A 13176-2025 FSC-klagomål.docx", "A 13176-2025")</f>
        <v/>
      </c>
      <c r="W542">
        <f>HYPERLINK("https://klasma.github.io/Logging_0834/klagomålsmail/A 13176-2025 FSC-klagomål mail.docx", "A 13176-2025")</f>
        <v/>
      </c>
      <c r="X542">
        <f>HYPERLINK("https://klasma.github.io/Logging_0834/tillsyn/A 13176-2025 tillsynsbegäran.docx", "A 13176-2025")</f>
        <v/>
      </c>
      <c r="Y542">
        <f>HYPERLINK("https://klasma.github.io/Logging_0834/tillsynsmail/A 13176-2025 tillsynsbegäran mail.docx", "A 13176-2025")</f>
        <v/>
      </c>
    </row>
    <row r="543" ht="15" customHeight="1">
      <c r="A543" t="inlineStr">
        <is>
          <t>A 3053-2024</t>
        </is>
      </c>
      <c r="B543" s="1" t="n">
        <v>45316</v>
      </c>
      <c r="C543" s="1" t="n">
        <v>45884</v>
      </c>
      <c r="D543" t="inlineStr">
        <is>
          <t>KALMAR LÄN</t>
        </is>
      </c>
      <c r="E543" t="inlineStr">
        <is>
          <t>NYBRO</t>
        </is>
      </c>
      <c r="G543" t="n">
        <v>1.7</v>
      </c>
      <c r="H543" t="n">
        <v>0</v>
      </c>
      <c r="I543" t="n">
        <v>0</v>
      </c>
      <c r="J543" t="n">
        <v>1</v>
      </c>
      <c r="K543" t="n">
        <v>0</v>
      </c>
      <c r="L543" t="n">
        <v>0</v>
      </c>
      <c r="M543" t="n">
        <v>0</v>
      </c>
      <c r="N543" t="n">
        <v>0</v>
      </c>
      <c r="O543" t="n">
        <v>1</v>
      </c>
      <c r="P543" t="n">
        <v>0</v>
      </c>
      <c r="Q543" t="n">
        <v>1</v>
      </c>
      <c r="R543" s="2" t="inlineStr">
        <is>
          <t>Slåtterfibbla</t>
        </is>
      </c>
      <c r="S543">
        <f>HYPERLINK("https://klasma.github.io/Logging_0881/artfynd/A 3053-2024 artfynd.xlsx", "A 3053-2024")</f>
        <v/>
      </c>
      <c r="T543">
        <f>HYPERLINK("https://klasma.github.io/Logging_0881/kartor/A 3053-2024 karta.png", "A 3053-2024")</f>
        <v/>
      </c>
      <c r="V543">
        <f>HYPERLINK("https://klasma.github.io/Logging_0881/klagomål/A 3053-2024 FSC-klagomål.docx", "A 3053-2024")</f>
        <v/>
      </c>
      <c r="W543">
        <f>HYPERLINK("https://klasma.github.io/Logging_0881/klagomålsmail/A 3053-2024 FSC-klagomål mail.docx", "A 3053-2024")</f>
        <v/>
      </c>
      <c r="X543">
        <f>HYPERLINK("https://klasma.github.io/Logging_0881/tillsyn/A 3053-2024 tillsynsbegäran.docx", "A 3053-2024")</f>
        <v/>
      </c>
      <c r="Y543">
        <f>HYPERLINK("https://klasma.github.io/Logging_0881/tillsynsmail/A 3053-2024 tillsynsbegäran mail.docx", "A 3053-2024")</f>
        <v/>
      </c>
    </row>
    <row r="544" ht="15" customHeight="1">
      <c r="A544" t="inlineStr">
        <is>
          <t>A 48980-2024</t>
        </is>
      </c>
      <c r="B544" s="1" t="n">
        <v>45594</v>
      </c>
      <c r="C544" s="1" t="n">
        <v>45884</v>
      </c>
      <c r="D544" t="inlineStr">
        <is>
          <t>KALMAR LÄN</t>
        </is>
      </c>
      <c r="E544" t="inlineStr">
        <is>
          <t>NYBRO</t>
        </is>
      </c>
      <c r="G544" t="n">
        <v>41.9</v>
      </c>
      <c r="H544" t="n">
        <v>0</v>
      </c>
      <c r="I544" t="n">
        <v>0</v>
      </c>
      <c r="J544" t="n">
        <v>0</v>
      </c>
      <c r="K544" t="n">
        <v>1</v>
      </c>
      <c r="L544" t="n">
        <v>0</v>
      </c>
      <c r="M544" t="n">
        <v>0</v>
      </c>
      <c r="N544" t="n">
        <v>0</v>
      </c>
      <c r="O544" t="n">
        <v>1</v>
      </c>
      <c r="P544" t="n">
        <v>1</v>
      </c>
      <c r="Q544" t="n">
        <v>1</v>
      </c>
      <c r="R544" s="2" t="inlineStr">
        <is>
          <t>Hjärtstilla</t>
        </is>
      </c>
      <c r="S544">
        <f>HYPERLINK("https://klasma.github.io/Logging_0881/artfynd/A 48980-2024 artfynd.xlsx", "A 48980-2024")</f>
        <v/>
      </c>
      <c r="T544">
        <f>HYPERLINK("https://klasma.github.io/Logging_0881/kartor/A 48980-2024 karta.png", "A 48980-2024")</f>
        <v/>
      </c>
      <c r="V544">
        <f>HYPERLINK("https://klasma.github.io/Logging_0881/klagomål/A 48980-2024 FSC-klagomål.docx", "A 48980-2024")</f>
        <v/>
      </c>
      <c r="W544">
        <f>HYPERLINK("https://klasma.github.io/Logging_0881/klagomålsmail/A 48980-2024 FSC-klagomål mail.docx", "A 48980-2024")</f>
        <v/>
      </c>
      <c r="X544">
        <f>HYPERLINK("https://klasma.github.io/Logging_0881/tillsyn/A 48980-2024 tillsynsbegäran.docx", "A 48980-2024")</f>
        <v/>
      </c>
      <c r="Y544">
        <f>HYPERLINK("https://klasma.github.io/Logging_0881/tillsynsmail/A 48980-2024 tillsynsbegäran mail.docx", "A 48980-2024")</f>
        <v/>
      </c>
    </row>
    <row r="545" ht="15" customHeight="1">
      <c r="A545" t="inlineStr">
        <is>
          <t>A 27708-2024</t>
        </is>
      </c>
      <c r="B545" s="1" t="n">
        <v>45475</v>
      </c>
      <c r="C545" s="1" t="n">
        <v>45884</v>
      </c>
      <c r="D545" t="inlineStr">
        <is>
          <t>KALMAR LÄN</t>
        </is>
      </c>
      <c r="E545" t="inlineStr">
        <is>
          <t>VÄSTERVIK</t>
        </is>
      </c>
      <c r="F545" t="inlineStr">
        <is>
          <t>Holmen skog AB</t>
        </is>
      </c>
      <c r="G545" t="n">
        <v>1.7</v>
      </c>
      <c r="H545" t="n">
        <v>1</v>
      </c>
      <c r="I545" t="n">
        <v>0</v>
      </c>
      <c r="J545" t="n">
        <v>1</v>
      </c>
      <c r="K545" t="n">
        <v>0</v>
      </c>
      <c r="L545" t="n">
        <v>0</v>
      </c>
      <c r="M545" t="n">
        <v>0</v>
      </c>
      <c r="N545" t="n">
        <v>0</v>
      </c>
      <c r="O545" t="n">
        <v>1</v>
      </c>
      <c r="P545" t="n">
        <v>0</v>
      </c>
      <c r="Q545" t="n">
        <v>1</v>
      </c>
      <c r="R545" s="2" t="inlineStr">
        <is>
          <t>Spillkråka</t>
        </is>
      </c>
      <c r="S545">
        <f>HYPERLINK("https://klasma.github.io/Logging_0883/artfynd/A 27708-2024 artfynd.xlsx", "A 27708-2024")</f>
        <v/>
      </c>
      <c r="T545">
        <f>HYPERLINK("https://klasma.github.io/Logging_0883/kartor/A 27708-2024 karta.png", "A 27708-2024")</f>
        <v/>
      </c>
      <c r="V545">
        <f>HYPERLINK("https://klasma.github.io/Logging_0883/klagomål/A 27708-2024 FSC-klagomål.docx", "A 27708-2024")</f>
        <v/>
      </c>
      <c r="W545">
        <f>HYPERLINK("https://klasma.github.io/Logging_0883/klagomålsmail/A 27708-2024 FSC-klagomål mail.docx", "A 27708-2024")</f>
        <v/>
      </c>
      <c r="X545">
        <f>HYPERLINK("https://klasma.github.io/Logging_0883/tillsyn/A 27708-2024 tillsynsbegäran.docx", "A 27708-2024")</f>
        <v/>
      </c>
      <c r="Y545">
        <f>HYPERLINK("https://klasma.github.io/Logging_0883/tillsynsmail/A 27708-2024 tillsynsbegäran mail.docx", "A 27708-2024")</f>
        <v/>
      </c>
      <c r="Z545">
        <f>HYPERLINK("https://klasma.github.io/Logging_0883/fåglar/A 27708-2024 prioriterade fågelarter.docx", "A 27708-2024")</f>
        <v/>
      </c>
    </row>
    <row r="546" ht="15" customHeight="1">
      <c r="A546" t="inlineStr">
        <is>
          <t>A 13558-2025</t>
        </is>
      </c>
      <c r="B546" s="1" t="n">
        <v>45736.54974537037</v>
      </c>
      <c r="C546" s="1" t="n">
        <v>45884</v>
      </c>
      <c r="D546" t="inlineStr">
        <is>
          <t>KALMAR LÄN</t>
        </is>
      </c>
      <c r="E546" t="inlineStr">
        <is>
          <t>BORGHOLM</t>
        </is>
      </c>
      <c r="G546" t="n">
        <v>0.7</v>
      </c>
      <c r="H546" t="n">
        <v>0</v>
      </c>
      <c r="I546" t="n">
        <v>0</v>
      </c>
      <c r="J546" t="n">
        <v>1</v>
      </c>
      <c r="K546" t="n">
        <v>0</v>
      </c>
      <c r="L546" t="n">
        <v>0</v>
      </c>
      <c r="M546" t="n">
        <v>0</v>
      </c>
      <c r="N546" t="n">
        <v>0</v>
      </c>
      <c r="O546" t="n">
        <v>1</v>
      </c>
      <c r="P546" t="n">
        <v>0</v>
      </c>
      <c r="Q546" t="n">
        <v>1</v>
      </c>
      <c r="R546" s="2" t="inlineStr">
        <is>
          <t>Backruta</t>
        </is>
      </c>
      <c r="S546">
        <f>HYPERLINK("https://klasma.github.io/Logging_0885/artfynd/A 13558-2025 artfynd.xlsx", "A 13558-2025")</f>
        <v/>
      </c>
      <c r="T546">
        <f>HYPERLINK("https://klasma.github.io/Logging_0885/kartor/A 13558-2025 karta.png", "A 13558-2025")</f>
        <v/>
      </c>
      <c r="V546">
        <f>HYPERLINK("https://klasma.github.io/Logging_0885/klagomål/A 13558-2025 FSC-klagomål.docx", "A 13558-2025")</f>
        <v/>
      </c>
      <c r="W546">
        <f>HYPERLINK("https://klasma.github.io/Logging_0885/klagomålsmail/A 13558-2025 FSC-klagomål mail.docx", "A 13558-2025")</f>
        <v/>
      </c>
      <c r="X546">
        <f>HYPERLINK("https://klasma.github.io/Logging_0885/tillsyn/A 13558-2025 tillsynsbegäran.docx", "A 13558-2025")</f>
        <v/>
      </c>
      <c r="Y546">
        <f>HYPERLINK("https://klasma.github.io/Logging_0885/tillsynsmail/A 13558-2025 tillsynsbegäran mail.docx", "A 13558-2025")</f>
        <v/>
      </c>
    </row>
    <row r="547" ht="15" customHeight="1">
      <c r="A547" t="inlineStr">
        <is>
          <t>A 24157-2023</t>
        </is>
      </c>
      <c r="B547" s="1" t="n">
        <v>45079</v>
      </c>
      <c r="C547" s="1" t="n">
        <v>45884</v>
      </c>
      <c r="D547" t="inlineStr">
        <is>
          <t>KALMAR LÄN</t>
        </is>
      </c>
      <c r="E547" t="inlineStr">
        <is>
          <t>TORSÅS</t>
        </is>
      </c>
      <c r="G547" t="n">
        <v>7</v>
      </c>
      <c r="H547" t="n">
        <v>0</v>
      </c>
      <c r="I547" t="n">
        <v>1</v>
      </c>
      <c r="J547" t="n">
        <v>0</v>
      </c>
      <c r="K547" t="n">
        <v>0</v>
      </c>
      <c r="L547" t="n">
        <v>0</v>
      </c>
      <c r="M547" t="n">
        <v>0</v>
      </c>
      <c r="N547" t="n">
        <v>0</v>
      </c>
      <c r="O547" t="n">
        <v>0</v>
      </c>
      <c r="P547" t="n">
        <v>0</v>
      </c>
      <c r="Q547" t="n">
        <v>1</v>
      </c>
      <c r="R547" s="2" t="inlineStr">
        <is>
          <t>Grovticka</t>
        </is>
      </c>
      <c r="S547">
        <f>HYPERLINK("https://klasma.github.io/Logging_0834/artfynd/A 24157-2023 artfynd.xlsx", "A 24157-2023")</f>
        <v/>
      </c>
      <c r="T547">
        <f>HYPERLINK("https://klasma.github.io/Logging_0834/kartor/A 24157-2023 karta.png", "A 24157-2023")</f>
        <v/>
      </c>
      <c r="V547">
        <f>HYPERLINK("https://klasma.github.io/Logging_0834/klagomål/A 24157-2023 FSC-klagomål.docx", "A 24157-2023")</f>
        <v/>
      </c>
      <c r="W547">
        <f>HYPERLINK("https://klasma.github.io/Logging_0834/klagomålsmail/A 24157-2023 FSC-klagomål mail.docx", "A 24157-2023")</f>
        <v/>
      </c>
      <c r="X547">
        <f>HYPERLINK("https://klasma.github.io/Logging_0834/tillsyn/A 24157-2023 tillsynsbegäran.docx", "A 24157-2023")</f>
        <v/>
      </c>
      <c r="Y547">
        <f>HYPERLINK("https://klasma.github.io/Logging_0834/tillsynsmail/A 24157-2023 tillsynsbegäran mail.docx", "A 24157-2023")</f>
        <v/>
      </c>
    </row>
    <row r="548" ht="15" customHeight="1">
      <c r="A548" t="inlineStr">
        <is>
          <t>A 57052-2024</t>
        </is>
      </c>
      <c r="B548" s="1" t="n">
        <v>45629.34431712963</v>
      </c>
      <c r="C548" s="1" t="n">
        <v>45884</v>
      </c>
      <c r="D548" t="inlineStr">
        <is>
          <t>KALMAR LÄN</t>
        </is>
      </c>
      <c r="E548" t="inlineStr">
        <is>
          <t>HULTSFRED</t>
        </is>
      </c>
      <c r="G548" t="n">
        <v>0.6</v>
      </c>
      <c r="H548" t="n">
        <v>1</v>
      </c>
      <c r="I548" t="n">
        <v>1</v>
      </c>
      <c r="J548" t="n">
        <v>0</v>
      </c>
      <c r="K548" t="n">
        <v>0</v>
      </c>
      <c r="L548" t="n">
        <v>0</v>
      </c>
      <c r="M548" t="n">
        <v>0</v>
      </c>
      <c r="N548" t="n">
        <v>0</v>
      </c>
      <c r="O548" t="n">
        <v>0</v>
      </c>
      <c r="P548" t="n">
        <v>0</v>
      </c>
      <c r="Q548" t="n">
        <v>1</v>
      </c>
      <c r="R548" s="2" t="inlineStr">
        <is>
          <t>Plattlummer</t>
        </is>
      </c>
      <c r="S548">
        <f>HYPERLINK("https://klasma.github.io/Logging_0860/artfynd/A 57052-2024 artfynd.xlsx", "A 57052-2024")</f>
        <v/>
      </c>
      <c r="T548">
        <f>HYPERLINK("https://klasma.github.io/Logging_0860/kartor/A 57052-2024 karta.png", "A 57052-2024")</f>
        <v/>
      </c>
      <c r="U548">
        <f>HYPERLINK("https://klasma.github.io/Logging_0860/knärot/A 57052-2024 karta knärot.png", "A 57052-2024")</f>
        <v/>
      </c>
      <c r="V548">
        <f>HYPERLINK("https://klasma.github.io/Logging_0860/klagomål/A 57052-2024 FSC-klagomål.docx", "A 57052-2024")</f>
        <v/>
      </c>
      <c r="W548">
        <f>HYPERLINK("https://klasma.github.io/Logging_0860/klagomålsmail/A 57052-2024 FSC-klagomål mail.docx", "A 57052-2024")</f>
        <v/>
      </c>
      <c r="X548">
        <f>HYPERLINK("https://klasma.github.io/Logging_0860/tillsyn/A 57052-2024 tillsynsbegäran.docx", "A 57052-2024")</f>
        <v/>
      </c>
      <c r="Y548">
        <f>HYPERLINK("https://klasma.github.io/Logging_0860/tillsynsmail/A 57052-2024 tillsynsbegäran mail.docx", "A 57052-2024")</f>
        <v/>
      </c>
    </row>
    <row r="549" ht="15" customHeight="1">
      <c r="A549" t="inlineStr">
        <is>
          <t>A 26056-2022</t>
        </is>
      </c>
      <c r="B549" s="1" t="n">
        <v>44734</v>
      </c>
      <c r="C549" s="1" t="n">
        <v>45884</v>
      </c>
      <c r="D549" t="inlineStr">
        <is>
          <t>KALMAR LÄN</t>
        </is>
      </c>
      <c r="E549" t="inlineStr">
        <is>
          <t>VÄSTERVIK</t>
        </is>
      </c>
      <c r="G549" t="n">
        <v>1.1</v>
      </c>
      <c r="H549" t="n">
        <v>0</v>
      </c>
      <c r="I549" t="n">
        <v>0</v>
      </c>
      <c r="J549" t="n">
        <v>1</v>
      </c>
      <c r="K549" t="n">
        <v>0</v>
      </c>
      <c r="L549" t="n">
        <v>0</v>
      </c>
      <c r="M549" t="n">
        <v>0</v>
      </c>
      <c r="N549" t="n">
        <v>0</v>
      </c>
      <c r="O549" t="n">
        <v>1</v>
      </c>
      <c r="P549" t="n">
        <v>0</v>
      </c>
      <c r="Q549" t="n">
        <v>1</v>
      </c>
      <c r="R549" s="2" t="inlineStr">
        <is>
          <t>Slåtterfibbla</t>
        </is>
      </c>
      <c r="S549">
        <f>HYPERLINK("https://klasma.github.io/Logging_0883/artfynd/A 26056-2022 artfynd.xlsx", "A 26056-2022")</f>
        <v/>
      </c>
      <c r="T549">
        <f>HYPERLINK("https://klasma.github.io/Logging_0883/kartor/A 26056-2022 karta.png", "A 26056-2022")</f>
        <v/>
      </c>
      <c r="V549">
        <f>HYPERLINK("https://klasma.github.io/Logging_0883/klagomål/A 26056-2022 FSC-klagomål.docx", "A 26056-2022")</f>
        <v/>
      </c>
      <c r="W549">
        <f>HYPERLINK("https://klasma.github.io/Logging_0883/klagomålsmail/A 26056-2022 FSC-klagomål mail.docx", "A 26056-2022")</f>
        <v/>
      </c>
      <c r="X549">
        <f>HYPERLINK("https://klasma.github.io/Logging_0883/tillsyn/A 26056-2022 tillsynsbegäran.docx", "A 26056-2022")</f>
        <v/>
      </c>
      <c r="Y549">
        <f>HYPERLINK("https://klasma.github.io/Logging_0883/tillsynsmail/A 26056-2022 tillsynsbegäran mail.docx", "A 26056-2022")</f>
        <v/>
      </c>
    </row>
    <row r="550" ht="15" customHeight="1">
      <c r="A550" t="inlineStr">
        <is>
          <t>A 5755-2022</t>
        </is>
      </c>
      <c r="B550" s="1" t="n">
        <v>44596.48228009259</v>
      </c>
      <c r="C550" s="1" t="n">
        <v>45884</v>
      </c>
      <c r="D550" t="inlineStr">
        <is>
          <t>KALMAR LÄN</t>
        </is>
      </c>
      <c r="E550" t="inlineStr">
        <is>
          <t>TORSÅS</t>
        </is>
      </c>
      <c r="G550" t="n">
        <v>1.4</v>
      </c>
      <c r="H550" t="n">
        <v>0</v>
      </c>
      <c r="I550" t="n">
        <v>0</v>
      </c>
      <c r="J550" t="n">
        <v>1</v>
      </c>
      <c r="K550" t="n">
        <v>0</v>
      </c>
      <c r="L550" t="n">
        <v>0</v>
      </c>
      <c r="M550" t="n">
        <v>0</v>
      </c>
      <c r="N550" t="n">
        <v>0</v>
      </c>
      <c r="O550" t="n">
        <v>1</v>
      </c>
      <c r="P550" t="n">
        <v>0</v>
      </c>
      <c r="Q550" t="n">
        <v>1</v>
      </c>
      <c r="R550" s="2" t="inlineStr">
        <is>
          <t>Åkerkål</t>
        </is>
      </c>
      <c r="S550">
        <f>HYPERLINK("https://klasma.github.io/Logging_0834/artfynd/A 5755-2022 artfynd.xlsx", "A 5755-2022")</f>
        <v/>
      </c>
      <c r="T550">
        <f>HYPERLINK("https://klasma.github.io/Logging_0834/kartor/A 5755-2022 karta.png", "A 5755-2022")</f>
        <v/>
      </c>
      <c r="V550">
        <f>HYPERLINK("https://klasma.github.io/Logging_0834/klagomål/A 5755-2022 FSC-klagomål.docx", "A 5755-2022")</f>
        <v/>
      </c>
      <c r="W550">
        <f>HYPERLINK("https://klasma.github.io/Logging_0834/klagomålsmail/A 5755-2022 FSC-klagomål mail.docx", "A 5755-2022")</f>
        <v/>
      </c>
      <c r="X550">
        <f>HYPERLINK("https://klasma.github.io/Logging_0834/tillsyn/A 5755-2022 tillsynsbegäran.docx", "A 5755-2022")</f>
        <v/>
      </c>
      <c r="Y550">
        <f>HYPERLINK("https://klasma.github.io/Logging_0834/tillsynsmail/A 5755-2022 tillsynsbegäran mail.docx", "A 5755-2022")</f>
        <v/>
      </c>
    </row>
    <row r="551" ht="15" customHeight="1">
      <c r="A551" t="inlineStr">
        <is>
          <t>A 1775-2025</t>
        </is>
      </c>
      <c r="B551" s="1" t="n">
        <v>45671.44059027778</v>
      </c>
      <c r="C551" s="1" t="n">
        <v>45884</v>
      </c>
      <c r="D551" t="inlineStr">
        <is>
          <t>KALMAR LÄN</t>
        </is>
      </c>
      <c r="E551" t="inlineStr">
        <is>
          <t>VÄSTERVIK</t>
        </is>
      </c>
      <c r="G551" t="n">
        <v>0.9</v>
      </c>
      <c r="H551" t="n">
        <v>1</v>
      </c>
      <c r="I551" t="n">
        <v>0</v>
      </c>
      <c r="J551" t="n">
        <v>0</v>
      </c>
      <c r="K551" t="n">
        <v>0</v>
      </c>
      <c r="L551" t="n">
        <v>0</v>
      </c>
      <c r="M551" t="n">
        <v>0</v>
      </c>
      <c r="N551" t="n">
        <v>0</v>
      </c>
      <c r="O551" t="n">
        <v>0</v>
      </c>
      <c r="P551" t="n">
        <v>0</v>
      </c>
      <c r="Q551" t="n">
        <v>1</v>
      </c>
      <c r="R551" s="2" t="inlineStr">
        <is>
          <t>Kungsfågel</t>
        </is>
      </c>
      <c r="S551">
        <f>HYPERLINK("https://klasma.github.io/Logging_0883/artfynd/A 1775-2025 artfynd.xlsx", "A 1775-2025")</f>
        <v/>
      </c>
      <c r="T551">
        <f>HYPERLINK("https://klasma.github.io/Logging_0883/kartor/A 1775-2025 karta.png", "A 1775-2025")</f>
        <v/>
      </c>
      <c r="V551">
        <f>HYPERLINK("https://klasma.github.io/Logging_0883/klagomål/A 1775-2025 FSC-klagomål.docx", "A 1775-2025")</f>
        <v/>
      </c>
      <c r="W551">
        <f>HYPERLINK("https://klasma.github.io/Logging_0883/klagomålsmail/A 1775-2025 FSC-klagomål mail.docx", "A 1775-2025")</f>
        <v/>
      </c>
      <c r="X551">
        <f>HYPERLINK("https://klasma.github.io/Logging_0883/tillsyn/A 1775-2025 tillsynsbegäran.docx", "A 1775-2025")</f>
        <v/>
      </c>
      <c r="Y551">
        <f>HYPERLINK("https://klasma.github.io/Logging_0883/tillsynsmail/A 1775-2025 tillsynsbegäran mail.docx", "A 1775-2025")</f>
        <v/>
      </c>
      <c r="Z551">
        <f>HYPERLINK("https://klasma.github.io/Logging_0883/fåglar/A 1775-2025 prioriterade fågelarter.docx", "A 1775-2025")</f>
        <v/>
      </c>
    </row>
    <row r="552" ht="15" customHeight="1">
      <c r="A552" t="inlineStr">
        <is>
          <t>A 40083-2023</t>
        </is>
      </c>
      <c r="B552" s="1" t="n">
        <v>45168</v>
      </c>
      <c r="C552" s="1" t="n">
        <v>45884</v>
      </c>
      <c r="D552" t="inlineStr">
        <is>
          <t>KALMAR LÄN</t>
        </is>
      </c>
      <c r="E552" t="inlineStr">
        <is>
          <t>VIMMERBY</t>
        </is>
      </c>
      <c r="G552" t="n">
        <v>2.2</v>
      </c>
      <c r="H552" t="n">
        <v>1</v>
      </c>
      <c r="I552" t="n">
        <v>0</v>
      </c>
      <c r="J552" t="n">
        <v>0</v>
      </c>
      <c r="K552" t="n">
        <v>0</v>
      </c>
      <c r="L552" t="n">
        <v>0</v>
      </c>
      <c r="M552" t="n">
        <v>0</v>
      </c>
      <c r="N552" t="n">
        <v>0</v>
      </c>
      <c r="O552" t="n">
        <v>0</v>
      </c>
      <c r="P552" t="n">
        <v>0</v>
      </c>
      <c r="Q552" t="n">
        <v>1</v>
      </c>
      <c r="R552" s="2" t="inlineStr">
        <is>
          <t>Revlummer</t>
        </is>
      </c>
      <c r="S552">
        <f>HYPERLINK("https://klasma.github.io/Logging_0884/artfynd/A 40083-2023 artfynd.xlsx", "A 40083-2023")</f>
        <v/>
      </c>
      <c r="T552">
        <f>HYPERLINK("https://klasma.github.io/Logging_0884/kartor/A 40083-2023 karta.png", "A 40083-2023")</f>
        <v/>
      </c>
      <c r="V552">
        <f>HYPERLINK("https://klasma.github.io/Logging_0884/klagomål/A 40083-2023 FSC-klagomål.docx", "A 40083-2023")</f>
        <v/>
      </c>
      <c r="W552">
        <f>HYPERLINK("https://klasma.github.io/Logging_0884/klagomålsmail/A 40083-2023 FSC-klagomål mail.docx", "A 40083-2023")</f>
        <v/>
      </c>
      <c r="X552">
        <f>HYPERLINK("https://klasma.github.io/Logging_0884/tillsyn/A 40083-2023 tillsynsbegäran.docx", "A 40083-2023")</f>
        <v/>
      </c>
      <c r="Y552">
        <f>HYPERLINK("https://klasma.github.io/Logging_0884/tillsynsmail/A 40083-2023 tillsynsbegäran mail.docx", "A 40083-2023")</f>
        <v/>
      </c>
    </row>
    <row r="553" ht="15" customHeight="1">
      <c r="A553" t="inlineStr">
        <is>
          <t>A 40084-2023</t>
        </is>
      </c>
      <c r="B553" s="1" t="n">
        <v>45168</v>
      </c>
      <c r="C553" s="1" t="n">
        <v>45884</v>
      </c>
      <c r="D553" t="inlineStr">
        <is>
          <t>KALMAR LÄN</t>
        </is>
      </c>
      <c r="E553" t="inlineStr">
        <is>
          <t>VIMMERBY</t>
        </is>
      </c>
      <c r="G553" t="n">
        <v>1.3</v>
      </c>
      <c r="H553" t="n">
        <v>1</v>
      </c>
      <c r="I553" t="n">
        <v>0</v>
      </c>
      <c r="J553" t="n">
        <v>1</v>
      </c>
      <c r="K553" t="n">
        <v>0</v>
      </c>
      <c r="L553" t="n">
        <v>0</v>
      </c>
      <c r="M553" t="n">
        <v>0</v>
      </c>
      <c r="N553" t="n">
        <v>0</v>
      </c>
      <c r="O553" t="n">
        <v>1</v>
      </c>
      <c r="P553" t="n">
        <v>0</v>
      </c>
      <c r="Q553" t="n">
        <v>1</v>
      </c>
      <c r="R553" s="2" t="inlineStr">
        <is>
          <t>Entita</t>
        </is>
      </c>
      <c r="S553">
        <f>HYPERLINK("https://klasma.github.io/Logging_0884/artfynd/A 40084-2023 artfynd.xlsx", "A 40084-2023")</f>
        <v/>
      </c>
      <c r="T553">
        <f>HYPERLINK("https://klasma.github.io/Logging_0884/kartor/A 40084-2023 karta.png", "A 40084-2023")</f>
        <v/>
      </c>
      <c r="V553">
        <f>HYPERLINK("https://klasma.github.io/Logging_0884/klagomål/A 40084-2023 FSC-klagomål.docx", "A 40084-2023")</f>
        <v/>
      </c>
      <c r="W553">
        <f>HYPERLINK("https://klasma.github.io/Logging_0884/klagomålsmail/A 40084-2023 FSC-klagomål mail.docx", "A 40084-2023")</f>
        <v/>
      </c>
      <c r="X553">
        <f>HYPERLINK("https://klasma.github.io/Logging_0884/tillsyn/A 40084-2023 tillsynsbegäran.docx", "A 40084-2023")</f>
        <v/>
      </c>
      <c r="Y553">
        <f>HYPERLINK("https://klasma.github.io/Logging_0884/tillsynsmail/A 40084-2023 tillsynsbegäran mail.docx", "A 40084-2023")</f>
        <v/>
      </c>
      <c r="Z553">
        <f>HYPERLINK("https://klasma.github.io/Logging_0884/fåglar/A 40084-2023 prioriterade fågelarter.docx", "A 40084-2023")</f>
        <v/>
      </c>
    </row>
    <row r="554" ht="15" customHeight="1">
      <c r="A554" t="inlineStr">
        <is>
          <t>A 46276-2024</t>
        </is>
      </c>
      <c r="B554" s="1" t="n">
        <v>45581.63248842592</v>
      </c>
      <c r="C554" s="1" t="n">
        <v>45884</v>
      </c>
      <c r="D554" t="inlineStr">
        <is>
          <t>KALMAR LÄN</t>
        </is>
      </c>
      <c r="E554" t="inlineStr">
        <is>
          <t>OSKARSHAMN</t>
        </is>
      </c>
      <c r="G554" t="n">
        <v>0.9</v>
      </c>
      <c r="H554" t="n">
        <v>1</v>
      </c>
      <c r="I554" t="n">
        <v>0</v>
      </c>
      <c r="J554" t="n">
        <v>0</v>
      </c>
      <c r="K554" t="n">
        <v>0</v>
      </c>
      <c r="L554" t="n">
        <v>0</v>
      </c>
      <c r="M554" t="n">
        <v>0</v>
      </c>
      <c r="N554" t="n">
        <v>0</v>
      </c>
      <c r="O554" t="n">
        <v>0</v>
      </c>
      <c r="P554" t="n">
        <v>0</v>
      </c>
      <c r="Q554" t="n">
        <v>1</v>
      </c>
      <c r="R554" s="2" t="inlineStr">
        <is>
          <t>Blåsippa</t>
        </is>
      </c>
      <c r="S554">
        <f>HYPERLINK("https://klasma.github.io/Logging_0882/artfynd/A 46276-2024 artfynd.xlsx", "A 46276-2024")</f>
        <v/>
      </c>
      <c r="T554">
        <f>HYPERLINK("https://klasma.github.io/Logging_0882/kartor/A 46276-2024 karta.png", "A 46276-2024")</f>
        <v/>
      </c>
      <c r="V554">
        <f>HYPERLINK("https://klasma.github.io/Logging_0882/klagomål/A 46276-2024 FSC-klagomål.docx", "A 46276-2024")</f>
        <v/>
      </c>
      <c r="W554">
        <f>HYPERLINK("https://klasma.github.io/Logging_0882/klagomålsmail/A 46276-2024 FSC-klagomål mail.docx", "A 46276-2024")</f>
        <v/>
      </c>
      <c r="X554">
        <f>HYPERLINK("https://klasma.github.io/Logging_0882/tillsyn/A 46276-2024 tillsynsbegäran.docx", "A 46276-2024")</f>
        <v/>
      </c>
      <c r="Y554">
        <f>HYPERLINK("https://klasma.github.io/Logging_0882/tillsynsmail/A 46276-2024 tillsynsbegäran mail.docx", "A 46276-2024")</f>
        <v/>
      </c>
    </row>
    <row r="555" ht="15" customHeight="1">
      <c r="A555" t="inlineStr">
        <is>
          <t>A 40258-2022</t>
        </is>
      </c>
      <c r="B555" s="1" t="n">
        <v>44820</v>
      </c>
      <c r="C555" s="1" t="n">
        <v>45884</v>
      </c>
      <c r="D555" t="inlineStr">
        <is>
          <t>KALMAR LÄN</t>
        </is>
      </c>
      <c r="E555" t="inlineStr">
        <is>
          <t>OSKARSHAMN</t>
        </is>
      </c>
      <c r="G555" t="n">
        <v>2.8</v>
      </c>
      <c r="H555" t="n">
        <v>0</v>
      </c>
      <c r="I555" t="n">
        <v>0</v>
      </c>
      <c r="J555" t="n">
        <v>1</v>
      </c>
      <c r="K555" t="n">
        <v>0</v>
      </c>
      <c r="L555" t="n">
        <v>0</v>
      </c>
      <c r="M555" t="n">
        <v>0</v>
      </c>
      <c r="N555" t="n">
        <v>0</v>
      </c>
      <c r="O555" t="n">
        <v>1</v>
      </c>
      <c r="P555" t="n">
        <v>0</v>
      </c>
      <c r="Q555" t="n">
        <v>1</v>
      </c>
      <c r="R555" s="2" t="inlineStr">
        <is>
          <t>Orange taggsvamp</t>
        </is>
      </c>
      <c r="S555">
        <f>HYPERLINK("https://klasma.github.io/Logging_0882/artfynd/A 40258-2022 artfynd.xlsx", "A 40258-2022")</f>
        <v/>
      </c>
      <c r="T555">
        <f>HYPERLINK("https://klasma.github.io/Logging_0882/kartor/A 40258-2022 karta.png", "A 40258-2022")</f>
        <v/>
      </c>
      <c r="V555">
        <f>HYPERLINK("https://klasma.github.io/Logging_0882/klagomål/A 40258-2022 FSC-klagomål.docx", "A 40258-2022")</f>
        <v/>
      </c>
      <c r="W555">
        <f>HYPERLINK("https://klasma.github.io/Logging_0882/klagomålsmail/A 40258-2022 FSC-klagomål mail.docx", "A 40258-2022")</f>
        <v/>
      </c>
      <c r="X555">
        <f>HYPERLINK("https://klasma.github.io/Logging_0882/tillsyn/A 40258-2022 tillsynsbegäran.docx", "A 40258-2022")</f>
        <v/>
      </c>
      <c r="Y555">
        <f>HYPERLINK("https://klasma.github.io/Logging_0882/tillsynsmail/A 40258-2022 tillsynsbegäran mail.docx", "A 40258-2022")</f>
        <v/>
      </c>
    </row>
    <row r="556" ht="15" customHeight="1">
      <c r="A556" t="inlineStr">
        <is>
          <t>A 6818-2025</t>
        </is>
      </c>
      <c r="B556" s="1" t="n">
        <v>45700.71092592592</v>
      </c>
      <c r="C556" s="1" t="n">
        <v>45884</v>
      </c>
      <c r="D556" t="inlineStr">
        <is>
          <t>KALMAR LÄN</t>
        </is>
      </c>
      <c r="E556" t="inlineStr">
        <is>
          <t>OSKARSHAMN</t>
        </is>
      </c>
      <c r="G556" t="n">
        <v>2.4</v>
      </c>
      <c r="H556" t="n">
        <v>1</v>
      </c>
      <c r="I556" t="n">
        <v>0</v>
      </c>
      <c r="J556" t="n">
        <v>1</v>
      </c>
      <c r="K556" t="n">
        <v>0</v>
      </c>
      <c r="L556" t="n">
        <v>0</v>
      </c>
      <c r="M556" t="n">
        <v>0</v>
      </c>
      <c r="N556" t="n">
        <v>0</v>
      </c>
      <c r="O556" t="n">
        <v>1</v>
      </c>
      <c r="P556" t="n">
        <v>0</v>
      </c>
      <c r="Q556" t="n">
        <v>1</v>
      </c>
      <c r="R556" s="2" t="inlineStr">
        <is>
          <t>Spillkråka</t>
        </is>
      </c>
      <c r="S556">
        <f>HYPERLINK("https://klasma.github.io/Logging_0882/artfynd/A 6818-2025 artfynd.xlsx", "A 6818-2025")</f>
        <v/>
      </c>
      <c r="T556">
        <f>HYPERLINK("https://klasma.github.io/Logging_0882/kartor/A 6818-2025 karta.png", "A 6818-2025")</f>
        <v/>
      </c>
      <c r="V556">
        <f>HYPERLINK("https://klasma.github.io/Logging_0882/klagomål/A 6818-2025 FSC-klagomål.docx", "A 6818-2025")</f>
        <v/>
      </c>
      <c r="W556">
        <f>HYPERLINK("https://klasma.github.io/Logging_0882/klagomålsmail/A 6818-2025 FSC-klagomål mail.docx", "A 6818-2025")</f>
        <v/>
      </c>
      <c r="X556">
        <f>HYPERLINK("https://klasma.github.io/Logging_0882/tillsyn/A 6818-2025 tillsynsbegäran.docx", "A 6818-2025")</f>
        <v/>
      </c>
      <c r="Y556">
        <f>HYPERLINK("https://klasma.github.io/Logging_0882/tillsynsmail/A 6818-2025 tillsynsbegäran mail.docx", "A 6818-2025")</f>
        <v/>
      </c>
      <c r="Z556">
        <f>HYPERLINK("https://klasma.github.io/Logging_0882/fåglar/A 6818-2025 prioriterade fågelarter.docx", "A 6818-2025")</f>
        <v/>
      </c>
    </row>
    <row r="557" ht="15" customHeight="1">
      <c r="A557" t="inlineStr">
        <is>
          <t>A 23879-2024</t>
        </is>
      </c>
      <c r="B557" s="1" t="n">
        <v>45455.63559027778</v>
      </c>
      <c r="C557" s="1" t="n">
        <v>45884</v>
      </c>
      <c r="D557" t="inlineStr">
        <is>
          <t>KALMAR LÄN</t>
        </is>
      </c>
      <c r="E557" t="inlineStr">
        <is>
          <t>MÖNSTERÅS</t>
        </is>
      </c>
      <c r="G557" t="n">
        <v>0.6</v>
      </c>
      <c r="H557" t="n">
        <v>0</v>
      </c>
      <c r="I557" t="n">
        <v>0</v>
      </c>
      <c r="J557" t="n">
        <v>1</v>
      </c>
      <c r="K557" t="n">
        <v>0</v>
      </c>
      <c r="L557" t="n">
        <v>0</v>
      </c>
      <c r="M557" t="n">
        <v>0</v>
      </c>
      <c r="N557" t="n">
        <v>0</v>
      </c>
      <c r="O557" t="n">
        <v>1</v>
      </c>
      <c r="P557" t="n">
        <v>0</v>
      </c>
      <c r="Q557" t="n">
        <v>1</v>
      </c>
      <c r="R557" s="2" t="inlineStr">
        <is>
          <t>Ekticka</t>
        </is>
      </c>
      <c r="S557">
        <f>HYPERLINK("https://klasma.github.io/Logging_0861/artfynd/A 23879-2024 artfynd.xlsx", "A 23879-2024")</f>
        <v/>
      </c>
      <c r="T557">
        <f>HYPERLINK("https://klasma.github.io/Logging_0861/kartor/A 23879-2024 karta.png", "A 23879-2024")</f>
        <v/>
      </c>
      <c r="V557">
        <f>HYPERLINK("https://klasma.github.io/Logging_0861/klagomål/A 23879-2024 FSC-klagomål.docx", "A 23879-2024")</f>
        <v/>
      </c>
      <c r="W557">
        <f>HYPERLINK("https://klasma.github.io/Logging_0861/klagomålsmail/A 23879-2024 FSC-klagomål mail.docx", "A 23879-2024")</f>
        <v/>
      </c>
      <c r="X557">
        <f>HYPERLINK("https://klasma.github.io/Logging_0861/tillsyn/A 23879-2024 tillsynsbegäran.docx", "A 23879-2024")</f>
        <v/>
      </c>
      <c r="Y557">
        <f>HYPERLINK("https://klasma.github.io/Logging_0861/tillsynsmail/A 23879-2024 tillsynsbegäran mail.docx", "A 23879-2024")</f>
        <v/>
      </c>
    </row>
    <row r="558" ht="15" customHeight="1">
      <c r="A558" t="inlineStr">
        <is>
          <t>A 30121-2023</t>
        </is>
      </c>
      <c r="B558" s="1" t="n">
        <v>45110</v>
      </c>
      <c r="C558" s="1" t="n">
        <v>45884</v>
      </c>
      <c r="D558" t="inlineStr">
        <is>
          <t>KALMAR LÄN</t>
        </is>
      </c>
      <c r="E558" t="inlineStr">
        <is>
          <t>NYBRO</t>
        </is>
      </c>
      <c r="F558" t="inlineStr">
        <is>
          <t>Kommuner</t>
        </is>
      </c>
      <c r="G558" t="n">
        <v>4.9</v>
      </c>
      <c r="H558" t="n">
        <v>0</v>
      </c>
      <c r="I558" t="n">
        <v>1</v>
      </c>
      <c r="J558" t="n">
        <v>0</v>
      </c>
      <c r="K558" t="n">
        <v>0</v>
      </c>
      <c r="L558" t="n">
        <v>0</v>
      </c>
      <c r="M558" t="n">
        <v>0</v>
      </c>
      <c r="N558" t="n">
        <v>0</v>
      </c>
      <c r="O558" t="n">
        <v>0</v>
      </c>
      <c r="P558" t="n">
        <v>0</v>
      </c>
      <c r="Q558" t="n">
        <v>1</v>
      </c>
      <c r="R558" s="2" t="inlineStr">
        <is>
          <t>Vanlig flatbagge</t>
        </is>
      </c>
      <c r="S558">
        <f>HYPERLINK("https://klasma.github.io/Logging_0881/artfynd/A 30121-2023 artfynd.xlsx", "A 30121-2023")</f>
        <v/>
      </c>
      <c r="T558">
        <f>HYPERLINK("https://klasma.github.io/Logging_0881/kartor/A 30121-2023 karta.png", "A 30121-2023")</f>
        <v/>
      </c>
      <c r="V558">
        <f>HYPERLINK("https://klasma.github.io/Logging_0881/klagomål/A 30121-2023 FSC-klagomål.docx", "A 30121-2023")</f>
        <v/>
      </c>
      <c r="W558">
        <f>HYPERLINK("https://klasma.github.io/Logging_0881/klagomålsmail/A 30121-2023 FSC-klagomål mail.docx", "A 30121-2023")</f>
        <v/>
      </c>
      <c r="X558">
        <f>HYPERLINK("https://klasma.github.io/Logging_0881/tillsyn/A 30121-2023 tillsynsbegäran.docx", "A 30121-2023")</f>
        <v/>
      </c>
      <c r="Y558">
        <f>HYPERLINK("https://klasma.github.io/Logging_0881/tillsynsmail/A 30121-2023 tillsynsbegäran mail.docx", "A 30121-2023")</f>
        <v/>
      </c>
    </row>
    <row r="559" ht="15" customHeight="1">
      <c r="A559" t="inlineStr">
        <is>
          <t>A 46722-2023</t>
        </is>
      </c>
      <c r="B559" s="1" t="n">
        <v>45194</v>
      </c>
      <c r="C559" s="1" t="n">
        <v>45884</v>
      </c>
      <c r="D559" t="inlineStr">
        <is>
          <t>KALMAR LÄN</t>
        </is>
      </c>
      <c r="E559" t="inlineStr">
        <is>
          <t>VÄSTERVIK</t>
        </is>
      </c>
      <c r="G559" t="n">
        <v>0.9</v>
      </c>
      <c r="H559" t="n">
        <v>1</v>
      </c>
      <c r="I559" t="n">
        <v>0</v>
      </c>
      <c r="J559" t="n">
        <v>0</v>
      </c>
      <c r="K559" t="n">
        <v>1</v>
      </c>
      <c r="L559" t="n">
        <v>0</v>
      </c>
      <c r="M559" t="n">
        <v>0</v>
      </c>
      <c r="N559" t="n">
        <v>0</v>
      </c>
      <c r="O559" t="n">
        <v>1</v>
      </c>
      <c r="P559" t="n">
        <v>1</v>
      </c>
      <c r="Q559" t="n">
        <v>1</v>
      </c>
      <c r="R559" s="2" t="inlineStr">
        <is>
          <t>Knärot</t>
        </is>
      </c>
      <c r="S559">
        <f>HYPERLINK("https://klasma.github.io/Logging_0883/artfynd/A 46722-2023 artfynd.xlsx", "A 46722-2023")</f>
        <v/>
      </c>
      <c r="T559">
        <f>HYPERLINK("https://klasma.github.io/Logging_0883/kartor/A 46722-2023 karta.png", "A 46722-2023")</f>
        <v/>
      </c>
      <c r="U559">
        <f>HYPERLINK("https://klasma.github.io/Logging_0883/knärot/A 46722-2023 karta knärot.png", "A 46722-2023")</f>
        <v/>
      </c>
      <c r="V559">
        <f>HYPERLINK("https://klasma.github.io/Logging_0883/klagomål/A 46722-2023 FSC-klagomål.docx", "A 46722-2023")</f>
        <v/>
      </c>
      <c r="W559">
        <f>HYPERLINK("https://klasma.github.io/Logging_0883/klagomålsmail/A 46722-2023 FSC-klagomål mail.docx", "A 46722-2023")</f>
        <v/>
      </c>
      <c r="X559">
        <f>HYPERLINK("https://klasma.github.io/Logging_0883/tillsyn/A 46722-2023 tillsynsbegäran.docx", "A 46722-2023")</f>
        <v/>
      </c>
      <c r="Y559">
        <f>HYPERLINK("https://klasma.github.io/Logging_0883/tillsynsmail/A 46722-2023 tillsynsbegäran mail.docx", "A 46722-2023")</f>
        <v/>
      </c>
    </row>
    <row r="560" ht="15" customHeight="1">
      <c r="A560" t="inlineStr">
        <is>
          <t>A 66752-2020</t>
        </is>
      </c>
      <c r="B560" s="1" t="n">
        <v>44175</v>
      </c>
      <c r="C560" s="1" t="n">
        <v>45884</v>
      </c>
      <c r="D560" t="inlineStr">
        <is>
          <t>KALMAR LÄN</t>
        </is>
      </c>
      <c r="E560" t="inlineStr">
        <is>
          <t>VÄSTERVIK</t>
        </is>
      </c>
      <c r="G560" t="n">
        <v>0.7</v>
      </c>
      <c r="H560" t="n">
        <v>0</v>
      </c>
      <c r="I560" t="n">
        <v>0</v>
      </c>
      <c r="J560" t="n">
        <v>1</v>
      </c>
      <c r="K560" t="n">
        <v>0</v>
      </c>
      <c r="L560" t="n">
        <v>0</v>
      </c>
      <c r="M560" t="n">
        <v>0</v>
      </c>
      <c r="N560" t="n">
        <v>0</v>
      </c>
      <c r="O560" t="n">
        <v>1</v>
      </c>
      <c r="P560" t="n">
        <v>0</v>
      </c>
      <c r="Q560" t="n">
        <v>1</v>
      </c>
      <c r="R560" s="2" t="inlineStr">
        <is>
          <t>Tallticka</t>
        </is>
      </c>
      <c r="S560">
        <f>HYPERLINK("https://klasma.github.io/Logging_0883/artfynd/A 66752-2020 artfynd.xlsx", "A 66752-2020")</f>
        <v/>
      </c>
      <c r="T560">
        <f>HYPERLINK("https://klasma.github.io/Logging_0883/kartor/A 66752-2020 karta.png", "A 66752-2020")</f>
        <v/>
      </c>
      <c r="V560">
        <f>HYPERLINK("https://klasma.github.io/Logging_0883/klagomål/A 66752-2020 FSC-klagomål.docx", "A 66752-2020")</f>
        <v/>
      </c>
      <c r="W560">
        <f>HYPERLINK("https://klasma.github.io/Logging_0883/klagomålsmail/A 66752-2020 FSC-klagomål mail.docx", "A 66752-2020")</f>
        <v/>
      </c>
      <c r="X560">
        <f>HYPERLINK("https://klasma.github.io/Logging_0883/tillsyn/A 66752-2020 tillsynsbegäran.docx", "A 66752-2020")</f>
        <v/>
      </c>
      <c r="Y560">
        <f>HYPERLINK("https://klasma.github.io/Logging_0883/tillsynsmail/A 66752-2020 tillsynsbegäran mail.docx", "A 66752-2020")</f>
        <v/>
      </c>
    </row>
    <row r="561" ht="15" customHeight="1">
      <c r="A561" t="inlineStr">
        <is>
          <t>A 9153-2023</t>
        </is>
      </c>
      <c r="B561" s="1" t="n">
        <v>44980</v>
      </c>
      <c r="C561" s="1" t="n">
        <v>45884</v>
      </c>
      <c r="D561" t="inlineStr">
        <is>
          <t>KALMAR LÄN</t>
        </is>
      </c>
      <c r="E561" t="inlineStr">
        <is>
          <t>NYBRO</t>
        </is>
      </c>
      <c r="G561" t="n">
        <v>2</v>
      </c>
      <c r="H561" t="n">
        <v>1</v>
      </c>
      <c r="I561" t="n">
        <v>0</v>
      </c>
      <c r="J561" t="n">
        <v>0</v>
      </c>
      <c r="K561" t="n">
        <v>1</v>
      </c>
      <c r="L561" t="n">
        <v>0</v>
      </c>
      <c r="M561" t="n">
        <v>0</v>
      </c>
      <c r="N561" t="n">
        <v>0</v>
      </c>
      <c r="O561" t="n">
        <v>1</v>
      </c>
      <c r="P561" t="n">
        <v>1</v>
      </c>
      <c r="Q561" t="n">
        <v>1</v>
      </c>
      <c r="R561" s="2" t="inlineStr">
        <is>
          <t>Sandödla</t>
        </is>
      </c>
      <c r="S561">
        <f>HYPERLINK("https://klasma.github.io/Logging_0881/artfynd/A 9153-2023 artfynd.xlsx", "A 9153-2023")</f>
        <v/>
      </c>
      <c r="T561">
        <f>HYPERLINK("https://klasma.github.io/Logging_0881/kartor/A 9153-2023 karta.png", "A 9153-2023")</f>
        <v/>
      </c>
      <c r="V561">
        <f>HYPERLINK("https://klasma.github.io/Logging_0881/klagomål/A 9153-2023 FSC-klagomål.docx", "A 9153-2023")</f>
        <v/>
      </c>
      <c r="W561">
        <f>HYPERLINK("https://klasma.github.io/Logging_0881/klagomålsmail/A 9153-2023 FSC-klagomål mail.docx", "A 9153-2023")</f>
        <v/>
      </c>
      <c r="X561">
        <f>HYPERLINK("https://klasma.github.io/Logging_0881/tillsyn/A 9153-2023 tillsynsbegäran.docx", "A 9153-2023")</f>
        <v/>
      </c>
      <c r="Y561">
        <f>HYPERLINK("https://klasma.github.io/Logging_0881/tillsynsmail/A 9153-2023 tillsynsbegäran mail.docx", "A 9153-2023")</f>
        <v/>
      </c>
    </row>
    <row r="562" ht="15" customHeight="1">
      <c r="A562" t="inlineStr">
        <is>
          <t>A 46223-2024</t>
        </is>
      </c>
      <c r="B562" s="1" t="n">
        <v>45581.56951388889</v>
      </c>
      <c r="C562" s="1" t="n">
        <v>45884</v>
      </c>
      <c r="D562" t="inlineStr">
        <is>
          <t>KALMAR LÄN</t>
        </is>
      </c>
      <c r="E562" t="inlineStr">
        <is>
          <t>NYBRO</t>
        </is>
      </c>
      <c r="G562" t="n">
        <v>2.8</v>
      </c>
      <c r="H562" t="n">
        <v>0</v>
      </c>
      <c r="I562" t="n">
        <v>0</v>
      </c>
      <c r="J562" t="n">
        <v>1</v>
      </c>
      <c r="K562" t="n">
        <v>0</v>
      </c>
      <c r="L562" t="n">
        <v>0</v>
      </c>
      <c r="M562" t="n">
        <v>0</v>
      </c>
      <c r="N562" t="n">
        <v>0</v>
      </c>
      <c r="O562" t="n">
        <v>1</v>
      </c>
      <c r="P562" t="n">
        <v>0</v>
      </c>
      <c r="Q562" t="n">
        <v>1</v>
      </c>
      <c r="R562" s="2" t="inlineStr">
        <is>
          <t>Sumpviol</t>
        </is>
      </c>
      <c r="S562">
        <f>HYPERLINK("https://klasma.github.io/Logging_0881/artfynd/A 46223-2024 artfynd.xlsx", "A 46223-2024")</f>
        <v/>
      </c>
      <c r="T562">
        <f>HYPERLINK("https://klasma.github.io/Logging_0881/kartor/A 46223-2024 karta.png", "A 46223-2024")</f>
        <v/>
      </c>
      <c r="V562">
        <f>HYPERLINK("https://klasma.github.io/Logging_0881/klagomål/A 46223-2024 FSC-klagomål.docx", "A 46223-2024")</f>
        <v/>
      </c>
      <c r="W562">
        <f>HYPERLINK("https://klasma.github.io/Logging_0881/klagomålsmail/A 46223-2024 FSC-klagomål mail.docx", "A 46223-2024")</f>
        <v/>
      </c>
      <c r="X562">
        <f>HYPERLINK("https://klasma.github.io/Logging_0881/tillsyn/A 46223-2024 tillsynsbegäran.docx", "A 46223-2024")</f>
        <v/>
      </c>
      <c r="Y562">
        <f>HYPERLINK("https://klasma.github.io/Logging_0881/tillsynsmail/A 46223-2024 tillsynsbegäran mail.docx", "A 46223-2024")</f>
        <v/>
      </c>
    </row>
    <row r="563" ht="15" customHeight="1">
      <c r="A563" t="inlineStr">
        <is>
          <t>A 9633-2023</t>
        </is>
      </c>
      <c r="B563" s="1" t="n">
        <v>44984.36140046296</v>
      </c>
      <c r="C563" s="1" t="n">
        <v>45884</v>
      </c>
      <c r="D563" t="inlineStr">
        <is>
          <t>KALMAR LÄN</t>
        </is>
      </c>
      <c r="E563" t="inlineStr">
        <is>
          <t>EMMABODA</t>
        </is>
      </c>
      <c r="G563" t="n">
        <v>3.5</v>
      </c>
      <c r="H563" t="n">
        <v>0</v>
      </c>
      <c r="I563" t="n">
        <v>0</v>
      </c>
      <c r="J563" t="n">
        <v>1</v>
      </c>
      <c r="K563" t="n">
        <v>0</v>
      </c>
      <c r="L563" t="n">
        <v>0</v>
      </c>
      <c r="M563" t="n">
        <v>0</v>
      </c>
      <c r="N563" t="n">
        <v>0</v>
      </c>
      <c r="O563" t="n">
        <v>1</v>
      </c>
      <c r="P563" t="n">
        <v>0</v>
      </c>
      <c r="Q563" t="n">
        <v>1</v>
      </c>
      <c r="R563" s="2" t="inlineStr">
        <is>
          <t>Småjungfrukam</t>
        </is>
      </c>
      <c r="S563">
        <f>HYPERLINK("https://klasma.github.io/Logging_0862/artfynd/A 9633-2023 artfynd.xlsx", "A 9633-2023")</f>
        <v/>
      </c>
      <c r="T563">
        <f>HYPERLINK("https://klasma.github.io/Logging_0862/kartor/A 9633-2023 karta.png", "A 9633-2023")</f>
        <v/>
      </c>
      <c r="V563">
        <f>HYPERLINK("https://klasma.github.io/Logging_0862/klagomål/A 9633-2023 FSC-klagomål.docx", "A 9633-2023")</f>
        <v/>
      </c>
      <c r="W563">
        <f>HYPERLINK("https://klasma.github.io/Logging_0862/klagomålsmail/A 9633-2023 FSC-klagomål mail.docx", "A 9633-2023")</f>
        <v/>
      </c>
      <c r="X563">
        <f>HYPERLINK("https://klasma.github.io/Logging_0862/tillsyn/A 9633-2023 tillsynsbegäran.docx", "A 9633-2023")</f>
        <v/>
      </c>
      <c r="Y563">
        <f>HYPERLINK("https://klasma.github.io/Logging_0862/tillsynsmail/A 9633-2023 tillsynsbegäran mail.docx", "A 9633-2023")</f>
        <v/>
      </c>
    </row>
    <row r="564" ht="15" customHeight="1">
      <c r="A564" t="inlineStr">
        <is>
          <t>A 55304-2024</t>
        </is>
      </c>
      <c r="B564" s="1" t="n">
        <v>45621.64417824074</v>
      </c>
      <c r="C564" s="1" t="n">
        <v>45884</v>
      </c>
      <c r="D564" t="inlineStr">
        <is>
          <t>KALMAR LÄN</t>
        </is>
      </c>
      <c r="E564" t="inlineStr">
        <is>
          <t>NYBRO</t>
        </is>
      </c>
      <c r="F564" t="inlineStr">
        <is>
          <t>Sveaskog</t>
        </is>
      </c>
      <c r="G564" t="n">
        <v>0.9</v>
      </c>
      <c r="H564" t="n">
        <v>1</v>
      </c>
      <c r="I564" t="n">
        <v>0</v>
      </c>
      <c r="J564" t="n">
        <v>0</v>
      </c>
      <c r="K564" t="n">
        <v>0</v>
      </c>
      <c r="L564" t="n">
        <v>0</v>
      </c>
      <c r="M564" t="n">
        <v>0</v>
      </c>
      <c r="N564" t="n">
        <v>0</v>
      </c>
      <c r="O564" t="n">
        <v>0</v>
      </c>
      <c r="P564" t="n">
        <v>0</v>
      </c>
      <c r="Q564" t="n">
        <v>1</v>
      </c>
      <c r="R564" s="2" t="inlineStr">
        <is>
          <t>Tjäder</t>
        </is>
      </c>
      <c r="S564">
        <f>HYPERLINK("https://klasma.github.io/Logging_0881/artfynd/A 55304-2024 artfynd.xlsx", "A 55304-2024")</f>
        <v/>
      </c>
      <c r="T564">
        <f>HYPERLINK("https://klasma.github.io/Logging_0881/kartor/A 55304-2024 karta.png", "A 55304-2024")</f>
        <v/>
      </c>
      <c r="V564">
        <f>HYPERLINK("https://klasma.github.io/Logging_0881/klagomål/A 55304-2024 FSC-klagomål.docx", "A 55304-2024")</f>
        <v/>
      </c>
      <c r="W564">
        <f>HYPERLINK("https://klasma.github.io/Logging_0881/klagomålsmail/A 55304-2024 FSC-klagomål mail.docx", "A 55304-2024")</f>
        <v/>
      </c>
      <c r="X564">
        <f>HYPERLINK("https://klasma.github.io/Logging_0881/tillsyn/A 55304-2024 tillsynsbegäran.docx", "A 55304-2024")</f>
        <v/>
      </c>
      <c r="Y564">
        <f>HYPERLINK("https://klasma.github.io/Logging_0881/tillsynsmail/A 55304-2024 tillsynsbegäran mail.docx", "A 55304-2024")</f>
        <v/>
      </c>
      <c r="Z564">
        <f>HYPERLINK("https://klasma.github.io/Logging_0881/fåglar/A 55304-2024 prioriterade fågelarter.docx", "A 55304-2024")</f>
        <v/>
      </c>
    </row>
    <row r="565" ht="15" customHeight="1">
      <c r="A565" t="inlineStr">
        <is>
          <t>A 30666-2021</t>
        </is>
      </c>
      <c r="B565" s="1" t="n">
        <v>44365</v>
      </c>
      <c r="C565" s="1" t="n">
        <v>45884</v>
      </c>
      <c r="D565" t="inlineStr">
        <is>
          <t>KALMAR LÄN</t>
        </is>
      </c>
      <c r="E565" t="inlineStr">
        <is>
          <t>NYBRO</t>
        </is>
      </c>
      <c r="G565" t="n">
        <v>1.3</v>
      </c>
      <c r="H565" t="n">
        <v>1</v>
      </c>
      <c r="I565" t="n">
        <v>1</v>
      </c>
      <c r="J565" t="n">
        <v>0</v>
      </c>
      <c r="K565" t="n">
        <v>0</v>
      </c>
      <c r="L565" t="n">
        <v>0</v>
      </c>
      <c r="M565" t="n">
        <v>0</v>
      </c>
      <c r="N565" t="n">
        <v>0</v>
      </c>
      <c r="O565" t="n">
        <v>0</v>
      </c>
      <c r="P565" t="n">
        <v>0</v>
      </c>
      <c r="Q565" t="n">
        <v>1</v>
      </c>
      <c r="R565" s="2" t="inlineStr">
        <is>
          <t>Spindelblomster</t>
        </is>
      </c>
      <c r="S565">
        <f>HYPERLINK("https://klasma.github.io/Logging_0881/artfynd/A 30666-2021 artfynd.xlsx", "A 30666-2021")</f>
        <v/>
      </c>
      <c r="T565">
        <f>HYPERLINK("https://klasma.github.io/Logging_0881/kartor/A 30666-2021 karta.png", "A 30666-2021")</f>
        <v/>
      </c>
      <c r="V565">
        <f>HYPERLINK("https://klasma.github.io/Logging_0881/klagomål/A 30666-2021 FSC-klagomål.docx", "A 30666-2021")</f>
        <v/>
      </c>
      <c r="W565">
        <f>HYPERLINK("https://klasma.github.io/Logging_0881/klagomålsmail/A 30666-2021 FSC-klagomål mail.docx", "A 30666-2021")</f>
        <v/>
      </c>
      <c r="X565">
        <f>HYPERLINK("https://klasma.github.io/Logging_0881/tillsyn/A 30666-2021 tillsynsbegäran.docx", "A 30666-2021")</f>
        <v/>
      </c>
      <c r="Y565">
        <f>HYPERLINK("https://klasma.github.io/Logging_0881/tillsynsmail/A 30666-2021 tillsynsbegäran mail.docx", "A 30666-2021")</f>
        <v/>
      </c>
    </row>
    <row r="566" ht="15" customHeight="1">
      <c r="A566" t="inlineStr">
        <is>
          <t>A 15376-2023</t>
        </is>
      </c>
      <c r="B566" s="1" t="n">
        <v>45019</v>
      </c>
      <c r="C566" s="1" t="n">
        <v>45884</v>
      </c>
      <c r="D566" t="inlineStr">
        <is>
          <t>KALMAR LÄN</t>
        </is>
      </c>
      <c r="E566" t="inlineStr">
        <is>
          <t>TORSÅS</t>
        </is>
      </c>
      <c r="G566" t="n">
        <v>1.8</v>
      </c>
      <c r="H566" t="n">
        <v>1</v>
      </c>
      <c r="I566" t="n">
        <v>0</v>
      </c>
      <c r="J566" t="n">
        <v>1</v>
      </c>
      <c r="K566" t="n">
        <v>0</v>
      </c>
      <c r="L566" t="n">
        <v>0</v>
      </c>
      <c r="M566" t="n">
        <v>0</v>
      </c>
      <c r="N566" t="n">
        <v>0</v>
      </c>
      <c r="O566" t="n">
        <v>1</v>
      </c>
      <c r="P566" t="n">
        <v>0</v>
      </c>
      <c r="Q566" t="n">
        <v>1</v>
      </c>
      <c r="R566" s="2" t="inlineStr">
        <is>
          <t>Långbensgroda</t>
        </is>
      </c>
      <c r="S566">
        <f>HYPERLINK("https://klasma.github.io/Logging_0834/artfynd/A 15376-2023 artfynd.xlsx", "A 15376-2023")</f>
        <v/>
      </c>
      <c r="T566">
        <f>HYPERLINK("https://klasma.github.io/Logging_0834/kartor/A 15376-2023 karta.png", "A 15376-2023")</f>
        <v/>
      </c>
      <c r="V566">
        <f>HYPERLINK("https://klasma.github.io/Logging_0834/klagomål/A 15376-2023 FSC-klagomål.docx", "A 15376-2023")</f>
        <v/>
      </c>
      <c r="W566">
        <f>HYPERLINK("https://klasma.github.io/Logging_0834/klagomålsmail/A 15376-2023 FSC-klagomål mail.docx", "A 15376-2023")</f>
        <v/>
      </c>
      <c r="X566">
        <f>HYPERLINK("https://klasma.github.io/Logging_0834/tillsyn/A 15376-2023 tillsynsbegäran.docx", "A 15376-2023")</f>
        <v/>
      </c>
      <c r="Y566">
        <f>HYPERLINK("https://klasma.github.io/Logging_0834/tillsynsmail/A 15376-2023 tillsynsbegäran mail.docx", "A 15376-2023")</f>
        <v/>
      </c>
    </row>
    <row r="567" ht="15" customHeight="1">
      <c r="A567" t="inlineStr">
        <is>
          <t>A 34081-2022</t>
        </is>
      </c>
      <c r="B567" s="1" t="n">
        <v>44791</v>
      </c>
      <c r="C567" s="1" t="n">
        <v>45884</v>
      </c>
      <c r="D567" t="inlineStr">
        <is>
          <t>KALMAR LÄN</t>
        </is>
      </c>
      <c r="E567" t="inlineStr">
        <is>
          <t>MÖNSTERÅS</t>
        </is>
      </c>
      <c r="G567" t="n">
        <v>1.9</v>
      </c>
      <c r="H567" t="n">
        <v>1</v>
      </c>
      <c r="I567" t="n">
        <v>0</v>
      </c>
      <c r="J567" t="n">
        <v>0</v>
      </c>
      <c r="K567" t="n">
        <v>1</v>
      </c>
      <c r="L567" t="n">
        <v>0</v>
      </c>
      <c r="M567" t="n">
        <v>0</v>
      </c>
      <c r="N567" t="n">
        <v>0</v>
      </c>
      <c r="O567" t="n">
        <v>1</v>
      </c>
      <c r="P567" t="n">
        <v>1</v>
      </c>
      <c r="Q567" t="n">
        <v>1</v>
      </c>
      <c r="R567" s="2" t="inlineStr">
        <is>
          <t>Knärot</t>
        </is>
      </c>
      <c r="S567">
        <f>HYPERLINK("https://klasma.github.io/Logging_0861/artfynd/A 34081-2022 artfynd.xlsx", "A 34081-2022")</f>
        <v/>
      </c>
      <c r="T567">
        <f>HYPERLINK("https://klasma.github.io/Logging_0861/kartor/A 34081-2022 karta.png", "A 34081-2022")</f>
        <v/>
      </c>
      <c r="U567">
        <f>HYPERLINK("https://klasma.github.io/Logging_0861/knärot/A 34081-2022 karta knärot.png", "A 34081-2022")</f>
        <v/>
      </c>
      <c r="V567">
        <f>HYPERLINK("https://klasma.github.io/Logging_0861/klagomål/A 34081-2022 FSC-klagomål.docx", "A 34081-2022")</f>
        <v/>
      </c>
      <c r="W567">
        <f>HYPERLINK("https://klasma.github.io/Logging_0861/klagomålsmail/A 34081-2022 FSC-klagomål mail.docx", "A 34081-2022")</f>
        <v/>
      </c>
      <c r="X567">
        <f>HYPERLINK("https://klasma.github.io/Logging_0861/tillsyn/A 34081-2022 tillsynsbegäran.docx", "A 34081-2022")</f>
        <v/>
      </c>
      <c r="Y567">
        <f>HYPERLINK("https://klasma.github.io/Logging_0861/tillsynsmail/A 34081-2022 tillsynsbegäran mail.docx", "A 34081-2022")</f>
        <v/>
      </c>
    </row>
    <row r="568" ht="15" customHeight="1">
      <c r="A568" t="inlineStr">
        <is>
          <t>A 48442-2022</t>
        </is>
      </c>
      <c r="B568" s="1" t="n">
        <v>44858</v>
      </c>
      <c r="C568" s="1" t="n">
        <v>45884</v>
      </c>
      <c r="D568" t="inlineStr">
        <is>
          <t>KALMAR LÄN</t>
        </is>
      </c>
      <c r="E568" t="inlineStr">
        <is>
          <t>OSKARSHAMN</t>
        </is>
      </c>
      <c r="G568" t="n">
        <v>2.9</v>
      </c>
      <c r="H568" t="n">
        <v>1</v>
      </c>
      <c r="I568" t="n">
        <v>1</v>
      </c>
      <c r="J568" t="n">
        <v>0</v>
      </c>
      <c r="K568" t="n">
        <v>0</v>
      </c>
      <c r="L568" t="n">
        <v>0</v>
      </c>
      <c r="M568" t="n">
        <v>0</v>
      </c>
      <c r="N568" t="n">
        <v>0</v>
      </c>
      <c r="O568" t="n">
        <v>0</v>
      </c>
      <c r="P568" t="n">
        <v>0</v>
      </c>
      <c r="Q568" t="n">
        <v>1</v>
      </c>
      <c r="R568" s="2" t="inlineStr">
        <is>
          <t>Ekoxe</t>
        </is>
      </c>
      <c r="S568">
        <f>HYPERLINK("https://klasma.github.io/Logging_0882/artfynd/A 48442-2022 artfynd.xlsx", "A 48442-2022")</f>
        <v/>
      </c>
      <c r="T568">
        <f>HYPERLINK("https://klasma.github.io/Logging_0882/kartor/A 48442-2022 karta.png", "A 48442-2022")</f>
        <v/>
      </c>
      <c r="V568">
        <f>HYPERLINK("https://klasma.github.io/Logging_0882/klagomål/A 48442-2022 FSC-klagomål.docx", "A 48442-2022")</f>
        <v/>
      </c>
      <c r="W568">
        <f>HYPERLINK("https://klasma.github.io/Logging_0882/klagomålsmail/A 48442-2022 FSC-klagomål mail.docx", "A 48442-2022")</f>
        <v/>
      </c>
      <c r="X568">
        <f>HYPERLINK("https://klasma.github.io/Logging_0882/tillsyn/A 48442-2022 tillsynsbegäran.docx", "A 48442-2022")</f>
        <v/>
      </c>
      <c r="Y568">
        <f>HYPERLINK("https://klasma.github.io/Logging_0882/tillsynsmail/A 48442-2022 tillsynsbegäran mail.docx", "A 48442-2022")</f>
        <v/>
      </c>
    </row>
    <row r="569" ht="15" customHeight="1">
      <c r="A569" t="inlineStr">
        <is>
          <t>A 51514-2024</t>
        </is>
      </c>
      <c r="B569" s="1" t="n">
        <v>45604.5640625</v>
      </c>
      <c r="C569" s="1" t="n">
        <v>45884</v>
      </c>
      <c r="D569" t="inlineStr">
        <is>
          <t>KALMAR LÄN</t>
        </is>
      </c>
      <c r="E569" t="inlineStr">
        <is>
          <t>VÄSTERVIK</t>
        </is>
      </c>
      <c r="F569" t="inlineStr">
        <is>
          <t>Övriga Aktiebolag</t>
        </is>
      </c>
      <c r="G569" t="n">
        <v>2.4</v>
      </c>
      <c r="H569" t="n">
        <v>1</v>
      </c>
      <c r="I569" t="n">
        <v>0</v>
      </c>
      <c r="J569" t="n">
        <v>1</v>
      </c>
      <c r="K569" t="n">
        <v>0</v>
      </c>
      <c r="L569" t="n">
        <v>0</v>
      </c>
      <c r="M569" t="n">
        <v>0</v>
      </c>
      <c r="N569" t="n">
        <v>0</v>
      </c>
      <c r="O569" t="n">
        <v>1</v>
      </c>
      <c r="P569" t="n">
        <v>0</v>
      </c>
      <c r="Q569" t="n">
        <v>1</v>
      </c>
      <c r="R569" s="2" t="inlineStr">
        <is>
          <t>Havsörn</t>
        </is>
      </c>
      <c r="S569">
        <f>HYPERLINK("https://klasma.github.io/Logging_0883/artfynd/A 51514-2024 artfynd.xlsx", "A 51514-2024")</f>
        <v/>
      </c>
      <c r="T569">
        <f>HYPERLINK("https://klasma.github.io/Logging_0883/kartor/A 51514-2024 karta.png", "A 51514-2024")</f>
        <v/>
      </c>
      <c r="V569">
        <f>HYPERLINK("https://klasma.github.io/Logging_0883/klagomål/A 51514-2024 FSC-klagomål.docx", "A 51514-2024")</f>
        <v/>
      </c>
      <c r="W569">
        <f>HYPERLINK("https://klasma.github.io/Logging_0883/klagomålsmail/A 51514-2024 FSC-klagomål mail.docx", "A 51514-2024")</f>
        <v/>
      </c>
      <c r="X569">
        <f>HYPERLINK("https://klasma.github.io/Logging_0883/tillsyn/A 51514-2024 tillsynsbegäran.docx", "A 51514-2024")</f>
        <v/>
      </c>
      <c r="Y569">
        <f>HYPERLINK("https://klasma.github.io/Logging_0883/tillsynsmail/A 51514-2024 tillsynsbegäran mail.docx", "A 51514-2024")</f>
        <v/>
      </c>
      <c r="Z569">
        <f>HYPERLINK("https://klasma.github.io/Logging_0883/fåglar/A 51514-2024 prioriterade fågelarter.docx", "A 51514-2024")</f>
        <v/>
      </c>
    </row>
    <row r="570" ht="15" customHeight="1">
      <c r="A570" t="inlineStr">
        <is>
          <t>A 47582-2021</t>
        </is>
      </c>
      <c r="B570" s="1" t="n">
        <v>44448.31037037037</v>
      </c>
      <c r="C570" s="1" t="n">
        <v>45884</v>
      </c>
      <c r="D570" t="inlineStr">
        <is>
          <t>KALMAR LÄN</t>
        </is>
      </c>
      <c r="E570" t="inlineStr">
        <is>
          <t>NYBRO</t>
        </is>
      </c>
      <c r="G570" t="n">
        <v>4.5</v>
      </c>
      <c r="H570" t="n">
        <v>1</v>
      </c>
      <c r="I570" t="n">
        <v>0</v>
      </c>
      <c r="J570" t="n">
        <v>0</v>
      </c>
      <c r="K570" t="n">
        <v>0</v>
      </c>
      <c r="L570" t="n">
        <v>0</v>
      </c>
      <c r="M570" t="n">
        <v>0</v>
      </c>
      <c r="N570" t="n">
        <v>0</v>
      </c>
      <c r="O570" t="n">
        <v>0</v>
      </c>
      <c r="P570" t="n">
        <v>0</v>
      </c>
      <c r="Q570" t="n">
        <v>1</v>
      </c>
      <c r="R570" s="2" t="inlineStr">
        <is>
          <t>Kungsfågel</t>
        </is>
      </c>
      <c r="S570">
        <f>HYPERLINK("https://klasma.github.io/Logging_0881/artfynd/A 47582-2021 artfynd.xlsx", "A 47582-2021")</f>
        <v/>
      </c>
      <c r="T570">
        <f>HYPERLINK("https://klasma.github.io/Logging_0881/kartor/A 47582-2021 karta.png", "A 47582-2021")</f>
        <v/>
      </c>
      <c r="V570">
        <f>HYPERLINK("https://klasma.github.io/Logging_0881/klagomål/A 47582-2021 FSC-klagomål.docx", "A 47582-2021")</f>
        <v/>
      </c>
      <c r="W570">
        <f>HYPERLINK("https://klasma.github.io/Logging_0881/klagomålsmail/A 47582-2021 FSC-klagomål mail.docx", "A 47582-2021")</f>
        <v/>
      </c>
      <c r="X570">
        <f>HYPERLINK("https://klasma.github.io/Logging_0881/tillsyn/A 47582-2021 tillsynsbegäran.docx", "A 47582-2021")</f>
        <v/>
      </c>
      <c r="Y570">
        <f>HYPERLINK("https://klasma.github.io/Logging_0881/tillsynsmail/A 47582-2021 tillsynsbegäran mail.docx", "A 47582-2021")</f>
        <v/>
      </c>
      <c r="Z570">
        <f>HYPERLINK("https://klasma.github.io/Logging_0881/fåglar/A 47582-2021 prioriterade fågelarter.docx", "A 47582-2021")</f>
        <v/>
      </c>
    </row>
    <row r="571" ht="15" customHeight="1">
      <c r="A571" t="inlineStr">
        <is>
          <t>A 53370-2023</t>
        </is>
      </c>
      <c r="B571" s="1" t="n">
        <v>45229.67172453704</v>
      </c>
      <c r="C571" s="1" t="n">
        <v>45884</v>
      </c>
      <c r="D571" t="inlineStr">
        <is>
          <t>KALMAR LÄN</t>
        </is>
      </c>
      <c r="E571" t="inlineStr">
        <is>
          <t>EMMABODA</t>
        </is>
      </c>
      <c r="G571" t="n">
        <v>2.4</v>
      </c>
      <c r="H571" t="n">
        <v>1</v>
      </c>
      <c r="I571" t="n">
        <v>0</v>
      </c>
      <c r="J571" t="n">
        <v>0</v>
      </c>
      <c r="K571" t="n">
        <v>1</v>
      </c>
      <c r="L571" t="n">
        <v>0</v>
      </c>
      <c r="M571" t="n">
        <v>0</v>
      </c>
      <c r="N571" t="n">
        <v>0</v>
      </c>
      <c r="O571" t="n">
        <v>1</v>
      </c>
      <c r="P571" t="n">
        <v>1</v>
      </c>
      <c r="Q571" t="n">
        <v>1</v>
      </c>
      <c r="R571" s="2" t="inlineStr">
        <is>
          <t>Knärot</t>
        </is>
      </c>
      <c r="S571">
        <f>HYPERLINK("https://klasma.github.io/Logging_0862/artfynd/A 53370-2023 artfynd.xlsx", "A 53370-2023")</f>
        <v/>
      </c>
      <c r="T571">
        <f>HYPERLINK("https://klasma.github.io/Logging_0862/kartor/A 53370-2023 karta.png", "A 53370-2023")</f>
        <v/>
      </c>
      <c r="U571">
        <f>HYPERLINK("https://klasma.github.io/Logging_0862/knärot/A 53370-2023 karta knärot.png", "A 53370-2023")</f>
        <v/>
      </c>
      <c r="V571">
        <f>HYPERLINK("https://klasma.github.io/Logging_0862/klagomål/A 53370-2023 FSC-klagomål.docx", "A 53370-2023")</f>
        <v/>
      </c>
      <c r="W571">
        <f>HYPERLINK("https://klasma.github.io/Logging_0862/klagomålsmail/A 53370-2023 FSC-klagomål mail.docx", "A 53370-2023")</f>
        <v/>
      </c>
      <c r="X571">
        <f>HYPERLINK("https://klasma.github.io/Logging_0862/tillsyn/A 53370-2023 tillsynsbegäran.docx", "A 53370-2023")</f>
        <v/>
      </c>
      <c r="Y571">
        <f>HYPERLINK("https://klasma.github.io/Logging_0862/tillsynsmail/A 53370-2023 tillsynsbegäran mail.docx", "A 53370-2023")</f>
        <v/>
      </c>
    </row>
    <row r="572" ht="15" customHeight="1">
      <c r="A572" t="inlineStr">
        <is>
          <t>A 3673-2025</t>
        </is>
      </c>
      <c r="B572" s="1" t="n">
        <v>45681.43706018518</v>
      </c>
      <c r="C572" s="1" t="n">
        <v>45884</v>
      </c>
      <c r="D572" t="inlineStr">
        <is>
          <t>KALMAR LÄN</t>
        </is>
      </c>
      <c r="E572" t="inlineStr">
        <is>
          <t>VÄSTERVIK</t>
        </is>
      </c>
      <c r="G572" t="n">
        <v>1.1</v>
      </c>
      <c r="H572" t="n">
        <v>0</v>
      </c>
      <c r="I572" t="n">
        <v>1</v>
      </c>
      <c r="J572" t="n">
        <v>0</v>
      </c>
      <c r="K572" t="n">
        <v>0</v>
      </c>
      <c r="L572" t="n">
        <v>0</v>
      </c>
      <c r="M572" t="n">
        <v>0</v>
      </c>
      <c r="N572" t="n">
        <v>0</v>
      </c>
      <c r="O572" t="n">
        <v>0</v>
      </c>
      <c r="P572" t="n">
        <v>0</v>
      </c>
      <c r="Q572" t="n">
        <v>1</v>
      </c>
      <c r="R572" s="2" t="inlineStr">
        <is>
          <t>Blodticka</t>
        </is>
      </c>
      <c r="S572">
        <f>HYPERLINK("https://klasma.github.io/Logging_0883/artfynd/A 3673-2025 artfynd.xlsx", "A 3673-2025")</f>
        <v/>
      </c>
      <c r="T572">
        <f>HYPERLINK("https://klasma.github.io/Logging_0883/kartor/A 3673-2025 karta.png", "A 3673-2025")</f>
        <v/>
      </c>
      <c r="V572">
        <f>HYPERLINK("https://klasma.github.io/Logging_0883/klagomål/A 3673-2025 FSC-klagomål.docx", "A 3673-2025")</f>
        <v/>
      </c>
      <c r="W572">
        <f>HYPERLINK("https://klasma.github.io/Logging_0883/klagomålsmail/A 3673-2025 FSC-klagomål mail.docx", "A 3673-2025")</f>
        <v/>
      </c>
      <c r="X572">
        <f>HYPERLINK("https://klasma.github.io/Logging_0883/tillsyn/A 3673-2025 tillsynsbegäran.docx", "A 3673-2025")</f>
        <v/>
      </c>
      <c r="Y572">
        <f>HYPERLINK("https://klasma.github.io/Logging_0883/tillsynsmail/A 3673-2025 tillsynsbegäran mail.docx", "A 3673-2025")</f>
        <v/>
      </c>
    </row>
    <row r="573" ht="15" customHeight="1">
      <c r="A573" t="inlineStr">
        <is>
          <t>A 68096-2021</t>
        </is>
      </c>
      <c r="B573" s="1" t="n">
        <v>44526</v>
      </c>
      <c r="C573" s="1" t="n">
        <v>45884</v>
      </c>
      <c r="D573" t="inlineStr">
        <is>
          <t>KALMAR LÄN</t>
        </is>
      </c>
      <c r="E573" t="inlineStr">
        <is>
          <t>HULTSFRED</t>
        </is>
      </c>
      <c r="G573" t="n">
        <v>5.8</v>
      </c>
      <c r="H573" t="n">
        <v>1</v>
      </c>
      <c r="I573" t="n">
        <v>0</v>
      </c>
      <c r="J573" t="n">
        <v>0</v>
      </c>
      <c r="K573" t="n">
        <v>1</v>
      </c>
      <c r="L573" t="n">
        <v>0</v>
      </c>
      <c r="M573" t="n">
        <v>0</v>
      </c>
      <c r="N573" t="n">
        <v>0</v>
      </c>
      <c r="O573" t="n">
        <v>1</v>
      </c>
      <c r="P573" t="n">
        <v>1</v>
      </c>
      <c r="Q573" t="n">
        <v>1</v>
      </c>
      <c r="R573" s="2" t="inlineStr">
        <is>
          <t>Knärot</t>
        </is>
      </c>
      <c r="S573">
        <f>HYPERLINK("https://klasma.github.io/Logging_0860/artfynd/A 68096-2021 artfynd.xlsx", "A 68096-2021")</f>
        <v/>
      </c>
      <c r="T573">
        <f>HYPERLINK("https://klasma.github.io/Logging_0860/kartor/A 68096-2021 karta.png", "A 68096-2021")</f>
        <v/>
      </c>
      <c r="U573">
        <f>HYPERLINK("https://klasma.github.io/Logging_0860/knärot/A 68096-2021 karta knärot.png", "A 68096-2021")</f>
        <v/>
      </c>
      <c r="V573">
        <f>HYPERLINK("https://klasma.github.io/Logging_0860/klagomål/A 68096-2021 FSC-klagomål.docx", "A 68096-2021")</f>
        <v/>
      </c>
      <c r="W573">
        <f>HYPERLINK("https://klasma.github.io/Logging_0860/klagomålsmail/A 68096-2021 FSC-klagomål mail.docx", "A 68096-2021")</f>
        <v/>
      </c>
      <c r="X573">
        <f>HYPERLINK("https://klasma.github.io/Logging_0860/tillsyn/A 68096-2021 tillsynsbegäran.docx", "A 68096-2021")</f>
        <v/>
      </c>
      <c r="Y573">
        <f>HYPERLINK("https://klasma.github.io/Logging_0860/tillsynsmail/A 68096-2021 tillsynsbegäran mail.docx", "A 68096-2021")</f>
        <v/>
      </c>
    </row>
    <row r="574" ht="15" customHeight="1">
      <c r="A574" t="inlineStr">
        <is>
          <t>A 28852-2023</t>
        </is>
      </c>
      <c r="B574" s="1" t="n">
        <v>45104</v>
      </c>
      <c r="C574" s="1" t="n">
        <v>45884</v>
      </c>
      <c r="D574" t="inlineStr">
        <is>
          <t>KALMAR LÄN</t>
        </is>
      </c>
      <c r="E574" t="inlineStr">
        <is>
          <t>VIMMERBY</t>
        </is>
      </c>
      <c r="G574" t="n">
        <v>0.7</v>
      </c>
      <c r="H574" t="n">
        <v>0</v>
      </c>
      <c r="I574" t="n">
        <v>1</v>
      </c>
      <c r="J574" t="n">
        <v>0</v>
      </c>
      <c r="K574" t="n">
        <v>0</v>
      </c>
      <c r="L574" t="n">
        <v>0</v>
      </c>
      <c r="M574" t="n">
        <v>0</v>
      </c>
      <c r="N574" t="n">
        <v>0</v>
      </c>
      <c r="O574" t="n">
        <v>0</v>
      </c>
      <c r="P574" t="n">
        <v>0</v>
      </c>
      <c r="Q574" t="n">
        <v>1</v>
      </c>
      <c r="R574" s="2" t="inlineStr">
        <is>
          <t>Tibast</t>
        </is>
      </c>
      <c r="S574">
        <f>HYPERLINK("https://klasma.github.io/Logging_0884/artfynd/A 28852-2023 artfynd.xlsx", "A 28852-2023")</f>
        <v/>
      </c>
      <c r="T574">
        <f>HYPERLINK("https://klasma.github.io/Logging_0884/kartor/A 28852-2023 karta.png", "A 28852-2023")</f>
        <v/>
      </c>
      <c r="V574">
        <f>HYPERLINK("https://klasma.github.io/Logging_0884/klagomål/A 28852-2023 FSC-klagomål.docx", "A 28852-2023")</f>
        <v/>
      </c>
      <c r="W574">
        <f>HYPERLINK("https://klasma.github.io/Logging_0884/klagomålsmail/A 28852-2023 FSC-klagomål mail.docx", "A 28852-2023")</f>
        <v/>
      </c>
      <c r="X574">
        <f>HYPERLINK("https://klasma.github.io/Logging_0884/tillsyn/A 28852-2023 tillsynsbegäran.docx", "A 28852-2023")</f>
        <v/>
      </c>
      <c r="Y574">
        <f>HYPERLINK("https://klasma.github.io/Logging_0884/tillsynsmail/A 28852-2023 tillsynsbegäran mail.docx", "A 28852-2023")</f>
        <v/>
      </c>
    </row>
    <row r="575" ht="15" customHeight="1">
      <c r="A575" t="inlineStr">
        <is>
          <t>A 9688-2023</t>
        </is>
      </c>
      <c r="B575" s="1" t="n">
        <v>44984.44930555556</v>
      </c>
      <c r="C575" s="1" t="n">
        <v>45884</v>
      </c>
      <c r="D575" t="inlineStr">
        <is>
          <t>KALMAR LÄN</t>
        </is>
      </c>
      <c r="E575" t="inlineStr">
        <is>
          <t>TORSÅS</t>
        </is>
      </c>
      <c r="G575" t="n">
        <v>3.3</v>
      </c>
      <c r="H575" t="n">
        <v>1</v>
      </c>
      <c r="I575" t="n">
        <v>0</v>
      </c>
      <c r="J575" t="n">
        <v>0</v>
      </c>
      <c r="K575" t="n">
        <v>0</v>
      </c>
      <c r="L575" t="n">
        <v>0</v>
      </c>
      <c r="M575" t="n">
        <v>0</v>
      </c>
      <c r="N575" t="n">
        <v>0</v>
      </c>
      <c r="O575" t="n">
        <v>0</v>
      </c>
      <c r="P575" t="n">
        <v>0</v>
      </c>
      <c r="Q575" t="n">
        <v>1</v>
      </c>
      <c r="R575" s="2" t="inlineStr">
        <is>
          <t>Gullviva</t>
        </is>
      </c>
      <c r="S575">
        <f>HYPERLINK("https://klasma.github.io/Logging_0834/artfynd/A 9688-2023 artfynd.xlsx", "A 9688-2023")</f>
        <v/>
      </c>
      <c r="T575">
        <f>HYPERLINK("https://klasma.github.io/Logging_0834/kartor/A 9688-2023 karta.png", "A 9688-2023")</f>
        <v/>
      </c>
      <c r="V575">
        <f>HYPERLINK("https://klasma.github.io/Logging_0834/klagomål/A 9688-2023 FSC-klagomål.docx", "A 9688-2023")</f>
        <v/>
      </c>
      <c r="W575">
        <f>HYPERLINK("https://klasma.github.io/Logging_0834/klagomålsmail/A 9688-2023 FSC-klagomål mail.docx", "A 9688-2023")</f>
        <v/>
      </c>
      <c r="X575">
        <f>HYPERLINK("https://klasma.github.io/Logging_0834/tillsyn/A 9688-2023 tillsynsbegäran.docx", "A 9688-2023")</f>
        <v/>
      </c>
      <c r="Y575">
        <f>HYPERLINK("https://klasma.github.io/Logging_0834/tillsynsmail/A 9688-2023 tillsynsbegäran mail.docx", "A 9688-2023")</f>
        <v/>
      </c>
    </row>
    <row r="576" ht="15" customHeight="1">
      <c r="A576" t="inlineStr">
        <is>
          <t>A 14131-2025</t>
        </is>
      </c>
      <c r="B576" s="1" t="n">
        <v>45740.47480324074</v>
      </c>
      <c r="C576" s="1" t="n">
        <v>45884</v>
      </c>
      <c r="D576" t="inlineStr">
        <is>
          <t>KALMAR LÄN</t>
        </is>
      </c>
      <c r="E576" t="inlineStr">
        <is>
          <t>VÄSTERVIK</t>
        </is>
      </c>
      <c r="F576" t="inlineStr">
        <is>
          <t>Sveaskog</t>
        </is>
      </c>
      <c r="G576" t="n">
        <v>0.7</v>
      </c>
      <c r="H576" t="n">
        <v>1</v>
      </c>
      <c r="I576" t="n">
        <v>0</v>
      </c>
      <c r="J576" t="n">
        <v>0</v>
      </c>
      <c r="K576" t="n">
        <v>0</v>
      </c>
      <c r="L576" t="n">
        <v>0</v>
      </c>
      <c r="M576" t="n">
        <v>0</v>
      </c>
      <c r="N576" t="n">
        <v>0</v>
      </c>
      <c r="O576" t="n">
        <v>0</v>
      </c>
      <c r="P576" t="n">
        <v>0</v>
      </c>
      <c r="Q576" t="n">
        <v>1</v>
      </c>
      <c r="R576" s="2" t="inlineStr">
        <is>
          <t>Blåsippa</t>
        </is>
      </c>
      <c r="S576">
        <f>HYPERLINK("https://klasma.github.io/Logging_0883/artfynd/A 14131-2025 artfynd.xlsx", "A 14131-2025")</f>
        <v/>
      </c>
      <c r="T576">
        <f>HYPERLINK("https://klasma.github.io/Logging_0883/kartor/A 14131-2025 karta.png", "A 14131-2025")</f>
        <v/>
      </c>
      <c r="V576">
        <f>HYPERLINK("https://klasma.github.io/Logging_0883/klagomål/A 14131-2025 FSC-klagomål.docx", "A 14131-2025")</f>
        <v/>
      </c>
      <c r="W576">
        <f>HYPERLINK("https://klasma.github.io/Logging_0883/klagomålsmail/A 14131-2025 FSC-klagomål mail.docx", "A 14131-2025")</f>
        <v/>
      </c>
      <c r="X576">
        <f>HYPERLINK("https://klasma.github.io/Logging_0883/tillsyn/A 14131-2025 tillsynsbegäran.docx", "A 14131-2025")</f>
        <v/>
      </c>
      <c r="Y576">
        <f>HYPERLINK("https://klasma.github.io/Logging_0883/tillsynsmail/A 14131-2025 tillsynsbegäran mail.docx", "A 14131-2025")</f>
        <v/>
      </c>
    </row>
    <row r="577" ht="15" customHeight="1">
      <c r="A577" t="inlineStr">
        <is>
          <t>A 53075-2024</t>
        </is>
      </c>
      <c r="B577" s="1" t="n">
        <v>45611</v>
      </c>
      <c r="C577" s="1" t="n">
        <v>45884</v>
      </c>
      <c r="D577" t="inlineStr">
        <is>
          <t>KALMAR LÄN</t>
        </is>
      </c>
      <c r="E577" t="inlineStr">
        <is>
          <t>VÄSTERVIK</t>
        </is>
      </c>
      <c r="F577" t="inlineStr">
        <is>
          <t>Holmen skog AB</t>
        </is>
      </c>
      <c r="G577" t="n">
        <v>8.5</v>
      </c>
      <c r="H577" t="n">
        <v>1</v>
      </c>
      <c r="I577" t="n">
        <v>0</v>
      </c>
      <c r="J577" t="n">
        <v>1</v>
      </c>
      <c r="K577" t="n">
        <v>0</v>
      </c>
      <c r="L577" t="n">
        <v>0</v>
      </c>
      <c r="M577" t="n">
        <v>0</v>
      </c>
      <c r="N577" t="n">
        <v>0</v>
      </c>
      <c r="O577" t="n">
        <v>1</v>
      </c>
      <c r="P577" t="n">
        <v>0</v>
      </c>
      <c r="Q577" t="n">
        <v>1</v>
      </c>
      <c r="R577" s="2" t="inlineStr">
        <is>
          <t>Talltita</t>
        </is>
      </c>
      <c r="S577">
        <f>HYPERLINK("https://klasma.github.io/Logging_0883/artfynd/A 53075-2024 artfynd.xlsx", "A 53075-2024")</f>
        <v/>
      </c>
      <c r="T577">
        <f>HYPERLINK("https://klasma.github.io/Logging_0883/kartor/A 53075-2024 karta.png", "A 53075-2024")</f>
        <v/>
      </c>
      <c r="V577">
        <f>HYPERLINK("https://klasma.github.io/Logging_0883/klagomål/A 53075-2024 FSC-klagomål.docx", "A 53075-2024")</f>
        <v/>
      </c>
      <c r="W577">
        <f>HYPERLINK("https://klasma.github.io/Logging_0883/klagomålsmail/A 53075-2024 FSC-klagomål mail.docx", "A 53075-2024")</f>
        <v/>
      </c>
      <c r="X577">
        <f>HYPERLINK("https://klasma.github.io/Logging_0883/tillsyn/A 53075-2024 tillsynsbegäran.docx", "A 53075-2024")</f>
        <v/>
      </c>
      <c r="Y577">
        <f>HYPERLINK("https://klasma.github.io/Logging_0883/tillsynsmail/A 53075-2024 tillsynsbegäran mail.docx", "A 53075-2024")</f>
        <v/>
      </c>
      <c r="Z577">
        <f>HYPERLINK("https://klasma.github.io/Logging_0883/fåglar/A 53075-2024 prioriterade fågelarter.docx", "A 53075-2024")</f>
        <v/>
      </c>
    </row>
    <row r="578" ht="15" customHeight="1">
      <c r="A578" t="inlineStr">
        <is>
          <t>A 27346-2023</t>
        </is>
      </c>
      <c r="B578" s="1" t="n">
        <v>45096</v>
      </c>
      <c r="C578" s="1" t="n">
        <v>45884</v>
      </c>
      <c r="D578" t="inlineStr">
        <is>
          <t>KALMAR LÄN</t>
        </is>
      </c>
      <c r="E578" t="inlineStr">
        <is>
          <t>NYBRO</t>
        </is>
      </c>
      <c r="G578" t="n">
        <v>1.2</v>
      </c>
      <c r="H578" t="n">
        <v>0</v>
      </c>
      <c r="I578" t="n">
        <v>1</v>
      </c>
      <c r="J578" t="n">
        <v>0</v>
      </c>
      <c r="K578" t="n">
        <v>0</v>
      </c>
      <c r="L578" t="n">
        <v>0</v>
      </c>
      <c r="M578" t="n">
        <v>0</v>
      </c>
      <c r="N578" t="n">
        <v>0</v>
      </c>
      <c r="O578" t="n">
        <v>0</v>
      </c>
      <c r="P578" t="n">
        <v>0</v>
      </c>
      <c r="Q578" t="n">
        <v>1</v>
      </c>
      <c r="R578" s="2" t="inlineStr">
        <is>
          <t>Blanksvart trämyra</t>
        </is>
      </c>
      <c r="S578">
        <f>HYPERLINK("https://klasma.github.io/Logging_0881/artfynd/A 27346-2023 artfynd.xlsx", "A 27346-2023")</f>
        <v/>
      </c>
      <c r="T578">
        <f>HYPERLINK("https://klasma.github.io/Logging_0881/kartor/A 27346-2023 karta.png", "A 27346-2023")</f>
        <v/>
      </c>
      <c r="V578">
        <f>HYPERLINK("https://klasma.github.io/Logging_0881/klagomål/A 27346-2023 FSC-klagomål.docx", "A 27346-2023")</f>
        <v/>
      </c>
      <c r="W578">
        <f>HYPERLINK("https://klasma.github.io/Logging_0881/klagomålsmail/A 27346-2023 FSC-klagomål mail.docx", "A 27346-2023")</f>
        <v/>
      </c>
      <c r="X578">
        <f>HYPERLINK("https://klasma.github.io/Logging_0881/tillsyn/A 27346-2023 tillsynsbegäran.docx", "A 27346-2023")</f>
        <v/>
      </c>
      <c r="Y578">
        <f>HYPERLINK("https://klasma.github.io/Logging_0881/tillsynsmail/A 27346-2023 tillsynsbegäran mail.docx", "A 27346-2023")</f>
        <v/>
      </c>
    </row>
    <row r="579" ht="15" customHeight="1">
      <c r="A579" t="inlineStr">
        <is>
          <t>A 19459-2023</t>
        </is>
      </c>
      <c r="B579" s="1" t="n">
        <v>45049</v>
      </c>
      <c r="C579" s="1" t="n">
        <v>45884</v>
      </c>
      <c r="D579" t="inlineStr">
        <is>
          <t>KALMAR LÄN</t>
        </is>
      </c>
      <c r="E579" t="inlineStr">
        <is>
          <t>MÖRBYLÅNGA</t>
        </is>
      </c>
      <c r="G579" t="n">
        <v>1.6</v>
      </c>
      <c r="H579" t="n">
        <v>0</v>
      </c>
      <c r="I579" t="n">
        <v>0</v>
      </c>
      <c r="J579" t="n">
        <v>0</v>
      </c>
      <c r="K579" t="n">
        <v>1</v>
      </c>
      <c r="L579" t="n">
        <v>0</v>
      </c>
      <c r="M579" t="n">
        <v>0</v>
      </c>
      <c r="N579" t="n">
        <v>0</v>
      </c>
      <c r="O579" t="n">
        <v>1</v>
      </c>
      <c r="P579" t="n">
        <v>1</v>
      </c>
      <c r="Q579" t="n">
        <v>1</v>
      </c>
      <c r="R579" s="2" t="inlineStr">
        <is>
          <t>Luddvicker</t>
        </is>
      </c>
      <c r="S579">
        <f>HYPERLINK("https://klasma.github.io/Logging_0840/artfynd/A 19459-2023 artfynd.xlsx", "A 19459-2023")</f>
        <v/>
      </c>
      <c r="T579">
        <f>HYPERLINK("https://klasma.github.io/Logging_0840/kartor/A 19459-2023 karta.png", "A 19459-2023")</f>
        <v/>
      </c>
      <c r="V579">
        <f>HYPERLINK("https://klasma.github.io/Logging_0840/klagomål/A 19459-2023 FSC-klagomål.docx", "A 19459-2023")</f>
        <v/>
      </c>
      <c r="W579">
        <f>HYPERLINK("https://klasma.github.io/Logging_0840/klagomålsmail/A 19459-2023 FSC-klagomål mail.docx", "A 19459-2023")</f>
        <v/>
      </c>
      <c r="X579">
        <f>HYPERLINK("https://klasma.github.io/Logging_0840/tillsyn/A 19459-2023 tillsynsbegäran.docx", "A 19459-2023")</f>
        <v/>
      </c>
      <c r="Y579">
        <f>HYPERLINK("https://klasma.github.io/Logging_0840/tillsynsmail/A 19459-2023 tillsynsbegäran mail.docx", "A 19459-2023")</f>
        <v/>
      </c>
    </row>
    <row r="580" ht="15" customHeight="1">
      <c r="A580" t="inlineStr">
        <is>
          <t>A 9261-2025</t>
        </is>
      </c>
      <c r="B580" s="1" t="n">
        <v>45714.60472222222</v>
      </c>
      <c r="C580" s="1" t="n">
        <v>45884</v>
      </c>
      <c r="D580" t="inlineStr">
        <is>
          <t>KALMAR LÄN</t>
        </is>
      </c>
      <c r="E580" t="inlineStr">
        <is>
          <t>VÄSTERVIK</t>
        </is>
      </c>
      <c r="F580" t="inlineStr">
        <is>
          <t>Sveaskog</t>
        </is>
      </c>
      <c r="G580" t="n">
        <v>4.9</v>
      </c>
      <c r="H580" t="n">
        <v>1</v>
      </c>
      <c r="I580" t="n">
        <v>0</v>
      </c>
      <c r="J580" t="n">
        <v>1</v>
      </c>
      <c r="K580" t="n">
        <v>0</v>
      </c>
      <c r="L580" t="n">
        <v>0</v>
      </c>
      <c r="M580" t="n">
        <v>0</v>
      </c>
      <c r="N580" t="n">
        <v>0</v>
      </c>
      <c r="O580" t="n">
        <v>1</v>
      </c>
      <c r="P580" t="n">
        <v>0</v>
      </c>
      <c r="Q580" t="n">
        <v>1</v>
      </c>
      <c r="R580" s="2" t="inlineStr">
        <is>
          <t>Havsörn</t>
        </is>
      </c>
      <c r="S580">
        <f>HYPERLINK("https://klasma.github.io/Logging_0883/artfynd/A 9261-2025 artfynd.xlsx", "A 9261-2025")</f>
        <v/>
      </c>
      <c r="T580">
        <f>HYPERLINK("https://klasma.github.io/Logging_0883/kartor/A 9261-2025 karta.png", "A 9261-2025")</f>
        <v/>
      </c>
      <c r="V580">
        <f>HYPERLINK("https://klasma.github.io/Logging_0883/klagomål/A 9261-2025 FSC-klagomål.docx", "A 9261-2025")</f>
        <v/>
      </c>
      <c r="W580">
        <f>HYPERLINK("https://klasma.github.io/Logging_0883/klagomålsmail/A 9261-2025 FSC-klagomål mail.docx", "A 9261-2025")</f>
        <v/>
      </c>
      <c r="X580">
        <f>HYPERLINK("https://klasma.github.io/Logging_0883/tillsyn/A 9261-2025 tillsynsbegäran.docx", "A 9261-2025")</f>
        <v/>
      </c>
      <c r="Y580">
        <f>HYPERLINK("https://klasma.github.io/Logging_0883/tillsynsmail/A 9261-2025 tillsynsbegäran mail.docx", "A 9261-2025")</f>
        <v/>
      </c>
      <c r="Z580">
        <f>HYPERLINK("https://klasma.github.io/Logging_0883/fåglar/A 9261-2025 prioriterade fågelarter.docx", "A 9261-2025")</f>
        <v/>
      </c>
    </row>
    <row r="581" ht="15" customHeight="1">
      <c r="A581" t="inlineStr">
        <is>
          <t>A 47672-2022</t>
        </is>
      </c>
      <c r="B581" s="1" t="n">
        <v>44854</v>
      </c>
      <c r="C581" s="1" t="n">
        <v>45884</v>
      </c>
      <c r="D581" t="inlineStr">
        <is>
          <t>KALMAR LÄN</t>
        </is>
      </c>
      <c r="E581" t="inlineStr">
        <is>
          <t>MÖNSTERÅS</t>
        </is>
      </c>
      <c r="G581" t="n">
        <v>4.6</v>
      </c>
      <c r="H581" t="n">
        <v>1</v>
      </c>
      <c r="I581" t="n">
        <v>0</v>
      </c>
      <c r="J581" t="n">
        <v>0</v>
      </c>
      <c r="K581" t="n">
        <v>1</v>
      </c>
      <c r="L581" t="n">
        <v>0</v>
      </c>
      <c r="M581" t="n">
        <v>0</v>
      </c>
      <c r="N581" t="n">
        <v>0</v>
      </c>
      <c r="O581" t="n">
        <v>1</v>
      </c>
      <c r="P581" t="n">
        <v>1</v>
      </c>
      <c r="Q581" t="n">
        <v>1</v>
      </c>
      <c r="R581" s="2" t="inlineStr">
        <is>
          <t>Knärot</t>
        </is>
      </c>
      <c r="S581">
        <f>HYPERLINK("https://klasma.github.io/Logging_0861/artfynd/A 47672-2022 artfynd.xlsx", "A 47672-2022")</f>
        <v/>
      </c>
      <c r="T581">
        <f>HYPERLINK("https://klasma.github.io/Logging_0861/kartor/A 47672-2022 karta.png", "A 47672-2022")</f>
        <v/>
      </c>
      <c r="U581">
        <f>HYPERLINK("https://klasma.github.io/Logging_0861/knärot/A 47672-2022 karta knärot.png", "A 47672-2022")</f>
        <v/>
      </c>
      <c r="V581">
        <f>HYPERLINK("https://klasma.github.io/Logging_0861/klagomål/A 47672-2022 FSC-klagomål.docx", "A 47672-2022")</f>
        <v/>
      </c>
      <c r="W581">
        <f>HYPERLINK("https://klasma.github.io/Logging_0861/klagomålsmail/A 47672-2022 FSC-klagomål mail.docx", "A 47672-2022")</f>
        <v/>
      </c>
      <c r="X581">
        <f>HYPERLINK("https://klasma.github.io/Logging_0861/tillsyn/A 47672-2022 tillsynsbegäran.docx", "A 47672-2022")</f>
        <v/>
      </c>
      <c r="Y581">
        <f>HYPERLINK("https://klasma.github.io/Logging_0861/tillsynsmail/A 47672-2022 tillsynsbegäran mail.docx", "A 47672-2022")</f>
        <v/>
      </c>
    </row>
    <row r="582" ht="15" customHeight="1">
      <c r="A582" t="inlineStr">
        <is>
          <t>A 8311-2024</t>
        </is>
      </c>
      <c r="B582" s="1" t="n">
        <v>45350</v>
      </c>
      <c r="C582" s="1" t="n">
        <v>45884</v>
      </c>
      <c r="D582" t="inlineStr">
        <is>
          <t>KALMAR LÄN</t>
        </is>
      </c>
      <c r="E582" t="inlineStr">
        <is>
          <t>TORSÅS</t>
        </is>
      </c>
      <c r="G582" t="n">
        <v>3.8</v>
      </c>
      <c r="H582" t="n">
        <v>0</v>
      </c>
      <c r="I582" t="n">
        <v>1</v>
      </c>
      <c r="J582" t="n">
        <v>0</v>
      </c>
      <c r="K582" t="n">
        <v>0</v>
      </c>
      <c r="L582" t="n">
        <v>0</v>
      </c>
      <c r="M582" t="n">
        <v>0</v>
      </c>
      <c r="N582" t="n">
        <v>0</v>
      </c>
      <c r="O582" t="n">
        <v>0</v>
      </c>
      <c r="P582" t="n">
        <v>0</v>
      </c>
      <c r="Q582" t="n">
        <v>1</v>
      </c>
      <c r="R582" s="2" t="inlineStr">
        <is>
          <t>Underviol</t>
        </is>
      </c>
      <c r="S582">
        <f>HYPERLINK("https://klasma.github.io/Logging_0834/artfynd/A 8311-2024 artfynd.xlsx", "A 8311-2024")</f>
        <v/>
      </c>
      <c r="T582">
        <f>HYPERLINK("https://klasma.github.io/Logging_0834/kartor/A 8311-2024 karta.png", "A 8311-2024")</f>
        <v/>
      </c>
      <c r="V582">
        <f>HYPERLINK("https://klasma.github.io/Logging_0834/klagomål/A 8311-2024 FSC-klagomål.docx", "A 8311-2024")</f>
        <v/>
      </c>
      <c r="W582">
        <f>HYPERLINK("https://klasma.github.io/Logging_0834/klagomålsmail/A 8311-2024 FSC-klagomål mail.docx", "A 8311-2024")</f>
        <v/>
      </c>
      <c r="X582">
        <f>HYPERLINK("https://klasma.github.io/Logging_0834/tillsyn/A 8311-2024 tillsynsbegäran.docx", "A 8311-2024")</f>
        <v/>
      </c>
      <c r="Y582">
        <f>HYPERLINK("https://klasma.github.io/Logging_0834/tillsynsmail/A 8311-2024 tillsynsbegäran mail.docx", "A 8311-2024")</f>
        <v/>
      </c>
    </row>
    <row r="583" ht="15" customHeight="1">
      <c r="A583" t="inlineStr">
        <is>
          <t>A 39745-2023</t>
        </is>
      </c>
      <c r="B583" s="1" t="n">
        <v>45167</v>
      </c>
      <c r="C583" s="1" t="n">
        <v>45884</v>
      </c>
      <c r="D583" t="inlineStr">
        <is>
          <t>KALMAR LÄN</t>
        </is>
      </c>
      <c r="E583" t="inlineStr">
        <is>
          <t>KALMAR</t>
        </is>
      </c>
      <c r="G583" t="n">
        <v>1.3</v>
      </c>
      <c r="H583" t="n">
        <v>0</v>
      </c>
      <c r="I583" t="n">
        <v>1</v>
      </c>
      <c r="J583" t="n">
        <v>0</v>
      </c>
      <c r="K583" t="n">
        <v>0</v>
      </c>
      <c r="L583" t="n">
        <v>0</v>
      </c>
      <c r="M583" t="n">
        <v>0</v>
      </c>
      <c r="N583" t="n">
        <v>0</v>
      </c>
      <c r="O583" t="n">
        <v>0</v>
      </c>
      <c r="P583" t="n">
        <v>0</v>
      </c>
      <c r="Q583" t="n">
        <v>1</v>
      </c>
      <c r="R583" s="2" t="inlineStr">
        <is>
          <t>Murgröna</t>
        </is>
      </c>
      <c r="S583">
        <f>HYPERLINK("https://klasma.github.io/Logging_0880/artfynd/A 39745-2023 artfynd.xlsx", "A 39745-2023")</f>
        <v/>
      </c>
      <c r="T583">
        <f>HYPERLINK("https://klasma.github.io/Logging_0880/kartor/A 39745-2023 karta.png", "A 39745-2023")</f>
        <v/>
      </c>
      <c r="V583">
        <f>HYPERLINK("https://klasma.github.io/Logging_0880/klagomål/A 39745-2023 FSC-klagomål.docx", "A 39745-2023")</f>
        <v/>
      </c>
      <c r="W583">
        <f>HYPERLINK("https://klasma.github.io/Logging_0880/klagomålsmail/A 39745-2023 FSC-klagomål mail.docx", "A 39745-2023")</f>
        <v/>
      </c>
      <c r="X583">
        <f>HYPERLINK("https://klasma.github.io/Logging_0880/tillsyn/A 39745-2023 tillsynsbegäran.docx", "A 39745-2023")</f>
        <v/>
      </c>
      <c r="Y583">
        <f>HYPERLINK("https://klasma.github.io/Logging_0880/tillsynsmail/A 39745-2023 tillsynsbegäran mail.docx", "A 39745-2023")</f>
        <v/>
      </c>
    </row>
    <row r="584" ht="15" customHeight="1">
      <c r="A584" t="inlineStr">
        <is>
          <t>A 17193-2023</t>
        </is>
      </c>
      <c r="B584" s="1" t="n">
        <v>45034</v>
      </c>
      <c r="C584" s="1" t="n">
        <v>45884</v>
      </c>
      <c r="D584" t="inlineStr">
        <is>
          <t>KALMAR LÄN</t>
        </is>
      </c>
      <c r="E584" t="inlineStr">
        <is>
          <t>OSKARSHAMN</t>
        </is>
      </c>
      <c r="G584" t="n">
        <v>0.7</v>
      </c>
      <c r="H584" t="n">
        <v>0</v>
      </c>
      <c r="I584" t="n">
        <v>0</v>
      </c>
      <c r="J584" t="n">
        <v>0</v>
      </c>
      <c r="K584" t="n">
        <v>1</v>
      </c>
      <c r="L584" t="n">
        <v>0</v>
      </c>
      <c r="M584" t="n">
        <v>0</v>
      </c>
      <c r="N584" t="n">
        <v>0</v>
      </c>
      <c r="O584" t="n">
        <v>1</v>
      </c>
      <c r="P584" t="n">
        <v>1</v>
      </c>
      <c r="Q584" t="n">
        <v>1</v>
      </c>
      <c r="R584" s="2" t="inlineStr">
        <is>
          <t>Slåttergubbe</t>
        </is>
      </c>
      <c r="S584">
        <f>HYPERLINK("https://klasma.github.io/Logging_0882/artfynd/A 17193-2023 artfynd.xlsx", "A 17193-2023")</f>
        <v/>
      </c>
      <c r="T584">
        <f>HYPERLINK("https://klasma.github.io/Logging_0882/kartor/A 17193-2023 karta.png", "A 17193-2023")</f>
        <v/>
      </c>
      <c r="V584">
        <f>HYPERLINK("https://klasma.github.io/Logging_0882/klagomål/A 17193-2023 FSC-klagomål.docx", "A 17193-2023")</f>
        <v/>
      </c>
      <c r="W584">
        <f>HYPERLINK("https://klasma.github.io/Logging_0882/klagomålsmail/A 17193-2023 FSC-klagomål mail.docx", "A 17193-2023")</f>
        <v/>
      </c>
      <c r="X584">
        <f>HYPERLINK("https://klasma.github.io/Logging_0882/tillsyn/A 17193-2023 tillsynsbegäran.docx", "A 17193-2023")</f>
        <v/>
      </c>
      <c r="Y584">
        <f>HYPERLINK("https://klasma.github.io/Logging_0882/tillsynsmail/A 17193-2023 tillsynsbegäran mail.docx", "A 17193-2023")</f>
        <v/>
      </c>
    </row>
    <row r="585" ht="15" customHeight="1">
      <c r="A585" t="inlineStr">
        <is>
          <t>A 42248-2020</t>
        </is>
      </c>
      <c r="B585" s="1" t="n">
        <v>44076</v>
      </c>
      <c r="C585" s="1" t="n">
        <v>45884</v>
      </c>
      <c r="D585" t="inlineStr">
        <is>
          <t>KALMAR LÄN</t>
        </is>
      </c>
      <c r="E585" t="inlineStr">
        <is>
          <t>OSKARSHAMN</t>
        </is>
      </c>
      <c r="G585" t="n">
        <v>2.5</v>
      </c>
      <c r="H585" t="n">
        <v>0</v>
      </c>
      <c r="I585" t="n">
        <v>1</v>
      </c>
      <c r="J585" t="n">
        <v>0</v>
      </c>
      <c r="K585" t="n">
        <v>0</v>
      </c>
      <c r="L585" t="n">
        <v>0</v>
      </c>
      <c r="M585" t="n">
        <v>0</v>
      </c>
      <c r="N585" t="n">
        <v>0</v>
      </c>
      <c r="O585" t="n">
        <v>0</v>
      </c>
      <c r="P585" t="n">
        <v>0</v>
      </c>
      <c r="Q585" t="n">
        <v>1</v>
      </c>
      <c r="R585" s="2" t="inlineStr">
        <is>
          <t>Fällmossa</t>
        </is>
      </c>
      <c r="S585">
        <f>HYPERLINK("https://klasma.github.io/Logging_0882/artfynd/A 42248-2020 artfynd.xlsx", "A 42248-2020")</f>
        <v/>
      </c>
      <c r="T585">
        <f>HYPERLINK("https://klasma.github.io/Logging_0882/kartor/A 42248-2020 karta.png", "A 42248-2020")</f>
        <v/>
      </c>
      <c r="V585">
        <f>HYPERLINK("https://klasma.github.io/Logging_0882/klagomål/A 42248-2020 FSC-klagomål.docx", "A 42248-2020")</f>
        <v/>
      </c>
      <c r="W585">
        <f>HYPERLINK("https://klasma.github.io/Logging_0882/klagomålsmail/A 42248-2020 FSC-klagomål mail.docx", "A 42248-2020")</f>
        <v/>
      </c>
      <c r="X585">
        <f>HYPERLINK("https://klasma.github.io/Logging_0882/tillsyn/A 42248-2020 tillsynsbegäran.docx", "A 42248-2020")</f>
        <v/>
      </c>
      <c r="Y585">
        <f>HYPERLINK("https://klasma.github.io/Logging_0882/tillsynsmail/A 42248-2020 tillsynsbegäran mail.docx", "A 42248-2020")</f>
        <v/>
      </c>
    </row>
    <row r="586" ht="15" customHeight="1">
      <c r="A586" t="inlineStr">
        <is>
          <t>A 65930-2021</t>
        </is>
      </c>
      <c r="B586" s="1" t="n">
        <v>44517.4756712963</v>
      </c>
      <c r="C586" s="1" t="n">
        <v>45884</v>
      </c>
      <c r="D586" t="inlineStr">
        <is>
          <t>KALMAR LÄN</t>
        </is>
      </c>
      <c r="E586" t="inlineStr">
        <is>
          <t>KALMAR</t>
        </is>
      </c>
      <c r="G586" t="n">
        <v>1</v>
      </c>
      <c r="H586" t="n">
        <v>1</v>
      </c>
      <c r="I586" t="n">
        <v>0</v>
      </c>
      <c r="J586" t="n">
        <v>1</v>
      </c>
      <c r="K586" t="n">
        <v>0</v>
      </c>
      <c r="L586" t="n">
        <v>0</v>
      </c>
      <c r="M586" t="n">
        <v>0</v>
      </c>
      <c r="N586" t="n">
        <v>0</v>
      </c>
      <c r="O586" t="n">
        <v>1</v>
      </c>
      <c r="P586" t="n">
        <v>0</v>
      </c>
      <c r="Q586" t="n">
        <v>1</v>
      </c>
      <c r="R586" s="2" t="inlineStr">
        <is>
          <t>Spillkråka</t>
        </is>
      </c>
      <c r="S586">
        <f>HYPERLINK("https://klasma.github.io/Logging_0880/artfynd/A 65930-2021 artfynd.xlsx", "A 65930-2021")</f>
        <v/>
      </c>
      <c r="T586">
        <f>HYPERLINK("https://klasma.github.io/Logging_0880/kartor/A 65930-2021 karta.png", "A 65930-2021")</f>
        <v/>
      </c>
      <c r="V586">
        <f>HYPERLINK("https://klasma.github.io/Logging_0880/klagomål/A 65930-2021 FSC-klagomål.docx", "A 65930-2021")</f>
        <v/>
      </c>
      <c r="W586">
        <f>HYPERLINK("https://klasma.github.io/Logging_0880/klagomålsmail/A 65930-2021 FSC-klagomål mail.docx", "A 65930-2021")</f>
        <v/>
      </c>
      <c r="X586">
        <f>HYPERLINK("https://klasma.github.io/Logging_0880/tillsyn/A 65930-2021 tillsynsbegäran.docx", "A 65930-2021")</f>
        <v/>
      </c>
      <c r="Y586">
        <f>HYPERLINK("https://klasma.github.io/Logging_0880/tillsynsmail/A 65930-2021 tillsynsbegäran mail.docx", "A 65930-2021")</f>
        <v/>
      </c>
      <c r="Z586">
        <f>HYPERLINK("https://klasma.github.io/Logging_0880/fåglar/A 65930-2021 prioriterade fågelarter.docx", "A 65930-2021")</f>
        <v/>
      </c>
    </row>
    <row r="587" ht="15" customHeight="1">
      <c r="A587" t="inlineStr">
        <is>
          <t>A 56482-2023</t>
        </is>
      </c>
      <c r="B587" s="1" t="n">
        <v>45243</v>
      </c>
      <c r="C587" s="1" t="n">
        <v>45884</v>
      </c>
      <c r="D587" t="inlineStr">
        <is>
          <t>KALMAR LÄN</t>
        </is>
      </c>
      <c r="E587" t="inlineStr">
        <is>
          <t>KALMAR</t>
        </is>
      </c>
      <c r="G587" t="n">
        <v>2.7</v>
      </c>
      <c r="H587" t="n">
        <v>0</v>
      </c>
      <c r="I587" t="n">
        <v>1</v>
      </c>
      <c r="J587" t="n">
        <v>0</v>
      </c>
      <c r="K587" t="n">
        <v>0</v>
      </c>
      <c r="L587" t="n">
        <v>0</v>
      </c>
      <c r="M587" t="n">
        <v>0</v>
      </c>
      <c r="N587" t="n">
        <v>0</v>
      </c>
      <c r="O587" t="n">
        <v>0</v>
      </c>
      <c r="P587" t="n">
        <v>0</v>
      </c>
      <c r="Q587" t="n">
        <v>1</v>
      </c>
      <c r="R587" s="2" t="inlineStr">
        <is>
          <t>Murgröna</t>
        </is>
      </c>
      <c r="S587">
        <f>HYPERLINK("https://klasma.github.io/Logging_0880/artfynd/A 56482-2023 artfynd.xlsx", "A 56482-2023")</f>
        <v/>
      </c>
      <c r="T587">
        <f>HYPERLINK("https://klasma.github.io/Logging_0880/kartor/A 56482-2023 karta.png", "A 56482-2023")</f>
        <v/>
      </c>
      <c r="V587">
        <f>HYPERLINK("https://klasma.github.io/Logging_0880/klagomål/A 56482-2023 FSC-klagomål.docx", "A 56482-2023")</f>
        <v/>
      </c>
      <c r="W587">
        <f>HYPERLINK("https://klasma.github.io/Logging_0880/klagomålsmail/A 56482-2023 FSC-klagomål mail.docx", "A 56482-2023")</f>
        <v/>
      </c>
      <c r="X587">
        <f>HYPERLINK("https://klasma.github.io/Logging_0880/tillsyn/A 56482-2023 tillsynsbegäran.docx", "A 56482-2023")</f>
        <v/>
      </c>
      <c r="Y587">
        <f>HYPERLINK("https://klasma.github.io/Logging_0880/tillsynsmail/A 56482-2023 tillsynsbegäran mail.docx", "A 56482-2023")</f>
        <v/>
      </c>
    </row>
    <row r="588" ht="15" customHeight="1">
      <c r="A588" t="inlineStr">
        <is>
          <t>A 13721-2023</t>
        </is>
      </c>
      <c r="B588" s="1" t="n">
        <v>45007</v>
      </c>
      <c r="C588" s="1" t="n">
        <v>45884</v>
      </c>
      <c r="D588" t="inlineStr">
        <is>
          <t>KALMAR LÄN</t>
        </is>
      </c>
      <c r="E588" t="inlineStr">
        <is>
          <t>KALMAR</t>
        </is>
      </c>
      <c r="G588" t="n">
        <v>5.2</v>
      </c>
      <c r="H588" t="n">
        <v>0</v>
      </c>
      <c r="I588" t="n">
        <v>1</v>
      </c>
      <c r="J588" t="n">
        <v>0</v>
      </c>
      <c r="K588" t="n">
        <v>0</v>
      </c>
      <c r="L588" t="n">
        <v>0</v>
      </c>
      <c r="M588" t="n">
        <v>0</v>
      </c>
      <c r="N588" t="n">
        <v>0</v>
      </c>
      <c r="O588" t="n">
        <v>0</v>
      </c>
      <c r="P588" t="n">
        <v>0</v>
      </c>
      <c r="Q588" t="n">
        <v>1</v>
      </c>
      <c r="R588" s="2" t="inlineStr">
        <is>
          <t>Ögonpyrola</t>
        </is>
      </c>
      <c r="S588">
        <f>HYPERLINK("https://klasma.github.io/Logging_0880/artfynd/A 13721-2023 artfynd.xlsx", "A 13721-2023")</f>
        <v/>
      </c>
      <c r="T588">
        <f>HYPERLINK("https://klasma.github.io/Logging_0880/kartor/A 13721-2023 karta.png", "A 13721-2023")</f>
        <v/>
      </c>
      <c r="V588">
        <f>HYPERLINK("https://klasma.github.io/Logging_0880/klagomål/A 13721-2023 FSC-klagomål.docx", "A 13721-2023")</f>
        <v/>
      </c>
      <c r="W588">
        <f>HYPERLINK("https://klasma.github.io/Logging_0880/klagomålsmail/A 13721-2023 FSC-klagomål mail.docx", "A 13721-2023")</f>
        <v/>
      </c>
      <c r="X588">
        <f>HYPERLINK("https://klasma.github.io/Logging_0880/tillsyn/A 13721-2023 tillsynsbegäran.docx", "A 13721-2023")</f>
        <v/>
      </c>
      <c r="Y588">
        <f>HYPERLINK("https://klasma.github.io/Logging_0880/tillsynsmail/A 13721-2023 tillsynsbegäran mail.docx", "A 13721-2023")</f>
        <v/>
      </c>
    </row>
    <row r="589" ht="15" customHeight="1">
      <c r="A589" t="inlineStr">
        <is>
          <t>A 52211-2023</t>
        </is>
      </c>
      <c r="B589" s="1" t="n">
        <v>45224.44094907407</v>
      </c>
      <c r="C589" s="1" t="n">
        <v>45884</v>
      </c>
      <c r="D589" t="inlineStr">
        <is>
          <t>KALMAR LÄN</t>
        </is>
      </c>
      <c r="E589" t="inlineStr">
        <is>
          <t>OSKARSHAMN</t>
        </is>
      </c>
      <c r="G589" t="n">
        <v>4.1</v>
      </c>
      <c r="H589" t="n">
        <v>0</v>
      </c>
      <c r="I589" t="n">
        <v>0</v>
      </c>
      <c r="J589" t="n">
        <v>1</v>
      </c>
      <c r="K589" t="n">
        <v>0</v>
      </c>
      <c r="L589" t="n">
        <v>0</v>
      </c>
      <c r="M589" t="n">
        <v>0</v>
      </c>
      <c r="N589" t="n">
        <v>0</v>
      </c>
      <c r="O589" t="n">
        <v>1</v>
      </c>
      <c r="P589" t="n">
        <v>0</v>
      </c>
      <c r="Q589" t="n">
        <v>1</v>
      </c>
      <c r="R589" s="2" t="inlineStr">
        <is>
          <t>Kösa</t>
        </is>
      </c>
      <c r="S589">
        <f>HYPERLINK("https://klasma.github.io/Logging_0882/artfynd/A 52211-2023 artfynd.xlsx", "A 52211-2023")</f>
        <v/>
      </c>
      <c r="T589">
        <f>HYPERLINK("https://klasma.github.io/Logging_0882/kartor/A 52211-2023 karta.png", "A 52211-2023")</f>
        <v/>
      </c>
      <c r="V589">
        <f>HYPERLINK("https://klasma.github.io/Logging_0882/klagomål/A 52211-2023 FSC-klagomål.docx", "A 52211-2023")</f>
        <v/>
      </c>
      <c r="W589">
        <f>HYPERLINK("https://klasma.github.io/Logging_0882/klagomålsmail/A 52211-2023 FSC-klagomål mail.docx", "A 52211-2023")</f>
        <v/>
      </c>
      <c r="X589">
        <f>HYPERLINK("https://klasma.github.io/Logging_0882/tillsyn/A 52211-2023 tillsynsbegäran.docx", "A 52211-2023")</f>
        <v/>
      </c>
      <c r="Y589">
        <f>HYPERLINK("https://klasma.github.io/Logging_0882/tillsynsmail/A 52211-2023 tillsynsbegäran mail.docx", "A 52211-2023")</f>
        <v/>
      </c>
    </row>
    <row r="590" ht="15" customHeight="1">
      <c r="A590" t="inlineStr">
        <is>
          <t>A 1176-2024</t>
        </is>
      </c>
      <c r="B590" s="1" t="n">
        <v>45302</v>
      </c>
      <c r="C590" s="1" t="n">
        <v>45884</v>
      </c>
      <c r="D590" t="inlineStr">
        <is>
          <t>KALMAR LÄN</t>
        </is>
      </c>
      <c r="E590" t="inlineStr">
        <is>
          <t>VÄSTERVIK</t>
        </is>
      </c>
      <c r="G590" t="n">
        <v>2.5</v>
      </c>
      <c r="H590" t="n">
        <v>0</v>
      </c>
      <c r="I590" t="n">
        <v>0</v>
      </c>
      <c r="J590" t="n">
        <v>1</v>
      </c>
      <c r="K590" t="n">
        <v>0</v>
      </c>
      <c r="L590" t="n">
        <v>0</v>
      </c>
      <c r="M590" t="n">
        <v>0</v>
      </c>
      <c r="N590" t="n">
        <v>0</v>
      </c>
      <c r="O590" t="n">
        <v>1</v>
      </c>
      <c r="P590" t="n">
        <v>0</v>
      </c>
      <c r="Q590" t="n">
        <v>1</v>
      </c>
      <c r="R590" s="2" t="inlineStr">
        <is>
          <t>Tallticka</t>
        </is>
      </c>
      <c r="S590">
        <f>HYPERLINK("https://klasma.github.io/Logging_0883/artfynd/A 1176-2024 artfynd.xlsx", "A 1176-2024")</f>
        <v/>
      </c>
      <c r="T590">
        <f>HYPERLINK("https://klasma.github.io/Logging_0883/kartor/A 1176-2024 karta.png", "A 1176-2024")</f>
        <v/>
      </c>
      <c r="V590">
        <f>HYPERLINK("https://klasma.github.io/Logging_0883/klagomål/A 1176-2024 FSC-klagomål.docx", "A 1176-2024")</f>
        <v/>
      </c>
      <c r="W590">
        <f>HYPERLINK("https://klasma.github.io/Logging_0883/klagomålsmail/A 1176-2024 FSC-klagomål mail.docx", "A 1176-2024")</f>
        <v/>
      </c>
      <c r="X590">
        <f>HYPERLINK("https://klasma.github.io/Logging_0883/tillsyn/A 1176-2024 tillsynsbegäran.docx", "A 1176-2024")</f>
        <v/>
      </c>
      <c r="Y590">
        <f>HYPERLINK("https://klasma.github.io/Logging_0883/tillsynsmail/A 1176-2024 tillsynsbegäran mail.docx", "A 1176-2024")</f>
        <v/>
      </c>
    </row>
    <row r="591" ht="15" customHeight="1">
      <c r="A591" t="inlineStr">
        <is>
          <t>A 51587-2024</t>
        </is>
      </c>
      <c r="B591" s="1" t="n">
        <v>45604.64533564815</v>
      </c>
      <c r="C591" s="1" t="n">
        <v>45884</v>
      </c>
      <c r="D591" t="inlineStr">
        <is>
          <t>KALMAR LÄN</t>
        </is>
      </c>
      <c r="E591" t="inlineStr">
        <is>
          <t>HULTSFRED</t>
        </is>
      </c>
      <c r="G591" t="n">
        <v>4</v>
      </c>
      <c r="H591" t="n">
        <v>0</v>
      </c>
      <c r="I591" t="n">
        <v>0</v>
      </c>
      <c r="J591" t="n">
        <v>0</v>
      </c>
      <c r="K591" t="n">
        <v>0</v>
      </c>
      <c r="L591" t="n">
        <v>1</v>
      </c>
      <c r="M591" t="n">
        <v>0</v>
      </c>
      <c r="N591" t="n">
        <v>0</v>
      </c>
      <c r="O591" t="n">
        <v>1</v>
      </c>
      <c r="P591" t="n">
        <v>1</v>
      </c>
      <c r="Q591" t="n">
        <v>1</v>
      </c>
      <c r="R591" s="2" t="inlineStr">
        <is>
          <t>Ryl</t>
        </is>
      </c>
      <c r="S591">
        <f>HYPERLINK("https://klasma.github.io/Logging_0860/artfynd/A 51587-2024 artfynd.xlsx", "A 51587-2024")</f>
        <v/>
      </c>
      <c r="T591">
        <f>HYPERLINK("https://klasma.github.io/Logging_0860/kartor/A 51587-2024 karta.png", "A 51587-2024")</f>
        <v/>
      </c>
      <c r="V591">
        <f>HYPERLINK("https://klasma.github.io/Logging_0860/klagomål/A 51587-2024 FSC-klagomål.docx", "A 51587-2024")</f>
        <v/>
      </c>
      <c r="W591">
        <f>HYPERLINK("https://klasma.github.io/Logging_0860/klagomålsmail/A 51587-2024 FSC-klagomål mail.docx", "A 51587-2024")</f>
        <v/>
      </c>
      <c r="X591">
        <f>HYPERLINK("https://klasma.github.io/Logging_0860/tillsyn/A 51587-2024 tillsynsbegäran.docx", "A 51587-2024")</f>
        <v/>
      </c>
      <c r="Y591">
        <f>HYPERLINK("https://klasma.github.io/Logging_0860/tillsynsmail/A 51587-2024 tillsynsbegäran mail.docx", "A 51587-2024")</f>
        <v/>
      </c>
    </row>
    <row r="592" ht="15" customHeight="1">
      <c r="A592" t="inlineStr">
        <is>
          <t>A 3600-2025</t>
        </is>
      </c>
      <c r="B592" s="1" t="n">
        <v>45681.34420138889</v>
      </c>
      <c r="C592" s="1" t="n">
        <v>45884</v>
      </c>
      <c r="D592" t="inlineStr">
        <is>
          <t>KALMAR LÄN</t>
        </is>
      </c>
      <c r="E592" t="inlineStr">
        <is>
          <t>VÄSTERVIK</t>
        </is>
      </c>
      <c r="G592" t="n">
        <v>1</v>
      </c>
      <c r="H592" t="n">
        <v>1</v>
      </c>
      <c r="I592" t="n">
        <v>0</v>
      </c>
      <c r="J592" t="n">
        <v>1</v>
      </c>
      <c r="K592" t="n">
        <v>0</v>
      </c>
      <c r="L592" t="n">
        <v>0</v>
      </c>
      <c r="M592" t="n">
        <v>0</v>
      </c>
      <c r="N592" t="n">
        <v>0</v>
      </c>
      <c r="O592" t="n">
        <v>1</v>
      </c>
      <c r="P592" t="n">
        <v>0</v>
      </c>
      <c r="Q592" t="n">
        <v>1</v>
      </c>
      <c r="R592" s="2" t="inlineStr">
        <is>
          <t>Spillkråka</t>
        </is>
      </c>
      <c r="S592">
        <f>HYPERLINK("https://klasma.github.io/Logging_0883/artfynd/A 3600-2025 artfynd.xlsx", "A 3600-2025")</f>
        <v/>
      </c>
      <c r="T592">
        <f>HYPERLINK("https://klasma.github.io/Logging_0883/kartor/A 3600-2025 karta.png", "A 3600-2025")</f>
        <v/>
      </c>
      <c r="V592">
        <f>HYPERLINK("https://klasma.github.io/Logging_0883/klagomål/A 3600-2025 FSC-klagomål.docx", "A 3600-2025")</f>
        <v/>
      </c>
      <c r="W592">
        <f>HYPERLINK("https://klasma.github.io/Logging_0883/klagomålsmail/A 3600-2025 FSC-klagomål mail.docx", "A 3600-2025")</f>
        <v/>
      </c>
      <c r="X592">
        <f>HYPERLINK("https://klasma.github.io/Logging_0883/tillsyn/A 3600-2025 tillsynsbegäran.docx", "A 3600-2025")</f>
        <v/>
      </c>
      <c r="Y592">
        <f>HYPERLINK("https://klasma.github.io/Logging_0883/tillsynsmail/A 3600-2025 tillsynsbegäran mail.docx", "A 3600-2025")</f>
        <v/>
      </c>
      <c r="Z592">
        <f>HYPERLINK("https://klasma.github.io/Logging_0883/fåglar/A 3600-2025 prioriterade fågelarter.docx", "A 3600-2025")</f>
        <v/>
      </c>
    </row>
    <row r="593" ht="15" customHeight="1">
      <c r="A593" t="inlineStr">
        <is>
          <t>A 40256-2023</t>
        </is>
      </c>
      <c r="B593" s="1" t="n">
        <v>45169.50775462963</v>
      </c>
      <c r="C593" s="1" t="n">
        <v>45884</v>
      </c>
      <c r="D593" t="inlineStr">
        <is>
          <t>KALMAR LÄN</t>
        </is>
      </c>
      <c r="E593" t="inlineStr">
        <is>
          <t>HULTSFRED</t>
        </is>
      </c>
      <c r="G593" t="n">
        <v>2.2</v>
      </c>
      <c r="H593" t="n">
        <v>1</v>
      </c>
      <c r="I593" t="n">
        <v>0</v>
      </c>
      <c r="J593" t="n">
        <v>0</v>
      </c>
      <c r="K593" t="n">
        <v>1</v>
      </c>
      <c r="L593" t="n">
        <v>0</v>
      </c>
      <c r="M593" t="n">
        <v>0</v>
      </c>
      <c r="N593" t="n">
        <v>0</v>
      </c>
      <c r="O593" t="n">
        <v>1</v>
      </c>
      <c r="P593" t="n">
        <v>1</v>
      </c>
      <c r="Q593" t="n">
        <v>1</v>
      </c>
      <c r="R593" s="2" t="inlineStr">
        <is>
          <t>Tofsvipa</t>
        </is>
      </c>
      <c r="S593">
        <f>HYPERLINK("https://klasma.github.io/Logging_0860/artfynd/A 40256-2023 artfynd.xlsx", "A 40256-2023")</f>
        <v/>
      </c>
      <c r="T593">
        <f>HYPERLINK("https://klasma.github.io/Logging_0860/kartor/A 40256-2023 karta.png", "A 40256-2023")</f>
        <v/>
      </c>
      <c r="V593">
        <f>HYPERLINK("https://klasma.github.io/Logging_0860/klagomål/A 40256-2023 FSC-klagomål.docx", "A 40256-2023")</f>
        <v/>
      </c>
      <c r="W593">
        <f>HYPERLINK("https://klasma.github.io/Logging_0860/klagomålsmail/A 40256-2023 FSC-klagomål mail.docx", "A 40256-2023")</f>
        <v/>
      </c>
      <c r="X593">
        <f>HYPERLINK("https://klasma.github.io/Logging_0860/tillsyn/A 40256-2023 tillsynsbegäran.docx", "A 40256-2023")</f>
        <v/>
      </c>
      <c r="Y593">
        <f>HYPERLINK("https://klasma.github.io/Logging_0860/tillsynsmail/A 40256-2023 tillsynsbegäran mail.docx", "A 40256-2023")</f>
        <v/>
      </c>
    </row>
    <row r="594" ht="15" customHeight="1">
      <c r="A594" t="inlineStr">
        <is>
          <t>A 56439-2024</t>
        </is>
      </c>
      <c r="B594" s="1" t="n">
        <v>45625.4175</v>
      </c>
      <c r="C594" s="1" t="n">
        <v>45884</v>
      </c>
      <c r="D594" t="inlineStr">
        <is>
          <t>KALMAR LÄN</t>
        </is>
      </c>
      <c r="E594" t="inlineStr">
        <is>
          <t>VÄSTERVIK</t>
        </is>
      </c>
      <c r="F594" t="inlineStr">
        <is>
          <t>Övriga Aktiebolag</t>
        </is>
      </c>
      <c r="G594" t="n">
        <v>3.3</v>
      </c>
      <c r="H594" t="n">
        <v>0</v>
      </c>
      <c r="I594" t="n">
        <v>1</v>
      </c>
      <c r="J594" t="n">
        <v>0</v>
      </c>
      <c r="K594" t="n">
        <v>0</v>
      </c>
      <c r="L594" t="n">
        <v>0</v>
      </c>
      <c r="M594" t="n">
        <v>0</v>
      </c>
      <c r="N594" t="n">
        <v>0</v>
      </c>
      <c r="O594" t="n">
        <v>0</v>
      </c>
      <c r="P594" t="n">
        <v>0</v>
      </c>
      <c r="Q594" t="n">
        <v>1</v>
      </c>
      <c r="R594" s="2" t="inlineStr">
        <is>
          <t>Hasselticka</t>
        </is>
      </c>
      <c r="S594">
        <f>HYPERLINK("https://klasma.github.io/Logging_0883/artfynd/A 56439-2024 artfynd.xlsx", "A 56439-2024")</f>
        <v/>
      </c>
      <c r="T594">
        <f>HYPERLINK("https://klasma.github.io/Logging_0883/kartor/A 56439-2024 karta.png", "A 56439-2024")</f>
        <v/>
      </c>
      <c r="V594">
        <f>HYPERLINK("https://klasma.github.io/Logging_0883/klagomål/A 56439-2024 FSC-klagomål.docx", "A 56439-2024")</f>
        <v/>
      </c>
      <c r="W594">
        <f>HYPERLINK("https://klasma.github.io/Logging_0883/klagomålsmail/A 56439-2024 FSC-klagomål mail.docx", "A 56439-2024")</f>
        <v/>
      </c>
      <c r="X594">
        <f>HYPERLINK("https://klasma.github.io/Logging_0883/tillsyn/A 56439-2024 tillsynsbegäran.docx", "A 56439-2024")</f>
        <v/>
      </c>
      <c r="Y594">
        <f>HYPERLINK("https://klasma.github.io/Logging_0883/tillsynsmail/A 56439-2024 tillsynsbegäran mail.docx", "A 56439-2024")</f>
        <v/>
      </c>
    </row>
    <row r="595" ht="15" customHeight="1">
      <c r="A595" t="inlineStr">
        <is>
          <t>A 44078-2020</t>
        </is>
      </c>
      <c r="B595" s="1" t="n">
        <v>44083</v>
      </c>
      <c r="C595" s="1" t="n">
        <v>45884</v>
      </c>
      <c r="D595" t="inlineStr">
        <is>
          <t>KALMAR LÄN</t>
        </is>
      </c>
      <c r="E595" t="inlineStr">
        <is>
          <t>HÖGSBY</t>
        </is>
      </c>
      <c r="G595" t="n">
        <v>28.3</v>
      </c>
      <c r="H595" t="n">
        <v>1</v>
      </c>
      <c r="I595" t="n">
        <v>0</v>
      </c>
      <c r="J595" t="n">
        <v>0</v>
      </c>
      <c r="K595" t="n">
        <v>0</v>
      </c>
      <c r="L595" t="n">
        <v>0</v>
      </c>
      <c r="M595" t="n">
        <v>0</v>
      </c>
      <c r="N595" t="n">
        <v>0</v>
      </c>
      <c r="O595" t="n">
        <v>0</v>
      </c>
      <c r="P595" t="n">
        <v>0</v>
      </c>
      <c r="Q595" t="n">
        <v>1</v>
      </c>
      <c r="R595" s="2" t="inlineStr">
        <is>
          <t>Blåsippa</t>
        </is>
      </c>
      <c r="S595">
        <f>HYPERLINK("https://klasma.github.io/Logging_0821/artfynd/A 44078-2020 artfynd.xlsx", "A 44078-2020")</f>
        <v/>
      </c>
      <c r="T595">
        <f>HYPERLINK("https://klasma.github.io/Logging_0821/kartor/A 44078-2020 karta.png", "A 44078-2020")</f>
        <v/>
      </c>
      <c r="V595">
        <f>HYPERLINK("https://klasma.github.io/Logging_0821/klagomål/A 44078-2020 FSC-klagomål.docx", "A 44078-2020")</f>
        <v/>
      </c>
      <c r="W595">
        <f>HYPERLINK("https://klasma.github.io/Logging_0821/klagomålsmail/A 44078-2020 FSC-klagomål mail.docx", "A 44078-2020")</f>
        <v/>
      </c>
      <c r="X595">
        <f>HYPERLINK("https://klasma.github.io/Logging_0821/tillsyn/A 44078-2020 tillsynsbegäran.docx", "A 44078-2020")</f>
        <v/>
      </c>
      <c r="Y595">
        <f>HYPERLINK("https://klasma.github.io/Logging_0821/tillsynsmail/A 44078-2020 tillsynsbegäran mail.docx", "A 44078-2020")</f>
        <v/>
      </c>
    </row>
    <row r="596" ht="15" customHeight="1">
      <c r="A596" t="inlineStr">
        <is>
          <t>A 26274-2023</t>
        </is>
      </c>
      <c r="B596" s="1" t="n">
        <v>45091</v>
      </c>
      <c r="C596" s="1" t="n">
        <v>45884</v>
      </c>
      <c r="D596" t="inlineStr">
        <is>
          <t>KALMAR LÄN</t>
        </is>
      </c>
      <c r="E596" t="inlineStr">
        <is>
          <t>MÖNSTERÅS</t>
        </is>
      </c>
      <c r="G596" t="n">
        <v>2.1</v>
      </c>
      <c r="H596" t="n">
        <v>1</v>
      </c>
      <c r="I596" t="n">
        <v>0</v>
      </c>
      <c r="J596" t="n">
        <v>1</v>
      </c>
      <c r="K596" t="n">
        <v>0</v>
      </c>
      <c r="L596" t="n">
        <v>0</v>
      </c>
      <c r="M596" t="n">
        <v>0</v>
      </c>
      <c r="N596" t="n">
        <v>0</v>
      </c>
      <c r="O596" t="n">
        <v>1</v>
      </c>
      <c r="P596" t="n">
        <v>0</v>
      </c>
      <c r="Q596" t="n">
        <v>1</v>
      </c>
      <c r="R596" s="2" t="inlineStr">
        <is>
          <t>Havsörn</t>
        </is>
      </c>
      <c r="S596">
        <f>HYPERLINK("https://klasma.github.io/Logging_0861/artfynd/A 26274-2023 artfynd.xlsx", "A 26274-2023")</f>
        <v/>
      </c>
      <c r="T596">
        <f>HYPERLINK("https://klasma.github.io/Logging_0861/kartor/A 26274-2023 karta.png", "A 26274-2023")</f>
        <v/>
      </c>
      <c r="V596">
        <f>HYPERLINK("https://klasma.github.io/Logging_0861/klagomål/A 26274-2023 FSC-klagomål.docx", "A 26274-2023")</f>
        <v/>
      </c>
      <c r="W596">
        <f>HYPERLINK("https://klasma.github.io/Logging_0861/klagomålsmail/A 26274-2023 FSC-klagomål mail.docx", "A 26274-2023")</f>
        <v/>
      </c>
      <c r="X596">
        <f>HYPERLINK("https://klasma.github.io/Logging_0861/tillsyn/A 26274-2023 tillsynsbegäran.docx", "A 26274-2023")</f>
        <v/>
      </c>
      <c r="Y596">
        <f>HYPERLINK("https://klasma.github.io/Logging_0861/tillsynsmail/A 26274-2023 tillsynsbegäran mail.docx", "A 26274-2023")</f>
        <v/>
      </c>
      <c r="Z596">
        <f>HYPERLINK("https://klasma.github.io/Logging_0861/fåglar/A 26274-2023 prioriterade fågelarter.docx", "A 26274-2023")</f>
        <v/>
      </c>
    </row>
    <row r="597" ht="15" customHeight="1">
      <c r="A597" t="inlineStr">
        <is>
          <t>A 1024-2023</t>
        </is>
      </c>
      <c r="B597" s="1" t="n">
        <v>44935</v>
      </c>
      <c r="C597" s="1" t="n">
        <v>45884</v>
      </c>
      <c r="D597" t="inlineStr">
        <is>
          <t>KALMAR LÄN</t>
        </is>
      </c>
      <c r="E597" t="inlineStr">
        <is>
          <t>VÄSTERVIK</t>
        </is>
      </c>
      <c r="F597" t="inlineStr">
        <is>
          <t>Holmen skog AB</t>
        </is>
      </c>
      <c r="G597" t="n">
        <v>1.9</v>
      </c>
      <c r="H597" t="n">
        <v>0</v>
      </c>
      <c r="I597" t="n">
        <v>0</v>
      </c>
      <c r="J597" t="n">
        <v>1</v>
      </c>
      <c r="K597" t="n">
        <v>0</v>
      </c>
      <c r="L597" t="n">
        <v>0</v>
      </c>
      <c r="M597" t="n">
        <v>0</v>
      </c>
      <c r="N597" t="n">
        <v>0</v>
      </c>
      <c r="O597" t="n">
        <v>1</v>
      </c>
      <c r="P597" t="n">
        <v>0</v>
      </c>
      <c r="Q597" t="n">
        <v>1</v>
      </c>
      <c r="R597" s="2" t="inlineStr">
        <is>
          <t>Ekticka</t>
        </is>
      </c>
      <c r="S597">
        <f>HYPERLINK("https://klasma.github.io/Logging_0883/artfynd/A 1024-2023 artfynd.xlsx", "A 1024-2023")</f>
        <v/>
      </c>
      <c r="T597">
        <f>HYPERLINK("https://klasma.github.io/Logging_0883/kartor/A 1024-2023 karta.png", "A 1024-2023")</f>
        <v/>
      </c>
      <c r="V597">
        <f>HYPERLINK("https://klasma.github.io/Logging_0883/klagomål/A 1024-2023 FSC-klagomål.docx", "A 1024-2023")</f>
        <v/>
      </c>
      <c r="W597">
        <f>HYPERLINK("https://klasma.github.io/Logging_0883/klagomålsmail/A 1024-2023 FSC-klagomål mail.docx", "A 1024-2023")</f>
        <v/>
      </c>
      <c r="X597">
        <f>HYPERLINK("https://klasma.github.io/Logging_0883/tillsyn/A 1024-2023 tillsynsbegäran.docx", "A 1024-2023")</f>
        <v/>
      </c>
      <c r="Y597">
        <f>HYPERLINK("https://klasma.github.io/Logging_0883/tillsynsmail/A 1024-2023 tillsynsbegäran mail.docx", "A 1024-2023")</f>
        <v/>
      </c>
    </row>
    <row r="598" ht="15" customHeight="1">
      <c r="A598" t="inlineStr">
        <is>
          <t>A 10768-2025</t>
        </is>
      </c>
      <c r="B598" s="1" t="n">
        <v>45722.46649305556</v>
      </c>
      <c r="C598" s="1" t="n">
        <v>45884</v>
      </c>
      <c r="D598" t="inlineStr">
        <is>
          <t>KALMAR LÄN</t>
        </is>
      </c>
      <c r="E598" t="inlineStr">
        <is>
          <t>VÄSTERVIK</t>
        </is>
      </c>
      <c r="G598" t="n">
        <v>0.9</v>
      </c>
      <c r="H598" t="n">
        <v>1</v>
      </c>
      <c r="I598" t="n">
        <v>0</v>
      </c>
      <c r="J598" t="n">
        <v>1</v>
      </c>
      <c r="K598" t="n">
        <v>0</v>
      </c>
      <c r="L598" t="n">
        <v>0</v>
      </c>
      <c r="M598" t="n">
        <v>0</v>
      </c>
      <c r="N598" t="n">
        <v>0</v>
      </c>
      <c r="O598" t="n">
        <v>1</v>
      </c>
      <c r="P598" t="n">
        <v>0</v>
      </c>
      <c r="Q598" t="n">
        <v>1</v>
      </c>
      <c r="R598" s="2" t="inlineStr">
        <is>
          <t>Talltita</t>
        </is>
      </c>
      <c r="S598">
        <f>HYPERLINK("https://klasma.github.io/Logging_0883/artfynd/A 10768-2025 artfynd.xlsx", "A 10768-2025")</f>
        <v/>
      </c>
      <c r="T598">
        <f>HYPERLINK("https://klasma.github.io/Logging_0883/kartor/A 10768-2025 karta.png", "A 10768-2025")</f>
        <v/>
      </c>
      <c r="V598">
        <f>HYPERLINK("https://klasma.github.io/Logging_0883/klagomål/A 10768-2025 FSC-klagomål.docx", "A 10768-2025")</f>
        <v/>
      </c>
      <c r="W598">
        <f>HYPERLINK("https://klasma.github.io/Logging_0883/klagomålsmail/A 10768-2025 FSC-klagomål mail.docx", "A 10768-2025")</f>
        <v/>
      </c>
      <c r="X598">
        <f>HYPERLINK("https://klasma.github.io/Logging_0883/tillsyn/A 10768-2025 tillsynsbegäran.docx", "A 10768-2025")</f>
        <v/>
      </c>
      <c r="Y598">
        <f>HYPERLINK("https://klasma.github.io/Logging_0883/tillsynsmail/A 10768-2025 tillsynsbegäran mail.docx", "A 10768-2025")</f>
        <v/>
      </c>
      <c r="Z598">
        <f>HYPERLINK("https://klasma.github.io/Logging_0883/fåglar/A 10768-2025 prioriterade fågelarter.docx", "A 10768-2025")</f>
        <v/>
      </c>
    </row>
    <row r="599" ht="15" customHeight="1">
      <c r="A599" t="inlineStr">
        <is>
          <t>A 55299-2024</t>
        </is>
      </c>
      <c r="B599" s="1" t="n">
        <v>45621.64115740741</v>
      </c>
      <c r="C599" s="1" t="n">
        <v>45884</v>
      </c>
      <c r="D599" t="inlineStr">
        <is>
          <t>KALMAR LÄN</t>
        </is>
      </c>
      <c r="E599" t="inlineStr">
        <is>
          <t>NYBRO</t>
        </is>
      </c>
      <c r="F599" t="inlineStr">
        <is>
          <t>Sveaskog</t>
        </is>
      </c>
      <c r="G599" t="n">
        <v>2.1</v>
      </c>
      <c r="H599" t="n">
        <v>1</v>
      </c>
      <c r="I599" t="n">
        <v>0</v>
      </c>
      <c r="J599" t="n">
        <v>0</v>
      </c>
      <c r="K599" t="n">
        <v>0</v>
      </c>
      <c r="L599" t="n">
        <v>0</v>
      </c>
      <c r="M599" t="n">
        <v>0</v>
      </c>
      <c r="N599" t="n">
        <v>0</v>
      </c>
      <c r="O599" t="n">
        <v>0</v>
      </c>
      <c r="P599" t="n">
        <v>0</v>
      </c>
      <c r="Q599" t="n">
        <v>1</v>
      </c>
      <c r="R599" s="2" t="inlineStr">
        <is>
          <t>Sparvuggla</t>
        </is>
      </c>
      <c r="S599">
        <f>HYPERLINK("https://klasma.github.io/Logging_0881/artfynd/A 55299-2024 artfynd.xlsx", "A 55299-2024")</f>
        <v/>
      </c>
      <c r="T599">
        <f>HYPERLINK("https://klasma.github.io/Logging_0881/kartor/A 55299-2024 karta.png", "A 55299-2024")</f>
        <v/>
      </c>
      <c r="V599">
        <f>HYPERLINK("https://klasma.github.io/Logging_0881/klagomål/A 55299-2024 FSC-klagomål.docx", "A 55299-2024")</f>
        <v/>
      </c>
      <c r="W599">
        <f>HYPERLINK("https://klasma.github.io/Logging_0881/klagomålsmail/A 55299-2024 FSC-klagomål mail.docx", "A 55299-2024")</f>
        <v/>
      </c>
      <c r="X599">
        <f>HYPERLINK("https://klasma.github.io/Logging_0881/tillsyn/A 55299-2024 tillsynsbegäran.docx", "A 55299-2024")</f>
        <v/>
      </c>
      <c r="Y599">
        <f>HYPERLINK("https://klasma.github.io/Logging_0881/tillsynsmail/A 55299-2024 tillsynsbegäran mail.docx", "A 55299-2024")</f>
        <v/>
      </c>
      <c r="Z599">
        <f>HYPERLINK("https://klasma.github.io/Logging_0881/fåglar/A 55299-2024 prioriterade fågelarter.docx", "A 55299-2024")</f>
        <v/>
      </c>
    </row>
    <row r="600" ht="15" customHeight="1">
      <c r="A600" t="inlineStr">
        <is>
          <t>A 11609-2022</t>
        </is>
      </c>
      <c r="B600" s="1" t="n">
        <v>44631</v>
      </c>
      <c r="C600" s="1" t="n">
        <v>45884</v>
      </c>
      <c r="D600" t="inlineStr">
        <is>
          <t>KALMAR LÄN</t>
        </is>
      </c>
      <c r="E600" t="inlineStr">
        <is>
          <t>VÄSTERVIK</t>
        </is>
      </c>
      <c r="F600" t="inlineStr">
        <is>
          <t>Holmen skog AB</t>
        </is>
      </c>
      <c r="G600" t="n">
        <v>3.2</v>
      </c>
      <c r="H600" t="n">
        <v>0</v>
      </c>
      <c r="I600" t="n">
        <v>0</v>
      </c>
      <c r="J600" t="n">
        <v>1</v>
      </c>
      <c r="K600" t="n">
        <v>0</v>
      </c>
      <c r="L600" t="n">
        <v>0</v>
      </c>
      <c r="M600" t="n">
        <v>0</v>
      </c>
      <c r="N600" t="n">
        <v>0</v>
      </c>
      <c r="O600" t="n">
        <v>1</v>
      </c>
      <c r="P600" t="n">
        <v>0</v>
      </c>
      <c r="Q600" t="n">
        <v>1</v>
      </c>
      <c r="R600" s="2" t="inlineStr">
        <is>
          <t>Tallticka</t>
        </is>
      </c>
      <c r="S600">
        <f>HYPERLINK("https://klasma.github.io/Logging_0883/artfynd/A 11609-2022 artfynd.xlsx", "A 11609-2022")</f>
        <v/>
      </c>
      <c r="T600">
        <f>HYPERLINK("https://klasma.github.io/Logging_0883/kartor/A 11609-2022 karta.png", "A 11609-2022")</f>
        <v/>
      </c>
      <c r="U600">
        <f>HYPERLINK("https://klasma.github.io/Logging_0883/knärot/A 11609-2022 karta knärot.png", "A 11609-2022")</f>
        <v/>
      </c>
      <c r="V600">
        <f>HYPERLINK("https://klasma.github.io/Logging_0883/klagomål/A 11609-2022 FSC-klagomål.docx", "A 11609-2022")</f>
        <v/>
      </c>
      <c r="W600">
        <f>HYPERLINK("https://klasma.github.io/Logging_0883/klagomålsmail/A 11609-2022 FSC-klagomål mail.docx", "A 11609-2022")</f>
        <v/>
      </c>
      <c r="X600">
        <f>HYPERLINK("https://klasma.github.io/Logging_0883/tillsyn/A 11609-2022 tillsynsbegäran.docx", "A 11609-2022")</f>
        <v/>
      </c>
      <c r="Y600">
        <f>HYPERLINK("https://klasma.github.io/Logging_0883/tillsynsmail/A 11609-2022 tillsynsbegäran mail.docx", "A 11609-2022")</f>
        <v/>
      </c>
    </row>
    <row r="601" ht="15" customHeight="1">
      <c r="A601" t="inlineStr">
        <is>
          <t>A 60257-2021</t>
        </is>
      </c>
      <c r="B601" s="1" t="n">
        <v>44495</v>
      </c>
      <c r="C601" s="1" t="n">
        <v>45884</v>
      </c>
      <c r="D601" t="inlineStr">
        <is>
          <t>KALMAR LÄN</t>
        </is>
      </c>
      <c r="E601" t="inlineStr">
        <is>
          <t>EMMABODA</t>
        </is>
      </c>
      <c r="G601" t="n">
        <v>0.7</v>
      </c>
      <c r="H601" t="n">
        <v>1</v>
      </c>
      <c r="I601" t="n">
        <v>0</v>
      </c>
      <c r="J601" t="n">
        <v>0</v>
      </c>
      <c r="K601" t="n">
        <v>1</v>
      </c>
      <c r="L601" t="n">
        <v>0</v>
      </c>
      <c r="M601" t="n">
        <v>0</v>
      </c>
      <c r="N601" t="n">
        <v>0</v>
      </c>
      <c r="O601" t="n">
        <v>1</v>
      </c>
      <c r="P601" t="n">
        <v>1</v>
      </c>
      <c r="Q601" t="n">
        <v>1</v>
      </c>
      <c r="R601" s="2" t="inlineStr">
        <is>
          <t>Knärot</t>
        </is>
      </c>
      <c r="S601">
        <f>HYPERLINK("https://klasma.github.io/Logging_0862/artfynd/A 60257-2021 artfynd.xlsx", "A 60257-2021")</f>
        <v/>
      </c>
      <c r="T601">
        <f>HYPERLINK("https://klasma.github.io/Logging_0862/kartor/A 60257-2021 karta.png", "A 60257-2021")</f>
        <v/>
      </c>
      <c r="U601">
        <f>HYPERLINK("https://klasma.github.io/Logging_0862/knärot/A 60257-2021 karta knärot.png", "A 60257-2021")</f>
        <v/>
      </c>
      <c r="V601">
        <f>HYPERLINK("https://klasma.github.io/Logging_0862/klagomål/A 60257-2021 FSC-klagomål.docx", "A 60257-2021")</f>
        <v/>
      </c>
      <c r="W601">
        <f>HYPERLINK("https://klasma.github.io/Logging_0862/klagomålsmail/A 60257-2021 FSC-klagomål mail.docx", "A 60257-2021")</f>
        <v/>
      </c>
      <c r="X601">
        <f>HYPERLINK("https://klasma.github.io/Logging_0862/tillsyn/A 60257-2021 tillsynsbegäran.docx", "A 60257-2021")</f>
        <v/>
      </c>
      <c r="Y601">
        <f>HYPERLINK("https://klasma.github.io/Logging_0862/tillsynsmail/A 60257-2021 tillsynsbegäran mail.docx", "A 60257-2021")</f>
        <v/>
      </c>
    </row>
    <row r="602" ht="15" customHeight="1">
      <c r="A602" t="inlineStr">
        <is>
          <t>A 5575-2021</t>
        </is>
      </c>
      <c r="B602" s="1" t="n">
        <v>44230</v>
      </c>
      <c r="C602" s="1" t="n">
        <v>45884</v>
      </c>
      <c r="D602" t="inlineStr">
        <is>
          <t>KALMAR LÄN</t>
        </is>
      </c>
      <c r="E602" t="inlineStr">
        <is>
          <t>VÄSTERVIK</t>
        </is>
      </c>
      <c r="G602" t="n">
        <v>2.6</v>
      </c>
      <c r="H602" t="n">
        <v>1</v>
      </c>
      <c r="I602" t="n">
        <v>1</v>
      </c>
      <c r="J602" t="n">
        <v>0</v>
      </c>
      <c r="K602" t="n">
        <v>0</v>
      </c>
      <c r="L602" t="n">
        <v>0</v>
      </c>
      <c r="M602" t="n">
        <v>0</v>
      </c>
      <c r="N602" t="n">
        <v>0</v>
      </c>
      <c r="O602" t="n">
        <v>0</v>
      </c>
      <c r="P602" t="n">
        <v>0</v>
      </c>
      <c r="Q602" t="n">
        <v>1</v>
      </c>
      <c r="R602" s="2" t="inlineStr">
        <is>
          <t>Ekoxe</t>
        </is>
      </c>
      <c r="S602">
        <f>HYPERLINK("https://klasma.github.io/Logging_0883/artfynd/A 5575-2021 artfynd.xlsx", "A 5575-2021")</f>
        <v/>
      </c>
      <c r="T602">
        <f>HYPERLINK("https://klasma.github.io/Logging_0883/kartor/A 5575-2021 karta.png", "A 5575-2021")</f>
        <v/>
      </c>
      <c r="V602">
        <f>HYPERLINK("https://klasma.github.io/Logging_0883/klagomål/A 5575-2021 FSC-klagomål.docx", "A 5575-2021")</f>
        <v/>
      </c>
      <c r="W602">
        <f>HYPERLINK("https://klasma.github.io/Logging_0883/klagomålsmail/A 5575-2021 FSC-klagomål mail.docx", "A 5575-2021")</f>
        <v/>
      </c>
      <c r="X602">
        <f>HYPERLINK("https://klasma.github.io/Logging_0883/tillsyn/A 5575-2021 tillsynsbegäran.docx", "A 5575-2021")</f>
        <v/>
      </c>
      <c r="Y602">
        <f>HYPERLINK("https://klasma.github.io/Logging_0883/tillsynsmail/A 5575-2021 tillsynsbegäran mail.docx", "A 5575-2021")</f>
        <v/>
      </c>
    </row>
    <row r="603" ht="15" customHeight="1">
      <c r="A603" t="inlineStr">
        <is>
          <t>A 10037-2025</t>
        </is>
      </c>
      <c r="B603" s="1" t="n">
        <v>45719.50027777778</v>
      </c>
      <c r="C603" s="1" t="n">
        <v>45884</v>
      </c>
      <c r="D603" t="inlineStr">
        <is>
          <t>KALMAR LÄN</t>
        </is>
      </c>
      <c r="E603" t="inlineStr">
        <is>
          <t>KALMAR</t>
        </is>
      </c>
      <c r="F603" t="inlineStr">
        <is>
          <t>Sveaskog</t>
        </is>
      </c>
      <c r="G603" t="n">
        <v>4.8</v>
      </c>
      <c r="H603" t="n">
        <v>0</v>
      </c>
      <c r="I603" t="n">
        <v>1</v>
      </c>
      <c r="J603" t="n">
        <v>0</v>
      </c>
      <c r="K603" t="n">
        <v>0</v>
      </c>
      <c r="L603" t="n">
        <v>0</v>
      </c>
      <c r="M603" t="n">
        <v>0</v>
      </c>
      <c r="N603" t="n">
        <v>0</v>
      </c>
      <c r="O603" t="n">
        <v>0</v>
      </c>
      <c r="P603" t="n">
        <v>0</v>
      </c>
      <c r="Q603" t="n">
        <v>1</v>
      </c>
      <c r="R603" s="2" t="inlineStr">
        <is>
          <t>Blåmossa</t>
        </is>
      </c>
      <c r="S603">
        <f>HYPERLINK("https://klasma.github.io/Logging_0880/artfynd/A 10037-2025 artfynd.xlsx", "A 10037-2025")</f>
        <v/>
      </c>
      <c r="T603">
        <f>HYPERLINK("https://klasma.github.io/Logging_0880/kartor/A 10037-2025 karta.png", "A 10037-2025")</f>
        <v/>
      </c>
      <c r="V603">
        <f>HYPERLINK("https://klasma.github.io/Logging_0880/klagomål/A 10037-2025 FSC-klagomål.docx", "A 10037-2025")</f>
        <v/>
      </c>
      <c r="W603">
        <f>HYPERLINK("https://klasma.github.io/Logging_0880/klagomålsmail/A 10037-2025 FSC-klagomål mail.docx", "A 10037-2025")</f>
        <v/>
      </c>
      <c r="X603">
        <f>HYPERLINK("https://klasma.github.io/Logging_0880/tillsyn/A 10037-2025 tillsynsbegäran.docx", "A 10037-2025")</f>
        <v/>
      </c>
      <c r="Y603">
        <f>HYPERLINK("https://klasma.github.io/Logging_0880/tillsynsmail/A 10037-2025 tillsynsbegäran mail.docx", "A 10037-2025")</f>
        <v/>
      </c>
    </row>
    <row r="604" ht="15" customHeight="1">
      <c r="A604" t="inlineStr">
        <is>
          <t>A 51473-2024</t>
        </is>
      </c>
      <c r="B604" s="1" t="n">
        <v>45604.50471064815</v>
      </c>
      <c r="C604" s="1" t="n">
        <v>45884</v>
      </c>
      <c r="D604" t="inlineStr">
        <is>
          <t>KALMAR LÄN</t>
        </is>
      </c>
      <c r="E604" t="inlineStr">
        <is>
          <t>NYBRO</t>
        </is>
      </c>
      <c r="G604" t="n">
        <v>3.4</v>
      </c>
      <c r="H604" t="n">
        <v>1</v>
      </c>
      <c r="I604" t="n">
        <v>0</v>
      </c>
      <c r="J604" t="n">
        <v>0</v>
      </c>
      <c r="K604" t="n">
        <v>0</v>
      </c>
      <c r="L604" t="n">
        <v>0</v>
      </c>
      <c r="M604" t="n">
        <v>0</v>
      </c>
      <c r="N604" t="n">
        <v>0</v>
      </c>
      <c r="O604" t="n">
        <v>0</v>
      </c>
      <c r="P604" t="n">
        <v>0</v>
      </c>
      <c r="Q604" t="n">
        <v>1</v>
      </c>
      <c r="R604" s="2" t="inlineStr">
        <is>
          <t>Orre</t>
        </is>
      </c>
      <c r="S604">
        <f>HYPERLINK("https://klasma.github.io/Logging_0881/artfynd/A 51473-2024 artfynd.xlsx", "A 51473-2024")</f>
        <v/>
      </c>
      <c r="T604">
        <f>HYPERLINK("https://klasma.github.io/Logging_0881/kartor/A 51473-2024 karta.png", "A 51473-2024")</f>
        <v/>
      </c>
      <c r="V604">
        <f>HYPERLINK("https://klasma.github.io/Logging_0881/klagomål/A 51473-2024 FSC-klagomål.docx", "A 51473-2024")</f>
        <v/>
      </c>
      <c r="W604">
        <f>HYPERLINK("https://klasma.github.io/Logging_0881/klagomålsmail/A 51473-2024 FSC-klagomål mail.docx", "A 51473-2024")</f>
        <v/>
      </c>
      <c r="X604">
        <f>HYPERLINK("https://klasma.github.io/Logging_0881/tillsyn/A 51473-2024 tillsynsbegäran.docx", "A 51473-2024")</f>
        <v/>
      </c>
      <c r="Y604">
        <f>HYPERLINK("https://klasma.github.io/Logging_0881/tillsynsmail/A 51473-2024 tillsynsbegäran mail.docx", "A 51473-2024")</f>
        <v/>
      </c>
      <c r="Z604">
        <f>HYPERLINK("https://klasma.github.io/Logging_0881/fåglar/A 51473-2024 prioriterade fågelarter.docx", "A 51473-2024")</f>
        <v/>
      </c>
    </row>
    <row r="605" ht="15" customHeight="1">
      <c r="A605" t="inlineStr">
        <is>
          <t>A 47112-2023</t>
        </is>
      </c>
      <c r="B605" s="1" t="n">
        <v>45201</v>
      </c>
      <c r="C605" s="1" t="n">
        <v>45884</v>
      </c>
      <c r="D605" t="inlineStr">
        <is>
          <t>KALMAR LÄN</t>
        </is>
      </c>
      <c r="E605" t="inlineStr">
        <is>
          <t>VÄSTERVIK</t>
        </is>
      </c>
      <c r="G605" t="n">
        <v>1</v>
      </c>
      <c r="H605" t="n">
        <v>0</v>
      </c>
      <c r="I605" t="n">
        <v>0</v>
      </c>
      <c r="J605" t="n">
        <v>1</v>
      </c>
      <c r="K605" t="n">
        <v>0</v>
      </c>
      <c r="L605" t="n">
        <v>0</v>
      </c>
      <c r="M605" t="n">
        <v>0</v>
      </c>
      <c r="N605" t="n">
        <v>0</v>
      </c>
      <c r="O605" t="n">
        <v>1</v>
      </c>
      <c r="P605" t="n">
        <v>0</v>
      </c>
      <c r="Q605" t="n">
        <v>1</v>
      </c>
      <c r="R605" s="2" t="inlineStr">
        <is>
          <t>Tallticka</t>
        </is>
      </c>
      <c r="S605">
        <f>HYPERLINK("https://klasma.github.io/Logging_0883/artfynd/A 47112-2023 artfynd.xlsx", "A 47112-2023")</f>
        <v/>
      </c>
      <c r="T605">
        <f>HYPERLINK("https://klasma.github.io/Logging_0883/kartor/A 47112-2023 karta.png", "A 47112-2023")</f>
        <v/>
      </c>
      <c r="V605">
        <f>HYPERLINK("https://klasma.github.io/Logging_0883/klagomål/A 47112-2023 FSC-klagomål.docx", "A 47112-2023")</f>
        <v/>
      </c>
      <c r="W605">
        <f>HYPERLINK("https://klasma.github.io/Logging_0883/klagomålsmail/A 47112-2023 FSC-klagomål mail.docx", "A 47112-2023")</f>
        <v/>
      </c>
      <c r="X605">
        <f>HYPERLINK("https://klasma.github.io/Logging_0883/tillsyn/A 47112-2023 tillsynsbegäran.docx", "A 47112-2023")</f>
        <v/>
      </c>
      <c r="Y605">
        <f>HYPERLINK("https://klasma.github.io/Logging_0883/tillsynsmail/A 47112-2023 tillsynsbegäran mail.docx", "A 47112-2023")</f>
        <v/>
      </c>
    </row>
    <row r="606" ht="15" customHeight="1">
      <c r="A606" t="inlineStr">
        <is>
          <t>A 53125-2020</t>
        </is>
      </c>
      <c r="B606" s="1" t="n">
        <v>44120</v>
      </c>
      <c r="C606" s="1" t="n">
        <v>45884</v>
      </c>
      <c r="D606" t="inlineStr">
        <is>
          <t>KALMAR LÄN</t>
        </is>
      </c>
      <c r="E606" t="inlineStr">
        <is>
          <t>NYBRO</t>
        </is>
      </c>
      <c r="G606" t="n">
        <v>9.5</v>
      </c>
      <c r="H606" t="n">
        <v>0</v>
      </c>
      <c r="I606" t="n">
        <v>0</v>
      </c>
      <c r="J606" t="n">
        <v>0</v>
      </c>
      <c r="K606" t="n">
        <v>1</v>
      </c>
      <c r="L606" t="n">
        <v>0</v>
      </c>
      <c r="M606" t="n">
        <v>0</v>
      </c>
      <c r="N606" t="n">
        <v>0</v>
      </c>
      <c r="O606" t="n">
        <v>1</v>
      </c>
      <c r="P606" t="n">
        <v>1</v>
      </c>
      <c r="Q606" t="n">
        <v>1</v>
      </c>
      <c r="R606" s="2" t="inlineStr">
        <is>
          <t>Växeltandsfibbla</t>
        </is>
      </c>
      <c r="S606">
        <f>HYPERLINK("https://klasma.github.io/Logging_0881/artfynd/A 53125-2020 artfynd.xlsx", "A 53125-2020")</f>
        <v/>
      </c>
      <c r="T606">
        <f>HYPERLINK("https://klasma.github.io/Logging_0881/kartor/A 53125-2020 karta.png", "A 53125-2020")</f>
        <v/>
      </c>
      <c r="V606">
        <f>HYPERLINK("https://klasma.github.io/Logging_0881/klagomål/A 53125-2020 FSC-klagomål.docx", "A 53125-2020")</f>
        <v/>
      </c>
      <c r="W606">
        <f>HYPERLINK("https://klasma.github.io/Logging_0881/klagomålsmail/A 53125-2020 FSC-klagomål mail.docx", "A 53125-2020")</f>
        <v/>
      </c>
      <c r="X606">
        <f>HYPERLINK("https://klasma.github.io/Logging_0881/tillsyn/A 53125-2020 tillsynsbegäran.docx", "A 53125-2020")</f>
        <v/>
      </c>
      <c r="Y606">
        <f>HYPERLINK("https://klasma.github.io/Logging_0881/tillsynsmail/A 53125-2020 tillsynsbegäran mail.docx", "A 53125-2020")</f>
        <v/>
      </c>
    </row>
    <row r="607" ht="15" customHeight="1">
      <c r="A607" t="inlineStr">
        <is>
          <t>A 61236-2022</t>
        </is>
      </c>
      <c r="B607" s="1" t="n">
        <v>44915</v>
      </c>
      <c r="C607" s="1" t="n">
        <v>45884</v>
      </c>
      <c r="D607" t="inlineStr">
        <is>
          <t>KALMAR LÄN</t>
        </is>
      </c>
      <c r="E607" t="inlineStr">
        <is>
          <t>KALMAR</t>
        </is>
      </c>
      <c r="G607" t="n">
        <v>1.4</v>
      </c>
      <c r="H607" t="n">
        <v>0</v>
      </c>
      <c r="I607" t="n">
        <v>1</v>
      </c>
      <c r="J607" t="n">
        <v>0</v>
      </c>
      <c r="K607" t="n">
        <v>0</v>
      </c>
      <c r="L607" t="n">
        <v>0</v>
      </c>
      <c r="M607" t="n">
        <v>0</v>
      </c>
      <c r="N607" t="n">
        <v>0</v>
      </c>
      <c r="O607" t="n">
        <v>0</v>
      </c>
      <c r="P607" t="n">
        <v>0</v>
      </c>
      <c r="Q607" t="n">
        <v>1</v>
      </c>
      <c r="R607" s="2" t="inlineStr">
        <is>
          <t>Murgröna</t>
        </is>
      </c>
      <c r="S607">
        <f>HYPERLINK("https://klasma.github.io/Logging_0880/artfynd/A 61236-2022 artfynd.xlsx", "A 61236-2022")</f>
        <v/>
      </c>
      <c r="T607">
        <f>HYPERLINK("https://klasma.github.io/Logging_0880/kartor/A 61236-2022 karta.png", "A 61236-2022")</f>
        <v/>
      </c>
      <c r="V607">
        <f>HYPERLINK("https://klasma.github.io/Logging_0880/klagomål/A 61236-2022 FSC-klagomål.docx", "A 61236-2022")</f>
        <v/>
      </c>
      <c r="W607">
        <f>HYPERLINK("https://klasma.github.io/Logging_0880/klagomålsmail/A 61236-2022 FSC-klagomål mail.docx", "A 61236-2022")</f>
        <v/>
      </c>
      <c r="X607">
        <f>HYPERLINK("https://klasma.github.io/Logging_0880/tillsyn/A 61236-2022 tillsynsbegäran.docx", "A 61236-2022")</f>
        <v/>
      </c>
      <c r="Y607">
        <f>HYPERLINK("https://klasma.github.io/Logging_0880/tillsynsmail/A 61236-2022 tillsynsbegäran mail.docx", "A 61236-2022")</f>
        <v/>
      </c>
    </row>
    <row r="608" ht="15" customHeight="1">
      <c r="A608" t="inlineStr">
        <is>
          <t>A 24704-2023</t>
        </is>
      </c>
      <c r="B608" s="1" t="n">
        <v>45084</v>
      </c>
      <c r="C608" s="1" t="n">
        <v>45884</v>
      </c>
      <c r="D608" t="inlineStr">
        <is>
          <t>KALMAR LÄN</t>
        </is>
      </c>
      <c r="E608" t="inlineStr">
        <is>
          <t>BORGHOLM</t>
        </is>
      </c>
      <c r="G608" t="n">
        <v>3.5</v>
      </c>
      <c r="H608" t="n">
        <v>0</v>
      </c>
      <c r="I608" t="n">
        <v>0</v>
      </c>
      <c r="J608" t="n">
        <v>0</v>
      </c>
      <c r="K608" t="n">
        <v>0</v>
      </c>
      <c r="L608" t="n">
        <v>1</v>
      </c>
      <c r="M608" t="n">
        <v>0</v>
      </c>
      <c r="N608" t="n">
        <v>0</v>
      </c>
      <c r="O608" t="n">
        <v>1</v>
      </c>
      <c r="P608" t="n">
        <v>1</v>
      </c>
      <c r="Q608" t="n">
        <v>1</v>
      </c>
      <c r="R608" s="2" t="inlineStr">
        <is>
          <t>Ask</t>
        </is>
      </c>
      <c r="S608">
        <f>HYPERLINK("https://klasma.github.io/Logging_0885/artfynd/A 24704-2023 artfynd.xlsx", "A 24704-2023")</f>
        <v/>
      </c>
      <c r="T608">
        <f>HYPERLINK("https://klasma.github.io/Logging_0885/kartor/A 24704-2023 karta.png", "A 24704-2023")</f>
        <v/>
      </c>
      <c r="V608">
        <f>HYPERLINK("https://klasma.github.io/Logging_0885/klagomål/A 24704-2023 FSC-klagomål.docx", "A 24704-2023")</f>
        <v/>
      </c>
      <c r="W608">
        <f>HYPERLINK("https://klasma.github.io/Logging_0885/klagomålsmail/A 24704-2023 FSC-klagomål mail.docx", "A 24704-2023")</f>
        <v/>
      </c>
      <c r="X608">
        <f>HYPERLINK("https://klasma.github.io/Logging_0885/tillsyn/A 24704-2023 tillsynsbegäran.docx", "A 24704-2023")</f>
        <v/>
      </c>
      <c r="Y608">
        <f>HYPERLINK("https://klasma.github.io/Logging_0885/tillsynsmail/A 24704-2023 tillsynsbegäran mail.docx", "A 24704-2023")</f>
        <v/>
      </c>
    </row>
    <row r="609" ht="15" customHeight="1">
      <c r="A609" t="inlineStr">
        <is>
          <t>A 46556-2022</t>
        </is>
      </c>
      <c r="B609" s="1" t="n">
        <v>44848</v>
      </c>
      <c r="C609" s="1" t="n">
        <v>45884</v>
      </c>
      <c r="D609" t="inlineStr">
        <is>
          <t>KALMAR LÄN</t>
        </is>
      </c>
      <c r="E609" t="inlineStr">
        <is>
          <t>VÄSTERVIK</t>
        </is>
      </c>
      <c r="F609" t="inlineStr">
        <is>
          <t>Sveaskog</t>
        </is>
      </c>
      <c r="G609" t="n">
        <v>1.5</v>
      </c>
      <c r="H609" t="n">
        <v>0</v>
      </c>
      <c r="I609" t="n">
        <v>1</v>
      </c>
      <c r="J609" t="n">
        <v>0</v>
      </c>
      <c r="K609" t="n">
        <v>0</v>
      </c>
      <c r="L609" t="n">
        <v>0</v>
      </c>
      <c r="M609" t="n">
        <v>0</v>
      </c>
      <c r="N609" t="n">
        <v>0</v>
      </c>
      <c r="O609" t="n">
        <v>0</v>
      </c>
      <c r="P609" t="n">
        <v>0</v>
      </c>
      <c r="Q609" t="n">
        <v>1</v>
      </c>
      <c r="R609" s="2" t="inlineStr">
        <is>
          <t>Fjällig taggsvamp s.str.</t>
        </is>
      </c>
      <c r="S609">
        <f>HYPERLINK("https://klasma.github.io/Logging_0883/artfynd/A 46556-2022 artfynd.xlsx", "A 46556-2022")</f>
        <v/>
      </c>
      <c r="T609">
        <f>HYPERLINK("https://klasma.github.io/Logging_0883/kartor/A 46556-2022 karta.png", "A 46556-2022")</f>
        <v/>
      </c>
      <c r="V609">
        <f>HYPERLINK("https://klasma.github.io/Logging_0883/klagomål/A 46556-2022 FSC-klagomål.docx", "A 46556-2022")</f>
        <v/>
      </c>
      <c r="W609">
        <f>HYPERLINK("https://klasma.github.io/Logging_0883/klagomålsmail/A 46556-2022 FSC-klagomål mail.docx", "A 46556-2022")</f>
        <v/>
      </c>
      <c r="X609">
        <f>HYPERLINK("https://klasma.github.io/Logging_0883/tillsyn/A 46556-2022 tillsynsbegäran.docx", "A 46556-2022")</f>
        <v/>
      </c>
      <c r="Y609">
        <f>HYPERLINK("https://klasma.github.io/Logging_0883/tillsynsmail/A 46556-2022 tillsynsbegäran mail.docx", "A 46556-2022")</f>
        <v/>
      </c>
    </row>
    <row r="610" ht="15" customHeight="1">
      <c r="A610" t="inlineStr">
        <is>
          <t>A 35155-2024</t>
        </is>
      </c>
      <c r="B610" s="1" t="n">
        <v>45530.38290509259</v>
      </c>
      <c r="C610" s="1" t="n">
        <v>45884</v>
      </c>
      <c r="D610" t="inlineStr">
        <is>
          <t>KALMAR LÄN</t>
        </is>
      </c>
      <c r="E610" t="inlineStr">
        <is>
          <t>OSKARSHAMN</t>
        </is>
      </c>
      <c r="F610" t="inlineStr">
        <is>
          <t>Sveaskog</t>
        </is>
      </c>
      <c r="G610" t="n">
        <v>7</v>
      </c>
      <c r="H610" t="n">
        <v>0</v>
      </c>
      <c r="I610" t="n">
        <v>0</v>
      </c>
      <c r="J610" t="n">
        <v>1</v>
      </c>
      <c r="K610" t="n">
        <v>0</v>
      </c>
      <c r="L610" t="n">
        <v>0</v>
      </c>
      <c r="M610" t="n">
        <v>0</v>
      </c>
      <c r="N610" t="n">
        <v>0</v>
      </c>
      <c r="O610" t="n">
        <v>1</v>
      </c>
      <c r="P610" t="n">
        <v>0</v>
      </c>
      <c r="Q610" t="n">
        <v>1</v>
      </c>
      <c r="R610" s="2" t="inlineStr">
        <is>
          <t>Slåtterfibbla</t>
        </is>
      </c>
      <c r="S610">
        <f>HYPERLINK("https://klasma.github.io/Logging_0882/artfynd/A 35155-2024 artfynd.xlsx", "A 35155-2024")</f>
        <v/>
      </c>
      <c r="T610">
        <f>HYPERLINK("https://klasma.github.io/Logging_0882/kartor/A 35155-2024 karta.png", "A 35155-2024")</f>
        <v/>
      </c>
      <c r="V610">
        <f>HYPERLINK("https://klasma.github.io/Logging_0882/klagomål/A 35155-2024 FSC-klagomål.docx", "A 35155-2024")</f>
        <v/>
      </c>
      <c r="W610">
        <f>HYPERLINK("https://klasma.github.io/Logging_0882/klagomålsmail/A 35155-2024 FSC-klagomål mail.docx", "A 35155-2024")</f>
        <v/>
      </c>
      <c r="X610">
        <f>HYPERLINK("https://klasma.github.io/Logging_0882/tillsyn/A 35155-2024 tillsynsbegäran.docx", "A 35155-2024")</f>
        <v/>
      </c>
      <c r="Y610">
        <f>HYPERLINK("https://klasma.github.io/Logging_0882/tillsynsmail/A 35155-2024 tillsynsbegäran mail.docx", "A 35155-2024")</f>
        <v/>
      </c>
    </row>
    <row r="611" ht="15" customHeight="1">
      <c r="A611" t="inlineStr">
        <is>
          <t>A 35075-2023</t>
        </is>
      </c>
      <c r="B611" s="1" t="n">
        <v>45145</v>
      </c>
      <c r="C611" s="1" t="n">
        <v>45884</v>
      </c>
      <c r="D611" t="inlineStr">
        <is>
          <t>KALMAR LÄN</t>
        </is>
      </c>
      <c r="E611" t="inlineStr">
        <is>
          <t>HÖGSBY</t>
        </is>
      </c>
      <c r="G611" t="n">
        <v>0.7</v>
      </c>
      <c r="H611" t="n">
        <v>1</v>
      </c>
      <c r="I611" t="n">
        <v>0</v>
      </c>
      <c r="J611" t="n">
        <v>0</v>
      </c>
      <c r="K611" t="n">
        <v>0</v>
      </c>
      <c r="L611" t="n">
        <v>0</v>
      </c>
      <c r="M611" t="n">
        <v>0</v>
      </c>
      <c r="N611" t="n">
        <v>0</v>
      </c>
      <c r="O611" t="n">
        <v>0</v>
      </c>
      <c r="P611" t="n">
        <v>0</v>
      </c>
      <c r="Q611" t="n">
        <v>1</v>
      </c>
      <c r="R611" s="2" t="inlineStr">
        <is>
          <t>Blåsippa</t>
        </is>
      </c>
      <c r="S611">
        <f>HYPERLINK("https://klasma.github.io/Logging_0821/artfynd/A 35075-2023 artfynd.xlsx", "A 35075-2023")</f>
        <v/>
      </c>
      <c r="T611">
        <f>HYPERLINK("https://klasma.github.io/Logging_0821/kartor/A 35075-2023 karta.png", "A 35075-2023")</f>
        <v/>
      </c>
      <c r="V611">
        <f>HYPERLINK("https://klasma.github.io/Logging_0821/klagomål/A 35075-2023 FSC-klagomål.docx", "A 35075-2023")</f>
        <v/>
      </c>
      <c r="W611">
        <f>HYPERLINK("https://klasma.github.io/Logging_0821/klagomålsmail/A 35075-2023 FSC-klagomål mail.docx", "A 35075-2023")</f>
        <v/>
      </c>
      <c r="X611">
        <f>HYPERLINK("https://klasma.github.io/Logging_0821/tillsyn/A 35075-2023 tillsynsbegäran.docx", "A 35075-2023")</f>
        <v/>
      </c>
      <c r="Y611">
        <f>HYPERLINK("https://klasma.github.io/Logging_0821/tillsynsmail/A 35075-2023 tillsynsbegäran mail.docx", "A 35075-2023")</f>
        <v/>
      </c>
    </row>
    <row r="612" ht="15" customHeight="1">
      <c r="A612" t="inlineStr">
        <is>
          <t>A 15173-2024</t>
        </is>
      </c>
      <c r="B612" s="1" t="n">
        <v>45400</v>
      </c>
      <c r="C612" s="1" t="n">
        <v>45884</v>
      </c>
      <c r="D612" t="inlineStr">
        <is>
          <t>KALMAR LÄN</t>
        </is>
      </c>
      <c r="E612" t="inlineStr">
        <is>
          <t>HULTSFRED</t>
        </is>
      </c>
      <c r="G612" t="n">
        <v>1.7</v>
      </c>
      <c r="H612" t="n">
        <v>1</v>
      </c>
      <c r="I612" t="n">
        <v>0</v>
      </c>
      <c r="J612" t="n">
        <v>0</v>
      </c>
      <c r="K612" t="n">
        <v>0</v>
      </c>
      <c r="L612" t="n">
        <v>0</v>
      </c>
      <c r="M612" t="n">
        <v>0</v>
      </c>
      <c r="N612" t="n">
        <v>0</v>
      </c>
      <c r="O612" t="n">
        <v>0</v>
      </c>
      <c r="P612" t="n">
        <v>0</v>
      </c>
      <c r="Q612" t="n">
        <v>1</v>
      </c>
      <c r="R612" s="2" t="inlineStr">
        <is>
          <t>Vanlig groda</t>
        </is>
      </c>
      <c r="S612">
        <f>HYPERLINK("https://klasma.github.io/Logging_0860/artfynd/A 15173-2024 artfynd.xlsx", "A 15173-2024")</f>
        <v/>
      </c>
      <c r="T612">
        <f>HYPERLINK("https://klasma.github.io/Logging_0860/kartor/A 15173-2024 karta.png", "A 15173-2024")</f>
        <v/>
      </c>
      <c r="V612">
        <f>HYPERLINK("https://klasma.github.io/Logging_0860/klagomål/A 15173-2024 FSC-klagomål.docx", "A 15173-2024")</f>
        <v/>
      </c>
      <c r="W612">
        <f>HYPERLINK("https://klasma.github.io/Logging_0860/klagomålsmail/A 15173-2024 FSC-klagomål mail.docx", "A 15173-2024")</f>
        <v/>
      </c>
      <c r="X612">
        <f>HYPERLINK("https://klasma.github.io/Logging_0860/tillsyn/A 15173-2024 tillsynsbegäran.docx", "A 15173-2024")</f>
        <v/>
      </c>
      <c r="Y612">
        <f>HYPERLINK("https://klasma.github.io/Logging_0860/tillsynsmail/A 15173-2024 tillsynsbegäran mail.docx", "A 15173-2024")</f>
        <v/>
      </c>
    </row>
    <row r="613" ht="15" customHeight="1">
      <c r="A613" t="inlineStr">
        <is>
          <t>A 23602-2023</t>
        </is>
      </c>
      <c r="B613" s="1" t="n">
        <v>45077</v>
      </c>
      <c r="C613" s="1" t="n">
        <v>45884</v>
      </c>
      <c r="D613" t="inlineStr">
        <is>
          <t>KALMAR LÄN</t>
        </is>
      </c>
      <c r="E613" t="inlineStr">
        <is>
          <t>VIMMERBY</t>
        </is>
      </c>
      <c r="G613" t="n">
        <v>1.6</v>
      </c>
      <c r="H613" t="n">
        <v>0</v>
      </c>
      <c r="I613" t="n">
        <v>0</v>
      </c>
      <c r="J613" t="n">
        <v>1</v>
      </c>
      <c r="K613" t="n">
        <v>0</v>
      </c>
      <c r="L613" t="n">
        <v>0</v>
      </c>
      <c r="M613" t="n">
        <v>0</v>
      </c>
      <c r="N613" t="n">
        <v>0</v>
      </c>
      <c r="O613" t="n">
        <v>1</v>
      </c>
      <c r="P613" t="n">
        <v>0</v>
      </c>
      <c r="Q613" t="n">
        <v>1</v>
      </c>
      <c r="R613" s="2" t="inlineStr">
        <is>
          <t>Vedtrappmossa</t>
        </is>
      </c>
      <c r="S613">
        <f>HYPERLINK("https://klasma.github.io/Logging_0884/artfynd/A 23602-2023 artfynd.xlsx", "A 23602-2023")</f>
        <v/>
      </c>
      <c r="T613">
        <f>HYPERLINK("https://klasma.github.io/Logging_0884/kartor/A 23602-2023 karta.png", "A 23602-2023")</f>
        <v/>
      </c>
      <c r="V613">
        <f>HYPERLINK("https://klasma.github.io/Logging_0884/klagomål/A 23602-2023 FSC-klagomål.docx", "A 23602-2023")</f>
        <v/>
      </c>
      <c r="W613">
        <f>HYPERLINK("https://klasma.github.io/Logging_0884/klagomålsmail/A 23602-2023 FSC-klagomål mail.docx", "A 23602-2023")</f>
        <v/>
      </c>
      <c r="X613">
        <f>HYPERLINK("https://klasma.github.io/Logging_0884/tillsyn/A 23602-2023 tillsynsbegäran.docx", "A 23602-2023")</f>
        <v/>
      </c>
      <c r="Y613">
        <f>HYPERLINK("https://klasma.github.io/Logging_0884/tillsynsmail/A 23602-2023 tillsynsbegäran mail.docx", "A 23602-2023")</f>
        <v/>
      </c>
    </row>
    <row r="614" ht="15" customHeight="1">
      <c r="A614" t="inlineStr">
        <is>
          <t>A 12785-2021</t>
        </is>
      </c>
      <c r="B614" s="1" t="n">
        <v>44270</v>
      </c>
      <c r="C614" s="1" t="n">
        <v>45884</v>
      </c>
      <c r="D614" t="inlineStr">
        <is>
          <t>KALMAR LÄN</t>
        </is>
      </c>
      <c r="E614" t="inlineStr">
        <is>
          <t>BORGHOLM</t>
        </is>
      </c>
      <c r="G614" t="n">
        <v>1.2</v>
      </c>
      <c r="H614" t="n">
        <v>0</v>
      </c>
      <c r="I614" t="n">
        <v>0</v>
      </c>
      <c r="J614" t="n">
        <v>0</v>
      </c>
      <c r="K614" t="n">
        <v>0</v>
      </c>
      <c r="L614" t="n">
        <v>1</v>
      </c>
      <c r="M614" t="n">
        <v>0</v>
      </c>
      <c r="N614" t="n">
        <v>0</v>
      </c>
      <c r="O614" t="n">
        <v>1</v>
      </c>
      <c r="P614" t="n">
        <v>1</v>
      </c>
      <c r="Q614" t="n">
        <v>1</v>
      </c>
      <c r="R614" s="2" t="inlineStr">
        <is>
          <t>Ask</t>
        </is>
      </c>
      <c r="S614">
        <f>HYPERLINK("https://klasma.github.io/Logging_0885/artfynd/A 12785-2021 artfynd.xlsx", "A 12785-2021")</f>
        <v/>
      </c>
      <c r="T614">
        <f>HYPERLINK("https://klasma.github.io/Logging_0885/kartor/A 12785-2021 karta.png", "A 12785-2021")</f>
        <v/>
      </c>
      <c r="V614">
        <f>HYPERLINK("https://klasma.github.io/Logging_0885/klagomål/A 12785-2021 FSC-klagomål.docx", "A 12785-2021")</f>
        <v/>
      </c>
      <c r="W614">
        <f>HYPERLINK("https://klasma.github.io/Logging_0885/klagomålsmail/A 12785-2021 FSC-klagomål mail.docx", "A 12785-2021")</f>
        <v/>
      </c>
      <c r="X614">
        <f>HYPERLINK("https://klasma.github.io/Logging_0885/tillsyn/A 12785-2021 tillsynsbegäran.docx", "A 12785-2021")</f>
        <v/>
      </c>
      <c r="Y614">
        <f>HYPERLINK("https://klasma.github.io/Logging_0885/tillsynsmail/A 12785-2021 tillsynsbegäran mail.docx", "A 12785-2021")</f>
        <v/>
      </c>
    </row>
    <row r="615" ht="15" customHeight="1">
      <c r="A615" t="inlineStr">
        <is>
          <t>A 9571-2025</t>
        </is>
      </c>
      <c r="B615" s="1" t="n">
        <v>45715.61996527778</v>
      </c>
      <c r="C615" s="1" t="n">
        <v>45884</v>
      </c>
      <c r="D615" t="inlineStr">
        <is>
          <t>KALMAR LÄN</t>
        </is>
      </c>
      <c r="E615" t="inlineStr">
        <is>
          <t>VÄSTERVIK</t>
        </is>
      </c>
      <c r="G615" t="n">
        <v>12</v>
      </c>
      <c r="H615" t="n">
        <v>1</v>
      </c>
      <c r="I615" t="n">
        <v>0</v>
      </c>
      <c r="J615" t="n">
        <v>0</v>
      </c>
      <c r="K615" t="n">
        <v>0</v>
      </c>
      <c r="L615" t="n">
        <v>0</v>
      </c>
      <c r="M615" t="n">
        <v>0</v>
      </c>
      <c r="N615" t="n">
        <v>0</v>
      </c>
      <c r="O615" t="n">
        <v>0</v>
      </c>
      <c r="P615" t="n">
        <v>0</v>
      </c>
      <c r="Q615" t="n">
        <v>1</v>
      </c>
      <c r="R615" s="2" t="inlineStr">
        <is>
          <t>Revlummer</t>
        </is>
      </c>
      <c r="S615">
        <f>HYPERLINK("https://klasma.github.io/Logging_0883/artfynd/A 9571-2025 artfynd.xlsx", "A 9571-2025")</f>
        <v/>
      </c>
      <c r="T615">
        <f>HYPERLINK("https://klasma.github.io/Logging_0883/kartor/A 9571-2025 karta.png", "A 9571-2025")</f>
        <v/>
      </c>
      <c r="V615">
        <f>HYPERLINK("https://klasma.github.io/Logging_0883/klagomål/A 9571-2025 FSC-klagomål.docx", "A 9571-2025")</f>
        <v/>
      </c>
      <c r="W615">
        <f>HYPERLINK("https://klasma.github.io/Logging_0883/klagomålsmail/A 9571-2025 FSC-klagomål mail.docx", "A 9571-2025")</f>
        <v/>
      </c>
      <c r="X615">
        <f>HYPERLINK("https://klasma.github.io/Logging_0883/tillsyn/A 9571-2025 tillsynsbegäran.docx", "A 9571-2025")</f>
        <v/>
      </c>
      <c r="Y615">
        <f>HYPERLINK("https://klasma.github.io/Logging_0883/tillsynsmail/A 9571-2025 tillsynsbegäran mail.docx", "A 9571-2025")</f>
        <v/>
      </c>
    </row>
    <row r="616" ht="15" customHeight="1">
      <c r="A616" t="inlineStr">
        <is>
          <t>A 31315-2021</t>
        </is>
      </c>
      <c r="B616" s="1" t="n">
        <v>44368</v>
      </c>
      <c r="C616" s="1" t="n">
        <v>45884</v>
      </c>
      <c r="D616" t="inlineStr">
        <is>
          <t>KALMAR LÄN</t>
        </is>
      </c>
      <c r="E616" t="inlineStr">
        <is>
          <t>VÄSTERVIK</t>
        </is>
      </c>
      <c r="G616" t="n">
        <v>3.3</v>
      </c>
      <c r="H616" t="n">
        <v>1</v>
      </c>
      <c r="I616" t="n">
        <v>0</v>
      </c>
      <c r="J616" t="n">
        <v>0</v>
      </c>
      <c r="K616" t="n">
        <v>1</v>
      </c>
      <c r="L616" t="n">
        <v>0</v>
      </c>
      <c r="M616" t="n">
        <v>0</v>
      </c>
      <c r="N616" t="n">
        <v>0</v>
      </c>
      <c r="O616" t="n">
        <v>1</v>
      </c>
      <c r="P616" t="n">
        <v>1</v>
      </c>
      <c r="Q616" t="n">
        <v>1</v>
      </c>
      <c r="R616" s="2" t="inlineStr">
        <is>
          <t>Knärot</t>
        </is>
      </c>
      <c r="S616">
        <f>HYPERLINK("https://klasma.github.io/Logging_0883/artfynd/A 31315-2021 artfynd.xlsx", "A 31315-2021")</f>
        <v/>
      </c>
      <c r="T616">
        <f>HYPERLINK("https://klasma.github.io/Logging_0883/kartor/A 31315-2021 karta.png", "A 31315-2021")</f>
        <v/>
      </c>
      <c r="U616">
        <f>HYPERLINK("https://klasma.github.io/Logging_0883/knärot/A 31315-2021 karta knärot.png", "A 31315-2021")</f>
        <v/>
      </c>
      <c r="V616">
        <f>HYPERLINK("https://klasma.github.io/Logging_0883/klagomål/A 31315-2021 FSC-klagomål.docx", "A 31315-2021")</f>
        <v/>
      </c>
      <c r="W616">
        <f>HYPERLINK("https://klasma.github.io/Logging_0883/klagomålsmail/A 31315-2021 FSC-klagomål mail.docx", "A 31315-2021")</f>
        <v/>
      </c>
      <c r="X616">
        <f>HYPERLINK("https://klasma.github.io/Logging_0883/tillsyn/A 31315-2021 tillsynsbegäran.docx", "A 31315-2021")</f>
        <v/>
      </c>
      <c r="Y616">
        <f>HYPERLINK("https://klasma.github.io/Logging_0883/tillsynsmail/A 31315-2021 tillsynsbegäran mail.docx", "A 31315-2021")</f>
        <v/>
      </c>
    </row>
    <row r="617" ht="15" customHeight="1">
      <c r="A617" t="inlineStr">
        <is>
          <t>A 25380-2021</t>
        </is>
      </c>
      <c r="B617" s="1" t="n">
        <v>44342</v>
      </c>
      <c r="C617" s="1" t="n">
        <v>45884</v>
      </c>
      <c r="D617" t="inlineStr">
        <is>
          <t>KALMAR LÄN</t>
        </is>
      </c>
      <c r="E617" t="inlineStr">
        <is>
          <t>OSKARSHAMN</t>
        </is>
      </c>
      <c r="F617" t="inlineStr">
        <is>
          <t>Kommuner</t>
        </is>
      </c>
      <c r="G617" t="n">
        <v>6.8</v>
      </c>
      <c r="H617" t="n">
        <v>0</v>
      </c>
      <c r="I617" t="n">
        <v>0</v>
      </c>
      <c r="J617" t="n">
        <v>1</v>
      </c>
      <c r="K617" t="n">
        <v>0</v>
      </c>
      <c r="L617" t="n">
        <v>0</v>
      </c>
      <c r="M617" t="n">
        <v>0</v>
      </c>
      <c r="N617" t="n">
        <v>0</v>
      </c>
      <c r="O617" t="n">
        <v>1</v>
      </c>
      <c r="P617" t="n">
        <v>0</v>
      </c>
      <c r="Q617" t="n">
        <v>1</v>
      </c>
      <c r="R617" s="2" t="inlineStr">
        <is>
          <t>Grönbladsbjörnbär</t>
        </is>
      </c>
      <c r="S617">
        <f>HYPERLINK("https://klasma.github.io/Logging_0882/artfynd/A 25380-2021 artfynd.xlsx", "A 25380-2021")</f>
        <v/>
      </c>
      <c r="T617">
        <f>HYPERLINK("https://klasma.github.io/Logging_0882/kartor/A 25380-2021 karta.png", "A 25380-2021")</f>
        <v/>
      </c>
      <c r="V617">
        <f>HYPERLINK("https://klasma.github.io/Logging_0882/klagomål/A 25380-2021 FSC-klagomål.docx", "A 25380-2021")</f>
        <v/>
      </c>
      <c r="W617">
        <f>HYPERLINK("https://klasma.github.io/Logging_0882/klagomålsmail/A 25380-2021 FSC-klagomål mail.docx", "A 25380-2021")</f>
        <v/>
      </c>
      <c r="X617">
        <f>HYPERLINK("https://klasma.github.io/Logging_0882/tillsyn/A 25380-2021 tillsynsbegäran.docx", "A 25380-2021")</f>
        <v/>
      </c>
      <c r="Y617">
        <f>HYPERLINK("https://klasma.github.io/Logging_0882/tillsynsmail/A 25380-2021 tillsynsbegäran mail.docx", "A 25380-2021")</f>
        <v/>
      </c>
    </row>
    <row r="618" ht="15" customHeight="1">
      <c r="A618" t="inlineStr">
        <is>
          <t>A 15094-2024</t>
        </is>
      </c>
      <c r="B618" s="1" t="n">
        <v>45399</v>
      </c>
      <c r="C618" s="1" t="n">
        <v>45884</v>
      </c>
      <c r="D618" t="inlineStr">
        <is>
          <t>KALMAR LÄN</t>
        </is>
      </c>
      <c r="E618" t="inlineStr">
        <is>
          <t>HULTSFRED</t>
        </is>
      </c>
      <c r="G618" t="n">
        <v>2.3</v>
      </c>
      <c r="H618" t="n">
        <v>1</v>
      </c>
      <c r="I618" t="n">
        <v>0</v>
      </c>
      <c r="J618" t="n">
        <v>0</v>
      </c>
      <c r="K618" t="n">
        <v>1</v>
      </c>
      <c r="L618" t="n">
        <v>0</v>
      </c>
      <c r="M618" t="n">
        <v>0</v>
      </c>
      <c r="N618" t="n">
        <v>0</v>
      </c>
      <c r="O618" t="n">
        <v>1</v>
      </c>
      <c r="P618" t="n">
        <v>1</v>
      </c>
      <c r="Q618" t="n">
        <v>1</v>
      </c>
      <c r="R618" s="2" t="inlineStr">
        <is>
          <t>Knärot</t>
        </is>
      </c>
      <c r="S618">
        <f>HYPERLINK("https://klasma.github.io/Logging_0860/artfynd/A 15094-2024 artfynd.xlsx", "A 15094-2024")</f>
        <v/>
      </c>
      <c r="T618">
        <f>HYPERLINK("https://klasma.github.io/Logging_0860/kartor/A 15094-2024 karta.png", "A 15094-2024")</f>
        <v/>
      </c>
      <c r="U618">
        <f>HYPERLINK("https://klasma.github.io/Logging_0860/knärot/A 15094-2024 karta knärot.png", "A 15094-2024")</f>
        <v/>
      </c>
      <c r="V618">
        <f>HYPERLINK("https://klasma.github.io/Logging_0860/klagomål/A 15094-2024 FSC-klagomål.docx", "A 15094-2024")</f>
        <v/>
      </c>
      <c r="W618">
        <f>HYPERLINK("https://klasma.github.io/Logging_0860/klagomålsmail/A 15094-2024 FSC-klagomål mail.docx", "A 15094-2024")</f>
        <v/>
      </c>
      <c r="X618">
        <f>HYPERLINK("https://klasma.github.io/Logging_0860/tillsyn/A 15094-2024 tillsynsbegäran.docx", "A 15094-2024")</f>
        <v/>
      </c>
      <c r="Y618">
        <f>HYPERLINK("https://klasma.github.io/Logging_0860/tillsynsmail/A 15094-2024 tillsynsbegäran mail.docx", "A 15094-2024")</f>
        <v/>
      </c>
    </row>
    <row r="619" ht="15" customHeight="1">
      <c r="A619" t="inlineStr">
        <is>
          <t>A 55616-2024</t>
        </is>
      </c>
      <c r="B619" s="1" t="n">
        <v>45622.5916087963</v>
      </c>
      <c r="C619" s="1" t="n">
        <v>45884</v>
      </c>
      <c r="D619" t="inlineStr">
        <is>
          <t>KALMAR LÄN</t>
        </is>
      </c>
      <c r="E619" t="inlineStr">
        <is>
          <t>VÄSTERVIK</t>
        </is>
      </c>
      <c r="G619" t="n">
        <v>0.5</v>
      </c>
      <c r="H619" t="n">
        <v>1</v>
      </c>
      <c r="I619" t="n">
        <v>0</v>
      </c>
      <c r="J619" t="n">
        <v>1</v>
      </c>
      <c r="K619" t="n">
        <v>0</v>
      </c>
      <c r="L619" t="n">
        <v>0</v>
      </c>
      <c r="M619" t="n">
        <v>0</v>
      </c>
      <c r="N619" t="n">
        <v>0</v>
      </c>
      <c r="O619" t="n">
        <v>1</v>
      </c>
      <c r="P619" t="n">
        <v>0</v>
      </c>
      <c r="Q619" t="n">
        <v>1</v>
      </c>
      <c r="R619" s="2" t="inlineStr">
        <is>
          <t>Entita</t>
        </is>
      </c>
      <c r="S619">
        <f>HYPERLINK("https://klasma.github.io/Logging_0883/artfynd/A 55616-2024 artfynd.xlsx", "A 55616-2024")</f>
        <v/>
      </c>
      <c r="T619">
        <f>HYPERLINK("https://klasma.github.io/Logging_0883/kartor/A 55616-2024 karta.png", "A 55616-2024")</f>
        <v/>
      </c>
      <c r="V619">
        <f>HYPERLINK("https://klasma.github.io/Logging_0883/klagomål/A 55616-2024 FSC-klagomål.docx", "A 55616-2024")</f>
        <v/>
      </c>
      <c r="W619">
        <f>HYPERLINK("https://klasma.github.io/Logging_0883/klagomålsmail/A 55616-2024 FSC-klagomål mail.docx", "A 55616-2024")</f>
        <v/>
      </c>
      <c r="X619">
        <f>HYPERLINK("https://klasma.github.io/Logging_0883/tillsyn/A 55616-2024 tillsynsbegäran.docx", "A 55616-2024")</f>
        <v/>
      </c>
      <c r="Y619">
        <f>HYPERLINK("https://klasma.github.io/Logging_0883/tillsynsmail/A 55616-2024 tillsynsbegäran mail.docx", "A 55616-2024")</f>
        <v/>
      </c>
      <c r="Z619">
        <f>HYPERLINK("https://klasma.github.io/Logging_0883/fåglar/A 55616-2024 prioriterade fågelarter.docx", "A 55616-2024")</f>
        <v/>
      </c>
    </row>
    <row r="620" ht="15" customHeight="1">
      <c r="A620" t="inlineStr">
        <is>
          <t>A 44515-2024</t>
        </is>
      </c>
      <c r="B620" s="1" t="n">
        <v>45574.42767361111</v>
      </c>
      <c r="C620" s="1" t="n">
        <v>45884</v>
      </c>
      <c r="D620" t="inlineStr">
        <is>
          <t>KALMAR LÄN</t>
        </is>
      </c>
      <c r="E620" t="inlineStr">
        <is>
          <t>VIMMERBY</t>
        </is>
      </c>
      <c r="G620" t="n">
        <v>1.4</v>
      </c>
      <c r="H620" t="n">
        <v>1</v>
      </c>
      <c r="I620" t="n">
        <v>0</v>
      </c>
      <c r="J620" t="n">
        <v>0</v>
      </c>
      <c r="K620" t="n">
        <v>1</v>
      </c>
      <c r="L620" t="n">
        <v>0</v>
      </c>
      <c r="M620" t="n">
        <v>0</v>
      </c>
      <c r="N620" t="n">
        <v>0</v>
      </c>
      <c r="O620" t="n">
        <v>1</v>
      </c>
      <c r="P620" t="n">
        <v>1</v>
      </c>
      <c r="Q620" t="n">
        <v>1</v>
      </c>
      <c r="R620" s="2" t="inlineStr">
        <is>
          <t>Knärot</t>
        </is>
      </c>
      <c r="S620">
        <f>HYPERLINK("https://klasma.github.io/Logging_0884/artfynd/A 44515-2024 artfynd.xlsx", "A 44515-2024")</f>
        <v/>
      </c>
      <c r="T620">
        <f>HYPERLINK("https://klasma.github.io/Logging_0884/kartor/A 44515-2024 karta.png", "A 44515-2024")</f>
        <v/>
      </c>
      <c r="U620">
        <f>HYPERLINK("https://klasma.github.io/Logging_0884/knärot/A 44515-2024 karta knärot.png", "A 44515-2024")</f>
        <v/>
      </c>
      <c r="V620">
        <f>HYPERLINK("https://klasma.github.io/Logging_0884/klagomål/A 44515-2024 FSC-klagomål.docx", "A 44515-2024")</f>
        <v/>
      </c>
      <c r="W620">
        <f>HYPERLINK("https://klasma.github.io/Logging_0884/klagomålsmail/A 44515-2024 FSC-klagomål mail.docx", "A 44515-2024")</f>
        <v/>
      </c>
      <c r="X620">
        <f>HYPERLINK("https://klasma.github.io/Logging_0884/tillsyn/A 44515-2024 tillsynsbegäran.docx", "A 44515-2024")</f>
        <v/>
      </c>
      <c r="Y620">
        <f>HYPERLINK("https://klasma.github.io/Logging_0884/tillsynsmail/A 44515-2024 tillsynsbegäran mail.docx", "A 44515-2024")</f>
        <v/>
      </c>
    </row>
    <row r="621" ht="15" customHeight="1">
      <c r="A621" t="inlineStr">
        <is>
          <t>A 27854-2023</t>
        </is>
      </c>
      <c r="B621" s="1" t="n">
        <v>45098.56957175926</v>
      </c>
      <c r="C621" s="1" t="n">
        <v>45884</v>
      </c>
      <c r="D621" t="inlineStr">
        <is>
          <t>KALMAR LÄN</t>
        </is>
      </c>
      <c r="E621" t="inlineStr">
        <is>
          <t>OSKARSHAMN</t>
        </is>
      </c>
      <c r="G621" t="n">
        <v>3.3</v>
      </c>
      <c r="H621" t="n">
        <v>0</v>
      </c>
      <c r="I621" t="n">
        <v>0</v>
      </c>
      <c r="J621" t="n">
        <v>1</v>
      </c>
      <c r="K621" t="n">
        <v>0</v>
      </c>
      <c r="L621" t="n">
        <v>0</v>
      </c>
      <c r="M621" t="n">
        <v>0</v>
      </c>
      <c r="N621" t="n">
        <v>0</v>
      </c>
      <c r="O621" t="n">
        <v>1</v>
      </c>
      <c r="P621" t="n">
        <v>0</v>
      </c>
      <c r="Q621" t="n">
        <v>1</v>
      </c>
      <c r="R621" s="2" t="inlineStr">
        <is>
          <t>Åkerkål</t>
        </is>
      </c>
      <c r="S621">
        <f>HYPERLINK("https://klasma.github.io/Logging_0882/artfynd/A 27854-2023 artfynd.xlsx", "A 27854-2023")</f>
        <v/>
      </c>
      <c r="T621">
        <f>HYPERLINK("https://klasma.github.io/Logging_0882/kartor/A 27854-2023 karta.png", "A 27854-2023")</f>
        <v/>
      </c>
      <c r="V621">
        <f>HYPERLINK("https://klasma.github.io/Logging_0882/klagomål/A 27854-2023 FSC-klagomål.docx", "A 27854-2023")</f>
        <v/>
      </c>
      <c r="W621">
        <f>HYPERLINK("https://klasma.github.io/Logging_0882/klagomålsmail/A 27854-2023 FSC-klagomål mail.docx", "A 27854-2023")</f>
        <v/>
      </c>
      <c r="X621">
        <f>HYPERLINK("https://klasma.github.io/Logging_0882/tillsyn/A 27854-2023 tillsynsbegäran.docx", "A 27854-2023")</f>
        <v/>
      </c>
      <c r="Y621">
        <f>HYPERLINK("https://klasma.github.io/Logging_0882/tillsynsmail/A 27854-2023 tillsynsbegäran mail.docx", "A 27854-2023")</f>
        <v/>
      </c>
    </row>
    <row r="622" ht="15" customHeight="1">
      <c r="A622" t="inlineStr">
        <is>
          <t>A 43788-2023</t>
        </is>
      </c>
      <c r="B622" s="1" t="n">
        <v>45187.53707175926</v>
      </c>
      <c r="C622" s="1" t="n">
        <v>45884</v>
      </c>
      <c r="D622" t="inlineStr">
        <is>
          <t>KALMAR LÄN</t>
        </is>
      </c>
      <c r="E622" t="inlineStr">
        <is>
          <t>VÄSTERVIK</t>
        </is>
      </c>
      <c r="G622" t="n">
        <v>4.5</v>
      </c>
      <c r="H622" t="n">
        <v>0</v>
      </c>
      <c r="I622" t="n">
        <v>0</v>
      </c>
      <c r="J622" t="n">
        <v>1</v>
      </c>
      <c r="K622" t="n">
        <v>0</v>
      </c>
      <c r="L622" t="n">
        <v>0</v>
      </c>
      <c r="M622" t="n">
        <v>0</v>
      </c>
      <c r="N622" t="n">
        <v>0</v>
      </c>
      <c r="O622" t="n">
        <v>1</v>
      </c>
      <c r="P622" t="n">
        <v>0</v>
      </c>
      <c r="Q622" t="n">
        <v>1</v>
      </c>
      <c r="R622" s="2" t="inlineStr">
        <is>
          <t>Motaggsvamp</t>
        </is>
      </c>
      <c r="S622">
        <f>HYPERLINK("https://klasma.github.io/Logging_0883/artfynd/A 43788-2023 artfynd.xlsx", "A 43788-2023")</f>
        <v/>
      </c>
      <c r="T622">
        <f>HYPERLINK("https://klasma.github.io/Logging_0883/kartor/A 43788-2023 karta.png", "A 43788-2023")</f>
        <v/>
      </c>
      <c r="V622">
        <f>HYPERLINK("https://klasma.github.io/Logging_0883/klagomål/A 43788-2023 FSC-klagomål.docx", "A 43788-2023")</f>
        <v/>
      </c>
      <c r="W622">
        <f>HYPERLINK("https://klasma.github.io/Logging_0883/klagomålsmail/A 43788-2023 FSC-klagomål mail.docx", "A 43788-2023")</f>
        <v/>
      </c>
      <c r="X622">
        <f>HYPERLINK("https://klasma.github.io/Logging_0883/tillsyn/A 43788-2023 tillsynsbegäran.docx", "A 43788-2023")</f>
        <v/>
      </c>
      <c r="Y622">
        <f>HYPERLINK("https://klasma.github.io/Logging_0883/tillsynsmail/A 43788-2023 tillsynsbegäran mail.docx", "A 43788-2023")</f>
        <v/>
      </c>
    </row>
    <row r="623" ht="15" customHeight="1">
      <c r="A623" t="inlineStr">
        <is>
          <t>A 48938-2024</t>
        </is>
      </c>
      <c r="B623" s="1" t="n">
        <v>45594.41554398148</v>
      </c>
      <c r="C623" s="1" t="n">
        <v>45884</v>
      </c>
      <c r="D623" t="inlineStr">
        <is>
          <t>KALMAR LÄN</t>
        </is>
      </c>
      <c r="E623" t="inlineStr">
        <is>
          <t>HULTSFRED</t>
        </is>
      </c>
      <c r="G623" t="n">
        <v>1.1</v>
      </c>
      <c r="H623" t="n">
        <v>1</v>
      </c>
      <c r="I623" t="n">
        <v>0</v>
      </c>
      <c r="J623" t="n">
        <v>1</v>
      </c>
      <c r="K623" t="n">
        <v>0</v>
      </c>
      <c r="L623" t="n">
        <v>0</v>
      </c>
      <c r="M623" t="n">
        <v>0</v>
      </c>
      <c r="N623" t="n">
        <v>0</v>
      </c>
      <c r="O623" t="n">
        <v>1</v>
      </c>
      <c r="P623" t="n">
        <v>0</v>
      </c>
      <c r="Q623" t="n">
        <v>1</v>
      </c>
      <c r="R623" s="2" t="inlineStr">
        <is>
          <t>Järpe</t>
        </is>
      </c>
      <c r="S623">
        <f>HYPERLINK("https://klasma.github.io/Logging_0860/artfynd/A 48938-2024 artfynd.xlsx", "A 48938-2024")</f>
        <v/>
      </c>
      <c r="T623">
        <f>HYPERLINK("https://klasma.github.io/Logging_0860/kartor/A 48938-2024 karta.png", "A 48938-2024")</f>
        <v/>
      </c>
      <c r="V623">
        <f>HYPERLINK("https://klasma.github.io/Logging_0860/klagomål/A 48938-2024 FSC-klagomål.docx", "A 48938-2024")</f>
        <v/>
      </c>
      <c r="W623">
        <f>HYPERLINK("https://klasma.github.io/Logging_0860/klagomålsmail/A 48938-2024 FSC-klagomål mail.docx", "A 48938-2024")</f>
        <v/>
      </c>
      <c r="X623">
        <f>HYPERLINK("https://klasma.github.io/Logging_0860/tillsyn/A 48938-2024 tillsynsbegäran.docx", "A 48938-2024")</f>
        <v/>
      </c>
      <c r="Y623">
        <f>HYPERLINK("https://klasma.github.io/Logging_0860/tillsynsmail/A 48938-2024 tillsynsbegäran mail.docx", "A 48938-2024")</f>
        <v/>
      </c>
      <c r="Z623">
        <f>HYPERLINK("https://klasma.github.io/Logging_0860/fåglar/A 48938-2024 prioriterade fågelarter.docx", "A 48938-2024")</f>
        <v/>
      </c>
    </row>
    <row r="624" ht="15" customHeight="1">
      <c r="A624" t="inlineStr">
        <is>
          <t>A 43272-2024</t>
        </is>
      </c>
      <c r="B624" s="1" t="n">
        <v>45568.38174768518</v>
      </c>
      <c r="C624" s="1" t="n">
        <v>45884</v>
      </c>
      <c r="D624" t="inlineStr">
        <is>
          <t>KALMAR LÄN</t>
        </is>
      </c>
      <c r="E624" t="inlineStr">
        <is>
          <t>HULTSFRED</t>
        </is>
      </c>
      <c r="G624" t="n">
        <v>3.1</v>
      </c>
      <c r="H624" t="n">
        <v>1</v>
      </c>
      <c r="I624" t="n">
        <v>0</v>
      </c>
      <c r="J624" t="n">
        <v>0</v>
      </c>
      <c r="K624" t="n">
        <v>0</v>
      </c>
      <c r="L624" t="n">
        <v>1</v>
      </c>
      <c r="M624" t="n">
        <v>0</v>
      </c>
      <c r="N624" t="n">
        <v>0</v>
      </c>
      <c r="O624" t="n">
        <v>1</v>
      </c>
      <c r="P624" t="n">
        <v>1</v>
      </c>
      <c r="Q624" t="n">
        <v>1</v>
      </c>
      <c r="R624" s="2" t="inlineStr">
        <is>
          <t>Bredgentiana</t>
        </is>
      </c>
      <c r="S624">
        <f>HYPERLINK("https://klasma.github.io/Logging_0860/artfynd/A 43272-2024 artfynd.xlsx", "A 43272-2024")</f>
        <v/>
      </c>
      <c r="T624">
        <f>HYPERLINK("https://klasma.github.io/Logging_0860/kartor/A 43272-2024 karta.png", "A 43272-2024")</f>
        <v/>
      </c>
      <c r="V624">
        <f>HYPERLINK("https://klasma.github.io/Logging_0860/klagomål/A 43272-2024 FSC-klagomål.docx", "A 43272-2024")</f>
        <v/>
      </c>
      <c r="W624">
        <f>HYPERLINK("https://klasma.github.io/Logging_0860/klagomålsmail/A 43272-2024 FSC-klagomål mail.docx", "A 43272-2024")</f>
        <v/>
      </c>
      <c r="X624">
        <f>HYPERLINK("https://klasma.github.io/Logging_0860/tillsyn/A 43272-2024 tillsynsbegäran.docx", "A 43272-2024")</f>
        <v/>
      </c>
      <c r="Y624">
        <f>HYPERLINK("https://klasma.github.io/Logging_0860/tillsynsmail/A 43272-2024 tillsynsbegäran mail.docx", "A 43272-2024")</f>
        <v/>
      </c>
    </row>
    <row r="625" ht="15" customHeight="1">
      <c r="A625" t="inlineStr">
        <is>
          <t>A 63620-2023</t>
        </is>
      </c>
      <c r="B625" s="1" t="n">
        <v>45275</v>
      </c>
      <c r="C625" s="1" t="n">
        <v>45884</v>
      </c>
      <c r="D625" t="inlineStr">
        <is>
          <t>KALMAR LÄN</t>
        </is>
      </c>
      <c r="E625" t="inlineStr">
        <is>
          <t>KALMAR</t>
        </is>
      </c>
      <c r="F625" t="inlineStr">
        <is>
          <t>Kommuner</t>
        </is>
      </c>
      <c r="G625" t="n">
        <v>4.2</v>
      </c>
      <c r="H625" t="n">
        <v>0</v>
      </c>
      <c r="I625" t="n">
        <v>0</v>
      </c>
      <c r="J625" t="n">
        <v>1</v>
      </c>
      <c r="K625" t="n">
        <v>0</v>
      </c>
      <c r="L625" t="n">
        <v>0</v>
      </c>
      <c r="M625" t="n">
        <v>0</v>
      </c>
      <c r="N625" t="n">
        <v>0</v>
      </c>
      <c r="O625" t="n">
        <v>1</v>
      </c>
      <c r="P625" t="n">
        <v>0</v>
      </c>
      <c r="Q625" t="n">
        <v>1</v>
      </c>
      <c r="R625" s="2" t="inlineStr">
        <is>
          <t>Motaggsvamp</t>
        </is>
      </c>
      <c r="S625">
        <f>HYPERLINK("https://klasma.github.io/Logging_0880/artfynd/A 63620-2023 artfynd.xlsx", "A 63620-2023")</f>
        <v/>
      </c>
      <c r="T625">
        <f>HYPERLINK("https://klasma.github.io/Logging_0880/kartor/A 63620-2023 karta.png", "A 63620-2023")</f>
        <v/>
      </c>
      <c r="V625">
        <f>HYPERLINK("https://klasma.github.io/Logging_0880/klagomål/A 63620-2023 FSC-klagomål.docx", "A 63620-2023")</f>
        <v/>
      </c>
      <c r="W625">
        <f>HYPERLINK("https://klasma.github.io/Logging_0880/klagomålsmail/A 63620-2023 FSC-klagomål mail.docx", "A 63620-2023")</f>
        <v/>
      </c>
      <c r="X625">
        <f>HYPERLINK("https://klasma.github.io/Logging_0880/tillsyn/A 63620-2023 tillsynsbegäran.docx", "A 63620-2023")</f>
        <v/>
      </c>
      <c r="Y625">
        <f>HYPERLINK("https://klasma.github.io/Logging_0880/tillsynsmail/A 63620-2023 tillsynsbegäran mail.docx", "A 63620-2023")</f>
        <v/>
      </c>
    </row>
    <row r="626" ht="15" customHeight="1">
      <c r="A626" t="inlineStr">
        <is>
          <t>A 7201-2025</t>
        </is>
      </c>
      <c r="B626" s="1" t="n">
        <v>45702.46353009259</v>
      </c>
      <c r="C626" s="1" t="n">
        <v>45884</v>
      </c>
      <c r="D626" t="inlineStr">
        <is>
          <t>KALMAR LÄN</t>
        </is>
      </c>
      <c r="E626" t="inlineStr">
        <is>
          <t>HULTSFRED</t>
        </is>
      </c>
      <c r="F626" t="inlineStr">
        <is>
          <t>Sveaskog</t>
        </is>
      </c>
      <c r="G626" t="n">
        <v>2.9</v>
      </c>
      <c r="H626" t="n">
        <v>1</v>
      </c>
      <c r="I626" t="n">
        <v>0</v>
      </c>
      <c r="J626" t="n">
        <v>0</v>
      </c>
      <c r="K626" t="n">
        <v>0</v>
      </c>
      <c r="L626" t="n">
        <v>0</v>
      </c>
      <c r="M626" t="n">
        <v>0</v>
      </c>
      <c r="N626" t="n">
        <v>0</v>
      </c>
      <c r="O626" t="n">
        <v>0</v>
      </c>
      <c r="P626" t="n">
        <v>0</v>
      </c>
      <c r="Q626" t="n">
        <v>1</v>
      </c>
      <c r="R626" s="2" t="inlineStr">
        <is>
          <t>Blåsippa</t>
        </is>
      </c>
      <c r="S626">
        <f>HYPERLINK("https://klasma.github.io/Logging_0860/artfynd/A 7201-2025 artfynd.xlsx", "A 7201-2025")</f>
        <v/>
      </c>
      <c r="T626">
        <f>HYPERLINK("https://klasma.github.io/Logging_0860/kartor/A 7201-2025 karta.png", "A 7201-2025")</f>
        <v/>
      </c>
      <c r="V626">
        <f>HYPERLINK("https://klasma.github.io/Logging_0860/klagomål/A 7201-2025 FSC-klagomål.docx", "A 7201-2025")</f>
        <v/>
      </c>
      <c r="W626">
        <f>HYPERLINK("https://klasma.github.io/Logging_0860/klagomålsmail/A 7201-2025 FSC-klagomål mail.docx", "A 7201-2025")</f>
        <v/>
      </c>
      <c r="X626">
        <f>HYPERLINK("https://klasma.github.io/Logging_0860/tillsyn/A 7201-2025 tillsynsbegäran.docx", "A 7201-2025")</f>
        <v/>
      </c>
      <c r="Y626">
        <f>HYPERLINK("https://klasma.github.io/Logging_0860/tillsynsmail/A 7201-2025 tillsynsbegäran mail.docx", "A 7201-2025")</f>
        <v/>
      </c>
    </row>
    <row r="627" ht="15" customHeight="1">
      <c r="A627" t="inlineStr">
        <is>
          <t>A 10924-2023</t>
        </is>
      </c>
      <c r="B627" s="1" t="n">
        <v>44991.50229166666</v>
      </c>
      <c r="C627" s="1" t="n">
        <v>45884</v>
      </c>
      <c r="D627" t="inlineStr">
        <is>
          <t>KALMAR LÄN</t>
        </is>
      </c>
      <c r="E627" t="inlineStr">
        <is>
          <t>KALMAR</t>
        </is>
      </c>
      <c r="G627" t="n">
        <v>0.5</v>
      </c>
      <c r="H627" t="n">
        <v>1</v>
      </c>
      <c r="I627" t="n">
        <v>0</v>
      </c>
      <c r="J627" t="n">
        <v>0</v>
      </c>
      <c r="K627" t="n">
        <v>0</v>
      </c>
      <c r="L627" t="n">
        <v>0</v>
      </c>
      <c r="M627" t="n">
        <v>0</v>
      </c>
      <c r="N627" t="n">
        <v>0</v>
      </c>
      <c r="O627" t="n">
        <v>0</v>
      </c>
      <c r="P627" t="n">
        <v>0</v>
      </c>
      <c r="Q627" t="n">
        <v>1</v>
      </c>
      <c r="R627" s="2" t="inlineStr">
        <is>
          <t>Nattviol</t>
        </is>
      </c>
      <c r="S627">
        <f>HYPERLINK("https://klasma.github.io/Logging_0880/artfynd/A 10924-2023 artfynd.xlsx", "A 10924-2023")</f>
        <v/>
      </c>
      <c r="T627">
        <f>HYPERLINK("https://klasma.github.io/Logging_0880/kartor/A 10924-2023 karta.png", "A 10924-2023")</f>
        <v/>
      </c>
      <c r="V627">
        <f>HYPERLINK("https://klasma.github.io/Logging_0880/klagomål/A 10924-2023 FSC-klagomål.docx", "A 10924-2023")</f>
        <v/>
      </c>
      <c r="W627">
        <f>HYPERLINK("https://klasma.github.io/Logging_0880/klagomålsmail/A 10924-2023 FSC-klagomål mail.docx", "A 10924-2023")</f>
        <v/>
      </c>
      <c r="X627">
        <f>HYPERLINK("https://klasma.github.io/Logging_0880/tillsyn/A 10924-2023 tillsynsbegäran.docx", "A 10924-2023")</f>
        <v/>
      </c>
      <c r="Y627">
        <f>HYPERLINK("https://klasma.github.io/Logging_0880/tillsynsmail/A 10924-2023 tillsynsbegäran mail.docx", "A 10924-2023")</f>
        <v/>
      </c>
    </row>
    <row r="628" ht="15" customHeight="1">
      <c r="A628" t="inlineStr">
        <is>
          <t>A 4677-2024</t>
        </is>
      </c>
      <c r="B628" s="1" t="n">
        <v>45328</v>
      </c>
      <c r="C628" s="1" t="n">
        <v>45884</v>
      </c>
      <c r="D628" t="inlineStr">
        <is>
          <t>KALMAR LÄN</t>
        </is>
      </c>
      <c r="E628" t="inlineStr">
        <is>
          <t>HULTSFRED</t>
        </is>
      </c>
      <c r="G628" t="n">
        <v>1.7</v>
      </c>
      <c r="H628" t="n">
        <v>1</v>
      </c>
      <c r="I628" t="n">
        <v>0</v>
      </c>
      <c r="J628" t="n">
        <v>0</v>
      </c>
      <c r="K628" t="n">
        <v>1</v>
      </c>
      <c r="L628" t="n">
        <v>0</v>
      </c>
      <c r="M628" t="n">
        <v>0</v>
      </c>
      <c r="N628" t="n">
        <v>0</v>
      </c>
      <c r="O628" t="n">
        <v>1</v>
      </c>
      <c r="P628" t="n">
        <v>1</v>
      </c>
      <c r="Q628" t="n">
        <v>1</v>
      </c>
      <c r="R628" s="2" t="inlineStr">
        <is>
          <t>Knärot</t>
        </is>
      </c>
      <c r="S628">
        <f>HYPERLINK("https://klasma.github.io/Logging_0860/artfynd/A 4677-2024 artfynd.xlsx", "A 4677-2024")</f>
        <v/>
      </c>
      <c r="T628">
        <f>HYPERLINK("https://klasma.github.io/Logging_0860/kartor/A 4677-2024 karta.png", "A 4677-2024")</f>
        <v/>
      </c>
      <c r="U628">
        <f>HYPERLINK("https://klasma.github.io/Logging_0860/knärot/A 4677-2024 karta knärot.png", "A 4677-2024")</f>
        <v/>
      </c>
      <c r="V628">
        <f>HYPERLINK("https://klasma.github.io/Logging_0860/klagomål/A 4677-2024 FSC-klagomål.docx", "A 4677-2024")</f>
        <v/>
      </c>
      <c r="W628">
        <f>HYPERLINK("https://klasma.github.io/Logging_0860/klagomålsmail/A 4677-2024 FSC-klagomål mail.docx", "A 4677-2024")</f>
        <v/>
      </c>
      <c r="X628">
        <f>HYPERLINK("https://klasma.github.io/Logging_0860/tillsyn/A 4677-2024 tillsynsbegäran.docx", "A 4677-2024")</f>
        <v/>
      </c>
      <c r="Y628">
        <f>HYPERLINK("https://klasma.github.io/Logging_0860/tillsynsmail/A 4677-2024 tillsynsbegäran mail.docx", "A 4677-2024")</f>
        <v/>
      </c>
    </row>
    <row r="629" ht="15" customHeight="1">
      <c r="A629" t="inlineStr">
        <is>
          <t>A 25231-2023</t>
        </is>
      </c>
      <c r="B629" s="1" t="n">
        <v>45086</v>
      </c>
      <c r="C629" s="1" t="n">
        <v>45884</v>
      </c>
      <c r="D629" t="inlineStr">
        <is>
          <t>KALMAR LÄN</t>
        </is>
      </c>
      <c r="E629" t="inlineStr">
        <is>
          <t>MÖNSTERÅS</t>
        </is>
      </c>
      <c r="G629" t="n">
        <v>6.4</v>
      </c>
      <c r="H629" t="n">
        <v>1</v>
      </c>
      <c r="I629" t="n">
        <v>0</v>
      </c>
      <c r="J629" t="n">
        <v>0</v>
      </c>
      <c r="K629" t="n">
        <v>0</v>
      </c>
      <c r="L629" t="n">
        <v>0</v>
      </c>
      <c r="M629" t="n">
        <v>0</v>
      </c>
      <c r="N629" t="n">
        <v>0</v>
      </c>
      <c r="O629" t="n">
        <v>0</v>
      </c>
      <c r="P629" t="n">
        <v>0</v>
      </c>
      <c r="Q629" t="n">
        <v>1</v>
      </c>
      <c r="R629" s="2" t="inlineStr">
        <is>
          <t>Hasselmus</t>
        </is>
      </c>
      <c r="S629">
        <f>HYPERLINK("https://klasma.github.io/Logging_0861/artfynd/A 25231-2023 artfynd.xlsx", "A 25231-2023")</f>
        <v/>
      </c>
      <c r="T629">
        <f>HYPERLINK("https://klasma.github.io/Logging_0861/kartor/A 25231-2023 karta.png", "A 25231-2023")</f>
        <v/>
      </c>
      <c r="V629">
        <f>HYPERLINK("https://klasma.github.io/Logging_0861/klagomål/A 25231-2023 FSC-klagomål.docx", "A 25231-2023")</f>
        <v/>
      </c>
      <c r="W629">
        <f>HYPERLINK("https://klasma.github.io/Logging_0861/klagomålsmail/A 25231-2023 FSC-klagomål mail.docx", "A 25231-2023")</f>
        <v/>
      </c>
      <c r="X629">
        <f>HYPERLINK("https://klasma.github.io/Logging_0861/tillsyn/A 25231-2023 tillsynsbegäran.docx", "A 25231-2023")</f>
        <v/>
      </c>
      <c r="Y629">
        <f>HYPERLINK("https://klasma.github.io/Logging_0861/tillsynsmail/A 25231-2023 tillsynsbegäran mail.docx", "A 25231-2023")</f>
        <v/>
      </c>
    </row>
    <row r="630" ht="15" customHeight="1">
      <c r="A630" t="inlineStr">
        <is>
          <t>A 5884-2024</t>
        </is>
      </c>
      <c r="B630" s="1" t="n">
        <v>45335</v>
      </c>
      <c r="C630" s="1" t="n">
        <v>45884</v>
      </c>
      <c r="D630" t="inlineStr">
        <is>
          <t>KALMAR LÄN</t>
        </is>
      </c>
      <c r="E630" t="inlineStr">
        <is>
          <t>EMMABODA</t>
        </is>
      </c>
      <c r="G630" t="n">
        <v>4.7</v>
      </c>
      <c r="H630" t="n">
        <v>1</v>
      </c>
      <c r="I630" t="n">
        <v>1</v>
      </c>
      <c r="J630" t="n">
        <v>0</v>
      </c>
      <c r="K630" t="n">
        <v>0</v>
      </c>
      <c r="L630" t="n">
        <v>0</v>
      </c>
      <c r="M630" t="n">
        <v>0</v>
      </c>
      <c r="N630" t="n">
        <v>0</v>
      </c>
      <c r="O630" t="n">
        <v>0</v>
      </c>
      <c r="P630" t="n">
        <v>0</v>
      </c>
      <c r="Q630" t="n">
        <v>1</v>
      </c>
      <c r="R630" s="2" t="inlineStr">
        <is>
          <t>Grön sköldmossa</t>
        </is>
      </c>
      <c r="S630">
        <f>HYPERLINK("https://klasma.github.io/Logging_0862/artfynd/A 5884-2024 artfynd.xlsx", "A 5884-2024")</f>
        <v/>
      </c>
      <c r="T630">
        <f>HYPERLINK("https://klasma.github.io/Logging_0862/kartor/A 5884-2024 karta.png", "A 5884-2024")</f>
        <v/>
      </c>
      <c r="V630">
        <f>HYPERLINK("https://klasma.github.io/Logging_0862/klagomål/A 5884-2024 FSC-klagomål.docx", "A 5884-2024")</f>
        <v/>
      </c>
      <c r="W630">
        <f>HYPERLINK("https://klasma.github.io/Logging_0862/klagomålsmail/A 5884-2024 FSC-klagomål mail.docx", "A 5884-2024")</f>
        <v/>
      </c>
      <c r="X630">
        <f>HYPERLINK("https://klasma.github.io/Logging_0862/tillsyn/A 5884-2024 tillsynsbegäran.docx", "A 5884-2024")</f>
        <v/>
      </c>
      <c r="Y630">
        <f>HYPERLINK("https://klasma.github.io/Logging_0862/tillsynsmail/A 5884-2024 tillsynsbegäran mail.docx", "A 5884-2024")</f>
        <v/>
      </c>
    </row>
    <row r="631" ht="15" customHeight="1">
      <c r="A631" t="inlineStr">
        <is>
          <t>A 53173-2022</t>
        </is>
      </c>
      <c r="B631" s="1" t="n">
        <v>44876.54432870371</v>
      </c>
      <c r="C631" s="1" t="n">
        <v>45884</v>
      </c>
      <c r="D631" t="inlineStr">
        <is>
          <t>KALMAR LÄN</t>
        </is>
      </c>
      <c r="E631" t="inlineStr">
        <is>
          <t>MÖNSTERÅS</t>
        </is>
      </c>
      <c r="G631" t="n">
        <v>1.4</v>
      </c>
      <c r="H631" t="n">
        <v>1</v>
      </c>
      <c r="I631" t="n">
        <v>0</v>
      </c>
      <c r="J631" t="n">
        <v>1</v>
      </c>
      <c r="K631" t="n">
        <v>0</v>
      </c>
      <c r="L631" t="n">
        <v>0</v>
      </c>
      <c r="M631" t="n">
        <v>0</v>
      </c>
      <c r="N631" t="n">
        <v>0</v>
      </c>
      <c r="O631" t="n">
        <v>1</v>
      </c>
      <c r="P631" t="n">
        <v>0</v>
      </c>
      <c r="Q631" t="n">
        <v>1</v>
      </c>
      <c r="R631" s="2" t="inlineStr">
        <is>
          <t>Havsörn</t>
        </is>
      </c>
      <c r="S631">
        <f>HYPERLINK("https://klasma.github.io/Logging_0861/artfynd/A 53173-2022 artfynd.xlsx", "A 53173-2022")</f>
        <v/>
      </c>
      <c r="T631">
        <f>HYPERLINK("https://klasma.github.io/Logging_0861/kartor/A 53173-2022 karta.png", "A 53173-2022")</f>
        <v/>
      </c>
      <c r="V631">
        <f>HYPERLINK("https://klasma.github.io/Logging_0861/klagomål/A 53173-2022 FSC-klagomål.docx", "A 53173-2022")</f>
        <v/>
      </c>
      <c r="W631">
        <f>HYPERLINK("https://klasma.github.io/Logging_0861/klagomålsmail/A 53173-2022 FSC-klagomål mail.docx", "A 53173-2022")</f>
        <v/>
      </c>
      <c r="X631">
        <f>HYPERLINK("https://klasma.github.io/Logging_0861/tillsyn/A 53173-2022 tillsynsbegäran.docx", "A 53173-2022")</f>
        <v/>
      </c>
      <c r="Y631">
        <f>HYPERLINK("https://klasma.github.io/Logging_0861/tillsynsmail/A 53173-2022 tillsynsbegäran mail.docx", "A 53173-2022")</f>
        <v/>
      </c>
      <c r="Z631">
        <f>HYPERLINK("https://klasma.github.io/Logging_0861/fåglar/A 53173-2022 prioriterade fågelarter.docx", "A 53173-2022")</f>
        <v/>
      </c>
    </row>
    <row r="632" ht="15" customHeight="1">
      <c r="A632" t="inlineStr">
        <is>
          <t>A 59407-2022</t>
        </is>
      </c>
      <c r="B632" s="1" t="n">
        <v>44907</v>
      </c>
      <c r="C632" s="1" t="n">
        <v>45884</v>
      </c>
      <c r="D632" t="inlineStr">
        <is>
          <t>KALMAR LÄN</t>
        </is>
      </c>
      <c r="E632" t="inlineStr">
        <is>
          <t>HÖGSBY</t>
        </is>
      </c>
      <c r="G632" t="n">
        <v>1</v>
      </c>
      <c r="H632" t="n">
        <v>1</v>
      </c>
      <c r="I632" t="n">
        <v>0</v>
      </c>
      <c r="J632" t="n">
        <v>0</v>
      </c>
      <c r="K632" t="n">
        <v>0</v>
      </c>
      <c r="L632" t="n">
        <v>0</v>
      </c>
      <c r="M632" t="n">
        <v>0</v>
      </c>
      <c r="N632" t="n">
        <v>0</v>
      </c>
      <c r="O632" t="n">
        <v>0</v>
      </c>
      <c r="P632" t="n">
        <v>0</v>
      </c>
      <c r="Q632" t="n">
        <v>1</v>
      </c>
      <c r="R632" s="2" t="inlineStr">
        <is>
          <t>Blåsippa</t>
        </is>
      </c>
      <c r="S632">
        <f>HYPERLINK("https://klasma.github.io/Logging_0821/artfynd/A 59407-2022 artfynd.xlsx", "A 59407-2022")</f>
        <v/>
      </c>
      <c r="T632">
        <f>HYPERLINK("https://klasma.github.io/Logging_0821/kartor/A 59407-2022 karta.png", "A 59407-2022")</f>
        <v/>
      </c>
      <c r="V632">
        <f>HYPERLINK("https://klasma.github.io/Logging_0821/klagomål/A 59407-2022 FSC-klagomål.docx", "A 59407-2022")</f>
        <v/>
      </c>
      <c r="W632">
        <f>HYPERLINK("https://klasma.github.io/Logging_0821/klagomålsmail/A 59407-2022 FSC-klagomål mail.docx", "A 59407-2022")</f>
        <v/>
      </c>
      <c r="X632">
        <f>HYPERLINK("https://klasma.github.io/Logging_0821/tillsyn/A 59407-2022 tillsynsbegäran.docx", "A 59407-2022")</f>
        <v/>
      </c>
      <c r="Y632">
        <f>HYPERLINK("https://klasma.github.io/Logging_0821/tillsynsmail/A 59407-2022 tillsynsbegäran mail.docx", "A 59407-2022")</f>
        <v/>
      </c>
    </row>
    <row r="633" ht="15" customHeight="1">
      <c r="A633" t="inlineStr">
        <is>
          <t>A 4254-2024</t>
        </is>
      </c>
      <c r="B633" s="1" t="n">
        <v>45324</v>
      </c>
      <c r="C633" s="1" t="n">
        <v>45884</v>
      </c>
      <c r="D633" t="inlineStr">
        <is>
          <t>KALMAR LÄN</t>
        </is>
      </c>
      <c r="E633" t="inlineStr">
        <is>
          <t>HULTSFRED</t>
        </is>
      </c>
      <c r="G633" t="n">
        <v>1.7</v>
      </c>
      <c r="H633" t="n">
        <v>1</v>
      </c>
      <c r="I633" t="n">
        <v>0</v>
      </c>
      <c r="J633" t="n">
        <v>0</v>
      </c>
      <c r="K633" t="n">
        <v>1</v>
      </c>
      <c r="L633" t="n">
        <v>0</v>
      </c>
      <c r="M633" t="n">
        <v>0</v>
      </c>
      <c r="N633" t="n">
        <v>0</v>
      </c>
      <c r="O633" t="n">
        <v>1</v>
      </c>
      <c r="P633" t="n">
        <v>1</v>
      </c>
      <c r="Q633" t="n">
        <v>1</v>
      </c>
      <c r="R633" s="2" t="inlineStr">
        <is>
          <t>Knärot</t>
        </is>
      </c>
      <c r="S633">
        <f>HYPERLINK("https://klasma.github.io/Logging_0860/artfynd/A 4254-2024 artfynd.xlsx", "A 4254-2024")</f>
        <v/>
      </c>
      <c r="T633">
        <f>HYPERLINK("https://klasma.github.io/Logging_0860/kartor/A 4254-2024 karta.png", "A 4254-2024")</f>
        <v/>
      </c>
      <c r="U633">
        <f>HYPERLINK("https://klasma.github.io/Logging_0860/knärot/A 4254-2024 karta knärot.png", "A 4254-2024")</f>
        <v/>
      </c>
      <c r="V633">
        <f>HYPERLINK("https://klasma.github.io/Logging_0860/klagomål/A 4254-2024 FSC-klagomål.docx", "A 4254-2024")</f>
        <v/>
      </c>
      <c r="W633">
        <f>HYPERLINK("https://klasma.github.io/Logging_0860/klagomålsmail/A 4254-2024 FSC-klagomål mail.docx", "A 4254-2024")</f>
        <v/>
      </c>
      <c r="X633">
        <f>HYPERLINK("https://klasma.github.io/Logging_0860/tillsyn/A 4254-2024 tillsynsbegäran.docx", "A 4254-2024")</f>
        <v/>
      </c>
      <c r="Y633">
        <f>HYPERLINK("https://klasma.github.io/Logging_0860/tillsynsmail/A 4254-2024 tillsynsbegäran mail.docx", "A 4254-2024")</f>
        <v/>
      </c>
    </row>
    <row r="634" ht="15" customHeight="1">
      <c r="A634" t="inlineStr">
        <is>
          <t>A 4963-2025</t>
        </is>
      </c>
      <c r="B634" s="1" t="n">
        <v>45690.4250925926</v>
      </c>
      <c r="C634" s="1" t="n">
        <v>45884</v>
      </c>
      <c r="D634" t="inlineStr">
        <is>
          <t>KALMAR LÄN</t>
        </is>
      </c>
      <c r="E634" t="inlineStr">
        <is>
          <t>HULTSFRED</t>
        </is>
      </c>
      <c r="F634" t="inlineStr">
        <is>
          <t>Sveaskog</t>
        </is>
      </c>
      <c r="G634" t="n">
        <v>5.1</v>
      </c>
      <c r="H634" t="n">
        <v>1</v>
      </c>
      <c r="I634" t="n">
        <v>0</v>
      </c>
      <c r="J634" t="n">
        <v>1</v>
      </c>
      <c r="K634" t="n">
        <v>0</v>
      </c>
      <c r="L634" t="n">
        <v>0</v>
      </c>
      <c r="M634" t="n">
        <v>0</v>
      </c>
      <c r="N634" t="n">
        <v>0</v>
      </c>
      <c r="O634" t="n">
        <v>1</v>
      </c>
      <c r="P634" t="n">
        <v>0</v>
      </c>
      <c r="Q634" t="n">
        <v>1</v>
      </c>
      <c r="R634" s="2" t="inlineStr">
        <is>
          <t>Spillkråka</t>
        </is>
      </c>
      <c r="S634">
        <f>HYPERLINK("https://klasma.github.io/Logging_0860/artfynd/A 4963-2025 artfynd.xlsx", "A 4963-2025")</f>
        <v/>
      </c>
      <c r="T634">
        <f>HYPERLINK("https://klasma.github.io/Logging_0860/kartor/A 4963-2025 karta.png", "A 4963-2025")</f>
        <v/>
      </c>
      <c r="V634">
        <f>HYPERLINK("https://klasma.github.io/Logging_0860/klagomål/A 4963-2025 FSC-klagomål.docx", "A 4963-2025")</f>
        <v/>
      </c>
      <c r="W634">
        <f>HYPERLINK("https://klasma.github.io/Logging_0860/klagomålsmail/A 4963-2025 FSC-klagomål mail.docx", "A 4963-2025")</f>
        <v/>
      </c>
      <c r="X634">
        <f>HYPERLINK("https://klasma.github.io/Logging_0860/tillsyn/A 4963-2025 tillsynsbegäran.docx", "A 4963-2025")</f>
        <v/>
      </c>
      <c r="Y634">
        <f>HYPERLINK("https://klasma.github.io/Logging_0860/tillsynsmail/A 4963-2025 tillsynsbegäran mail.docx", "A 4963-2025")</f>
        <v/>
      </c>
      <c r="Z634">
        <f>HYPERLINK("https://klasma.github.io/Logging_0860/fåglar/A 4963-2025 prioriterade fågelarter.docx", "A 4963-2025")</f>
        <v/>
      </c>
    </row>
    <row r="635" ht="15" customHeight="1">
      <c r="A635" t="inlineStr">
        <is>
          <t>A 34563-2023</t>
        </is>
      </c>
      <c r="B635" s="1" t="n">
        <v>45140.52086805556</v>
      </c>
      <c r="C635" s="1" t="n">
        <v>45884</v>
      </c>
      <c r="D635" t="inlineStr">
        <is>
          <t>KALMAR LÄN</t>
        </is>
      </c>
      <c r="E635" t="inlineStr">
        <is>
          <t>VÄSTERVIK</t>
        </is>
      </c>
      <c r="G635" t="n">
        <v>1.4</v>
      </c>
      <c r="H635" t="n">
        <v>0</v>
      </c>
      <c r="I635" t="n">
        <v>1</v>
      </c>
      <c r="J635" t="n">
        <v>0</v>
      </c>
      <c r="K635" t="n">
        <v>0</v>
      </c>
      <c r="L635" t="n">
        <v>0</v>
      </c>
      <c r="M635" t="n">
        <v>0</v>
      </c>
      <c r="N635" t="n">
        <v>0</v>
      </c>
      <c r="O635" t="n">
        <v>0</v>
      </c>
      <c r="P635" t="n">
        <v>0</v>
      </c>
      <c r="Q635" t="n">
        <v>1</v>
      </c>
      <c r="R635" s="2" t="inlineStr">
        <is>
          <t>Fjällig taggsvamp s.str.</t>
        </is>
      </c>
      <c r="S635">
        <f>HYPERLINK("https://klasma.github.io/Logging_0883/artfynd/A 34563-2023 artfynd.xlsx", "A 34563-2023")</f>
        <v/>
      </c>
      <c r="T635">
        <f>HYPERLINK("https://klasma.github.io/Logging_0883/kartor/A 34563-2023 karta.png", "A 34563-2023")</f>
        <v/>
      </c>
      <c r="U635">
        <f>HYPERLINK("https://klasma.github.io/Logging_0883/knärot/A 34563-2023 karta knärot.png", "A 34563-2023")</f>
        <v/>
      </c>
      <c r="V635">
        <f>HYPERLINK("https://klasma.github.io/Logging_0883/klagomål/A 34563-2023 FSC-klagomål.docx", "A 34563-2023")</f>
        <v/>
      </c>
      <c r="W635">
        <f>HYPERLINK("https://klasma.github.io/Logging_0883/klagomålsmail/A 34563-2023 FSC-klagomål mail.docx", "A 34563-2023")</f>
        <v/>
      </c>
      <c r="X635">
        <f>HYPERLINK("https://klasma.github.io/Logging_0883/tillsyn/A 34563-2023 tillsynsbegäran.docx", "A 34563-2023")</f>
        <v/>
      </c>
      <c r="Y635">
        <f>HYPERLINK("https://klasma.github.io/Logging_0883/tillsynsmail/A 34563-2023 tillsynsbegäran mail.docx", "A 34563-2023")</f>
        <v/>
      </c>
    </row>
    <row r="636" ht="15" customHeight="1">
      <c r="A636" t="inlineStr">
        <is>
          <t>A 42773-2024</t>
        </is>
      </c>
      <c r="B636" s="1" t="n">
        <v>45566</v>
      </c>
      <c r="C636" s="1" t="n">
        <v>45884</v>
      </c>
      <c r="D636" t="inlineStr">
        <is>
          <t>KALMAR LÄN</t>
        </is>
      </c>
      <c r="E636" t="inlineStr">
        <is>
          <t>HULTSFRED</t>
        </is>
      </c>
      <c r="G636" t="n">
        <v>0.3</v>
      </c>
      <c r="H636" t="n">
        <v>0</v>
      </c>
      <c r="I636" t="n">
        <v>0</v>
      </c>
      <c r="J636" t="n">
        <v>0</v>
      </c>
      <c r="K636" t="n">
        <v>1</v>
      </c>
      <c r="L636" t="n">
        <v>0</v>
      </c>
      <c r="M636" t="n">
        <v>0</v>
      </c>
      <c r="N636" t="n">
        <v>0</v>
      </c>
      <c r="O636" t="n">
        <v>1</v>
      </c>
      <c r="P636" t="n">
        <v>1</v>
      </c>
      <c r="Q636" t="n">
        <v>1</v>
      </c>
      <c r="R636" s="2" t="inlineStr">
        <is>
          <t>Lungrot</t>
        </is>
      </c>
      <c r="S636">
        <f>HYPERLINK("https://klasma.github.io/Logging_0860/artfynd/A 42773-2024 artfynd.xlsx", "A 42773-2024")</f>
        <v/>
      </c>
      <c r="T636">
        <f>HYPERLINK("https://klasma.github.io/Logging_0860/kartor/A 42773-2024 karta.png", "A 42773-2024")</f>
        <v/>
      </c>
      <c r="V636">
        <f>HYPERLINK("https://klasma.github.io/Logging_0860/klagomål/A 42773-2024 FSC-klagomål.docx", "A 42773-2024")</f>
        <v/>
      </c>
      <c r="W636">
        <f>HYPERLINK("https://klasma.github.io/Logging_0860/klagomålsmail/A 42773-2024 FSC-klagomål mail.docx", "A 42773-2024")</f>
        <v/>
      </c>
      <c r="X636">
        <f>HYPERLINK("https://klasma.github.io/Logging_0860/tillsyn/A 42773-2024 tillsynsbegäran.docx", "A 42773-2024")</f>
        <v/>
      </c>
      <c r="Y636">
        <f>HYPERLINK("https://klasma.github.io/Logging_0860/tillsynsmail/A 42773-2024 tillsynsbegäran mail.docx", "A 42773-2024")</f>
        <v/>
      </c>
    </row>
    <row r="637" ht="15" customHeight="1">
      <c r="A637" t="inlineStr">
        <is>
          <t>A 52690-2023</t>
        </is>
      </c>
      <c r="B637" s="1" t="n">
        <v>45225.75832175926</v>
      </c>
      <c r="C637" s="1" t="n">
        <v>45884</v>
      </c>
      <c r="D637" t="inlineStr">
        <is>
          <t>KALMAR LÄN</t>
        </is>
      </c>
      <c r="E637" t="inlineStr">
        <is>
          <t>HULTSFRED</t>
        </is>
      </c>
      <c r="G637" t="n">
        <v>1.4</v>
      </c>
      <c r="H637" t="n">
        <v>0</v>
      </c>
      <c r="I637" t="n">
        <v>1</v>
      </c>
      <c r="J637" t="n">
        <v>0</v>
      </c>
      <c r="K637" t="n">
        <v>0</v>
      </c>
      <c r="L637" t="n">
        <v>0</v>
      </c>
      <c r="M637" t="n">
        <v>0</v>
      </c>
      <c r="N637" t="n">
        <v>0</v>
      </c>
      <c r="O637" t="n">
        <v>0</v>
      </c>
      <c r="P637" t="n">
        <v>0</v>
      </c>
      <c r="Q637" t="n">
        <v>1</v>
      </c>
      <c r="R637" s="2" t="inlineStr">
        <is>
          <t>Tibast</t>
        </is>
      </c>
      <c r="S637">
        <f>HYPERLINK("https://klasma.github.io/Logging_0860/artfynd/A 52690-2023 artfynd.xlsx", "A 52690-2023")</f>
        <v/>
      </c>
      <c r="T637">
        <f>HYPERLINK("https://klasma.github.io/Logging_0860/kartor/A 52690-2023 karta.png", "A 52690-2023")</f>
        <v/>
      </c>
      <c r="V637">
        <f>HYPERLINK("https://klasma.github.io/Logging_0860/klagomål/A 52690-2023 FSC-klagomål.docx", "A 52690-2023")</f>
        <v/>
      </c>
      <c r="W637">
        <f>HYPERLINK("https://klasma.github.io/Logging_0860/klagomålsmail/A 52690-2023 FSC-klagomål mail.docx", "A 52690-2023")</f>
        <v/>
      </c>
      <c r="X637">
        <f>HYPERLINK("https://klasma.github.io/Logging_0860/tillsyn/A 52690-2023 tillsynsbegäran.docx", "A 52690-2023")</f>
        <v/>
      </c>
      <c r="Y637">
        <f>HYPERLINK("https://klasma.github.io/Logging_0860/tillsynsmail/A 52690-2023 tillsynsbegäran mail.docx", "A 52690-2023")</f>
        <v/>
      </c>
    </row>
    <row r="638" ht="15" customHeight="1">
      <c r="A638" t="inlineStr">
        <is>
          <t>A 59368-2023</t>
        </is>
      </c>
      <c r="B638" s="1" t="n">
        <v>45253</v>
      </c>
      <c r="C638" s="1" t="n">
        <v>45884</v>
      </c>
      <c r="D638" t="inlineStr">
        <is>
          <t>KALMAR LÄN</t>
        </is>
      </c>
      <c r="E638" t="inlineStr">
        <is>
          <t>VÄSTERVIK</t>
        </is>
      </c>
      <c r="G638" t="n">
        <v>2.4</v>
      </c>
      <c r="H638" t="n">
        <v>1</v>
      </c>
      <c r="I638" t="n">
        <v>0</v>
      </c>
      <c r="J638" t="n">
        <v>0</v>
      </c>
      <c r="K638" t="n">
        <v>1</v>
      </c>
      <c r="L638" t="n">
        <v>0</v>
      </c>
      <c r="M638" t="n">
        <v>0</v>
      </c>
      <c r="N638" t="n">
        <v>0</v>
      </c>
      <c r="O638" t="n">
        <v>1</v>
      </c>
      <c r="P638" t="n">
        <v>1</v>
      </c>
      <c r="Q638" t="n">
        <v>1</v>
      </c>
      <c r="R638" s="2" t="inlineStr">
        <is>
          <t>Knärot</t>
        </is>
      </c>
      <c r="S638">
        <f>HYPERLINK("https://klasma.github.io/Logging_0883/artfynd/A 59368-2023 artfynd.xlsx", "A 59368-2023")</f>
        <v/>
      </c>
      <c r="T638">
        <f>HYPERLINK("https://klasma.github.io/Logging_0883/kartor/A 59368-2023 karta.png", "A 59368-2023")</f>
        <v/>
      </c>
      <c r="U638">
        <f>HYPERLINK("https://klasma.github.io/Logging_0883/knärot/A 59368-2023 karta knärot.png", "A 59368-2023")</f>
        <v/>
      </c>
      <c r="V638">
        <f>HYPERLINK("https://klasma.github.io/Logging_0883/klagomål/A 59368-2023 FSC-klagomål.docx", "A 59368-2023")</f>
        <v/>
      </c>
      <c r="W638">
        <f>HYPERLINK("https://klasma.github.io/Logging_0883/klagomålsmail/A 59368-2023 FSC-klagomål mail.docx", "A 59368-2023")</f>
        <v/>
      </c>
      <c r="X638">
        <f>HYPERLINK("https://klasma.github.io/Logging_0883/tillsyn/A 59368-2023 tillsynsbegäran.docx", "A 59368-2023")</f>
        <v/>
      </c>
      <c r="Y638">
        <f>HYPERLINK("https://klasma.github.io/Logging_0883/tillsynsmail/A 59368-2023 tillsynsbegäran mail.docx", "A 59368-2023")</f>
        <v/>
      </c>
    </row>
    <row r="639" ht="15" customHeight="1">
      <c r="A639" t="inlineStr">
        <is>
          <t>A 14290-2024</t>
        </is>
      </c>
      <c r="B639" s="1" t="n">
        <v>45393.63238425926</v>
      </c>
      <c r="C639" s="1" t="n">
        <v>45884</v>
      </c>
      <c r="D639" t="inlineStr">
        <is>
          <t>KALMAR LÄN</t>
        </is>
      </c>
      <c r="E639" t="inlineStr">
        <is>
          <t>HULTSFRED</t>
        </is>
      </c>
      <c r="G639" t="n">
        <v>4</v>
      </c>
      <c r="H639" t="n">
        <v>1</v>
      </c>
      <c r="I639" t="n">
        <v>0</v>
      </c>
      <c r="J639" t="n">
        <v>0</v>
      </c>
      <c r="K639" t="n">
        <v>0</v>
      </c>
      <c r="L639" t="n">
        <v>0</v>
      </c>
      <c r="M639" t="n">
        <v>0</v>
      </c>
      <c r="N639" t="n">
        <v>0</v>
      </c>
      <c r="O639" t="n">
        <v>0</v>
      </c>
      <c r="P639" t="n">
        <v>0</v>
      </c>
      <c r="Q639" t="n">
        <v>1</v>
      </c>
      <c r="R639" s="2" t="inlineStr">
        <is>
          <t>Blåsippa</t>
        </is>
      </c>
      <c r="S639">
        <f>HYPERLINK("https://klasma.github.io/Logging_0860/artfynd/A 14290-2024 artfynd.xlsx", "A 14290-2024")</f>
        <v/>
      </c>
      <c r="T639">
        <f>HYPERLINK("https://klasma.github.io/Logging_0860/kartor/A 14290-2024 karta.png", "A 14290-2024")</f>
        <v/>
      </c>
      <c r="V639">
        <f>HYPERLINK("https://klasma.github.io/Logging_0860/klagomål/A 14290-2024 FSC-klagomål.docx", "A 14290-2024")</f>
        <v/>
      </c>
      <c r="W639">
        <f>HYPERLINK("https://klasma.github.io/Logging_0860/klagomålsmail/A 14290-2024 FSC-klagomål mail.docx", "A 14290-2024")</f>
        <v/>
      </c>
      <c r="X639">
        <f>HYPERLINK("https://klasma.github.io/Logging_0860/tillsyn/A 14290-2024 tillsynsbegäran.docx", "A 14290-2024")</f>
        <v/>
      </c>
      <c r="Y639">
        <f>HYPERLINK("https://klasma.github.io/Logging_0860/tillsynsmail/A 14290-2024 tillsynsbegäran mail.docx", "A 14290-2024")</f>
        <v/>
      </c>
    </row>
    <row r="640" ht="15" customHeight="1">
      <c r="A640" t="inlineStr">
        <is>
          <t>A 25605-2024</t>
        </is>
      </c>
      <c r="B640" s="1" t="n">
        <v>45463.63111111111</v>
      </c>
      <c r="C640" s="1" t="n">
        <v>45884</v>
      </c>
      <c r="D640" t="inlineStr">
        <is>
          <t>KALMAR LÄN</t>
        </is>
      </c>
      <c r="E640" t="inlineStr">
        <is>
          <t>MÖNSTERÅS</t>
        </is>
      </c>
      <c r="G640" t="n">
        <v>1</v>
      </c>
      <c r="H640" t="n">
        <v>1</v>
      </c>
      <c r="I640" t="n">
        <v>0</v>
      </c>
      <c r="J640" t="n">
        <v>0</v>
      </c>
      <c r="K640" t="n">
        <v>0</v>
      </c>
      <c r="L640" t="n">
        <v>0</v>
      </c>
      <c r="M640" t="n">
        <v>0</v>
      </c>
      <c r="N640" t="n">
        <v>0</v>
      </c>
      <c r="O640" t="n">
        <v>0</v>
      </c>
      <c r="P640" t="n">
        <v>0</v>
      </c>
      <c r="Q640" t="n">
        <v>1</v>
      </c>
      <c r="R640" s="2" t="inlineStr">
        <is>
          <t>Gullviva</t>
        </is>
      </c>
      <c r="S640">
        <f>HYPERLINK("https://klasma.github.io/Logging_0861/artfynd/A 25605-2024 artfynd.xlsx", "A 25605-2024")</f>
        <v/>
      </c>
      <c r="T640">
        <f>HYPERLINK("https://klasma.github.io/Logging_0861/kartor/A 25605-2024 karta.png", "A 25605-2024")</f>
        <v/>
      </c>
      <c r="V640">
        <f>HYPERLINK("https://klasma.github.io/Logging_0861/klagomål/A 25605-2024 FSC-klagomål.docx", "A 25605-2024")</f>
        <v/>
      </c>
      <c r="W640">
        <f>HYPERLINK("https://klasma.github.io/Logging_0861/klagomålsmail/A 25605-2024 FSC-klagomål mail.docx", "A 25605-2024")</f>
        <v/>
      </c>
      <c r="X640">
        <f>HYPERLINK("https://klasma.github.io/Logging_0861/tillsyn/A 25605-2024 tillsynsbegäran.docx", "A 25605-2024")</f>
        <v/>
      </c>
      <c r="Y640">
        <f>HYPERLINK("https://klasma.github.io/Logging_0861/tillsynsmail/A 25605-2024 tillsynsbegäran mail.docx", "A 25605-2024")</f>
        <v/>
      </c>
    </row>
    <row r="641" ht="15" customHeight="1">
      <c r="A641" t="inlineStr">
        <is>
          <t>A 49579-2024</t>
        </is>
      </c>
      <c r="B641" s="1" t="n">
        <v>45596.52869212963</v>
      </c>
      <c r="C641" s="1" t="n">
        <v>45884</v>
      </c>
      <c r="D641" t="inlineStr">
        <is>
          <t>KALMAR LÄN</t>
        </is>
      </c>
      <c r="E641" t="inlineStr">
        <is>
          <t>NYBRO</t>
        </is>
      </c>
      <c r="G641" t="n">
        <v>5</v>
      </c>
      <c r="H641" t="n">
        <v>1</v>
      </c>
      <c r="I641" t="n">
        <v>0</v>
      </c>
      <c r="J641" t="n">
        <v>0</v>
      </c>
      <c r="K641" t="n">
        <v>0</v>
      </c>
      <c r="L641" t="n">
        <v>0</v>
      </c>
      <c r="M641" t="n">
        <v>0</v>
      </c>
      <c r="N641" t="n">
        <v>0</v>
      </c>
      <c r="O641" t="n">
        <v>0</v>
      </c>
      <c r="P641" t="n">
        <v>0</v>
      </c>
      <c r="Q641" t="n">
        <v>1</v>
      </c>
      <c r="R641" s="2" t="inlineStr">
        <is>
          <t>Fläcknycklar</t>
        </is>
      </c>
      <c r="S641">
        <f>HYPERLINK("https://klasma.github.io/Logging_0881/artfynd/A 49579-2024 artfynd.xlsx", "A 49579-2024")</f>
        <v/>
      </c>
      <c r="T641">
        <f>HYPERLINK("https://klasma.github.io/Logging_0881/kartor/A 49579-2024 karta.png", "A 49579-2024")</f>
        <v/>
      </c>
      <c r="V641">
        <f>HYPERLINK("https://klasma.github.io/Logging_0881/klagomål/A 49579-2024 FSC-klagomål.docx", "A 49579-2024")</f>
        <v/>
      </c>
      <c r="W641">
        <f>HYPERLINK("https://klasma.github.io/Logging_0881/klagomålsmail/A 49579-2024 FSC-klagomål mail.docx", "A 49579-2024")</f>
        <v/>
      </c>
      <c r="X641">
        <f>HYPERLINK("https://klasma.github.io/Logging_0881/tillsyn/A 49579-2024 tillsynsbegäran.docx", "A 49579-2024")</f>
        <v/>
      </c>
      <c r="Y641">
        <f>HYPERLINK("https://klasma.github.io/Logging_0881/tillsynsmail/A 49579-2024 tillsynsbegäran mail.docx", "A 49579-2024")</f>
        <v/>
      </c>
    </row>
    <row r="642" ht="15" customHeight="1">
      <c r="A642" t="inlineStr">
        <is>
          <t>A 58470-2024</t>
        </is>
      </c>
      <c r="B642" s="1" t="n">
        <v>45635.37515046296</v>
      </c>
      <c r="C642" s="1" t="n">
        <v>45884</v>
      </c>
      <c r="D642" t="inlineStr">
        <is>
          <t>KALMAR LÄN</t>
        </is>
      </c>
      <c r="E642" t="inlineStr">
        <is>
          <t>HULTSFRED</t>
        </is>
      </c>
      <c r="G642" t="n">
        <v>1</v>
      </c>
      <c r="H642" t="n">
        <v>0</v>
      </c>
      <c r="I642" t="n">
        <v>1</v>
      </c>
      <c r="J642" t="n">
        <v>0</v>
      </c>
      <c r="K642" t="n">
        <v>0</v>
      </c>
      <c r="L642" t="n">
        <v>0</v>
      </c>
      <c r="M642" t="n">
        <v>0</v>
      </c>
      <c r="N642" t="n">
        <v>0</v>
      </c>
      <c r="O642" t="n">
        <v>0</v>
      </c>
      <c r="P642" t="n">
        <v>0</v>
      </c>
      <c r="Q642" t="n">
        <v>1</v>
      </c>
      <c r="R642" s="2" t="inlineStr">
        <is>
          <t>Guldlockmossa</t>
        </is>
      </c>
      <c r="S642">
        <f>HYPERLINK("https://klasma.github.io/Logging_0860/artfynd/A 58470-2024 artfynd.xlsx", "A 58470-2024")</f>
        <v/>
      </c>
      <c r="T642">
        <f>HYPERLINK("https://klasma.github.io/Logging_0860/kartor/A 58470-2024 karta.png", "A 58470-2024")</f>
        <v/>
      </c>
      <c r="V642">
        <f>HYPERLINK("https://klasma.github.io/Logging_0860/klagomål/A 58470-2024 FSC-klagomål.docx", "A 58470-2024")</f>
        <v/>
      </c>
      <c r="W642">
        <f>HYPERLINK("https://klasma.github.io/Logging_0860/klagomålsmail/A 58470-2024 FSC-klagomål mail.docx", "A 58470-2024")</f>
        <v/>
      </c>
      <c r="X642">
        <f>HYPERLINK("https://klasma.github.io/Logging_0860/tillsyn/A 58470-2024 tillsynsbegäran.docx", "A 58470-2024")</f>
        <v/>
      </c>
      <c r="Y642">
        <f>HYPERLINK("https://klasma.github.io/Logging_0860/tillsynsmail/A 58470-2024 tillsynsbegäran mail.docx", "A 58470-2024")</f>
        <v/>
      </c>
    </row>
    <row r="643" ht="15" customHeight="1">
      <c r="A643" t="inlineStr">
        <is>
          <t>A 764-2023</t>
        </is>
      </c>
      <c r="B643" s="1" t="n">
        <v>44931</v>
      </c>
      <c r="C643" s="1" t="n">
        <v>45884</v>
      </c>
      <c r="D643" t="inlineStr">
        <is>
          <t>KALMAR LÄN</t>
        </is>
      </c>
      <c r="E643" t="inlineStr">
        <is>
          <t>KALMAR</t>
        </is>
      </c>
      <c r="G643" t="n">
        <v>4.1</v>
      </c>
      <c r="H643" t="n">
        <v>0</v>
      </c>
      <c r="I643" t="n">
        <v>1</v>
      </c>
      <c r="J643" t="n">
        <v>0</v>
      </c>
      <c r="K643" t="n">
        <v>0</v>
      </c>
      <c r="L643" t="n">
        <v>0</v>
      </c>
      <c r="M643" t="n">
        <v>0</v>
      </c>
      <c r="N643" t="n">
        <v>0</v>
      </c>
      <c r="O643" t="n">
        <v>0</v>
      </c>
      <c r="P643" t="n">
        <v>0</v>
      </c>
      <c r="Q643" t="n">
        <v>1</v>
      </c>
      <c r="R643" s="2" t="inlineStr">
        <is>
          <t>Blåmossa</t>
        </is>
      </c>
      <c r="S643">
        <f>HYPERLINK("https://klasma.github.io/Logging_0880/artfynd/A 764-2023 artfynd.xlsx", "A 764-2023")</f>
        <v/>
      </c>
      <c r="T643">
        <f>HYPERLINK("https://klasma.github.io/Logging_0880/kartor/A 764-2023 karta.png", "A 764-2023")</f>
        <v/>
      </c>
      <c r="V643">
        <f>HYPERLINK("https://klasma.github.io/Logging_0880/klagomål/A 764-2023 FSC-klagomål.docx", "A 764-2023")</f>
        <v/>
      </c>
      <c r="W643">
        <f>HYPERLINK("https://klasma.github.io/Logging_0880/klagomålsmail/A 764-2023 FSC-klagomål mail.docx", "A 764-2023")</f>
        <v/>
      </c>
      <c r="X643">
        <f>HYPERLINK("https://klasma.github.io/Logging_0880/tillsyn/A 764-2023 tillsynsbegäran.docx", "A 764-2023")</f>
        <v/>
      </c>
      <c r="Y643">
        <f>HYPERLINK("https://klasma.github.io/Logging_0880/tillsynsmail/A 764-2023 tillsynsbegäran mail.docx", "A 764-2023")</f>
        <v/>
      </c>
    </row>
    <row r="644" ht="15" customHeight="1">
      <c r="A644" t="inlineStr">
        <is>
          <t>A 9745-2023</t>
        </is>
      </c>
      <c r="B644" s="1" t="n">
        <v>44984</v>
      </c>
      <c r="C644" s="1" t="n">
        <v>45884</v>
      </c>
      <c r="D644" t="inlineStr">
        <is>
          <t>KALMAR LÄN</t>
        </is>
      </c>
      <c r="E644" t="inlineStr">
        <is>
          <t>BORGHOLM</t>
        </is>
      </c>
      <c r="G644" t="n">
        <v>1.2</v>
      </c>
      <c r="H644" t="n">
        <v>1</v>
      </c>
      <c r="I644" t="n">
        <v>1</v>
      </c>
      <c r="J644" t="n">
        <v>0</v>
      </c>
      <c r="K644" t="n">
        <v>0</v>
      </c>
      <c r="L644" t="n">
        <v>0</v>
      </c>
      <c r="M644" t="n">
        <v>0</v>
      </c>
      <c r="N644" t="n">
        <v>0</v>
      </c>
      <c r="O644" t="n">
        <v>0</v>
      </c>
      <c r="P644" t="n">
        <v>0</v>
      </c>
      <c r="Q644" t="n">
        <v>1</v>
      </c>
      <c r="R644" s="2" t="inlineStr">
        <is>
          <t>Skogsknipprot</t>
        </is>
      </c>
      <c r="S644">
        <f>HYPERLINK("https://klasma.github.io/Logging_0885/artfynd/A 9745-2023 artfynd.xlsx", "A 9745-2023")</f>
        <v/>
      </c>
      <c r="T644">
        <f>HYPERLINK("https://klasma.github.io/Logging_0885/kartor/A 9745-2023 karta.png", "A 9745-2023")</f>
        <v/>
      </c>
      <c r="V644">
        <f>HYPERLINK("https://klasma.github.io/Logging_0885/klagomål/A 9745-2023 FSC-klagomål.docx", "A 9745-2023")</f>
        <v/>
      </c>
      <c r="W644">
        <f>HYPERLINK("https://klasma.github.io/Logging_0885/klagomålsmail/A 9745-2023 FSC-klagomål mail.docx", "A 9745-2023")</f>
        <v/>
      </c>
      <c r="X644">
        <f>HYPERLINK("https://klasma.github.io/Logging_0885/tillsyn/A 9745-2023 tillsynsbegäran.docx", "A 9745-2023")</f>
        <v/>
      </c>
      <c r="Y644">
        <f>HYPERLINK("https://klasma.github.io/Logging_0885/tillsynsmail/A 9745-2023 tillsynsbegäran mail.docx", "A 9745-2023")</f>
        <v/>
      </c>
    </row>
    <row r="645" ht="15" customHeight="1">
      <c r="A645" t="inlineStr">
        <is>
          <t>A 44306-2020</t>
        </is>
      </c>
      <c r="B645" s="1" t="n">
        <v>44082</v>
      </c>
      <c r="C645" s="1" t="n">
        <v>45884</v>
      </c>
      <c r="D645" t="inlineStr">
        <is>
          <t>KALMAR LÄN</t>
        </is>
      </c>
      <c r="E645" t="inlineStr">
        <is>
          <t>VIMMERBY</t>
        </is>
      </c>
      <c r="G645" t="n">
        <v>16.4</v>
      </c>
      <c r="H645" t="n">
        <v>1</v>
      </c>
      <c r="I645" t="n">
        <v>1</v>
      </c>
      <c r="J645" t="n">
        <v>0</v>
      </c>
      <c r="K645" t="n">
        <v>0</v>
      </c>
      <c r="L645" t="n">
        <v>0</v>
      </c>
      <c r="M645" t="n">
        <v>0</v>
      </c>
      <c r="N645" t="n">
        <v>0</v>
      </c>
      <c r="O645" t="n">
        <v>0</v>
      </c>
      <c r="P645" t="n">
        <v>0</v>
      </c>
      <c r="Q645" t="n">
        <v>1</v>
      </c>
      <c r="R645" s="2" t="inlineStr">
        <is>
          <t>Plattlummer</t>
        </is>
      </c>
      <c r="S645">
        <f>HYPERLINK("https://klasma.github.io/Logging_0884/artfynd/A 44306-2020 artfynd.xlsx", "A 44306-2020")</f>
        <v/>
      </c>
      <c r="T645">
        <f>HYPERLINK("https://klasma.github.io/Logging_0884/kartor/A 44306-2020 karta.png", "A 44306-2020")</f>
        <v/>
      </c>
      <c r="V645">
        <f>HYPERLINK("https://klasma.github.io/Logging_0884/klagomål/A 44306-2020 FSC-klagomål.docx", "A 44306-2020")</f>
        <v/>
      </c>
      <c r="W645">
        <f>HYPERLINK("https://klasma.github.io/Logging_0884/klagomålsmail/A 44306-2020 FSC-klagomål mail.docx", "A 44306-2020")</f>
        <v/>
      </c>
      <c r="X645">
        <f>HYPERLINK("https://klasma.github.io/Logging_0884/tillsyn/A 44306-2020 tillsynsbegäran.docx", "A 44306-2020")</f>
        <v/>
      </c>
      <c r="Y645">
        <f>HYPERLINK("https://klasma.github.io/Logging_0884/tillsynsmail/A 44306-2020 tillsynsbegäran mail.docx", "A 44306-2020")</f>
        <v/>
      </c>
    </row>
    <row r="646" ht="15" customHeight="1">
      <c r="A646" t="inlineStr">
        <is>
          <t>A 51024-2022</t>
        </is>
      </c>
      <c r="B646" s="1" t="n">
        <v>44867</v>
      </c>
      <c r="C646" s="1" t="n">
        <v>45884</v>
      </c>
      <c r="D646" t="inlineStr">
        <is>
          <t>KALMAR LÄN</t>
        </is>
      </c>
      <c r="E646" t="inlineStr">
        <is>
          <t>VÄSTERVIK</t>
        </is>
      </c>
      <c r="F646" t="inlineStr">
        <is>
          <t>Holmen skog AB</t>
        </is>
      </c>
      <c r="G646" t="n">
        <v>7.6</v>
      </c>
      <c r="H646" t="n">
        <v>1</v>
      </c>
      <c r="I646" t="n">
        <v>0</v>
      </c>
      <c r="J646" t="n">
        <v>1</v>
      </c>
      <c r="K646" t="n">
        <v>0</v>
      </c>
      <c r="L646" t="n">
        <v>0</v>
      </c>
      <c r="M646" t="n">
        <v>0</v>
      </c>
      <c r="N646" t="n">
        <v>0</v>
      </c>
      <c r="O646" t="n">
        <v>1</v>
      </c>
      <c r="P646" t="n">
        <v>0</v>
      </c>
      <c r="Q646" t="n">
        <v>1</v>
      </c>
      <c r="R646" s="2" t="inlineStr">
        <is>
          <t>Talltita</t>
        </is>
      </c>
      <c r="S646">
        <f>HYPERLINK("https://klasma.github.io/Logging_0883/artfynd/A 51024-2022 artfynd.xlsx", "A 51024-2022")</f>
        <v/>
      </c>
      <c r="T646">
        <f>HYPERLINK("https://klasma.github.io/Logging_0883/kartor/A 51024-2022 karta.png", "A 51024-2022")</f>
        <v/>
      </c>
      <c r="V646">
        <f>HYPERLINK("https://klasma.github.io/Logging_0883/klagomål/A 51024-2022 FSC-klagomål.docx", "A 51024-2022")</f>
        <v/>
      </c>
      <c r="W646">
        <f>HYPERLINK("https://klasma.github.io/Logging_0883/klagomålsmail/A 51024-2022 FSC-klagomål mail.docx", "A 51024-2022")</f>
        <v/>
      </c>
      <c r="X646">
        <f>HYPERLINK("https://klasma.github.io/Logging_0883/tillsyn/A 51024-2022 tillsynsbegäran.docx", "A 51024-2022")</f>
        <v/>
      </c>
      <c r="Y646">
        <f>HYPERLINK("https://klasma.github.io/Logging_0883/tillsynsmail/A 51024-2022 tillsynsbegäran mail.docx", "A 51024-2022")</f>
        <v/>
      </c>
      <c r="Z646">
        <f>HYPERLINK("https://klasma.github.io/Logging_0883/fåglar/A 51024-2022 prioriterade fågelarter.docx", "A 51024-2022")</f>
        <v/>
      </c>
    </row>
    <row r="647" ht="15" customHeight="1">
      <c r="A647" t="inlineStr">
        <is>
          <t>A 6841-2021</t>
        </is>
      </c>
      <c r="B647" s="1" t="n">
        <v>44236</v>
      </c>
      <c r="C647" s="1" t="n">
        <v>45884</v>
      </c>
      <c r="D647" t="inlineStr">
        <is>
          <t>KALMAR LÄN</t>
        </is>
      </c>
      <c r="E647" t="inlineStr">
        <is>
          <t>VIMMERBY</t>
        </is>
      </c>
      <c r="G647" t="n">
        <v>25</v>
      </c>
      <c r="H647" t="n">
        <v>0</v>
      </c>
      <c r="I647" t="n">
        <v>0</v>
      </c>
      <c r="J647" t="n">
        <v>1</v>
      </c>
      <c r="K647" t="n">
        <v>0</v>
      </c>
      <c r="L647" t="n">
        <v>0</v>
      </c>
      <c r="M647" t="n">
        <v>0</v>
      </c>
      <c r="N647" t="n">
        <v>0</v>
      </c>
      <c r="O647" t="n">
        <v>1</v>
      </c>
      <c r="P647" t="n">
        <v>0</v>
      </c>
      <c r="Q647" t="n">
        <v>1</v>
      </c>
      <c r="R647" s="2" t="inlineStr">
        <is>
          <t>Bredbrämad bastardsvärmare</t>
        </is>
      </c>
      <c r="S647">
        <f>HYPERLINK("https://klasma.github.io/Logging_0884/artfynd/A 6841-2021 artfynd.xlsx", "A 6841-2021")</f>
        <v/>
      </c>
      <c r="T647">
        <f>HYPERLINK("https://klasma.github.io/Logging_0884/kartor/A 6841-2021 karta.png", "A 6841-2021")</f>
        <v/>
      </c>
      <c r="V647">
        <f>HYPERLINK("https://klasma.github.io/Logging_0884/klagomål/A 6841-2021 FSC-klagomål.docx", "A 6841-2021")</f>
        <v/>
      </c>
      <c r="W647">
        <f>HYPERLINK("https://klasma.github.io/Logging_0884/klagomålsmail/A 6841-2021 FSC-klagomål mail.docx", "A 6841-2021")</f>
        <v/>
      </c>
      <c r="X647">
        <f>HYPERLINK("https://klasma.github.io/Logging_0884/tillsyn/A 6841-2021 tillsynsbegäran.docx", "A 6841-2021")</f>
        <v/>
      </c>
      <c r="Y647">
        <f>HYPERLINK("https://klasma.github.io/Logging_0884/tillsynsmail/A 6841-2021 tillsynsbegäran mail.docx", "A 6841-2021")</f>
        <v/>
      </c>
    </row>
    <row r="648" ht="15" customHeight="1">
      <c r="A648" t="inlineStr">
        <is>
          <t>A 15898-2024</t>
        </is>
      </c>
      <c r="B648" s="1" t="n">
        <v>45405.40247685185</v>
      </c>
      <c r="C648" s="1" t="n">
        <v>45884</v>
      </c>
      <c r="D648" t="inlineStr">
        <is>
          <t>KALMAR LÄN</t>
        </is>
      </c>
      <c r="E648" t="inlineStr">
        <is>
          <t>MÖNSTERÅS</t>
        </is>
      </c>
      <c r="G648" t="n">
        <v>0.7</v>
      </c>
      <c r="H648" t="n">
        <v>1</v>
      </c>
      <c r="I648" t="n">
        <v>0</v>
      </c>
      <c r="J648" t="n">
        <v>0</v>
      </c>
      <c r="K648" t="n">
        <v>0</v>
      </c>
      <c r="L648" t="n">
        <v>0</v>
      </c>
      <c r="M648" t="n">
        <v>0</v>
      </c>
      <c r="N648" t="n">
        <v>0</v>
      </c>
      <c r="O648" t="n">
        <v>0</v>
      </c>
      <c r="P648" t="n">
        <v>0</v>
      </c>
      <c r="Q648" t="n">
        <v>1</v>
      </c>
      <c r="R648" s="2" t="inlineStr">
        <is>
          <t>Gullviva</t>
        </is>
      </c>
      <c r="S648">
        <f>HYPERLINK("https://klasma.github.io/Logging_0861/artfynd/A 15898-2024 artfynd.xlsx", "A 15898-2024")</f>
        <v/>
      </c>
      <c r="T648">
        <f>HYPERLINK("https://klasma.github.io/Logging_0861/kartor/A 15898-2024 karta.png", "A 15898-2024")</f>
        <v/>
      </c>
      <c r="V648">
        <f>HYPERLINK("https://klasma.github.io/Logging_0861/klagomål/A 15898-2024 FSC-klagomål.docx", "A 15898-2024")</f>
        <v/>
      </c>
      <c r="W648">
        <f>HYPERLINK("https://klasma.github.io/Logging_0861/klagomålsmail/A 15898-2024 FSC-klagomål mail.docx", "A 15898-2024")</f>
        <v/>
      </c>
      <c r="X648">
        <f>HYPERLINK("https://klasma.github.io/Logging_0861/tillsyn/A 15898-2024 tillsynsbegäran.docx", "A 15898-2024")</f>
        <v/>
      </c>
      <c r="Y648">
        <f>HYPERLINK("https://klasma.github.io/Logging_0861/tillsynsmail/A 15898-2024 tillsynsbegäran mail.docx", "A 15898-2024")</f>
        <v/>
      </c>
    </row>
    <row r="649" ht="15" customHeight="1">
      <c r="A649" t="inlineStr">
        <is>
          <t>A 10962-2021</t>
        </is>
      </c>
      <c r="B649" s="1" t="n">
        <v>44260</v>
      </c>
      <c r="C649" s="1" t="n">
        <v>45884</v>
      </c>
      <c r="D649" t="inlineStr">
        <is>
          <t>KALMAR LÄN</t>
        </is>
      </c>
      <c r="E649" t="inlineStr">
        <is>
          <t>KALMAR</t>
        </is>
      </c>
      <c r="G649" t="n">
        <v>1.1</v>
      </c>
      <c r="H649" t="n">
        <v>1</v>
      </c>
      <c r="I649" t="n">
        <v>0</v>
      </c>
      <c r="J649" t="n">
        <v>0</v>
      </c>
      <c r="K649" t="n">
        <v>0</v>
      </c>
      <c r="L649" t="n">
        <v>0</v>
      </c>
      <c r="M649" t="n">
        <v>0</v>
      </c>
      <c r="N649" t="n">
        <v>0</v>
      </c>
      <c r="O649" t="n">
        <v>0</v>
      </c>
      <c r="P649" t="n">
        <v>0</v>
      </c>
      <c r="Q649" t="n">
        <v>1</v>
      </c>
      <c r="R649" s="2" t="inlineStr">
        <is>
          <t>Revlummer</t>
        </is>
      </c>
      <c r="S649">
        <f>HYPERLINK("https://klasma.github.io/Logging_0880/artfynd/A 10962-2021 artfynd.xlsx", "A 10962-2021")</f>
        <v/>
      </c>
      <c r="T649">
        <f>HYPERLINK("https://klasma.github.io/Logging_0880/kartor/A 10962-2021 karta.png", "A 10962-2021")</f>
        <v/>
      </c>
      <c r="V649">
        <f>HYPERLINK("https://klasma.github.io/Logging_0880/klagomål/A 10962-2021 FSC-klagomål.docx", "A 10962-2021")</f>
        <v/>
      </c>
      <c r="W649">
        <f>HYPERLINK("https://klasma.github.io/Logging_0880/klagomålsmail/A 10962-2021 FSC-klagomål mail.docx", "A 10962-2021")</f>
        <v/>
      </c>
      <c r="X649">
        <f>HYPERLINK("https://klasma.github.io/Logging_0880/tillsyn/A 10962-2021 tillsynsbegäran.docx", "A 10962-2021")</f>
        <v/>
      </c>
      <c r="Y649">
        <f>HYPERLINK("https://klasma.github.io/Logging_0880/tillsynsmail/A 10962-2021 tillsynsbegäran mail.docx", "A 10962-2021")</f>
        <v/>
      </c>
    </row>
    <row r="650" ht="15" customHeight="1">
      <c r="A650" t="inlineStr">
        <is>
          <t>A 32985-2023</t>
        </is>
      </c>
      <c r="B650" s="1" t="n">
        <v>45125</v>
      </c>
      <c r="C650" s="1" t="n">
        <v>45884</v>
      </c>
      <c r="D650" t="inlineStr">
        <is>
          <t>KALMAR LÄN</t>
        </is>
      </c>
      <c r="E650" t="inlineStr">
        <is>
          <t>VIMMERBY</t>
        </is>
      </c>
      <c r="G650" t="n">
        <v>1.9</v>
      </c>
      <c r="H650" t="n">
        <v>0</v>
      </c>
      <c r="I650" t="n">
        <v>0</v>
      </c>
      <c r="J650" t="n">
        <v>0</v>
      </c>
      <c r="K650" t="n">
        <v>0</v>
      </c>
      <c r="L650" t="n">
        <v>1</v>
      </c>
      <c r="M650" t="n">
        <v>0</v>
      </c>
      <c r="N650" t="n">
        <v>0</v>
      </c>
      <c r="O650" t="n">
        <v>1</v>
      </c>
      <c r="P650" t="n">
        <v>1</v>
      </c>
      <c r="Q650" t="n">
        <v>1</v>
      </c>
      <c r="R650" s="2" t="inlineStr">
        <is>
          <t>Ryl</t>
        </is>
      </c>
      <c r="S650">
        <f>HYPERLINK("https://klasma.github.io/Logging_0884/artfynd/A 32985-2023 artfynd.xlsx", "A 32985-2023")</f>
        <v/>
      </c>
      <c r="T650">
        <f>HYPERLINK("https://klasma.github.io/Logging_0884/kartor/A 32985-2023 karta.png", "A 32985-2023")</f>
        <v/>
      </c>
      <c r="V650">
        <f>HYPERLINK("https://klasma.github.io/Logging_0884/klagomål/A 32985-2023 FSC-klagomål.docx", "A 32985-2023")</f>
        <v/>
      </c>
      <c r="W650">
        <f>HYPERLINK("https://klasma.github.io/Logging_0884/klagomålsmail/A 32985-2023 FSC-klagomål mail.docx", "A 32985-2023")</f>
        <v/>
      </c>
      <c r="X650">
        <f>HYPERLINK("https://klasma.github.io/Logging_0884/tillsyn/A 32985-2023 tillsynsbegäran.docx", "A 32985-2023")</f>
        <v/>
      </c>
      <c r="Y650">
        <f>HYPERLINK("https://klasma.github.io/Logging_0884/tillsynsmail/A 32985-2023 tillsynsbegäran mail.docx", "A 32985-2023")</f>
        <v/>
      </c>
    </row>
    <row r="651" ht="15" customHeight="1">
      <c r="A651" t="inlineStr">
        <is>
          <t>A 16715-2025</t>
        </is>
      </c>
      <c r="B651" s="1" t="n">
        <v>45754.48619212963</v>
      </c>
      <c r="C651" s="1" t="n">
        <v>45884</v>
      </c>
      <c r="D651" t="inlineStr">
        <is>
          <t>KALMAR LÄN</t>
        </is>
      </c>
      <c r="E651" t="inlineStr">
        <is>
          <t>NYBRO</t>
        </is>
      </c>
      <c r="F651" t="inlineStr">
        <is>
          <t>Sveaskog</t>
        </is>
      </c>
      <c r="G651" t="n">
        <v>1.5</v>
      </c>
      <c r="H651" t="n">
        <v>1</v>
      </c>
      <c r="I651" t="n">
        <v>0</v>
      </c>
      <c r="J651" t="n">
        <v>0</v>
      </c>
      <c r="K651" t="n">
        <v>0</v>
      </c>
      <c r="L651" t="n">
        <v>0</v>
      </c>
      <c r="M651" t="n">
        <v>0</v>
      </c>
      <c r="N651" t="n">
        <v>0</v>
      </c>
      <c r="O651" t="n">
        <v>0</v>
      </c>
      <c r="P651" t="n">
        <v>0</v>
      </c>
      <c r="Q651" t="n">
        <v>1</v>
      </c>
      <c r="R651" s="2" t="inlineStr">
        <is>
          <t>Större brunfladdermus</t>
        </is>
      </c>
      <c r="S651">
        <f>HYPERLINK("https://klasma.github.io/Logging_0881/artfynd/A 16715-2025 artfynd.xlsx", "A 16715-2025")</f>
        <v/>
      </c>
      <c r="T651">
        <f>HYPERLINK("https://klasma.github.io/Logging_0881/kartor/A 16715-2025 karta.png", "A 16715-2025")</f>
        <v/>
      </c>
      <c r="V651">
        <f>HYPERLINK("https://klasma.github.io/Logging_0881/klagomål/A 16715-2025 FSC-klagomål.docx", "A 16715-2025")</f>
        <v/>
      </c>
      <c r="W651">
        <f>HYPERLINK("https://klasma.github.io/Logging_0881/klagomålsmail/A 16715-2025 FSC-klagomål mail.docx", "A 16715-2025")</f>
        <v/>
      </c>
      <c r="X651">
        <f>HYPERLINK("https://klasma.github.io/Logging_0881/tillsyn/A 16715-2025 tillsynsbegäran.docx", "A 16715-2025")</f>
        <v/>
      </c>
      <c r="Y651">
        <f>HYPERLINK("https://klasma.github.io/Logging_0881/tillsynsmail/A 16715-2025 tillsynsbegäran mail.docx", "A 16715-2025")</f>
        <v/>
      </c>
    </row>
    <row r="652" ht="15" customHeight="1">
      <c r="A652" t="inlineStr">
        <is>
          <t>A 1717-2024</t>
        </is>
      </c>
      <c r="B652" s="1" t="n">
        <v>45307</v>
      </c>
      <c r="C652" s="1" t="n">
        <v>45884</v>
      </c>
      <c r="D652" t="inlineStr">
        <is>
          <t>KALMAR LÄN</t>
        </is>
      </c>
      <c r="E652" t="inlineStr">
        <is>
          <t>NYBRO</t>
        </is>
      </c>
      <c r="F652" t="inlineStr">
        <is>
          <t>Sveaskog</t>
        </is>
      </c>
      <c r="G652" t="n">
        <v>0.7</v>
      </c>
      <c r="H652" t="n">
        <v>1</v>
      </c>
      <c r="I652" t="n">
        <v>0</v>
      </c>
      <c r="J652" t="n">
        <v>0</v>
      </c>
      <c r="K652" t="n">
        <v>0</v>
      </c>
      <c r="L652" t="n">
        <v>0</v>
      </c>
      <c r="M652" t="n">
        <v>0</v>
      </c>
      <c r="N652" t="n">
        <v>0</v>
      </c>
      <c r="O652" t="n">
        <v>0</v>
      </c>
      <c r="P652" t="n">
        <v>0</v>
      </c>
      <c r="Q652" t="n">
        <v>1</v>
      </c>
      <c r="R652" s="2" t="inlineStr">
        <is>
          <t>Blåsippa</t>
        </is>
      </c>
      <c r="S652">
        <f>HYPERLINK("https://klasma.github.io/Logging_0881/artfynd/A 1717-2024 artfynd.xlsx", "A 1717-2024")</f>
        <v/>
      </c>
      <c r="T652">
        <f>HYPERLINK("https://klasma.github.io/Logging_0881/kartor/A 1717-2024 karta.png", "A 1717-2024")</f>
        <v/>
      </c>
      <c r="V652">
        <f>HYPERLINK("https://klasma.github.io/Logging_0881/klagomål/A 1717-2024 FSC-klagomål.docx", "A 1717-2024")</f>
        <v/>
      </c>
      <c r="W652">
        <f>HYPERLINK("https://klasma.github.io/Logging_0881/klagomålsmail/A 1717-2024 FSC-klagomål mail.docx", "A 1717-2024")</f>
        <v/>
      </c>
      <c r="X652">
        <f>HYPERLINK("https://klasma.github.io/Logging_0881/tillsyn/A 1717-2024 tillsynsbegäran.docx", "A 1717-2024")</f>
        <v/>
      </c>
      <c r="Y652">
        <f>HYPERLINK("https://klasma.github.io/Logging_0881/tillsynsmail/A 1717-2024 tillsynsbegäran mail.docx", "A 1717-2024")</f>
        <v/>
      </c>
    </row>
    <row r="653" ht="15" customHeight="1">
      <c r="A653" t="inlineStr">
        <is>
          <t>A 975-2023</t>
        </is>
      </c>
      <c r="B653" s="1" t="n">
        <v>44935</v>
      </c>
      <c r="C653" s="1" t="n">
        <v>45884</v>
      </c>
      <c r="D653" t="inlineStr">
        <is>
          <t>KALMAR LÄN</t>
        </is>
      </c>
      <c r="E653" t="inlineStr">
        <is>
          <t>VÄSTERVIK</t>
        </is>
      </c>
      <c r="G653" t="n">
        <v>1.7</v>
      </c>
      <c r="H653" t="n">
        <v>1</v>
      </c>
      <c r="I653" t="n">
        <v>0</v>
      </c>
      <c r="J653" t="n">
        <v>0</v>
      </c>
      <c r="K653" t="n">
        <v>1</v>
      </c>
      <c r="L653" t="n">
        <v>0</v>
      </c>
      <c r="M653" t="n">
        <v>0</v>
      </c>
      <c r="N653" t="n">
        <v>0</v>
      </c>
      <c r="O653" t="n">
        <v>1</v>
      </c>
      <c r="P653" t="n">
        <v>1</v>
      </c>
      <c r="Q653" t="n">
        <v>1</v>
      </c>
      <c r="R653" s="2" t="inlineStr">
        <is>
          <t>Läderbagge</t>
        </is>
      </c>
      <c r="S653">
        <f>HYPERLINK("https://klasma.github.io/Logging_0883/artfynd/A 975-2023 artfynd.xlsx", "A 975-2023")</f>
        <v/>
      </c>
      <c r="T653">
        <f>HYPERLINK("https://klasma.github.io/Logging_0883/kartor/A 975-2023 karta.png", "A 975-2023")</f>
        <v/>
      </c>
      <c r="V653">
        <f>HYPERLINK("https://klasma.github.io/Logging_0883/klagomål/A 975-2023 FSC-klagomål.docx", "A 975-2023")</f>
        <v/>
      </c>
      <c r="W653">
        <f>HYPERLINK("https://klasma.github.io/Logging_0883/klagomålsmail/A 975-2023 FSC-klagomål mail.docx", "A 975-2023")</f>
        <v/>
      </c>
      <c r="X653">
        <f>HYPERLINK("https://klasma.github.io/Logging_0883/tillsyn/A 975-2023 tillsynsbegäran.docx", "A 975-2023")</f>
        <v/>
      </c>
      <c r="Y653">
        <f>HYPERLINK("https://klasma.github.io/Logging_0883/tillsynsmail/A 975-2023 tillsynsbegäran mail.docx", "A 975-2023")</f>
        <v/>
      </c>
    </row>
    <row r="654" ht="15" customHeight="1">
      <c r="A654" t="inlineStr">
        <is>
          <t>A 18404-2023</t>
        </is>
      </c>
      <c r="B654" s="1" t="n">
        <v>45042</v>
      </c>
      <c r="C654" s="1" t="n">
        <v>45884</v>
      </c>
      <c r="D654" t="inlineStr">
        <is>
          <t>KALMAR LÄN</t>
        </is>
      </c>
      <c r="E654" t="inlineStr">
        <is>
          <t>NYBRO</t>
        </is>
      </c>
      <c r="G654" t="n">
        <v>5.3</v>
      </c>
      <c r="H654" t="n">
        <v>1</v>
      </c>
      <c r="I654" t="n">
        <v>0</v>
      </c>
      <c r="J654" t="n">
        <v>1</v>
      </c>
      <c r="K654" t="n">
        <v>0</v>
      </c>
      <c r="L654" t="n">
        <v>0</v>
      </c>
      <c r="M654" t="n">
        <v>0</v>
      </c>
      <c r="N654" t="n">
        <v>0</v>
      </c>
      <c r="O654" t="n">
        <v>1</v>
      </c>
      <c r="P654" t="n">
        <v>0</v>
      </c>
      <c r="Q654" t="n">
        <v>1</v>
      </c>
      <c r="R654" s="2" t="inlineStr">
        <is>
          <t>Havsörn</t>
        </is>
      </c>
      <c r="S654">
        <f>HYPERLINK("https://klasma.github.io/Logging_0881/artfynd/A 18404-2023 artfynd.xlsx", "A 18404-2023")</f>
        <v/>
      </c>
      <c r="T654">
        <f>HYPERLINK("https://klasma.github.io/Logging_0881/kartor/A 18404-2023 karta.png", "A 18404-2023")</f>
        <v/>
      </c>
      <c r="V654">
        <f>HYPERLINK("https://klasma.github.io/Logging_0881/klagomål/A 18404-2023 FSC-klagomål.docx", "A 18404-2023")</f>
        <v/>
      </c>
      <c r="W654">
        <f>HYPERLINK("https://klasma.github.io/Logging_0881/klagomålsmail/A 18404-2023 FSC-klagomål mail.docx", "A 18404-2023")</f>
        <v/>
      </c>
      <c r="X654">
        <f>HYPERLINK("https://klasma.github.io/Logging_0881/tillsyn/A 18404-2023 tillsynsbegäran.docx", "A 18404-2023")</f>
        <v/>
      </c>
      <c r="Y654">
        <f>HYPERLINK("https://klasma.github.io/Logging_0881/tillsynsmail/A 18404-2023 tillsynsbegäran mail.docx", "A 18404-2023")</f>
        <v/>
      </c>
      <c r="Z654">
        <f>HYPERLINK("https://klasma.github.io/Logging_0881/fåglar/A 18404-2023 prioriterade fågelarter.docx", "A 18404-2023")</f>
        <v/>
      </c>
    </row>
    <row r="655" ht="15" customHeight="1">
      <c r="A655" t="inlineStr">
        <is>
          <t>A 54272-2023</t>
        </is>
      </c>
      <c r="B655" s="1" t="n">
        <v>45232</v>
      </c>
      <c r="C655" s="1" t="n">
        <v>45884</v>
      </c>
      <c r="D655" t="inlineStr">
        <is>
          <t>KALMAR LÄN</t>
        </is>
      </c>
      <c r="E655" t="inlineStr">
        <is>
          <t>VÄSTERVIK</t>
        </is>
      </c>
      <c r="G655" t="n">
        <v>1</v>
      </c>
      <c r="H655" t="n">
        <v>0</v>
      </c>
      <c r="I655" t="n">
        <v>1</v>
      </c>
      <c r="J655" t="n">
        <v>0</v>
      </c>
      <c r="K655" t="n">
        <v>0</v>
      </c>
      <c r="L655" t="n">
        <v>0</v>
      </c>
      <c r="M655" t="n">
        <v>0</v>
      </c>
      <c r="N655" t="n">
        <v>0</v>
      </c>
      <c r="O655" t="n">
        <v>0</v>
      </c>
      <c r="P655" t="n">
        <v>0</v>
      </c>
      <c r="Q655" t="n">
        <v>1</v>
      </c>
      <c r="R655" s="2" t="inlineStr">
        <is>
          <t>Aprikosfingersvamp</t>
        </is>
      </c>
      <c r="S655">
        <f>HYPERLINK("https://klasma.github.io/Logging_0883/artfynd/A 54272-2023 artfynd.xlsx", "A 54272-2023")</f>
        <v/>
      </c>
      <c r="T655">
        <f>HYPERLINK("https://klasma.github.io/Logging_0883/kartor/A 54272-2023 karta.png", "A 54272-2023")</f>
        <v/>
      </c>
      <c r="V655">
        <f>HYPERLINK("https://klasma.github.io/Logging_0883/klagomål/A 54272-2023 FSC-klagomål.docx", "A 54272-2023")</f>
        <v/>
      </c>
      <c r="W655">
        <f>HYPERLINK("https://klasma.github.io/Logging_0883/klagomålsmail/A 54272-2023 FSC-klagomål mail.docx", "A 54272-2023")</f>
        <v/>
      </c>
      <c r="X655">
        <f>HYPERLINK("https://klasma.github.io/Logging_0883/tillsyn/A 54272-2023 tillsynsbegäran.docx", "A 54272-2023")</f>
        <v/>
      </c>
      <c r="Y655">
        <f>HYPERLINK("https://klasma.github.io/Logging_0883/tillsynsmail/A 54272-2023 tillsynsbegäran mail.docx", "A 54272-2023")</f>
        <v/>
      </c>
    </row>
    <row r="656" ht="15" customHeight="1">
      <c r="A656" t="inlineStr">
        <is>
          <t>A 6061-2025</t>
        </is>
      </c>
      <c r="B656" s="1" t="n">
        <v>45695.93015046296</v>
      </c>
      <c r="C656" s="1" t="n">
        <v>45884</v>
      </c>
      <c r="D656" t="inlineStr">
        <is>
          <t>KALMAR LÄN</t>
        </is>
      </c>
      <c r="E656" t="inlineStr">
        <is>
          <t>NYBRO</t>
        </is>
      </c>
      <c r="G656" t="n">
        <v>1.9</v>
      </c>
      <c r="H656" t="n">
        <v>1</v>
      </c>
      <c r="I656" t="n">
        <v>1</v>
      </c>
      <c r="J656" t="n">
        <v>0</v>
      </c>
      <c r="K656" t="n">
        <v>0</v>
      </c>
      <c r="L656" t="n">
        <v>0</v>
      </c>
      <c r="M656" t="n">
        <v>0</v>
      </c>
      <c r="N656" t="n">
        <v>0</v>
      </c>
      <c r="O656" t="n">
        <v>0</v>
      </c>
      <c r="P656" t="n">
        <v>0</v>
      </c>
      <c r="Q656" t="n">
        <v>1</v>
      </c>
      <c r="R656" s="2" t="inlineStr">
        <is>
          <t>Purpurknipprot</t>
        </is>
      </c>
      <c r="S656">
        <f>HYPERLINK("https://klasma.github.io/Logging_0881/artfynd/A 6061-2025 artfynd.xlsx", "A 6061-2025")</f>
        <v/>
      </c>
      <c r="T656">
        <f>HYPERLINK("https://klasma.github.io/Logging_0881/kartor/A 6061-2025 karta.png", "A 6061-2025")</f>
        <v/>
      </c>
      <c r="V656">
        <f>HYPERLINK("https://klasma.github.io/Logging_0881/klagomål/A 6061-2025 FSC-klagomål.docx", "A 6061-2025")</f>
        <v/>
      </c>
      <c r="W656">
        <f>HYPERLINK("https://klasma.github.io/Logging_0881/klagomålsmail/A 6061-2025 FSC-klagomål mail.docx", "A 6061-2025")</f>
        <v/>
      </c>
      <c r="X656">
        <f>HYPERLINK("https://klasma.github.io/Logging_0881/tillsyn/A 6061-2025 tillsynsbegäran.docx", "A 6061-2025")</f>
        <v/>
      </c>
      <c r="Y656">
        <f>HYPERLINK("https://klasma.github.io/Logging_0881/tillsynsmail/A 6061-2025 tillsynsbegäran mail.docx", "A 6061-2025")</f>
        <v/>
      </c>
    </row>
    <row r="657" ht="15" customHeight="1">
      <c r="A657" t="inlineStr">
        <is>
          <t>A 13725-2023</t>
        </is>
      </c>
      <c r="B657" s="1" t="n">
        <v>45007</v>
      </c>
      <c r="C657" s="1" t="n">
        <v>45884</v>
      </c>
      <c r="D657" t="inlineStr">
        <is>
          <t>KALMAR LÄN</t>
        </is>
      </c>
      <c r="E657" t="inlineStr">
        <is>
          <t>KALMAR</t>
        </is>
      </c>
      <c r="G657" t="n">
        <v>2.2</v>
      </c>
      <c r="H657" t="n">
        <v>1</v>
      </c>
      <c r="I657" t="n">
        <v>0</v>
      </c>
      <c r="J657" t="n">
        <v>1</v>
      </c>
      <c r="K657" t="n">
        <v>0</v>
      </c>
      <c r="L657" t="n">
        <v>0</v>
      </c>
      <c r="M657" t="n">
        <v>0</v>
      </c>
      <c r="N657" t="n">
        <v>0</v>
      </c>
      <c r="O657" t="n">
        <v>1</v>
      </c>
      <c r="P657" t="n">
        <v>0</v>
      </c>
      <c r="Q657" t="n">
        <v>1</v>
      </c>
      <c r="R657" s="2" t="inlineStr">
        <is>
          <t>Gulsparv</t>
        </is>
      </c>
      <c r="S657">
        <f>HYPERLINK("https://klasma.github.io/Logging_0880/artfynd/A 13725-2023 artfynd.xlsx", "A 13725-2023")</f>
        <v/>
      </c>
      <c r="T657">
        <f>HYPERLINK("https://klasma.github.io/Logging_0880/kartor/A 13725-2023 karta.png", "A 13725-2023")</f>
        <v/>
      </c>
      <c r="V657">
        <f>HYPERLINK("https://klasma.github.io/Logging_0880/klagomål/A 13725-2023 FSC-klagomål.docx", "A 13725-2023")</f>
        <v/>
      </c>
      <c r="W657">
        <f>HYPERLINK("https://klasma.github.io/Logging_0880/klagomålsmail/A 13725-2023 FSC-klagomål mail.docx", "A 13725-2023")</f>
        <v/>
      </c>
      <c r="X657">
        <f>HYPERLINK("https://klasma.github.io/Logging_0880/tillsyn/A 13725-2023 tillsynsbegäran.docx", "A 13725-2023")</f>
        <v/>
      </c>
      <c r="Y657">
        <f>HYPERLINK("https://klasma.github.io/Logging_0880/tillsynsmail/A 13725-2023 tillsynsbegäran mail.docx", "A 13725-2023")</f>
        <v/>
      </c>
      <c r="Z657">
        <f>HYPERLINK("https://klasma.github.io/Logging_0880/fåglar/A 13725-2023 prioriterade fågelarter.docx", "A 13725-2023")</f>
        <v/>
      </c>
    </row>
    <row r="658" ht="15" customHeight="1">
      <c r="A658" t="inlineStr">
        <is>
          <t>A 25436-2023</t>
        </is>
      </c>
      <c r="B658" s="1" t="n">
        <v>45089</v>
      </c>
      <c r="C658" s="1" t="n">
        <v>45884</v>
      </c>
      <c r="D658" t="inlineStr">
        <is>
          <t>KALMAR LÄN</t>
        </is>
      </c>
      <c r="E658" t="inlineStr">
        <is>
          <t>VÄSTERVIK</t>
        </is>
      </c>
      <c r="G658" t="n">
        <v>1.6</v>
      </c>
      <c r="H658" t="n">
        <v>1</v>
      </c>
      <c r="I658" t="n">
        <v>0</v>
      </c>
      <c r="J658" t="n">
        <v>0</v>
      </c>
      <c r="K658" t="n">
        <v>1</v>
      </c>
      <c r="L658" t="n">
        <v>0</v>
      </c>
      <c r="M658" t="n">
        <v>0</v>
      </c>
      <c r="N658" t="n">
        <v>0</v>
      </c>
      <c r="O658" t="n">
        <v>1</v>
      </c>
      <c r="P658" t="n">
        <v>1</v>
      </c>
      <c r="Q658" t="n">
        <v>1</v>
      </c>
      <c r="R658" s="2" t="inlineStr">
        <is>
          <t>Knärot</t>
        </is>
      </c>
      <c r="S658">
        <f>HYPERLINK("https://klasma.github.io/Logging_0883/artfynd/A 25436-2023 artfynd.xlsx", "A 25436-2023")</f>
        <v/>
      </c>
      <c r="T658">
        <f>HYPERLINK("https://klasma.github.io/Logging_0883/kartor/A 25436-2023 karta.png", "A 25436-2023")</f>
        <v/>
      </c>
      <c r="U658">
        <f>HYPERLINK("https://klasma.github.io/Logging_0883/knärot/A 25436-2023 karta knärot.png", "A 25436-2023")</f>
        <v/>
      </c>
      <c r="V658">
        <f>HYPERLINK("https://klasma.github.io/Logging_0883/klagomål/A 25436-2023 FSC-klagomål.docx", "A 25436-2023")</f>
        <v/>
      </c>
      <c r="W658">
        <f>HYPERLINK("https://klasma.github.io/Logging_0883/klagomålsmail/A 25436-2023 FSC-klagomål mail.docx", "A 25436-2023")</f>
        <v/>
      </c>
      <c r="X658">
        <f>HYPERLINK("https://klasma.github.io/Logging_0883/tillsyn/A 25436-2023 tillsynsbegäran.docx", "A 25436-2023")</f>
        <v/>
      </c>
      <c r="Y658">
        <f>HYPERLINK("https://klasma.github.io/Logging_0883/tillsynsmail/A 25436-2023 tillsynsbegäran mail.docx", "A 25436-2023")</f>
        <v/>
      </c>
    </row>
    <row r="659" ht="15" customHeight="1">
      <c r="A659" t="inlineStr">
        <is>
          <t>A 45301-2023</t>
        </is>
      </c>
      <c r="B659" s="1" t="n">
        <v>45191</v>
      </c>
      <c r="C659" s="1" t="n">
        <v>45884</v>
      </c>
      <c r="D659" t="inlineStr">
        <is>
          <t>KALMAR LÄN</t>
        </is>
      </c>
      <c r="E659" t="inlineStr">
        <is>
          <t>HULTSFRED</t>
        </is>
      </c>
      <c r="F659" t="inlineStr">
        <is>
          <t>Övriga Aktiebolag</t>
        </is>
      </c>
      <c r="G659" t="n">
        <v>2</v>
      </c>
      <c r="H659" t="n">
        <v>1</v>
      </c>
      <c r="I659" t="n">
        <v>0</v>
      </c>
      <c r="J659" t="n">
        <v>0</v>
      </c>
      <c r="K659" t="n">
        <v>1</v>
      </c>
      <c r="L659" t="n">
        <v>0</v>
      </c>
      <c r="M659" t="n">
        <v>0</v>
      </c>
      <c r="N659" t="n">
        <v>0</v>
      </c>
      <c r="O659" t="n">
        <v>1</v>
      </c>
      <c r="P659" t="n">
        <v>1</v>
      </c>
      <c r="Q659" t="n">
        <v>1</v>
      </c>
      <c r="R659" s="2" t="inlineStr">
        <is>
          <t>Knärot</t>
        </is>
      </c>
      <c r="S659">
        <f>HYPERLINK("https://klasma.github.io/Logging_0860/artfynd/A 45301-2023 artfynd.xlsx", "A 45301-2023")</f>
        <v/>
      </c>
      <c r="T659">
        <f>HYPERLINK("https://klasma.github.io/Logging_0860/kartor/A 45301-2023 karta.png", "A 45301-2023")</f>
        <v/>
      </c>
      <c r="U659">
        <f>HYPERLINK("https://klasma.github.io/Logging_0860/knärot/A 45301-2023 karta knärot.png", "A 45301-2023")</f>
        <v/>
      </c>
      <c r="V659">
        <f>HYPERLINK("https://klasma.github.io/Logging_0860/klagomål/A 45301-2023 FSC-klagomål.docx", "A 45301-2023")</f>
        <v/>
      </c>
      <c r="W659">
        <f>HYPERLINK("https://klasma.github.io/Logging_0860/klagomålsmail/A 45301-2023 FSC-klagomål mail.docx", "A 45301-2023")</f>
        <v/>
      </c>
      <c r="X659">
        <f>HYPERLINK("https://klasma.github.io/Logging_0860/tillsyn/A 45301-2023 tillsynsbegäran.docx", "A 45301-2023")</f>
        <v/>
      </c>
      <c r="Y659">
        <f>HYPERLINK("https://klasma.github.io/Logging_0860/tillsynsmail/A 45301-2023 tillsynsbegäran mail.docx", "A 45301-2023")</f>
        <v/>
      </c>
    </row>
    <row r="660" ht="15" customHeight="1">
      <c r="A660" t="inlineStr">
        <is>
          <t>A 15122-2024</t>
        </is>
      </c>
      <c r="B660" s="1" t="n">
        <v>45399.71412037037</v>
      </c>
      <c r="C660" s="1" t="n">
        <v>45884</v>
      </c>
      <c r="D660" t="inlineStr">
        <is>
          <t>KALMAR LÄN</t>
        </is>
      </c>
      <c r="E660" t="inlineStr">
        <is>
          <t>VIMMERBY</t>
        </is>
      </c>
      <c r="G660" t="n">
        <v>1.7</v>
      </c>
      <c r="H660" t="n">
        <v>0</v>
      </c>
      <c r="I660" t="n">
        <v>0</v>
      </c>
      <c r="J660" t="n">
        <v>0</v>
      </c>
      <c r="K660" t="n">
        <v>1</v>
      </c>
      <c r="L660" t="n">
        <v>0</v>
      </c>
      <c r="M660" t="n">
        <v>0</v>
      </c>
      <c r="N660" t="n">
        <v>0</v>
      </c>
      <c r="O660" t="n">
        <v>1</v>
      </c>
      <c r="P660" t="n">
        <v>1</v>
      </c>
      <c r="Q660" t="n">
        <v>1</v>
      </c>
      <c r="R660" s="2" t="inlineStr">
        <is>
          <t>Sågfibbla</t>
        </is>
      </c>
      <c r="S660">
        <f>HYPERLINK("https://klasma.github.io/Logging_0884/artfynd/A 15122-2024 artfynd.xlsx", "A 15122-2024")</f>
        <v/>
      </c>
      <c r="T660">
        <f>HYPERLINK("https://klasma.github.io/Logging_0884/kartor/A 15122-2024 karta.png", "A 15122-2024")</f>
        <v/>
      </c>
      <c r="V660">
        <f>HYPERLINK("https://klasma.github.io/Logging_0884/klagomål/A 15122-2024 FSC-klagomål.docx", "A 15122-2024")</f>
        <v/>
      </c>
      <c r="W660">
        <f>HYPERLINK("https://klasma.github.io/Logging_0884/klagomålsmail/A 15122-2024 FSC-klagomål mail.docx", "A 15122-2024")</f>
        <v/>
      </c>
      <c r="X660">
        <f>HYPERLINK("https://klasma.github.io/Logging_0884/tillsyn/A 15122-2024 tillsynsbegäran.docx", "A 15122-2024")</f>
        <v/>
      </c>
      <c r="Y660">
        <f>HYPERLINK("https://klasma.github.io/Logging_0884/tillsynsmail/A 15122-2024 tillsynsbegäran mail.docx", "A 15122-2024")</f>
        <v/>
      </c>
    </row>
    <row r="661" ht="15" customHeight="1">
      <c r="A661" t="inlineStr">
        <is>
          <t>A 5111-2024</t>
        </is>
      </c>
      <c r="B661" s="1" t="n">
        <v>45330</v>
      </c>
      <c r="C661" s="1" t="n">
        <v>45884</v>
      </c>
      <c r="D661" t="inlineStr">
        <is>
          <t>KALMAR LÄN</t>
        </is>
      </c>
      <c r="E661" t="inlineStr">
        <is>
          <t>OSKARSHAMN</t>
        </is>
      </c>
      <c r="G661" t="n">
        <v>1.3</v>
      </c>
      <c r="H661" t="n">
        <v>1</v>
      </c>
      <c r="I661" t="n">
        <v>0</v>
      </c>
      <c r="J661" t="n">
        <v>0</v>
      </c>
      <c r="K661" t="n">
        <v>1</v>
      </c>
      <c r="L661" t="n">
        <v>0</v>
      </c>
      <c r="M661" t="n">
        <v>0</v>
      </c>
      <c r="N661" t="n">
        <v>0</v>
      </c>
      <c r="O661" t="n">
        <v>1</v>
      </c>
      <c r="P661" t="n">
        <v>1</v>
      </c>
      <c r="Q661" t="n">
        <v>1</v>
      </c>
      <c r="R661" s="2" t="inlineStr">
        <is>
          <t>Knärot</t>
        </is>
      </c>
      <c r="S661">
        <f>HYPERLINK("https://klasma.github.io/Logging_0882/artfynd/A 5111-2024 artfynd.xlsx", "A 5111-2024")</f>
        <v/>
      </c>
      <c r="T661">
        <f>HYPERLINK("https://klasma.github.io/Logging_0882/kartor/A 5111-2024 karta.png", "A 5111-2024")</f>
        <v/>
      </c>
      <c r="U661">
        <f>HYPERLINK("https://klasma.github.io/Logging_0882/knärot/A 5111-2024 karta knärot.png", "A 5111-2024")</f>
        <v/>
      </c>
      <c r="V661">
        <f>HYPERLINK("https://klasma.github.io/Logging_0882/klagomål/A 5111-2024 FSC-klagomål.docx", "A 5111-2024")</f>
        <v/>
      </c>
      <c r="W661">
        <f>HYPERLINK("https://klasma.github.io/Logging_0882/klagomålsmail/A 5111-2024 FSC-klagomål mail.docx", "A 5111-2024")</f>
        <v/>
      </c>
      <c r="X661">
        <f>HYPERLINK("https://klasma.github.io/Logging_0882/tillsyn/A 5111-2024 tillsynsbegäran.docx", "A 5111-2024")</f>
        <v/>
      </c>
      <c r="Y661">
        <f>HYPERLINK("https://klasma.github.io/Logging_0882/tillsynsmail/A 5111-2024 tillsynsbegäran mail.docx", "A 5111-2024")</f>
        <v/>
      </c>
    </row>
    <row r="662" ht="15" customHeight="1">
      <c r="A662" t="inlineStr">
        <is>
          <t>A 58297-2021</t>
        </is>
      </c>
      <c r="B662" s="1" t="n">
        <v>44488</v>
      </c>
      <c r="C662" s="1" t="n">
        <v>45884</v>
      </c>
      <c r="D662" t="inlineStr">
        <is>
          <t>KALMAR LÄN</t>
        </is>
      </c>
      <c r="E662" t="inlineStr">
        <is>
          <t>EMMABODA</t>
        </is>
      </c>
      <c r="F662" t="inlineStr">
        <is>
          <t>Kommuner</t>
        </is>
      </c>
      <c r="G662" t="n">
        <v>1.6</v>
      </c>
      <c r="H662" t="n">
        <v>0</v>
      </c>
      <c r="I662" t="n">
        <v>0</v>
      </c>
      <c r="J662" t="n">
        <v>1</v>
      </c>
      <c r="K662" t="n">
        <v>0</v>
      </c>
      <c r="L662" t="n">
        <v>0</v>
      </c>
      <c r="M662" t="n">
        <v>0</v>
      </c>
      <c r="N662" t="n">
        <v>0</v>
      </c>
      <c r="O662" t="n">
        <v>1</v>
      </c>
      <c r="P662" t="n">
        <v>0</v>
      </c>
      <c r="Q662" t="n">
        <v>1</v>
      </c>
      <c r="R662" s="2" t="inlineStr">
        <is>
          <t>Åkerkål</t>
        </is>
      </c>
      <c r="S662">
        <f>HYPERLINK("https://klasma.github.io/Logging_0862/artfynd/A 58297-2021 artfynd.xlsx", "A 58297-2021")</f>
        <v/>
      </c>
      <c r="T662">
        <f>HYPERLINK("https://klasma.github.io/Logging_0862/kartor/A 58297-2021 karta.png", "A 58297-2021")</f>
        <v/>
      </c>
      <c r="V662">
        <f>HYPERLINK("https://klasma.github.io/Logging_0862/klagomål/A 58297-2021 FSC-klagomål.docx", "A 58297-2021")</f>
        <v/>
      </c>
      <c r="W662">
        <f>HYPERLINK("https://klasma.github.io/Logging_0862/klagomålsmail/A 58297-2021 FSC-klagomål mail.docx", "A 58297-2021")</f>
        <v/>
      </c>
      <c r="X662">
        <f>HYPERLINK("https://klasma.github.io/Logging_0862/tillsyn/A 58297-2021 tillsynsbegäran.docx", "A 58297-2021")</f>
        <v/>
      </c>
      <c r="Y662">
        <f>HYPERLINK("https://klasma.github.io/Logging_0862/tillsynsmail/A 58297-2021 tillsynsbegäran mail.docx", "A 58297-2021")</f>
        <v/>
      </c>
    </row>
    <row r="663" ht="15" customHeight="1">
      <c r="A663" t="inlineStr">
        <is>
          <t>A 35028-2024</t>
        </is>
      </c>
      <c r="B663" s="1" t="n">
        <v>45527.60524305556</v>
      </c>
      <c r="C663" s="1" t="n">
        <v>45884</v>
      </c>
      <c r="D663" t="inlineStr">
        <is>
          <t>KALMAR LÄN</t>
        </is>
      </c>
      <c r="E663" t="inlineStr">
        <is>
          <t>VÄSTERVIK</t>
        </is>
      </c>
      <c r="G663" t="n">
        <v>1.3</v>
      </c>
      <c r="H663" t="n">
        <v>0</v>
      </c>
      <c r="I663" t="n">
        <v>1</v>
      </c>
      <c r="J663" t="n">
        <v>0</v>
      </c>
      <c r="K663" t="n">
        <v>0</v>
      </c>
      <c r="L663" t="n">
        <v>0</v>
      </c>
      <c r="M663" t="n">
        <v>0</v>
      </c>
      <c r="N663" t="n">
        <v>0</v>
      </c>
      <c r="O663" t="n">
        <v>0</v>
      </c>
      <c r="P663" t="n">
        <v>0</v>
      </c>
      <c r="Q663" t="n">
        <v>1</v>
      </c>
      <c r="R663" s="2" t="inlineStr">
        <is>
          <t>Blomkålssvamp</t>
        </is>
      </c>
      <c r="S663">
        <f>HYPERLINK("https://klasma.github.io/Logging_0883/artfynd/A 35028-2024 artfynd.xlsx", "A 35028-2024")</f>
        <v/>
      </c>
      <c r="T663">
        <f>HYPERLINK("https://klasma.github.io/Logging_0883/kartor/A 35028-2024 karta.png", "A 35028-2024")</f>
        <v/>
      </c>
      <c r="V663">
        <f>HYPERLINK("https://klasma.github.io/Logging_0883/klagomål/A 35028-2024 FSC-klagomål.docx", "A 35028-2024")</f>
        <v/>
      </c>
      <c r="W663">
        <f>HYPERLINK("https://klasma.github.io/Logging_0883/klagomålsmail/A 35028-2024 FSC-klagomål mail.docx", "A 35028-2024")</f>
        <v/>
      </c>
      <c r="X663">
        <f>HYPERLINK("https://klasma.github.io/Logging_0883/tillsyn/A 35028-2024 tillsynsbegäran.docx", "A 35028-2024")</f>
        <v/>
      </c>
      <c r="Y663">
        <f>HYPERLINK("https://klasma.github.io/Logging_0883/tillsynsmail/A 35028-2024 tillsynsbegäran mail.docx", "A 35028-2024")</f>
        <v/>
      </c>
    </row>
    <row r="664" ht="15" customHeight="1">
      <c r="A664" t="inlineStr">
        <is>
          <t>A 62817-2021</t>
        </is>
      </c>
      <c r="B664" s="1" t="n">
        <v>44504.50979166666</v>
      </c>
      <c r="C664" s="1" t="n">
        <v>45884</v>
      </c>
      <c r="D664" t="inlineStr">
        <is>
          <t>KALMAR LÄN</t>
        </is>
      </c>
      <c r="E664" t="inlineStr">
        <is>
          <t>NYBRO</t>
        </is>
      </c>
      <c r="F664" t="inlineStr">
        <is>
          <t>Sveaskog</t>
        </is>
      </c>
      <c r="G664" t="n">
        <v>0.9</v>
      </c>
      <c r="H664" t="n">
        <v>1</v>
      </c>
      <c r="I664" t="n">
        <v>0</v>
      </c>
      <c r="J664" t="n">
        <v>0</v>
      </c>
      <c r="K664" t="n">
        <v>0</v>
      </c>
      <c r="L664" t="n">
        <v>0</v>
      </c>
      <c r="M664" t="n">
        <v>0</v>
      </c>
      <c r="N664" t="n">
        <v>0</v>
      </c>
      <c r="O664" t="n">
        <v>0</v>
      </c>
      <c r="P664" t="n">
        <v>0</v>
      </c>
      <c r="Q664" t="n">
        <v>1</v>
      </c>
      <c r="R664" s="2" t="inlineStr">
        <is>
          <t>Tjäder</t>
        </is>
      </c>
      <c r="S664">
        <f>HYPERLINK("https://klasma.github.io/Logging_0881/artfynd/A 62817-2021 artfynd.xlsx", "A 62817-2021")</f>
        <v/>
      </c>
      <c r="T664">
        <f>HYPERLINK("https://klasma.github.io/Logging_0881/kartor/A 62817-2021 karta.png", "A 62817-2021")</f>
        <v/>
      </c>
      <c r="V664">
        <f>HYPERLINK("https://klasma.github.io/Logging_0881/klagomål/A 62817-2021 FSC-klagomål.docx", "A 62817-2021")</f>
        <v/>
      </c>
      <c r="W664">
        <f>HYPERLINK("https://klasma.github.io/Logging_0881/klagomålsmail/A 62817-2021 FSC-klagomål mail.docx", "A 62817-2021")</f>
        <v/>
      </c>
      <c r="X664">
        <f>HYPERLINK("https://klasma.github.io/Logging_0881/tillsyn/A 62817-2021 tillsynsbegäran.docx", "A 62817-2021")</f>
        <v/>
      </c>
      <c r="Y664">
        <f>HYPERLINK("https://klasma.github.io/Logging_0881/tillsynsmail/A 62817-2021 tillsynsbegäran mail.docx", "A 62817-2021")</f>
        <v/>
      </c>
      <c r="Z664">
        <f>HYPERLINK("https://klasma.github.io/Logging_0881/fåglar/A 62817-2021 prioriterade fågelarter.docx", "A 62817-2021")</f>
        <v/>
      </c>
    </row>
    <row r="665" ht="15" customHeight="1">
      <c r="A665" t="inlineStr">
        <is>
          <t>A 14858-2022</t>
        </is>
      </c>
      <c r="B665" s="1" t="n">
        <v>44656</v>
      </c>
      <c r="C665" s="1" t="n">
        <v>45884</v>
      </c>
      <c r="D665" t="inlineStr">
        <is>
          <t>KALMAR LÄN</t>
        </is>
      </c>
      <c r="E665" t="inlineStr">
        <is>
          <t>NYBRO</t>
        </is>
      </c>
      <c r="F665" t="inlineStr">
        <is>
          <t>Kommuner</t>
        </is>
      </c>
      <c r="G665" t="n">
        <v>4.9</v>
      </c>
      <c r="H665" t="n">
        <v>0</v>
      </c>
      <c r="I665" t="n">
        <v>0</v>
      </c>
      <c r="J665" t="n">
        <v>0</v>
      </c>
      <c r="K665" t="n">
        <v>1</v>
      </c>
      <c r="L665" t="n">
        <v>0</v>
      </c>
      <c r="M665" t="n">
        <v>0</v>
      </c>
      <c r="N665" t="n">
        <v>0</v>
      </c>
      <c r="O665" t="n">
        <v>1</v>
      </c>
      <c r="P665" t="n">
        <v>1</v>
      </c>
      <c r="Q665" t="n">
        <v>1</v>
      </c>
      <c r="R665" s="2" t="inlineStr">
        <is>
          <t>Apelticka</t>
        </is>
      </c>
      <c r="S665">
        <f>HYPERLINK("https://klasma.github.io/Logging_0881/artfynd/A 14858-2022 artfynd.xlsx", "A 14858-2022")</f>
        <v/>
      </c>
      <c r="T665">
        <f>HYPERLINK("https://klasma.github.io/Logging_0881/kartor/A 14858-2022 karta.png", "A 14858-2022")</f>
        <v/>
      </c>
      <c r="V665">
        <f>HYPERLINK("https://klasma.github.io/Logging_0881/klagomål/A 14858-2022 FSC-klagomål.docx", "A 14858-2022")</f>
        <v/>
      </c>
      <c r="W665">
        <f>HYPERLINK("https://klasma.github.io/Logging_0881/klagomålsmail/A 14858-2022 FSC-klagomål mail.docx", "A 14858-2022")</f>
        <v/>
      </c>
      <c r="X665">
        <f>HYPERLINK("https://klasma.github.io/Logging_0881/tillsyn/A 14858-2022 tillsynsbegäran.docx", "A 14858-2022")</f>
        <v/>
      </c>
      <c r="Y665">
        <f>HYPERLINK("https://klasma.github.io/Logging_0881/tillsynsmail/A 14858-2022 tillsynsbegäran mail.docx", "A 14858-2022")</f>
        <v/>
      </c>
    </row>
    <row r="666" ht="15" customHeight="1">
      <c r="A666" t="inlineStr">
        <is>
          <t>A 8738-2021</t>
        </is>
      </c>
      <c r="B666" s="1" t="n">
        <v>44246</v>
      </c>
      <c r="C666" s="1" t="n">
        <v>45884</v>
      </c>
      <c r="D666" t="inlineStr">
        <is>
          <t>KALMAR LÄN</t>
        </is>
      </c>
      <c r="E666" t="inlineStr">
        <is>
          <t>KALMAR</t>
        </is>
      </c>
      <c r="G666" t="n">
        <v>5.7</v>
      </c>
      <c r="H666" t="n">
        <v>1</v>
      </c>
      <c r="I666" t="n">
        <v>0</v>
      </c>
      <c r="J666" t="n">
        <v>0</v>
      </c>
      <c r="K666" t="n">
        <v>0</v>
      </c>
      <c r="L666" t="n">
        <v>0</v>
      </c>
      <c r="M666" t="n">
        <v>0</v>
      </c>
      <c r="N666" t="n">
        <v>0</v>
      </c>
      <c r="O666" t="n">
        <v>0</v>
      </c>
      <c r="P666" t="n">
        <v>0</v>
      </c>
      <c r="Q666" t="n">
        <v>1</v>
      </c>
      <c r="R666" s="2" t="inlineStr">
        <is>
          <t>Törnskata</t>
        </is>
      </c>
      <c r="S666">
        <f>HYPERLINK("https://klasma.github.io/Logging_0880/artfynd/A 8738-2021 artfynd.xlsx", "A 8738-2021")</f>
        <v/>
      </c>
      <c r="T666">
        <f>HYPERLINK("https://klasma.github.io/Logging_0880/kartor/A 8738-2021 karta.png", "A 8738-2021")</f>
        <v/>
      </c>
      <c r="V666">
        <f>HYPERLINK("https://klasma.github.io/Logging_0880/klagomål/A 8738-2021 FSC-klagomål.docx", "A 8738-2021")</f>
        <v/>
      </c>
      <c r="W666">
        <f>HYPERLINK("https://klasma.github.io/Logging_0880/klagomålsmail/A 8738-2021 FSC-klagomål mail.docx", "A 8738-2021")</f>
        <v/>
      </c>
      <c r="X666">
        <f>HYPERLINK("https://klasma.github.io/Logging_0880/tillsyn/A 8738-2021 tillsynsbegäran.docx", "A 8738-2021")</f>
        <v/>
      </c>
      <c r="Y666">
        <f>HYPERLINK("https://klasma.github.io/Logging_0880/tillsynsmail/A 8738-2021 tillsynsbegäran mail.docx", "A 8738-2021")</f>
        <v/>
      </c>
      <c r="Z666">
        <f>HYPERLINK("https://klasma.github.io/Logging_0880/fåglar/A 8738-2021 prioriterade fågelarter.docx", "A 8738-2021")</f>
        <v/>
      </c>
    </row>
    <row r="667" ht="15" customHeight="1">
      <c r="A667" t="inlineStr">
        <is>
          <t>A 19519-2025</t>
        </is>
      </c>
      <c r="B667" s="1" t="n">
        <v>45770</v>
      </c>
      <c r="C667" s="1" t="n">
        <v>45884</v>
      </c>
      <c r="D667" t="inlineStr">
        <is>
          <t>KALMAR LÄN</t>
        </is>
      </c>
      <c r="E667" t="inlineStr">
        <is>
          <t>HÖGSBY</t>
        </is>
      </c>
      <c r="G667" t="n">
        <v>3.5</v>
      </c>
      <c r="H667" t="n">
        <v>0</v>
      </c>
      <c r="I667" t="n">
        <v>1</v>
      </c>
      <c r="J667" t="n">
        <v>0</v>
      </c>
      <c r="K667" t="n">
        <v>0</v>
      </c>
      <c r="L667" t="n">
        <v>0</v>
      </c>
      <c r="M667" t="n">
        <v>0</v>
      </c>
      <c r="N667" t="n">
        <v>0</v>
      </c>
      <c r="O667" t="n">
        <v>0</v>
      </c>
      <c r="P667" t="n">
        <v>0</v>
      </c>
      <c r="Q667" t="n">
        <v>1</v>
      </c>
      <c r="R667" s="2" t="inlineStr">
        <is>
          <t>Dropptaggsvamp</t>
        </is>
      </c>
      <c r="S667">
        <f>HYPERLINK("https://klasma.github.io/Logging_0821/artfynd/A 19519-2025 artfynd.xlsx", "A 19519-2025")</f>
        <v/>
      </c>
      <c r="T667">
        <f>HYPERLINK("https://klasma.github.io/Logging_0821/kartor/A 19519-2025 karta.png", "A 19519-2025")</f>
        <v/>
      </c>
      <c r="V667">
        <f>HYPERLINK("https://klasma.github.io/Logging_0821/klagomål/A 19519-2025 FSC-klagomål.docx", "A 19519-2025")</f>
        <v/>
      </c>
      <c r="W667">
        <f>HYPERLINK("https://klasma.github.io/Logging_0821/klagomålsmail/A 19519-2025 FSC-klagomål mail.docx", "A 19519-2025")</f>
        <v/>
      </c>
      <c r="X667">
        <f>HYPERLINK("https://klasma.github.io/Logging_0821/tillsyn/A 19519-2025 tillsynsbegäran.docx", "A 19519-2025")</f>
        <v/>
      </c>
      <c r="Y667">
        <f>HYPERLINK("https://klasma.github.io/Logging_0821/tillsynsmail/A 19519-2025 tillsynsbegäran mail.docx", "A 19519-2025")</f>
        <v/>
      </c>
    </row>
    <row r="668" ht="15" customHeight="1">
      <c r="A668" t="inlineStr">
        <is>
          <t>A 14089-2025</t>
        </is>
      </c>
      <c r="B668" s="1" t="n">
        <v>45740.44363425926</v>
      </c>
      <c r="C668" s="1" t="n">
        <v>45884</v>
      </c>
      <c r="D668" t="inlineStr">
        <is>
          <t>KALMAR LÄN</t>
        </is>
      </c>
      <c r="E668" t="inlineStr">
        <is>
          <t>VÄSTERVIK</t>
        </is>
      </c>
      <c r="F668" t="inlineStr">
        <is>
          <t>Sveaskog</t>
        </is>
      </c>
      <c r="G668" t="n">
        <v>1.3</v>
      </c>
      <c r="H668" t="n">
        <v>1</v>
      </c>
      <c r="I668" t="n">
        <v>0</v>
      </c>
      <c r="J668" t="n">
        <v>1</v>
      </c>
      <c r="K668" t="n">
        <v>0</v>
      </c>
      <c r="L668" t="n">
        <v>0</v>
      </c>
      <c r="M668" t="n">
        <v>0</v>
      </c>
      <c r="N668" t="n">
        <v>0</v>
      </c>
      <c r="O668" t="n">
        <v>1</v>
      </c>
      <c r="P668" t="n">
        <v>0</v>
      </c>
      <c r="Q668" t="n">
        <v>1</v>
      </c>
      <c r="R668" s="2" t="inlineStr">
        <is>
          <t>Spillkråka</t>
        </is>
      </c>
      <c r="S668">
        <f>HYPERLINK("https://klasma.github.io/Logging_0883/artfynd/A 14089-2025 artfynd.xlsx", "A 14089-2025")</f>
        <v/>
      </c>
      <c r="T668">
        <f>HYPERLINK("https://klasma.github.io/Logging_0883/kartor/A 14089-2025 karta.png", "A 14089-2025")</f>
        <v/>
      </c>
      <c r="V668">
        <f>HYPERLINK("https://klasma.github.io/Logging_0883/klagomål/A 14089-2025 FSC-klagomål.docx", "A 14089-2025")</f>
        <v/>
      </c>
      <c r="W668">
        <f>HYPERLINK("https://klasma.github.io/Logging_0883/klagomålsmail/A 14089-2025 FSC-klagomål mail.docx", "A 14089-2025")</f>
        <v/>
      </c>
      <c r="X668">
        <f>HYPERLINK("https://klasma.github.io/Logging_0883/tillsyn/A 14089-2025 tillsynsbegäran.docx", "A 14089-2025")</f>
        <v/>
      </c>
      <c r="Y668">
        <f>HYPERLINK("https://klasma.github.io/Logging_0883/tillsynsmail/A 14089-2025 tillsynsbegäran mail.docx", "A 14089-2025")</f>
        <v/>
      </c>
      <c r="Z668">
        <f>HYPERLINK("https://klasma.github.io/Logging_0883/fåglar/A 14089-2025 prioriterade fågelarter.docx", "A 14089-2025")</f>
        <v/>
      </c>
    </row>
    <row r="669" ht="15" customHeight="1">
      <c r="A669" t="inlineStr">
        <is>
          <t>A 20610-2025</t>
        </is>
      </c>
      <c r="B669" s="1" t="n">
        <v>45775.89171296296</v>
      </c>
      <c r="C669" s="1" t="n">
        <v>45884</v>
      </c>
      <c r="D669" t="inlineStr">
        <is>
          <t>KALMAR LÄN</t>
        </is>
      </c>
      <c r="E669" t="inlineStr">
        <is>
          <t>KALMAR</t>
        </is>
      </c>
      <c r="G669" t="n">
        <v>0.9</v>
      </c>
      <c r="H669" t="n">
        <v>0</v>
      </c>
      <c r="I669" t="n">
        <v>1</v>
      </c>
      <c r="J669" t="n">
        <v>0</v>
      </c>
      <c r="K669" t="n">
        <v>0</v>
      </c>
      <c r="L669" t="n">
        <v>0</v>
      </c>
      <c r="M669" t="n">
        <v>0</v>
      </c>
      <c r="N669" t="n">
        <v>0</v>
      </c>
      <c r="O669" t="n">
        <v>0</v>
      </c>
      <c r="P669" t="n">
        <v>0</v>
      </c>
      <c r="Q669" t="n">
        <v>1</v>
      </c>
      <c r="R669" s="2" t="inlineStr">
        <is>
          <t>Blåmossa</t>
        </is>
      </c>
      <c r="S669">
        <f>HYPERLINK("https://klasma.github.io/Logging_0880/artfynd/A 20610-2025 artfynd.xlsx", "A 20610-2025")</f>
        <v/>
      </c>
      <c r="T669">
        <f>HYPERLINK("https://klasma.github.io/Logging_0880/kartor/A 20610-2025 karta.png", "A 20610-2025")</f>
        <v/>
      </c>
      <c r="V669">
        <f>HYPERLINK("https://klasma.github.io/Logging_0880/klagomål/A 20610-2025 FSC-klagomål.docx", "A 20610-2025")</f>
        <v/>
      </c>
      <c r="W669">
        <f>HYPERLINK("https://klasma.github.io/Logging_0880/klagomålsmail/A 20610-2025 FSC-klagomål mail.docx", "A 20610-2025")</f>
        <v/>
      </c>
      <c r="X669">
        <f>HYPERLINK("https://klasma.github.io/Logging_0880/tillsyn/A 20610-2025 tillsynsbegäran.docx", "A 20610-2025")</f>
        <v/>
      </c>
      <c r="Y669">
        <f>HYPERLINK("https://klasma.github.io/Logging_0880/tillsynsmail/A 20610-2025 tillsynsbegäran mail.docx", "A 20610-2025")</f>
        <v/>
      </c>
    </row>
    <row r="670" ht="15" customHeight="1">
      <c r="A670" t="inlineStr">
        <is>
          <t>A 37621-2024</t>
        </is>
      </c>
      <c r="B670" s="1" t="n">
        <v>45541.51222222222</v>
      </c>
      <c r="C670" s="1" t="n">
        <v>45884</v>
      </c>
      <c r="D670" t="inlineStr">
        <is>
          <t>KALMAR LÄN</t>
        </is>
      </c>
      <c r="E670" t="inlineStr">
        <is>
          <t>NYBRO</t>
        </is>
      </c>
      <c r="G670" t="n">
        <v>4.1</v>
      </c>
      <c r="H670" t="n">
        <v>0</v>
      </c>
      <c r="I670" t="n">
        <v>1</v>
      </c>
      <c r="J670" t="n">
        <v>0</v>
      </c>
      <c r="K670" t="n">
        <v>0</v>
      </c>
      <c r="L670" t="n">
        <v>0</v>
      </c>
      <c r="M670" t="n">
        <v>0</v>
      </c>
      <c r="N670" t="n">
        <v>0</v>
      </c>
      <c r="O670" t="n">
        <v>0</v>
      </c>
      <c r="P670" t="n">
        <v>0</v>
      </c>
      <c r="Q670" t="n">
        <v>1</v>
      </c>
      <c r="R670" s="2" t="inlineStr">
        <is>
          <t>Blåmossa</t>
        </is>
      </c>
      <c r="S670">
        <f>HYPERLINK("https://klasma.github.io/Logging_0881/artfynd/A 37621-2024 artfynd.xlsx", "A 37621-2024")</f>
        <v/>
      </c>
      <c r="T670">
        <f>HYPERLINK("https://klasma.github.io/Logging_0881/kartor/A 37621-2024 karta.png", "A 37621-2024")</f>
        <v/>
      </c>
      <c r="V670">
        <f>HYPERLINK("https://klasma.github.io/Logging_0881/klagomål/A 37621-2024 FSC-klagomål.docx", "A 37621-2024")</f>
        <v/>
      </c>
      <c r="W670">
        <f>HYPERLINK("https://klasma.github.io/Logging_0881/klagomålsmail/A 37621-2024 FSC-klagomål mail.docx", "A 37621-2024")</f>
        <v/>
      </c>
      <c r="X670">
        <f>HYPERLINK("https://klasma.github.io/Logging_0881/tillsyn/A 37621-2024 tillsynsbegäran.docx", "A 37621-2024")</f>
        <v/>
      </c>
      <c r="Y670">
        <f>HYPERLINK("https://klasma.github.io/Logging_0881/tillsynsmail/A 37621-2024 tillsynsbegäran mail.docx", "A 37621-2024")</f>
        <v/>
      </c>
    </row>
    <row r="671" ht="15" customHeight="1">
      <c r="A671" t="inlineStr">
        <is>
          <t>A 16695-2025</t>
        </is>
      </c>
      <c r="B671" s="1" t="n">
        <v>45754.46579861111</v>
      </c>
      <c r="C671" s="1" t="n">
        <v>45884</v>
      </c>
      <c r="D671" t="inlineStr">
        <is>
          <t>KALMAR LÄN</t>
        </is>
      </c>
      <c r="E671" t="inlineStr">
        <is>
          <t>VÄSTERVIK</t>
        </is>
      </c>
      <c r="F671" t="inlineStr">
        <is>
          <t>Sveaskog</t>
        </is>
      </c>
      <c r="G671" t="n">
        <v>1.8</v>
      </c>
      <c r="H671" t="n">
        <v>1</v>
      </c>
      <c r="I671" t="n">
        <v>0</v>
      </c>
      <c r="J671" t="n">
        <v>0</v>
      </c>
      <c r="K671" t="n">
        <v>0</v>
      </c>
      <c r="L671" t="n">
        <v>0</v>
      </c>
      <c r="M671" t="n">
        <v>0</v>
      </c>
      <c r="N671" t="n">
        <v>0</v>
      </c>
      <c r="O671" t="n">
        <v>0</v>
      </c>
      <c r="P671" t="n">
        <v>0</v>
      </c>
      <c r="Q671" t="n">
        <v>1</v>
      </c>
      <c r="R671" s="2" t="inlineStr">
        <is>
          <t>Kungsfågel</t>
        </is>
      </c>
      <c r="S671">
        <f>HYPERLINK("https://klasma.github.io/Logging_0883/artfynd/A 16695-2025 artfynd.xlsx", "A 16695-2025")</f>
        <v/>
      </c>
      <c r="T671">
        <f>HYPERLINK("https://klasma.github.io/Logging_0883/kartor/A 16695-2025 karta.png", "A 16695-2025")</f>
        <v/>
      </c>
      <c r="V671">
        <f>HYPERLINK("https://klasma.github.io/Logging_0883/klagomål/A 16695-2025 FSC-klagomål.docx", "A 16695-2025")</f>
        <v/>
      </c>
      <c r="W671">
        <f>HYPERLINK("https://klasma.github.io/Logging_0883/klagomålsmail/A 16695-2025 FSC-klagomål mail.docx", "A 16695-2025")</f>
        <v/>
      </c>
      <c r="X671">
        <f>HYPERLINK("https://klasma.github.io/Logging_0883/tillsyn/A 16695-2025 tillsynsbegäran.docx", "A 16695-2025")</f>
        <v/>
      </c>
      <c r="Y671">
        <f>HYPERLINK("https://klasma.github.io/Logging_0883/tillsynsmail/A 16695-2025 tillsynsbegäran mail.docx", "A 16695-2025")</f>
        <v/>
      </c>
      <c r="Z671">
        <f>HYPERLINK("https://klasma.github.io/Logging_0883/fåglar/A 16695-2025 prioriterade fågelarter.docx", "A 16695-2025")</f>
        <v/>
      </c>
    </row>
    <row r="672" ht="15" customHeight="1">
      <c r="A672" t="inlineStr">
        <is>
          <t>A 16697-2025</t>
        </is>
      </c>
      <c r="B672" s="1" t="n">
        <v>45754.46709490741</v>
      </c>
      <c r="C672" s="1" t="n">
        <v>45884</v>
      </c>
      <c r="D672" t="inlineStr">
        <is>
          <t>KALMAR LÄN</t>
        </is>
      </c>
      <c r="E672" t="inlineStr">
        <is>
          <t>VÄSTERVIK</t>
        </is>
      </c>
      <c r="F672" t="inlineStr">
        <is>
          <t>Sveaskog</t>
        </is>
      </c>
      <c r="G672" t="n">
        <v>1.3</v>
      </c>
      <c r="H672" t="n">
        <v>1</v>
      </c>
      <c r="I672" t="n">
        <v>0</v>
      </c>
      <c r="J672" t="n">
        <v>1</v>
      </c>
      <c r="K672" t="n">
        <v>0</v>
      </c>
      <c r="L672" t="n">
        <v>0</v>
      </c>
      <c r="M672" t="n">
        <v>0</v>
      </c>
      <c r="N672" t="n">
        <v>0</v>
      </c>
      <c r="O672" t="n">
        <v>1</v>
      </c>
      <c r="P672" t="n">
        <v>0</v>
      </c>
      <c r="Q672" t="n">
        <v>1</v>
      </c>
      <c r="R672" s="2" t="inlineStr">
        <is>
          <t>Spillkråka</t>
        </is>
      </c>
      <c r="S672">
        <f>HYPERLINK("https://klasma.github.io/Logging_0883/artfynd/A 16697-2025 artfynd.xlsx", "A 16697-2025")</f>
        <v/>
      </c>
      <c r="T672">
        <f>HYPERLINK("https://klasma.github.io/Logging_0883/kartor/A 16697-2025 karta.png", "A 16697-2025")</f>
        <v/>
      </c>
      <c r="V672">
        <f>HYPERLINK("https://klasma.github.io/Logging_0883/klagomål/A 16697-2025 FSC-klagomål.docx", "A 16697-2025")</f>
        <v/>
      </c>
      <c r="W672">
        <f>HYPERLINK("https://klasma.github.io/Logging_0883/klagomålsmail/A 16697-2025 FSC-klagomål mail.docx", "A 16697-2025")</f>
        <v/>
      </c>
      <c r="X672">
        <f>HYPERLINK("https://klasma.github.io/Logging_0883/tillsyn/A 16697-2025 tillsynsbegäran.docx", "A 16697-2025")</f>
        <v/>
      </c>
      <c r="Y672">
        <f>HYPERLINK("https://klasma.github.io/Logging_0883/tillsynsmail/A 16697-2025 tillsynsbegäran mail.docx", "A 16697-2025")</f>
        <v/>
      </c>
      <c r="Z672">
        <f>HYPERLINK("https://klasma.github.io/Logging_0883/fåglar/A 16697-2025 prioriterade fågelarter.docx", "A 16697-2025")</f>
        <v/>
      </c>
    </row>
    <row r="673" ht="15" customHeight="1">
      <c r="A673" t="inlineStr">
        <is>
          <t>A 37327-2024</t>
        </is>
      </c>
      <c r="B673" s="1" t="n">
        <v>45540.50771990741</v>
      </c>
      <c r="C673" s="1" t="n">
        <v>45884</v>
      </c>
      <c r="D673" t="inlineStr">
        <is>
          <t>KALMAR LÄN</t>
        </is>
      </c>
      <c r="E673" t="inlineStr">
        <is>
          <t>OSKARSHAMN</t>
        </is>
      </c>
      <c r="G673" t="n">
        <v>5.5</v>
      </c>
      <c r="H673" t="n">
        <v>0</v>
      </c>
      <c r="I673" t="n">
        <v>1</v>
      </c>
      <c r="J673" t="n">
        <v>0</v>
      </c>
      <c r="K673" t="n">
        <v>0</v>
      </c>
      <c r="L673" t="n">
        <v>0</v>
      </c>
      <c r="M673" t="n">
        <v>0</v>
      </c>
      <c r="N673" t="n">
        <v>0</v>
      </c>
      <c r="O673" t="n">
        <v>0</v>
      </c>
      <c r="P673" t="n">
        <v>0</v>
      </c>
      <c r="Q673" t="n">
        <v>1</v>
      </c>
      <c r="R673" s="2" t="inlineStr">
        <is>
          <t>Dropptaggsvamp</t>
        </is>
      </c>
      <c r="S673">
        <f>HYPERLINK("https://klasma.github.io/Logging_0882/artfynd/A 37327-2024 artfynd.xlsx", "A 37327-2024")</f>
        <v/>
      </c>
      <c r="T673">
        <f>HYPERLINK("https://klasma.github.io/Logging_0882/kartor/A 37327-2024 karta.png", "A 37327-2024")</f>
        <v/>
      </c>
      <c r="V673">
        <f>HYPERLINK("https://klasma.github.io/Logging_0882/klagomål/A 37327-2024 FSC-klagomål.docx", "A 37327-2024")</f>
        <v/>
      </c>
      <c r="W673">
        <f>HYPERLINK("https://klasma.github.io/Logging_0882/klagomålsmail/A 37327-2024 FSC-klagomål mail.docx", "A 37327-2024")</f>
        <v/>
      </c>
      <c r="X673">
        <f>HYPERLINK("https://klasma.github.io/Logging_0882/tillsyn/A 37327-2024 tillsynsbegäran.docx", "A 37327-2024")</f>
        <v/>
      </c>
      <c r="Y673">
        <f>HYPERLINK("https://klasma.github.io/Logging_0882/tillsynsmail/A 37327-2024 tillsynsbegäran mail.docx", "A 37327-2024")</f>
        <v/>
      </c>
    </row>
    <row r="674" ht="15" customHeight="1">
      <c r="A674" t="inlineStr">
        <is>
          <t>A 37975-2024</t>
        </is>
      </c>
      <c r="B674" s="1" t="n">
        <v>45544.57532407407</v>
      </c>
      <c r="C674" s="1" t="n">
        <v>45884</v>
      </c>
      <c r="D674" t="inlineStr">
        <is>
          <t>KALMAR LÄN</t>
        </is>
      </c>
      <c r="E674" t="inlineStr">
        <is>
          <t>KALMAR</t>
        </is>
      </c>
      <c r="G674" t="n">
        <v>2.4</v>
      </c>
      <c r="H674" t="n">
        <v>1</v>
      </c>
      <c r="I674" t="n">
        <v>0</v>
      </c>
      <c r="J674" t="n">
        <v>1</v>
      </c>
      <c r="K674" t="n">
        <v>0</v>
      </c>
      <c r="L674" t="n">
        <v>0</v>
      </c>
      <c r="M674" t="n">
        <v>0</v>
      </c>
      <c r="N674" t="n">
        <v>0</v>
      </c>
      <c r="O674" t="n">
        <v>1</v>
      </c>
      <c r="P674" t="n">
        <v>0</v>
      </c>
      <c r="Q674" t="n">
        <v>1</v>
      </c>
      <c r="R674" s="2" t="inlineStr">
        <is>
          <t>Talltita</t>
        </is>
      </c>
      <c r="S674">
        <f>HYPERLINK("https://klasma.github.io/Logging_0880/artfynd/A 37975-2024 artfynd.xlsx", "A 37975-2024")</f>
        <v/>
      </c>
      <c r="T674">
        <f>HYPERLINK("https://klasma.github.io/Logging_0880/kartor/A 37975-2024 karta.png", "A 37975-2024")</f>
        <v/>
      </c>
      <c r="V674">
        <f>HYPERLINK("https://klasma.github.io/Logging_0880/klagomål/A 37975-2024 FSC-klagomål.docx", "A 37975-2024")</f>
        <v/>
      </c>
      <c r="W674">
        <f>HYPERLINK("https://klasma.github.io/Logging_0880/klagomålsmail/A 37975-2024 FSC-klagomål mail.docx", "A 37975-2024")</f>
        <v/>
      </c>
      <c r="X674">
        <f>HYPERLINK("https://klasma.github.io/Logging_0880/tillsyn/A 37975-2024 tillsynsbegäran.docx", "A 37975-2024")</f>
        <v/>
      </c>
      <c r="Y674">
        <f>HYPERLINK("https://klasma.github.io/Logging_0880/tillsynsmail/A 37975-2024 tillsynsbegäran mail.docx", "A 37975-2024")</f>
        <v/>
      </c>
      <c r="Z674">
        <f>HYPERLINK("https://klasma.github.io/Logging_0880/fåglar/A 37975-2024 prioriterade fågelarter.docx", "A 37975-2024")</f>
        <v/>
      </c>
    </row>
    <row r="675" ht="15" customHeight="1">
      <c r="A675" t="inlineStr">
        <is>
          <t>A 3057-2025</t>
        </is>
      </c>
      <c r="B675" s="1" t="n">
        <v>45678</v>
      </c>
      <c r="C675" s="1" t="n">
        <v>45884</v>
      </c>
      <c r="D675" t="inlineStr">
        <is>
          <t>KALMAR LÄN</t>
        </is>
      </c>
      <c r="E675" t="inlineStr">
        <is>
          <t>VÄSTERVIK</t>
        </is>
      </c>
      <c r="G675" t="n">
        <v>1</v>
      </c>
      <c r="H675" t="n">
        <v>1</v>
      </c>
      <c r="I675" t="n">
        <v>0</v>
      </c>
      <c r="J675" t="n">
        <v>0</v>
      </c>
      <c r="K675" t="n">
        <v>1</v>
      </c>
      <c r="L675" t="n">
        <v>0</v>
      </c>
      <c r="M675" t="n">
        <v>0</v>
      </c>
      <c r="N675" t="n">
        <v>0</v>
      </c>
      <c r="O675" t="n">
        <v>1</v>
      </c>
      <c r="P675" t="n">
        <v>1</v>
      </c>
      <c r="Q675" t="n">
        <v>1</v>
      </c>
      <c r="R675" s="2" t="inlineStr">
        <is>
          <t>Knärot</t>
        </is>
      </c>
      <c r="S675">
        <f>HYPERLINK("https://klasma.github.io/Logging_0883/artfynd/A 3057-2025 artfynd.xlsx", "A 3057-2025")</f>
        <v/>
      </c>
      <c r="T675">
        <f>HYPERLINK("https://klasma.github.io/Logging_0883/kartor/A 3057-2025 karta.png", "A 3057-2025")</f>
        <v/>
      </c>
      <c r="U675">
        <f>HYPERLINK("https://klasma.github.io/Logging_0883/knärot/A 3057-2025 karta knärot.png", "A 3057-2025")</f>
        <v/>
      </c>
      <c r="V675">
        <f>HYPERLINK("https://klasma.github.io/Logging_0883/klagomål/A 3057-2025 FSC-klagomål.docx", "A 3057-2025")</f>
        <v/>
      </c>
      <c r="W675">
        <f>HYPERLINK("https://klasma.github.io/Logging_0883/klagomålsmail/A 3057-2025 FSC-klagomål mail.docx", "A 3057-2025")</f>
        <v/>
      </c>
      <c r="X675">
        <f>HYPERLINK("https://klasma.github.io/Logging_0883/tillsyn/A 3057-2025 tillsynsbegäran.docx", "A 3057-2025")</f>
        <v/>
      </c>
      <c r="Y675">
        <f>HYPERLINK("https://klasma.github.io/Logging_0883/tillsynsmail/A 3057-2025 tillsynsbegäran mail.docx", "A 3057-2025")</f>
        <v/>
      </c>
    </row>
    <row r="676" ht="15" customHeight="1">
      <c r="A676" t="inlineStr">
        <is>
          <t>A 57058-2021</t>
        </is>
      </c>
      <c r="B676" s="1" t="n">
        <v>44482</v>
      </c>
      <c r="C676" s="1" t="n">
        <v>45884</v>
      </c>
      <c r="D676" t="inlineStr">
        <is>
          <t>KALMAR LÄN</t>
        </is>
      </c>
      <c r="E676" t="inlineStr">
        <is>
          <t>KALMAR</t>
        </is>
      </c>
      <c r="G676" t="n">
        <v>7.3</v>
      </c>
      <c r="H676" t="n">
        <v>1</v>
      </c>
      <c r="I676" t="n">
        <v>0</v>
      </c>
      <c r="J676" t="n">
        <v>0</v>
      </c>
      <c r="K676" t="n">
        <v>1</v>
      </c>
      <c r="L676" t="n">
        <v>0</v>
      </c>
      <c r="M676" t="n">
        <v>0</v>
      </c>
      <c r="N676" t="n">
        <v>0</v>
      </c>
      <c r="O676" t="n">
        <v>1</v>
      </c>
      <c r="P676" t="n">
        <v>1</v>
      </c>
      <c r="Q676" t="n">
        <v>1</v>
      </c>
      <c r="R676" s="2" t="inlineStr">
        <is>
          <t>Knärot</t>
        </is>
      </c>
      <c r="S676">
        <f>HYPERLINK("https://klasma.github.io/Logging_0880/artfynd/A 57058-2021 artfynd.xlsx", "A 57058-2021")</f>
        <v/>
      </c>
      <c r="T676">
        <f>HYPERLINK("https://klasma.github.io/Logging_0880/kartor/A 57058-2021 karta.png", "A 57058-2021")</f>
        <v/>
      </c>
      <c r="U676">
        <f>HYPERLINK("https://klasma.github.io/Logging_0880/knärot/A 57058-2021 karta knärot.png", "A 57058-2021")</f>
        <v/>
      </c>
      <c r="V676">
        <f>HYPERLINK("https://klasma.github.io/Logging_0880/klagomål/A 57058-2021 FSC-klagomål.docx", "A 57058-2021")</f>
        <v/>
      </c>
      <c r="W676">
        <f>HYPERLINK("https://klasma.github.io/Logging_0880/klagomålsmail/A 57058-2021 FSC-klagomål mail.docx", "A 57058-2021")</f>
        <v/>
      </c>
      <c r="X676">
        <f>HYPERLINK("https://klasma.github.io/Logging_0880/tillsyn/A 57058-2021 tillsynsbegäran.docx", "A 57058-2021")</f>
        <v/>
      </c>
      <c r="Y676">
        <f>HYPERLINK("https://klasma.github.io/Logging_0880/tillsynsmail/A 57058-2021 tillsynsbegäran mail.docx", "A 57058-2021")</f>
        <v/>
      </c>
    </row>
    <row r="677" ht="15" customHeight="1">
      <c r="A677" t="inlineStr">
        <is>
          <t>A 12662-2022</t>
        </is>
      </c>
      <c r="B677" s="1" t="n">
        <v>44641</v>
      </c>
      <c r="C677" s="1" t="n">
        <v>45884</v>
      </c>
      <c r="D677" t="inlineStr">
        <is>
          <t>KALMAR LÄN</t>
        </is>
      </c>
      <c r="E677" t="inlineStr">
        <is>
          <t>VÄSTERVIK</t>
        </is>
      </c>
      <c r="G677" t="n">
        <v>2.1</v>
      </c>
      <c r="H677" t="n">
        <v>0</v>
      </c>
      <c r="I677" t="n">
        <v>1</v>
      </c>
      <c r="J677" t="n">
        <v>0</v>
      </c>
      <c r="K677" t="n">
        <v>0</v>
      </c>
      <c r="L677" t="n">
        <v>0</v>
      </c>
      <c r="M677" t="n">
        <v>0</v>
      </c>
      <c r="N677" t="n">
        <v>0</v>
      </c>
      <c r="O677" t="n">
        <v>0</v>
      </c>
      <c r="P677" t="n">
        <v>0</v>
      </c>
      <c r="Q677" t="n">
        <v>1</v>
      </c>
      <c r="R677" s="2" t="inlineStr">
        <is>
          <t>Blåmossa</t>
        </is>
      </c>
      <c r="S677">
        <f>HYPERLINK("https://klasma.github.io/Logging_0883/artfynd/A 12662-2022 artfynd.xlsx", "A 12662-2022")</f>
        <v/>
      </c>
      <c r="T677">
        <f>HYPERLINK("https://klasma.github.io/Logging_0883/kartor/A 12662-2022 karta.png", "A 12662-2022")</f>
        <v/>
      </c>
      <c r="V677">
        <f>HYPERLINK("https://klasma.github.io/Logging_0883/klagomål/A 12662-2022 FSC-klagomål.docx", "A 12662-2022")</f>
        <v/>
      </c>
      <c r="W677">
        <f>HYPERLINK("https://klasma.github.io/Logging_0883/klagomålsmail/A 12662-2022 FSC-klagomål mail.docx", "A 12662-2022")</f>
        <v/>
      </c>
      <c r="X677">
        <f>HYPERLINK("https://klasma.github.io/Logging_0883/tillsyn/A 12662-2022 tillsynsbegäran.docx", "A 12662-2022")</f>
        <v/>
      </c>
      <c r="Y677">
        <f>HYPERLINK("https://klasma.github.io/Logging_0883/tillsynsmail/A 12662-2022 tillsynsbegäran mail.docx", "A 12662-2022")</f>
        <v/>
      </c>
    </row>
    <row r="678" ht="15" customHeight="1">
      <c r="A678" t="inlineStr">
        <is>
          <t>A 21409-2025</t>
        </is>
      </c>
      <c r="B678" s="1" t="n">
        <v>45782</v>
      </c>
      <c r="C678" s="1" t="n">
        <v>45884</v>
      </c>
      <c r="D678" t="inlineStr">
        <is>
          <t>KALMAR LÄN</t>
        </is>
      </c>
      <c r="E678" t="inlineStr">
        <is>
          <t>VÄSTERVIK</t>
        </is>
      </c>
      <c r="G678" t="n">
        <v>2.5</v>
      </c>
      <c r="H678" t="n">
        <v>1</v>
      </c>
      <c r="I678" t="n">
        <v>0</v>
      </c>
      <c r="J678" t="n">
        <v>0</v>
      </c>
      <c r="K678" t="n">
        <v>0</v>
      </c>
      <c r="L678" t="n">
        <v>0</v>
      </c>
      <c r="M678" t="n">
        <v>0</v>
      </c>
      <c r="N678" t="n">
        <v>0</v>
      </c>
      <c r="O678" t="n">
        <v>0</v>
      </c>
      <c r="P678" t="n">
        <v>0</v>
      </c>
      <c r="Q678" t="n">
        <v>1</v>
      </c>
      <c r="R678" s="2" t="inlineStr">
        <is>
          <t>Grönvit nattviol</t>
        </is>
      </c>
      <c r="S678">
        <f>HYPERLINK("https://klasma.github.io/Logging_0883/artfynd/A 21409-2025 artfynd.xlsx", "A 21409-2025")</f>
        <v/>
      </c>
      <c r="T678">
        <f>HYPERLINK("https://klasma.github.io/Logging_0883/kartor/A 21409-2025 karta.png", "A 21409-2025")</f>
        <v/>
      </c>
      <c r="V678">
        <f>HYPERLINK("https://klasma.github.io/Logging_0883/klagomål/A 21409-2025 FSC-klagomål.docx", "A 21409-2025")</f>
        <v/>
      </c>
      <c r="W678">
        <f>HYPERLINK("https://klasma.github.io/Logging_0883/klagomålsmail/A 21409-2025 FSC-klagomål mail.docx", "A 21409-2025")</f>
        <v/>
      </c>
      <c r="X678">
        <f>HYPERLINK("https://klasma.github.io/Logging_0883/tillsyn/A 21409-2025 tillsynsbegäran.docx", "A 21409-2025")</f>
        <v/>
      </c>
      <c r="Y678">
        <f>HYPERLINK("https://klasma.github.io/Logging_0883/tillsynsmail/A 21409-2025 tillsynsbegäran mail.docx", "A 21409-2025")</f>
        <v/>
      </c>
    </row>
    <row r="679" ht="15" customHeight="1">
      <c r="A679" t="inlineStr">
        <is>
          <t>A 21653-2025</t>
        </is>
      </c>
      <c r="B679" s="1" t="n">
        <v>45783.45039351852</v>
      </c>
      <c r="C679" s="1" t="n">
        <v>45884</v>
      </c>
      <c r="D679" t="inlineStr">
        <is>
          <t>KALMAR LÄN</t>
        </is>
      </c>
      <c r="E679" t="inlineStr">
        <is>
          <t>VÄSTERVIK</t>
        </is>
      </c>
      <c r="F679" t="inlineStr">
        <is>
          <t>Sveaskog</t>
        </is>
      </c>
      <c r="G679" t="n">
        <v>2.8</v>
      </c>
      <c r="H679" t="n">
        <v>1</v>
      </c>
      <c r="I679" t="n">
        <v>0</v>
      </c>
      <c r="J679" t="n">
        <v>1</v>
      </c>
      <c r="K679" t="n">
        <v>0</v>
      </c>
      <c r="L679" t="n">
        <v>0</v>
      </c>
      <c r="M679" t="n">
        <v>0</v>
      </c>
      <c r="N679" t="n">
        <v>0</v>
      </c>
      <c r="O679" t="n">
        <v>1</v>
      </c>
      <c r="P679" t="n">
        <v>0</v>
      </c>
      <c r="Q679" t="n">
        <v>1</v>
      </c>
      <c r="R679" s="2" t="inlineStr">
        <is>
          <t>Entita</t>
        </is>
      </c>
      <c r="S679">
        <f>HYPERLINK("https://klasma.github.io/Logging_0883/artfynd/A 21653-2025 artfynd.xlsx", "A 21653-2025")</f>
        <v/>
      </c>
      <c r="T679">
        <f>HYPERLINK("https://klasma.github.io/Logging_0883/kartor/A 21653-2025 karta.png", "A 21653-2025")</f>
        <v/>
      </c>
      <c r="V679">
        <f>HYPERLINK("https://klasma.github.io/Logging_0883/klagomål/A 21653-2025 FSC-klagomål.docx", "A 21653-2025")</f>
        <v/>
      </c>
      <c r="W679">
        <f>HYPERLINK("https://klasma.github.io/Logging_0883/klagomålsmail/A 21653-2025 FSC-klagomål mail.docx", "A 21653-2025")</f>
        <v/>
      </c>
      <c r="X679">
        <f>HYPERLINK("https://klasma.github.io/Logging_0883/tillsyn/A 21653-2025 tillsynsbegäran.docx", "A 21653-2025")</f>
        <v/>
      </c>
      <c r="Y679">
        <f>HYPERLINK("https://klasma.github.io/Logging_0883/tillsynsmail/A 21653-2025 tillsynsbegäran mail.docx", "A 21653-2025")</f>
        <v/>
      </c>
      <c r="Z679">
        <f>HYPERLINK("https://klasma.github.io/Logging_0883/fåglar/A 21653-2025 prioriterade fågelarter.docx", "A 21653-2025")</f>
        <v/>
      </c>
    </row>
    <row r="680" ht="15" customHeight="1">
      <c r="A680" t="inlineStr">
        <is>
          <t>A 46559-2022</t>
        </is>
      </c>
      <c r="B680" s="1" t="n">
        <v>44848</v>
      </c>
      <c r="C680" s="1" t="n">
        <v>45884</v>
      </c>
      <c r="D680" t="inlineStr">
        <is>
          <t>KALMAR LÄN</t>
        </is>
      </c>
      <c r="E680" t="inlineStr">
        <is>
          <t>VÄSTERVIK</t>
        </is>
      </c>
      <c r="F680" t="inlineStr">
        <is>
          <t>Sveaskog</t>
        </is>
      </c>
      <c r="G680" t="n">
        <v>2.2</v>
      </c>
      <c r="H680" t="n">
        <v>1</v>
      </c>
      <c r="I680" t="n">
        <v>0</v>
      </c>
      <c r="J680" t="n">
        <v>0</v>
      </c>
      <c r="K680" t="n">
        <v>0</v>
      </c>
      <c r="L680" t="n">
        <v>0</v>
      </c>
      <c r="M680" t="n">
        <v>0</v>
      </c>
      <c r="N680" t="n">
        <v>0</v>
      </c>
      <c r="O680" t="n">
        <v>0</v>
      </c>
      <c r="P680" t="n">
        <v>0</v>
      </c>
      <c r="Q680" t="n">
        <v>1</v>
      </c>
      <c r="R680" s="2" t="inlineStr">
        <is>
          <t>Blåsippa</t>
        </is>
      </c>
      <c r="S680">
        <f>HYPERLINK("https://klasma.github.io/Logging_0883/artfynd/A 46559-2022 artfynd.xlsx", "A 46559-2022")</f>
        <v/>
      </c>
      <c r="T680">
        <f>HYPERLINK("https://klasma.github.io/Logging_0883/kartor/A 46559-2022 karta.png", "A 46559-2022")</f>
        <v/>
      </c>
      <c r="V680">
        <f>HYPERLINK("https://klasma.github.io/Logging_0883/klagomål/A 46559-2022 FSC-klagomål.docx", "A 46559-2022")</f>
        <v/>
      </c>
      <c r="W680">
        <f>HYPERLINK("https://klasma.github.io/Logging_0883/klagomålsmail/A 46559-2022 FSC-klagomål mail.docx", "A 46559-2022")</f>
        <v/>
      </c>
      <c r="X680">
        <f>HYPERLINK("https://klasma.github.io/Logging_0883/tillsyn/A 46559-2022 tillsynsbegäran.docx", "A 46559-2022")</f>
        <v/>
      </c>
      <c r="Y680">
        <f>HYPERLINK("https://klasma.github.io/Logging_0883/tillsynsmail/A 46559-2022 tillsynsbegäran mail.docx", "A 46559-2022")</f>
        <v/>
      </c>
    </row>
    <row r="681" ht="15" customHeight="1">
      <c r="A681" t="inlineStr">
        <is>
          <t>A 43603-2024</t>
        </is>
      </c>
      <c r="B681" s="1" t="n">
        <v>45569.44700231482</v>
      </c>
      <c r="C681" s="1" t="n">
        <v>45884</v>
      </c>
      <c r="D681" t="inlineStr">
        <is>
          <t>KALMAR LÄN</t>
        </is>
      </c>
      <c r="E681" t="inlineStr">
        <is>
          <t>BORGHOLM</t>
        </is>
      </c>
      <c r="G681" t="n">
        <v>3.8</v>
      </c>
      <c r="H681" t="n">
        <v>1</v>
      </c>
      <c r="I681" t="n">
        <v>0</v>
      </c>
      <c r="J681" t="n">
        <v>0</v>
      </c>
      <c r="K681" t="n">
        <v>1</v>
      </c>
      <c r="L681" t="n">
        <v>0</v>
      </c>
      <c r="M681" t="n">
        <v>0</v>
      </c>
      <c r="N681" t="n">
        <v>0</v>
      </c>
      <c r="O681" t="n">
        <v>1</v>
      </c>
      <c r="P681" t="n">
        <v>1</v>
      </c>
      <c r="Q681" t="n">
        <v>1</v>
      </c>
      <c r="R681" s="2" t="inlineStr">
        <is>
          <t>Väddnätfjäril</t>
        </is>
      </c>
      <c r="S681">
        <f>HYPERLINK("https://klasma.github.io/Logging_0885/artfynd/A 43603-2024 artfynd.xlsx", "A 43603-2024")</f>
        <v/>
      </c>
      <c r="T681">
        <f>HYPERLINK("https://klasma.github.io/Logging_0885/kartor/A 43603-2024 karta.png", "A 43603-2024")</f>
        <v/>
      </c>
      <c r="V681">
        <f>HYPERLINK("https://klasma.github.io/Logging_0885/klagomål/A 43603-2024 FSC-klagomål.docx", "A 43603-2024")</f>
        <v/>
      </c>
      <c r="W681">
        <f>HYPERLINK("https://klasma.github.io/Logging_0885/klagomålsmail/A 43603-2024 FSC-klagomål mail.docx", "A 43603-2024")</f>
        <v/>
      </c>
      <c r="X681">
        <f>HYPERLINK("https://klasma.github.io/Logging_0885/tillsyn/A 43603-2024 tillsynsbegäran.docx", "A 43603-2024")</f>
        <v/>
      </c>
      <c r="Y681">
        <f>HYPERLINK("https://klasma.github.io/Logging_0885/tillsynsmail/A 43603-2024 tillsynsbegäran mail.docx", "A 43603-2024")</f>
        <v/>
      </c>
    </row>
    <row r="682" ht="15" customHeight="1">
      <c r="A682" t="inlineStr">
        <is>
          <t>A 6931-2025</t>
        </is>
      </c>
      <c r="B682" s="1" t="n">
        <v>45701.45335648148</v>
      </c>
      <c r="C682" s="1" t="n">
        <v>45884</v>
      </c>
      <c r="D682" t="inlineStr">
        <is>
          <t>KALMAR LÄN</t>
        </is>
      </c>
      <c r="E682" t="inlineStr">
        <is>
          <t>NYBRO</t>
        </is>
      </c>
      <c r="G682" t="n">
        <v>2.7</v>
      </c>
      <c r="H682" t="n">
        <v>0</v>
      </c>
      <c r="I682" t="n">
        <v>1</v>
      </c>
      <c r="J682" t="n">
        <v>0</v>
      </c>
      <c r="K682" t="n">
        <v>0</v>
      </c>
      <c r="L682" t="n">
        <v>0</v>
      </c>
      <c r="M682" t="n">
        <v>0</v>
      </c>
      <c r="N682" t="n">
        <v>0</v>
      </c>
      <c r="O682" t="n">
        <v>0</v>
      </c>
      <c r="P682" t="n">
        <v>0</v>
      </c>
      <c r="Q682" t="n">
        <v>1</v>
      </c>
      <c r="R682" s="2" t="inlineStr">
        <is>
          <t>Grönpyrola</t>
        </is>
      </c>
      <c r="S682">
        <f>HYPERLINK("https://klasma.github.io/Logging_0881/artfynd/A 6931-2025 artfynd.xlsx", "A 6931-2025")</f>
        <v/>
      </c>
      <c r="T682">
        <f>HYPERLINK("https://klasma.github.io/Logging_0881/kartor/A 6931-2025 karta.png", "A 6931-2025")</f>
        <v/>
      </c>
      <c r="V682">
        <f>HYPERLINK("https://klasma.github.io/Logging_0881/klagomål/A 6931-2025 FSC-klagomål.docx", "A 6931-2025")</f>
        <v/>
      </c>
      <c r="W682">
        <f>HYPERLINK("https://klasma.github.io/Logging_0881/klagomålsmail/A 6931-2025 FSC-klagomål mail.docx", "A 6931-2025")</f>
        <v/>
      </c>
      <c r="X682">
        <f>HYPERLINK("https://klasma.github.io/Logging_0881/tillsyn/A 6931-2025 tillsynsbegäran.docx", "A 6931-2025")</f>
        <v/>
      </c>
      <c r="Y682">
        <f>HYPERLINK("https://klasma.github.io/Logging_0881/tillsynsmail/A 6931-2025 tillsynsbegäran mail.docx", "A 6931-2025")</f>
        <v/>
      </c>
    </row>
    <row r="683" ht="15" customHeight="1">
      <c r="A683" t="inlineStr">
        <is>
          <t>A 9265-2025</t>
        </is>
      </c>
      <c r="B683" s="1" t="n">
        <v>45714.61153935185</v>
      </c>
      <c r="C683" s="1" t="n">
        <v>45884</v>
      </c>
      <c r="D683" t="inlineStr">
        <is>
          <t>KALMAR LÄN</t>
        </is>
      </c>
      <c r="E683" t="inlineStr">
        <is>
          <t>VÄSTERVIK</t>
        </is>
      </c>
      <c r="F683" t="inlineStr">
        <is>
          <t>Sveaskog</t>
        </is>
      </c>
      <c r="G683" t="n">
        <v>2.2</v>
      </c>
      <c r="H683" t="n">
        <v>1</v>
      </c>
      <c r="I683" t="n">
        <v>0</v>
      </c>
      <c r="J683" t="n">
        <v>1</v>
      </c>
      <c r="K683" t="n">
        <v>0</v>
      </c>
      <c r="L683" t="n">
        <v>0</v>
      </c>
      <c r="M683" t="n">
        <v>0</v>
      </c>
      <c r="N683" t="n">
        <v>0</v>
      </c>
      <c r="O683" t="n">
        <v>1</v>
      </c>
      <c r="P683" t="n">
        <v>0</v>
      </c>
      <c r="Q683" t="n">
        <v>1</v>
      </c>
      <c r="R683" s="2" t="inlineStr">
        <is>
          <t>Havsörn</t>
        </is>
      </c>
      <c r="S683">
        <f>HYPERLINK("https://klasma.github.io/Logging_0883/artfynd/A 9265-2025 artfynd.xlsx", "A 9265-2025")</f>
        <v/>
      </c>
      <c r="T683">
        <f>HYPERLINK("https://klasma.github.io/Logging_0883/kartor/A 9265-2025 karta.png", "A 9265-2025")</f>
        <v/>
      </c>
      <c r="V683">
        <f>HYPERLINK("https://klasma.github.io/Logging_0883/klagomål/A 9265-2025 FSC-klagomål.docx", "A 9265-2025")</f>
        <v/>
      </c>
      <c r="W683">
        <f>HYPERLINK("https://klasma.github.io/Logging_0883/klagomålsmail/A 9265-2025 FSC-klagomål mail.docx", "A 9265-2025")</f>
        <v/>
      </c>
      <c r="X683">
        <f>HYPERLINK("https://klasma.github.io/Logging_0883/tillsyn/A 9265-2025 tillsynsbegäran.docx", "A 9265-2025")</f>
        <v/>
      </c>
      <c r="Y683">
        <f>HYPERLINK("https://klasma.github.io/Logging_0883/tillsynsmail/A 9265-2025 tillsynsbegäran mail.docx", "A 9265-2025")</f>
        <v/>
      </c>
      <c r="Z683">
        <f>HYPERLINK("https://klasma.github.io/Logging_0883/fåglar/A 9265-2025 prioriterade fågelarter.docx", "A 9265-2025")</f>
        <v/>
      </c>
    </row>
    <row r="684" ht="15" customHeight="1">
      <c r="A684" t="inlineStr">
        <is>
          <t>A 12292-2025</t>
        </is>
      </c>
      <c r="B684" s="1" t="n">
        <v>45729.68322916667</v>
      </c>
      <c r="C684" s="1" t="n">
        <v>45884</v>
      </c>
      <c r="D684" t="inlineStr">
        <is>
          <t>KALMAR LÄN</t>
        </is>
      </c>
      <c r="E684" t="inlineStr">
        <is>
          <t>VÄSTERVIK</t>
        </is>
      </c>
      <c r="G684" t="n">
        <v>1.7</v>
      </c>
      <c r="H684" t="n">
        <v>1</v>
      </c>
      <c r="I684" t="n">
        <v>0</v>
      </c>
      <c r="J684" t="n">
        <v>0</v>
      </c>
      <c r="K684" t="n">
        <v>1</v>
      </c>
      <c r="L684" t="n">
        <v>0</v>
      </c>
      <c r="M684" t="n">
        <v>0</v>
      </c>
      <c r="N684" t="n">
        <v>0</v>
      </c>
      <c r="O684" t="n">
        <v>1</v>
      </c>
      <c r="P684" t="n">
        <v>1</v>
      </c>
      <c r="Q684" t="n">
        <v>1</v>
      </c>
      <c r="R684" s="2" t="inlineStr">
        <is>
          <t>Knärot</t>
        </is>
      </c>
      <c r="S684">
        <f>HYPERLINK("https://klasma.github.io/Logging_0883/artfynd/A 12292-2025 artfynd.xlsx", "A 12292-2025")</f>
        <v/>
      </c>
      <c r="T684">
        <f>HYPERLINK("https://klasma.github.io/Logging_0883/kartor/A 12292-2025 karta.png", "A 12292-2025")</f>
        <v/>
      </c>
      <c r="U684">
        <f>HYPERLINK("https://klasma.github.io/Logging_0883/knärot/A 12292-2025 karta knärot.png", "A 12292-2025")</f>
        <v/>
      </c>
      <c r="V684">
        <f>HYPERLINK("https://klasma.github.io/Logging_0883/klagomål/A 12292-2025 FSC-klagomål.docx", "A 12292-2025")</f>
        <v/>
      </c>
      <c r="W684">
        <f>HYPERLINK("https://klasma.github.io/Logging_0883/klagomålsmail/A 12292-2025 FSC-klagomål mail.docx", "A 12292-2025")</f>
        <v/>
      </c>
      <c r="X684">
        <f>HYPERLINK("https://klasma.github.io/Logging_0883/tillsyn/A 12292-2025 tillsynsbegäran.docx", "A 12292-2025")</f>
        <v/>
      </c>
      <c r="Y684">
        <f>HYPERLINK("https://klasma.github.io/Logging_0883/tillsynsmail/A 12292-2025 tillsynsbegäran mail.docx", "A 12292-2025")</f>
        <v/>
      </c>
    </row>
    <row r="685" ht="15" customHeight="1">
      <c r="A685" t="inlineStr">
        <is>
          <t>A 38119-2023</t>
        </is>
      </c>
      <c r="B685" s="1" t="n">
        <v>45161.33116898148</v>
      </c>
      <c r="C685" s="1" t="n">
        <v>45884</v>
      </c>
      <c r="D685" t="inlineStr">
        <is>
          <t>KALMAR LÄN</t>
        </is>
      </c>
      <c r="E685" t="inlineStr">
        <is>
          <t>EMMABODA</t>
        </is>
      </c>
      <c r="F685" t="inlineStr">
        <is>
          <t>Kommuner</t>
        </is>
      </c>
      <c r="G685" t="n">
        <v>1.5</v>
      </c>
      <c r="H685" t="n">
        <v>0</v>
      </c>
      <c r="I685" t="n">
        <v>0</v>
      </c>
      <c r="J685" t="n">
        <v>1</v>
      </c>
      <c r="K685" t="n">
        <v>0</v>
      </c>
      <c r="L685" t="n">
        <v>0</v>
      </c>
      <c r="M685" t="n">
        <v>0</v>
      </c>
      <c r="N685" t="n">
        <v>0</v>
      </c>
      <c r="O685" t="n">
        <v>1</v>
      </c>
      <c r="P685" t="n">
        <v>0</v>
      </c>
      <c r="Q685" t="n">
        <v>1</v>
      </c>
      <c r="R685" s="2" t="inlineStr">
        <is>
          <t>Åkerkål</t>
        </is>
      </c>
      <c r="S685">
        <f>HYPERLINK("https://klasma.github.io/Logging_0862/artfynd/A 38119-2023 artfynd.xlsx", "A 38119-2023")</f>
        <v/>
      </c>
      <c r="T685">
        <f>HYPERLINK("https://klasma.github.io/Logging_0862/kartor/A 38119-2023 karta.png", "A 38119-2023")</f>
        <v/>
      </c>
      <c r="V685">
        <f>HYPERLINK("https://klasma.github.io/Logging_0862/klagomål/A 38119-2023 FSC-klagomål.docx", "A 38119-2023")</f>
        <v/>
      </c>
      <c r="W685">
        <f>HYPERLINK("https://klasma.github.io/Logging_0862/klagomålsmail/A 38119-2023 FSC-klagomål mail.docx", "A 38119-2023")</f>
        <v/>
      </c>
      <c r="X685">
        <f>HYPERLINK("https://klasma.github.io/Logging_0862/tillsyn/A 38119-2023 tillsynsbegäran.docx", "A 38119-2023")</f>
        <v/>
      </c>
      <c r="Y685">
        <f>HYPERLINK("https://klasma.github.io/Logging_0862/tillsynsmail/A 38119-2023 tillsynsbegäran mail.docx", "A 38119-2023")</f>
        <v/>
      </c>
    </row>
    <row r="686" ht="15" customHeight="1">
      <c r="A686" t="inlineStr">
        <is>
          <t>A 61490-2024</t>
        </is>
      </c>
      <c r="B686" s="1" t="n">
        <v>45646.54944444444</v>
      </c>
      <c r="C686" s="1" t="n">
        <v>45884</v>
      </c>
      <c r="D686" t="inlineStr">
        <is>
          <t>KALMAR LÄN</t>
        </is>
      </c>
      <c r="E686" t="inlineStr">
        <is>
          <t>MÖNSTERÅS</t>
        </is>
      </c>
      <c r="F686" t="inlineStr">
        <is>
          <t>Kommuner</t>
        </is>
      </c>
      <c r="G686" t="n">
        <v>8</v>
      </c>
      <c r="H686" t="n">
        <v>0</v>
      </c>
      <c r="I686" t="n">
        <v>0</v>
      </c>
      <c r="J686" t="n">
        <v>1</v>
      </c>
      <c r="K686" t="n">
        <v>0</v>
      </c>
      <c r="L686" t="n">
        <v>0</v>
      </c>
      <c r="M686" t="n">
        <v>0</v>
      </c>
      <c r="N686" t="n">
        <v>0</v>
      </c>
      <c r="O686" t="n">
        <v>1</v>
      </c>
      <c r="P686" t="n">
        <v>0</v>
      </c>
      <c r="Q686" t="n">
        <v>1</v>
      </c>
      <c r="R686" s="2" t="inlineStr">
        <is>
          <t>Taggbock</t>
        </is>
      </c>
      <c r="S686">
        <f>HYPERLINK("https://klasma.github.io/Logging_0861/artfynd/A 61490-2024 artfynd.xlsx", "A 61490-2024")</f>
        <v/>
      </c>
      <c r="T686">
        <f>HYPERLINK("https://klasma.github.io/Logging_0861/kartor/A 61490-2024 karta.png", "A 61490-2024")</f>
        <v/>
      </c>
      <c r="V686">
        <f>HYPERLINK("https://klasma.github.io/Logging_0861/klagomål/A 61490-2024 FSC-klagomål.docx", "A 61490-2024")</f>
        <v/>
      </c>
      <c r="W686">
        <f>HYPERLINK("https://klasma.github.io/Logging_0861/klagomålsmail/A 61490-2024 FSC-klagomål mail.docx", "A 61490-2024")</f>
        <v/>
      </c>
      <c r="X686">
        <f>HYPERLINK("https://klasma.github.io/Logging_0861/tillsyn/A 61490-2024 tillsynsbegäran.docx", "A 61490-2024")</f>
        <v/>
      </c>
      <c r="Y686">
        <f>HYPERLINK("https://klasma.github.io/Logging_0861/tillsynsmail/A 61490-2024 tillsynsbegäran mail.docx", "A 61490-2024")</f>
        <v/>
      </c>
    </row>
    <row r="687" ht="15" customHeight="1">
      <c r="A687" t="inlineStr">
        <is>
          <t>A 17952-2025</t>
        </is>
      </c>
      <c r="B687" s="1" t="n">
        <v>45760.85842592592</v>
      </c>
      <c r="C687" s="1" t="n">
        <v>45884</v>
      </c>
      <c r="D687" t="inlineStr">
        <is>
          <t>KALMAR LÄN</t>
        </is>
      </c>
      <c r="E687" t="inlineStr">
        <is>
          <t>VÄSTERVIK</t>
        </is>
      </c>
      <c r="G687" t="n">
        <v>3.3</v>
      </c>
      <c r="H687" t="n">
        <v>1</v>
      </c>
      <c r="I687" t="n">
        <v>0</v>
      </c>
      <c r="J687" t="n">
        <v>0</v>
      </c>
      <c r="K687" t="n">
        <v>0</v>
      </c>
      <c r="L687" t="n">
        <v>0</v>
      </c>
      <c r="M687" t="n">
        <v>0</v>
      </c>
      <c r="N687" t="n">
        <v>0</v>
      </c>
      <c r="O687" t="n">
        <v>0</v>
      </c>
      <c r="P687" t="n">
        <v>0</v>
      </c>
      <c r="Q687" t="n">
        <v>1</v>
      </c>
      <c r="R687" s="2" t="inlineStr">
        <is>
          <t>Revlummer</t>
        </is>
      </c>
      <c r="S687">
        <f>HYPERLINK("https://klasma.github.io/Logging_0883/artfynd/A 17952-2025 artfynd.xlsx", "A 17952-2025")</f>
        <v/>
      </c>
      <c r="T687">
        <f>HYPERLINK("https://klasma.github.io/Logging_0883/kartor/A 17952-2025 karta.png", "A 17952-2025")</f>
        <v/>
      </c>
      <c r="V687">
        <f>HYPERLINK("https://klasma.github.io/Logging_0883/klagomål/A 17952-2025 FSC-klagomål.docx", "A 17952-2025")</f>
        <v/>
      </c>
      <c r="W687">
        <f>HYPERLINK("https://klasma.github.io/Logging_0883/klagomålsmail/A 17952-2025 FSC-klagomål mail.docx", "A 17952-2025")</f>
        <v/>
      </c>
      <c r="X687">
        <f>HYPERLINK("https://klasma.github.io/Logging_0883/tillsyn/A 17952-2025 tillsynsbegäran.docx", "A 17952-2025")</f>
        <v/>
      </c>
      <c r="Y687">
        <f>HYPERLINK("https://klasma.github.io/Logging_0883/tillsynsmail/A 17952-2025 tillsynsbegäran mail.docx", "A 17952-2025")</f>
        <v/>
      </c>
    </row>
    <row r="688" ht="15" customHeight="1">
      <c r="A688" t="inlineStr">
        <is>
          <t>A 23082-2024</t>
        </is>
      </c>
      <c r="B688" s="1" t="n">
        <v>45450</v>
      </c>
      <c r="C688" s="1" t="n">
        <v>45884</v>
      </c>
      <c r="D688" t="inlineStr">
        <is>
          <t>KALMAR LÄN</t>
        </is>
      </c>
      <c r="E688" t="inlineStr">
        <is>
          <t>HULTSFRED</t>
        </is>
      </c>
      <c r="G688" t="n">
        <v>1.8</v>
      </c>
      <c r="H688" t="n">
        <v>1</v>
      </c>
      <c r="I688" t="n">
        <v>0</v>
      </c>
      <c r="J688" t="n">
        <v>1</v>
      </c>
      <c r="K688" t="n">
        <v>0</v>
      </c>
      <c r="L688" t="n">
        <v>0</v>
      </c>
      <c r="M688" t="n">
        <v>0</v>
      </c>
      <c r="N688" t="n">
        <v>0</v>
      </c>
      <c r="O688" t="n">
        <v>1</v>
      </c>
      <c r="P688" t="n">
        <v>0</v>
      </c>
      <c r="Q688" t="n">
        <v>1</v>
      </c>
      <c r="R688" s="2" t="inlineStr">
        <is>
          <t>Spillkråka</t>
        </is>
      </c>
      <c r="S688">
        <f>HYPERLINK("https://klasma.github.io/Logging_0860/artfynd/A 23082-2024 artfynd.xlsx", "A 23082-2024")</f>
        <v/>
      </c>
      <c r="T688">
        <f>HYPERLINK("https://klasma.github.io/Logging_0860/kartor/A 23082-2024 karta.png", "A 23082-2024")</f>
        <v/>
      </c>
      <c r="V688">
        <f>HYPERLINK("https://klasma.github.io/Logging_0860/klagomål/A 23082-2024 FSC-klagomål.docx", "A 23082-2024")</f>
        <v/>
      </c>
      <c r="W688">
        <f>HYPERLINK("https://klasma.github.io/Logging_0860/klagomålsmail/A 23082-2024 FSC-klagomål mail.docx", "A 23082-2024")</f>
        <v/>
      </c>
      <c r="X688">
        <f>HYPERLINK("https://klasma.github.io/Logging_0860/tillsyn/A 23082-2024 tillsynsbegäran.docx", "A 23082-2024")</f>
        <v/>
      </c>
      <c r="Y688">
        <f>HYPERLINK("https://klasma.github.io/Logging_0860/tillsynsmail/A 23082-2024 tillsynsbegäran mail.docx", "A 23082-2024")</f>
        <v/>
      </c>
      <c r="Z688">
        <f>HYPERLINK("https://klasma.github.io/Logging_0860/fåglar/A 23082-2024 prioriterade fågelarter.docx", "A 23082-2024")</f>
        <v/>
      </c>
    </row>
    <row r="689" ht="15" customHeight="1">
      <c r="A689" t="inlineStr">
        <is>
          <t>A 21107-2021</t>
        </is>
      </c>
      <c r="B689" s="1" t="n">
        <v>44319</v>
      </c>
      <c r="C689" s="1" t="n">
        <v>45884</v>
      </c>
      <c r="D689" t="inlineStr">
        <is>
          <t>KALMAR LÄN</t>
        </is>
      </c>
      <c r="E689" t="inlineStr">
        <is>
          <t>HULTSFRED</t>
        </is>
      </c>
      <c r="G689" t="n">
        <v>1.2</v>
      </c>
      <c r="H689" t="n">
        <v>1</v>
      </c>
      <c r="I689" t="n">
        <v>0</v>
      </c>
      <c r="J689" t="n">
        <v>0</v>
      </c>
      <c r="K689" t="n">
        <v>0</v>
      </c>
      <c r="L689" t="n">
        <v>0</v>
      </c>
      <c r="M689" t="n">
        <v>0</v>
      </c>
      <c r="N689" t="n">
        <v>0</v>
      </c>
      <c r="O689" t="n">
        <v>0</v>
      </c>
      <c r="P689" t="n">
        <v>0</v>
      </c>
      <c r="Q689" t="n">
        <v>1</v>
      </c>
      <c r="R689" s="2" t="inlineStr">
        <is>
          <t>Orre</t>
        </is>
      </c>
      <c r="S689">
        <f>HYPERLINK("https://klasma.github.io/Logging_0860/artfynd/A 21107-2021 artfynd.xlsx", "A 21107-2021")</f>
        <v/>
      </c>
      <c r="T689">
        <f>HYPERLINK("https://klasma.github.io/Logging_0860/kartor/A 21107-2021 karta.png", "A 21107-2021")</f>
        <v/>
      </c>
      <c r="V689">
        <f>HYPERLINK("https://klasma.github.io/Logging_0860/klagomål/A 21107-2021 FSC-klagomål.docx", "A 21107-2021")</f>
        <v/>
      </c>
      <c r="W689">
        <f>HYPERLINK("https://klasma.github.io/Logging_0860/klagomålsmail/A 21107-2021 FSC-klagomål mail.docx", "A 21107-2021")</f>
        <v/>
      </c>
      <c r="X689">
        <f>HYPERLINK("https://klasma.github.io/Logging_0860/tillsyn/A 21107-2021 tillsynsbegäran.docx", "A 21107-2021")</f>
        <v/>
      </c>
      <c r="Y689">
        <f>HYPERLINK("https://klasma.github.io/Logging_0860/tillsynsmail/A 21107-2021 tillsynsbegäran mail.docx", "A 21107-2021")</f>
        <v/>
      </c>
      <c r="Z689">
        <f>HYPERLINK("https://klasma.github.io/Logging_0860/fåglar/A 21107-2021 prioriterade fågelarter.docx", "A 21107-2021")</f>
        <v/>
      </c>
    </row>
    <row r="690" ht="15" customHeight="1">
      <c r="A690" t="inlineStr">
        <is>
          <t>A 60036-2022</t>
        </is>
      </c>
      <c r="B690" s="1" t="n">
        <v>44909</v>
      </c>
      <c r="C690" s="1" t="n">
        <v>45884</v>
      </c>
      <c r="D690" t="inlineStr">
        <is>
          <t>KALMAR LÄN</t>
        </is>
      </c>
      <c r="E690" t="inlineStr">
        <is>
          <t>NYBRO</t>
        </is>
      </c>
      <c r="G690" t="n">
        <v>8.699999999999999</v>
      </c>
      <c r="H690" t="n">
        <v>1</v>
      </c>
      <c r="I690" t="n">
        <v>0</v>
      </c>
      <c r="J690" t="n">
        <v>0</v>
      </c>
      <c r="K690" t="n">
        <v>1</v>
      </c>
      <c r="L690" t="n">
        <v>0</v>
      </c>
      <c r="M690" t="n">
        <v>0</v>
      </c>
      <c r="N690" t="n">
        <v>0</v>
      </c>
      <c r="O690" t="n">
        <v>1</v>
      </c>
      <c r="P690" t="n">
        <v>1</v>
      </c>
      <c r="Q690" t="n">
        <v>1</v>
      </c>
      <c r="R690" s="2" t="inlineStr">
        <is>
          <t>Knärot</t>
        </is>
      </c>
      <c r="S690">
        <f>HYPERLINK("https://klasma.github.io/Logging_0881/artfynd/A 60036-2022 artfynd.xlsx", "A 60036-2022")</f>
        <v/>
      </c>
      <c r="T690">
        <f>HYPERLINK("https://klasma.github.io/Logging_0881/kartor/A 60036-2022 karta.png", "A 60036-2022")</f>
        <v/>
      </c>
      <c r="U690">
        <f>HYPERLINK("https://klasma.github.io/Logging_0881/knärot/A 60036-2022 karta knärot.png", "A 60036-2022")</f>
        <v/>
      </c>
      <c r="V690">
        <f>HYPERLINK("https://klasma.github.io/Logging_0881/klagomål/A 60036-2022 FSC-klagomål.docx", "A 60036-2022")</f>
        <v/>
      </c>
      <c r="W690">
        <f>HYPERLINK("https://klasma.github.io/Logging_0881/klagomålsmail/A 60036-2022 FSC-klagomål mail.docx", "A 60036-2022")</f>
        <v/>
      </c>
      <c r="X690">
        <f>HYPERLINK("https://klasma.github.io/Logging_0881/tillsyn/A 60036-2022 tillsynsbegäran.docx", "A 60036-2022")</f>
        <v/>
      </c>
      <c r="Y690">
        <f>HYPERLINK("https://klasma.github.io/Logging_0881/tillsynsmail/A 60036-2022 tillsynsbegäran mail.docx", "A 60036-2022")</f>
        <v/>
      </c>
    </row>
    <row r="691" ht="15" customHeight="1">
      <c r="A691" t="inlineStr">
        <is>
          <t>A 21846-2023</t>
        </is>
      </c>
      <c r="B691" s="1" t="n">
        <v>45068.42262731482</v>
      </c>
      <c r="C691" s="1" t="n">
        <v>45884</v>
      </c>
      <c r="D691" t="inlineStr">
        <is>
          <t>KALMAR LÄN</t>
        </is>
      </c>
      <c r="E691" t="inlineStr">
        <is>
          <t>EMMABODA</t>
        </is>
      </c>
      <c r="F691" t="inlineStr">
        <is>
          <t>Kommuner</t>
        </is>
      </c>
      <c r="G691" t="n">
        <v>1.4</v>
      </c>
      <c r="H691" t="n">
        <v>0</v>
      </c>
      <c r="I691" t="n">
        <v>0</v>
      </c>
      <c r="J691" t="n">
        <v>1</v>
      </c>
      <c r="K691" t="n">
        <v>0</v>
      </c>
      <c r="L691" t="n">
        <v>0</v>
      </c>
      <c r="M691" t="n">
        <v>0</v>
      </c>
      <c r="N691" t="n">
        <v>0</v>
      </c>
      <c r="O691" t="n">
        <v>1</v>
      </c>
      <c r="P691" t="n">
        <v>0</v>
      </c>
      <c r="Q691" t="n">
        <v>1</v>
      </c>
      <c r="R691" s="2" t="inlineStr">
        <is>
          <t>Åkerkål</t>
        </is>
      </c>
      <c r="S691">
        <f>HYPERLINK("https://klasma.github.io/Logging_0862/artfynd/A 21846-2023 artfynd.xlsx", "A 21846-2023")</f>
        <v/>
      </c>
      <c r="T691">
        <f>HYPERLINK("https://klasma.github.io/Logging_0862/kartor/A 21846-2023 karta.png", "A 21846-2023")</f>
        <v/>
      </c>
      <c r="V691">
        <f>HYPERLINK("https://klasma.github.io/Logging_0862/klagomål/A 21846-2023 FSC-klagomål.docx", "A 21846-2023")</f>
        <v/>
      </c>
      <c r="W691">
        <f>HYPERLINK("https://klasma.github.io/Logging_0862/klagomålsmail/A 21846-2023 FSC-klagomål mail.docx", "A 21846-2023")</f>
        <v/>
      </c>
      <c r="X691">
        <f>HYPERLINK("https://klasma.github.io/Logging_0862/tillsyn/A 21846-2023 tillsynsbegäran.docx", "A 21846-2023")</f>
        <v/>
      </c>
      <c r="Y691">
        <f>HYPERLINK("https://klasma.github.io/Logging_0862/tillsynsmail/A 21846-2023 tillsynsbegäran mail.docx", "A 21846-2023")</f>
        <v/>
      </c>
    </row>
    <row r="692" ht="15" customHeight="1">
      <c r="A692" t="inlineStr">
        <is>
          <t>A 22406-2025</t>
        </is>
      </c>
      <c r="B692" s="1" t="n">
        <v>45786.54461805556</v>
      </c>
      <c r="C692" s="1" t="n">
        <v>45884</v>
      </c>
      <c r="D692" t="inlineStr">
        <is>
          <t>KALMAR LÄN</t>
        </is>
      </c>
      <c r="E692" t="inlineStr">
        <is>
          <t>HÖGSBY</t>
        </is>
      </c>
      <c r="F692" t="inlineStr">
        <is>
          <t>Sveaskog</t>
        </is>
      </c>
      <c r="G692" t="n">
        <v>13.2</v>
      </c>
      <c r="H692" t="n">
        <v>0</v>
      </c>
      <c r="I692" t="n">
        <v>0</v>
      </c>
      <c r="J692" t="n">
        <v>1</v>
      </c>
      <c r="K692" t="n">
        <v>0</v>
      </c>
      <c r="L692" t="n">
        <v>0</v>
      </c>
      <c r="M692" t="n">
        <v>0</v>
      </c>
      <c r="N692" t="n">
        <v>0</v>
      </c>
      <c r="O692" t="n">
        <v>1</v>
      </c>
      <c r="P692" t="n">
        <v>0</v>
      </c>
      <c r="Q692" t="n">
        <v>1</v>
      </c>
      <c r="R692" s="2" t="inlineStr">
        <is>
          <t>Större flatbagge</t>
        </is>
      </c>
      <c r="S692">
        <f>HYPERLINK("https://klasma.github.io/Logging_0821/artfynd/A 22406-2025 artfynd.xlsx", "A 22406-2025")</f>
        <v/>
      </c>
      <c r="T692">
        <f>HYPERLINK("https://klasma.github.io/Logging_0821/kartor/A 22406-2025 karta.png", "A 22406-2025")</f>
        <v/>
      </c>
      <c r="V692">
        <f>HYPERLINK("https://klasma.github.io/Logging_0821/klagomål/A 22406-2025 FSC-klagomål.docx", "A 22406-2025")</f>
        <v/>
      </c>
      <c r="W692">
        <f>HYPERLINK("https://klasma.github.io/Logging_0821/klagomålsmail/A 22406-2025 FSC-klagomål mail.docx", "A 22406-2025")</f>
        <v/>
      </c>
      <c r="X692">
        <f>HYPERLINK("https://klasma.github.io/Logging_0821/tillsyn/A 22406-2025 tillsynsbegäran.docx", "A 22406-2025")</f>
        <v/>
      </c>
      <c r="Y692">
        <f>HYPERLINK("https://klasma.github.io/Logging_0821/tillsynsmail/A 22406-2025 tillsynsbegäran mail.docx", "A 22406-2025")</f>
        <v/>
      </c>
    </row>
    <row r="693" ht="15" customHeight="1">
      <c r="A693" t="inlineStr">
        <is>
          <t>A 11729-2023</t>
        </is>
      </c>
      <c r="B693" s="1" t="n">
        <v>44994</v>
      </c>
      <c r="C693" s="1" t="n">
        <v>45884</v>
      </c>
      <c r="D693" t="inlineStr">
        <is>
          <t>KALMAR LÄN</t>
        </is>
      </c>
      <c r="E693" t="inlineStr">
        <is>
          <t>VÄSTERVIK</t>
        </is>
      </c>
      <c r="F693" t="inlineStr">
        <is>
          <t>Sveaskog</t>
        </is>
      </c>
      <c r="G693" t="n">
        <v>4.1</v>
      </c>
      <c r="H693" t="n">
        <v>0</v>
      </c>
      <c r="I693" t="n">
        <v>0</v>
      </c>
      <c r="J693" t="n">
        <v>1</v>
      </c>
      <c r="K693" t="n">
        <v>0</v>
      </c>
      <c r="L693" t="n">
        <v>0</v>
      </c>
      <c r="M693" t="n">
        <v>0</v>
      </c>
      <c r="N693" t="n">
        <v>0</v>
      </c>
      <c r="O693" t="n">
        <v>1</v>
      </c>
      <c r="P693" t="n">
        <v>0</v>
      </c>
      <c r="Q693" t="n">
        <v>1</v>
      </c>
      <c r="R693" s="2" t="inlineStr">
        <is>
          <t>Bredbrämad bastardsvärmare</t>
        </is>
      </c>
      <c r="S693">
        <f>HYPERLINK("https://klasma.github.io/Logging_0883/artfynd/A 11729-2023 artfynd.xlsx", "A 11729-2023")</f>
        <v/>
      </c>
      <c r="T693">
        <f>HYPERLINK("https://klasma.github.io/Logging_0883/kartor/A 11729-2023 karta.png", "A 11729-2023")</f>
        <v/>
      </c>
      <c r="V693">
        <f>HYPERLINK("https://klasma.github.io/Logging_0883/klagomål/A 11729-2023 FSC-klagomål.docx", "A 11729-2023")</f>
        <v/>
      </c>
      <c r="W693">
        <f>HYPERLINK("https://klasma.github.io/Logging_0883/klagomålsmail/A 11729-2023 FSC-klagomål mail.docx", "A 11729-2023")</f>
        <v/>
      </c>
      <c r="X693">
        <f>HYPERLINK("https://klasma.github.io/Logging_0883/tillsyn/A 11729-2023 tillsynsbegäran.docx", "A 11729-2023")</f>
        <v/>
      </c>
      <c r="Y693">
        <f>HYPERLINK("https://klasma.github.io/Logging_0883/tillsynsmail/A 11729-2023 tillsynsbegäran mail.docx", "A 11729-2023")</f>
        <v/>
      </c>
    </row>
    <row r="694" ht="15" customHeight="1">
      <c r="A694" t="inlineStr">
        <is>
          <t>A 42443-2023</t>
        </is>
      </c>
      <c r="B694" s="1" t="n">
        <v>45175</v>
      </c>
      <c r="C694" s="1" t="n">
        <v>45884</v>
      </c>
      <c r="D694" t="inlineStr">
        <is>
          <t>KALMAR LÄN</t>
        </is>
      </c>
      <c r="E694" t="inlineStr">
        <is>
          <t>OSKARSHAMN</t>
        </is>
      </c>
      <c r="G694" t="n">
        <v>11.4</v>
      </c>
      <c r="H694" t="n">
        <v>0</v>
      </c>
      <c r="I694" t="n">
        <v>1</v>
      </c>
      <c r="J694" t="n">
        <v>0</v>
      </c>
      <c r="K694" t="n">
        <v>0</v>
      </c>
      <c r="L694" t="n">
        <v>0</v>
      </c>
      <c r="M694" t="n">
        <v>0</v>
      </c>
      <c r="N694" t="n">
        <v>0</v>
      </c>
      <c r="O694" t="n">
        <v>0</v>
      </c>
      <c r="P694" t="n">
        <v>0</v>
      </c>
      <c r="Q694" t="n">
        <v>1</v>
      </c>
      <c r="R694" s="2" t="inlineStr">
        <is>
          <t>Blåmossa</t>
        </is>
      </c>
      <c r="S694">
        <f>HYPERLINK("https://klasma.github.io/Logging_0882/artfynd/A 42443-2023 artfynd.xlsx", "A 42443-2023")</f>
        <v/>
      </c>
      <c r="T694">
        <f>HYPERLINK("https://klasma.github.io/Logging_0882/kartor/A 42443-2023 karta.png", "A 42443-2023")</f>
        <v/>
      </c>
      <c r="V694">
        <f>HYPERLINK("https://klasma.github.io/Logging_0882/klagomål/A 42443-2023 FSC-klagomål.docx", "A 42443-2023")</f>
        <v/>
      </c>
      <c r="W694">
        <f>HYPERLINK("https://klasma.github.io/Logging_0882/klagomålsmail/A 42443-2023 FSC-klagomål mail.docx", "A 42443-2023")</f>
        <v/>
      </c>
      <c r="X694">
        <f>HYPERLINK("https://klasma.github.io/Logging_0882/tillsyn/A 42443-2023 tillsynsbegäran.docx", "A 42443-2023")</f>
        <v/>
      </c>
      <c r="Y694">
        <f>HYPERLINK("https://klasma.github.io/Logging_0882/tillsynsmail/A 42443-2023 tillsynsbegäran mail.docx", "A 42443-2023")</f>
        <v/>
      </c>
    </row>
    <row r="695" ht="15" customHeight="1">
      <c r="A695" t="inlineStr">
        <is>
          <t>A 14789-2021</t>
        </is>
      </c>
      <c r="B695" s="1" t="n">
        <v>44280</v>
      </c>
      <c r="C695" s="1" t="n">
        <v>45884</v>
      </c>
      <c r="D695" t="inlineStr">
        <is>
          <t>KALMAR LÄN</t>
        </is>
      </c>
      <c r="E695" t="inlineStr">
        <is>
          <t>BORGHOLM</t>
        </is>
      </c>
      <c r="G695" t="n">
        <v>1</v>
      </c>
      <c r="H695" t="n">
        <v>1</v>
      </c>
      <c r="I695" t="n">
        <v>1</v>
      </c>
      <c r="J695" t="n">
        <v>0</v>
      </c>
      <c r="K695" t="n">
        <v>0</v>
      </c>
      <c r="L695" t="n">
        <v>0</v>
      </c>
      <c r="M695" t="n">
        <v>0</v>
      </c>
      <c r="N695" t="n">
        <v>0</v>
      </c>
      <c r="O695" t="n">
        <v>0</v>
      </c>
      <c r="P695" t="n">
        <v>0</v>
      </c>
      <c r="Q695" t="n">
        <v>1</v>
      </c>
      <c r="R695" s="2" t="inlineStr">
        <is>
          <t>Skogsknipprot</t>
        </is>
      </c>
      <c r="S695">
        <f>HYPERLINK("https://klasma.github.io/Logging_0885/artfynd/A 14789-2021 artfynd.xlsx", "A 14789-2021")</f>
        <v/>
      </c>
      <c r="T695">
        <f>HYPERLINK("https://klasma.github.io/Logging_0885/kartor/A 14789-2021 karta.png", "A 14789-2021")</f>
        <v/>
      </c>
      <c r="V695">
        <f>HYPERLINK("https://klasma.github.io/Logging_0885/klagomål/A 14789-2021 FSC-klagomål.docx", "A 14789-2021")</f>
        <v/>
      </c>
      <c r="W695">
        <f>HYPERLINK("https://klasma.github.io/Logging_0885/klagomålsmail/A 14789-2021 FSC-klagomål mail.docx", "A 14789-2021")</f>
        <v/>
      </c>
      <c r="X695">
        <f>HYPERLINK("https://klasma.github.io/Logging_0885/tillsyn/A 14789-2021 tillsynsbegäran.docx", "A 14789-2021")</f>
        <v/>
      </c>
      <c r="Y695">
        <f>HYPERLINK("https://klasma.github.io/Logging_0885/tillsynsmail/A 14789-2021 tillsynsbegäran mail.docx", "A 14789-2021")</f>
        <v/>
      </c>
    </row>
    <row r="696" ht="15" customHeight="1">
      <c r="A696" t="inlineStr">
        <is>
          <t>A 56026-2024</t>
        </is>
      </c>
      <c r="B696" s="1" t="n">
        <v>45624.29501157408</v>
      </c>
      <c r="C696" s="1" t="n">
        <v>45884</v>
      </c>
      <c r="D696" t="inlineStr">
        <is>
          <t>KALMAR LÄN</t>
        </is>
      </c>
      <c r="E696" t="inlineStr">
        <is>
          <t>HULTSFRED</t>
        </is>
      </c>
      <c r="F696" t="inlineStr">
        <is>
          <t>Sveaskog</t>
        </is>
      </c>
      <c r="G696" t="n">
        <v>4.5</v>
      </c>
      <c r="H696" t="n">
        <v>0</v>
      </c>
      <c r="I696" t="n">
        <v>1</v>
      </c>
      <c r="J696" t="n">
        <v>0</v>
      </c>
      <c r="K696" t="n">
        <v>0</v>
      </c>
      <c r="L696" t="n">
        <v>0</v>
      </c>
      <c r="M696" t="n">
        <v>0</v>
      </c>
      <c r="N696" t="n">
        <v>0</v>
      </c>
      <c r="O696" t="n">
        <v>0</v>
      </c>
      <c r="P696" t="n">
        <v>0</v>
      </c>
      <c r="Q696" t="n">
        <v>1</v>
      </c>
      <c r="R696" s="2" t="inlineStr">
        <is>
          <t>Vårärt</t>
        </is>
      </c>
      <c r="S696">
        <f>HYPERLINK("https://klasma.github.io/Logging_0860/artfynd/A 56026-2024 artfynd.xlsx", "A 56026-2024")</f>
        <v/>
      </c>
      <c r="T696">
        <f>HYPERLINK("https://klasma.github.io/Logging_0860/kartor/A 56026-2024 karta.png", "A 56026-2024")</f>
        <v/>
      </c>
      <c r="V696">
        <f>HYPERLINK("https://klasma.github.io/Logging_0860/klagomål/A 56026-2024 FSC-klagomål.docx", "A 56026-2024")</f>
        <v/>
      </c>
      <c r="W696">
        <f>HYPERLINK("https://klasma.github.io/Logging_0860/klagomålsmail/A 56026-2024 FSC-klagomål mail.docx", "A 56026-2024")</f>
        <v/>
      </c>
      <c r="X696">
        <f>HYPERLINK("https://klasma.github.io/Logging_0860/tillsyn/A 56026-2024 tillsynsbegäran.docx", "A 56026-2024")</f>
        <v/>
      </c>
      <c r="Y696">
        <f>HYPERLINK("https://klasma.github.io/Logging_0860/tillsynsmail/A 56026-2024 tillsynsbegäran mail.docx", "A 56026-2024")</f>
        <v/>
      </c>
    </row>
    <row r="697" ht="15" customHeight="1">
      <c r="A697" t="inlineStr">
        <is>
          <t>A 55758-2023</t>
        </is>
      </c>
      <c r="B697" s="1" t="n">
        <v>45239</v>
      </c>
      <c r="C697" s="1" t="n">
        <v>45884</v>
      </c>
      <c r="D697" t="inlineStr">
        <is>
          <t>KALMAR LÄN</t>
        </is>
      </c>
      <c r="E697" t="inlineStr">
        <is>
          <t>HULTSFRED</t>
        </is>
      </c>
      <c r="G697" t="n">
        <v>6.7</v>
      </c>
      <c r="H697" t="n">
        <v>0</v>
      </c>
      <c r="I697" t="n">
        <v>0</v>
      </c>
      <c r="J697" t="n">
        <v>1</v>
      </c>
      <c r="K697" t="n">
        <v>0</v>
      </c>
      <c r="L697" t="n">
        <v>0</v>
      </c>
      <c r="M697" t="n">
        <v>0</v>
      </c>
      <c r="N697" t="n">
        <v>0</v>
      </c>
      <c r="O697" t="n">
        <v>1</v>
      </c>
      <c r="P697" t="n">
        <v>0</v>
      </c>
      <c r="Q697" t="n">
        <v>1</v>
      </c>
      <c r="R697" s="2" t="inlineStr">
        <is>
          <t>Korskovall</t>
        </is>
      </c>
      <c r="S697">
        <f>HYPERLINK("https://klasma.github.io/Logging_0860/artfynd/A 55758-2023 artfynd.xlsx", "A 55758-2023")</f>
        <v/>
      </c>
      <c r="T697">
        <f>HYPERLINK("https://klasma.github.io/Logging_0860/kartor/A 55758-2023 karta.png", "A 55758-2023")</f>
        <v/>
      </c>
      <c r="V697">
        <f>HYPERLINK("https://klasma.github.io/Logging_0860/klagomål/A 55758-2023 FSC-klagomål.docx", "A 55758-2023")</f>
        <v/>
      </c>
      <c r="W697">
        <f>HYPERLINK("https://klasma.github.io/Logging_0860/klagomålsmail/A 55758-2023 FSC-klagomål mail.docx", "A 55758-2023")</f>
        <v/>
      </c>
      <c r="X697">
        <f>HYPERLINK("https://klasma.github.io/Logging_0860/tillsyn/A 55758-2023 tillsynsbegäran.docx", "A 55758-2023")</f>
        <v/>
      </c>
      <c r="Y697">
        <f>HYPERLINK("https://klasma.github.io/Logging_0860/tillsynsmail/A 55758-2023 tillsynsbegäran mail.docx", "A 55758-2023")</f>
        <v/>
      </c>
    </row>
    <row r="698" ht="15" customHeight="1">
      <c r="A698" t="inlineStr">
        <is>
          <t>A 23186-2025</t>
        </is>
      </c>
      <c r="B698" s="1" t="n">
        <v>45791.44415509259</v>
      </c>
      <c r="C698" s="1" t="n">
        <v>45884</v>
      </c>
      <c r="D698" t="inlineStr">
        <is>
          <t>KALMAR LÄN</t>
        </is>
      </c>
      <c r="E698" t="inlineStr">
        <is>
          <t>VÄSTERVIK</t>
        </is>
      </c>
      <c r="G698" t="n">
        <v>1.4</v>
      </c>
      <c r="H698" t="n">
        <v>0</v>
      </c>
      <c r="I698" t="n">
        <v>0</v>
      </c>
      <c r="J698" t="n">
        <v>1</v>
      </c>
      <c r="K698" t="n">
        <v>0</v>
      </c>
      <c r="L698" t="n">
        <v>0</v>
      </c>
      <c r="M698" t="n">
        <v>0</v>
      </c>
      <c r="N698" t="n">
        <v>0</v>
      </c>
      <c r="O698" t="n">
        <v>1</v>
      </c>
      <c r="P698" t="n">
        <v>0</v>
      </c>
      <c r="Q698" t="n">
        <v>1</v>
      </c>
      <c r="R698" s="2" t="inlineStr">
        <is>
          <t>Krusfrö</t>
        </is>
      </c>
      <c r="S698">
        <f>HYPERLINK("https://klasma.github.io/Logging_0883/artfynd/A 23186-2025 artfynd.xlsx", "A 23186-2025")</f>
        <v/>
      </c>
      <c r="T698">
        <f>HYPERLINK("https://klasma.github.io/Logging_0883/kartor/A 23186-2025 karta.png", "A 23186-2025")</f>
        <v/>
      </c>
      <c r="V698">
        <f>HYPERLINK("https://klasma.github.io/Logging_0883/klagomål/A 23186-2025 FSC-klagomål.docx", "A 23186-2025")</f>
        <v/>
      </c>
      <c r="W698">
        <f>HYPERLINK("https://klasma.github.io/Logging_0883/klagomålsmail/A 23186-2025 FSC-klagomål mail.docx", "A 23186-2025")</f>
        <v/>
      </c>
      <c r="X698">
        <f>HYPERLINK("https://klasma.github.io/Logging_0883/tillsyn/A 23186-2025 tillsynsbegäran.docx", "A 23186-2025")</f>
        <v/>
      </c>
      <c r="Y698">
        <f>HYPERLINK("https://klasma.github.io/Logging_0883/tillsynsmail/A 23186-2025 tillsynsbegäran mail.docx", "A 23186-2025")</f>
        <v/>
      </c>
    </row>
    <row r="699" ht="15" customHeight="1">
      <c r="A699" t="inlineStr">
        <is>
          <t>A 23192-2025</t>
        </is>
      </c>
      <c r="B699" s="1" t="n">
        <v>45791.45371527778</v>
      </c>
      <c r="C699" s="1" t="n">
        <v>45884</v>
      </c>
      <c r="D699" t="inlineStr">
        <is>
          <t>KALMAR LÄN</t>
        </is>
      </c>
      <c r="E699" t="inlineStr">
        <is>
          <t>VÄSTERVIK</t>
        </is>
      </c>
      <c r="G699" t="n">
        <v>1.5</v>
      </c>
      <c r="H699" t="n">
        <v>1</v>
      </c>
      <c r="I699" t="n">
        <v>0</v>
      </c>
      <c r="J699" t="n">
        <v>1</v>
      </c>
      <c r="K699" t="n">
        <v>0</v>
      </c>
      <c r="L699" t="n">
        <v>0</v>
      </c>
      <c r="M699" t="n">
        <v>0</v>
      </c>
      <c r="N699" t="n">
        <v>0</v>
      </c>
      <c r="O699" t="n">
        <v>1</v>
      </c>
      <c r="P699" t="n">
        <v>0</v>
      </c>
      <c r="Q699" t="n">
        <v>1</v>
      </c>
      <c r="R699" s="2" t="inlineStr">
        <is>
          <t>Talltita</t>
        </is>
      </c>
      <c r="S699">
        <f>HYPERLINK("https://klasma.github.io/Logging_0883/artfynd/A 23192-2025 artfynd.xlsx", "A 23192-2025")</f>
        <v/>
      </c>
      <c r="T699">
        <f>HYPERLINK("https://klasma.github.io/Logging_0883/kartor/A 23192-2025 karta.png", "A 23192-2025")</f>
        <v/>
      </c>
      <c r="V699">
        <f>HYPERLINK("https://klasma.github.io/Logging_0883/klagomål/A 23192-2025 FSC-klagomål.docx", "A 23192-2025")</f>
        <v/>
      </c>
      <c r="W699">
        <f>HYPERLINK("https://klasma.github.io/Logging_0883/klagomålsmail/A 23192-2025 FSC-klagomål mail.docx", "A 23192-2025")</f>
        <v/>
      </c>
      <c r="X699">
        <f>HYPERLINK("https://klasma.github.io/Logging_0883/tillsyn/A 23192-2025 tillsynsbegäran.docx", "A 23192-2025")</f>
        <v/>
      </c>
      <c r="Y699">
        <f>HYPERLINK("https://klasma.github.io/Logging_0883/tillsynsmail/A 23192-2025 tillsynsbegäran mail.docx", "A 23192-2025")</f>
        <v/>
      </c>
      <c r="Z699">
        <f>HYPERLINK("https://klasma.github.io/Logging_0883/fåglar/A 23192-2025 prioriterade fågelarter.docx", "A 23192-2025")</f>
        <v/>
      </c>
    </row>
    <row r="700" ht="15" customHeight="1">
      <c r="A700" t="inlineStr">
        <is>
          <t>A 23199-2025</t>
        </is>
      </c>
      <c r="B700" s="1" t="n">
        <v>45791.45887731481</v>
      </c>
      <c r="C700" s="1" t="n">
        <v>45884</v>
      </c>
      <c r="D700" t="inlineStr">
        <is>
          <t>KALMAR LÄN</t>
        </is>
      </c>
      <c r="E700" t="inlineStr">
        <is>
          <t>VÄSTERVIK</t>
        </is>
      </c>
      <c r="G700" t="n">
        <v>2.1</v>
      </c>
      <c r="H700" t="n">
        <v>0</v>
      </c>
      <c r="I700" t="n">
        <v>1</v>
      </c>
      <c r="J700" t="n">
        <v>0</v>
      </c>
      <c r="K700" t="n">
        <v>0</v>
      </c>
      <c r="L700" t="n">
        <v>0</v>
      </c>
      <c r="M700" t="n">
        <v>0</v>
      </c>
      <c r="N700" t="n">
        <v>0</v>
      </c>
      <c r="O700" t="n">
        <v>0</v>
      </c>
      <c r="P700" t="n">
        <v>0</v>
      </c>
      <c r="Q700" t="n">
        <v>1</v>
      </c>
      <c r="R700" s="2" t="inlineStr">
        <is>
          <t>Blåmossa</t>
        </is>
      </c>
      <c r="S700">
        <f>HYPERLINK("https://klasma.github.io/Logging_0883/artfynd/A 23199-2025 artfynd.xlsx", "A 23199-2025")</f>
        <v/>
      </c>
      <c r="T700">
        <f>HYPERLINK("https://klasma.github.io/Logging_0883/kartor/A 23199-2025 karta.png", "A 23199-2025")</f>
        <v/>
      </c>
      <c r="V700">
        <f>HYPERLINK("https://klasma.github.io/Logging_0883/klagomål/A 23199-2025 FSC-klagomål.docx", "A 23199-2025")</f>
        <v/>
      </c>
      <c r="W700">
        <f>HYPERLINK("https://klasma.github.io/Logging_0883/klagomålsmail/A 23199-2025 FSC-klagomål mail.docx", "A 23199-2025")</f>
        <v/>
      </c>
      <c r="X700">
        <f>HYPERLINK("https://klasma.github.io/Logging_0883/tillsyn/A 23199-2025 tillsynsbegäran.docx", "A 23199-2025")</f>
        <v/>
      </c>
      <c r="Y700">
        <f>HYPERLINK("https://klasma.github.io/Logging_0883/tillsynsmail/A 23199-2025 tillsynsbegäran mail.docx", "A 23199-2025")</f>
        <v/>
      </c>
    </row>
    <row r="701" ht="15" customHeight="1">
      <c r="A701" t="inlineStr">
        <is>
          <t>A 32653-2023</t>
        </is>
      </c>
      <c r="B701" s="1" t="n">
        <v>45121</v>
      </c>
      <c r="C701" s="1" t="n">
        <v>45884</v>
      </c>
      <c r="D701" t="inlineStr">
        <is>
          <t>KALMAR LÄN</t>
        </is>
      </c>
      <c r="E701" t="inlineStr">
        <is>
          <t>VÄSTERVIK</t>
        </is>
      </c>
      <c r="G701" t="n">
        <v>1.4</v>
      </c>
      <c r="H701" t="n">
        <v>1</v>
      </c>
      <c r="I701" t="n">
        <v>0</v>
      </c>
      <c r="J701" t="n">
        <v>0</v>
      </c>
      <c r="K701" t="n">
        <v>1</v>
      </c>
      <c r="L701" t="n">
        <v>0</v>
      </c>
      <c r="M701" t="n">
        <v>0</v>
      </c>
      <c r="N701" t="n">
        <v>0</v>
      </c>
      <c r="O701" t="n">
        <v>1</v>
      </c>
      <c r="P701" t="n">
        <v>1</v>
      </c>
      <c r="Q701" t="n">
        <v>1</v>
      </c>
      <c r="R701" s="2" t="inlineStr">
        <is>
          <t>Knärot</t>
        </is>
      </c>
      <c r="S701">
        <f>HYPERLINK("https://klasma.github.io/Logging_0883/artfynd/A 32653-2023 artfynd.xlsx", "A 32653-2023")</f>
        <v/>
      </c>
      <c r="T701">
        <f>HYPERLINK("https://klasma.github.io/Logging_0883/kartor/A 32653-2023 karta.png", "A 32653-2023")</f>
        <v/>
      </c>
      <c r="U701">
        <f>HYPERLINK("https://klasma.github.io/Logging_0883/knärot/A 32653-2023 karta knärot.png", "A 32653-2023")</f>
        <v/>
      </c>
      <c r="V701">
        <f>HYPERLINK("https://klasma.github.io/Logging_0883/klagomål/A 32653-2023 FSC-klagomål.docx", "A 32653-2023")</f>
        <v/>
      </c>
      <c r="W701">
        <f>HYPERLINK("https://klasma.github.io/Logging_0883/klagomålsmail/A 32653-2023 FSC-klagomål mail.docx", "A 32653-2023")</f>
        <v/>
      </c>
      <c r="X701">
        <f>HYPERLINK("https://klasma.github.io/Logging_0883/tillsyn/A 32653-2023 tillsynsbegäran.docx", "A 32653-2023")</f>
        <v/>
      </c>
      <c r="Y701">
        <f>HYPERLINK("https://klasma.github.io/Logging_0883/tillsynsmail/A 32653-2023 tillsynsbegäran mail.docx", "A 32653-2023")</f>
        <v/>
      </c>
    </row>
    <row r="702" ht="15" customHeight="1">
      <c r="A702" t="inlineStr">
        <is>
          <t>A 6634-2025</t>
        </is>
      </c>
      <c r="B702" s="1" t="n">
        <v>45700.38141203704</v>
      </c>
      <c r="C702" s="1" t="n">
        <v>45884</v>
      </c>
      <c r="D702" t="inlineStr">
        <is>
          <t>KALMAR LÄN</t>
        </is>
      </c>
      <c r="E702" t="inlineStr">
        <is>
          <t>VÄSTERVIK</t>
        </is>
      </c>
      <c r="G702" t="n">
        <v>2.2</v>
      </c>
      <c r="H702" t="n">
        <v>0</v>
      </c>
      <c r="I702" t="n">
        <v>1</v>
      </c>
      <c r="J702" t="n">
        <v>0</v>
      </c>
      <c r="K702" t="n">
        <v>0</v>
      </c>
      <c r="L702" t="n">
        <v>0</v>
      </c>
      <c r="M702" t="n">
        <v>0</v>
      </c>
      <c r="N702" t="n">
        <v>0</v>
      </c>
      <c r="O702" t="n">
        <v>0</v>
      </c>
      <c r="P702" t="n">
        <v>0</v>
      </c>
      <c r="Q702" t="n">
        <v>1</v>
      </c>
      <c r="R702" s="2" t="inlineStr">
        <is>
          <t>Ögonpyrola</t>
        </is>
      </c>
      <c r="S702">
        <f>HYPERLINK("https://klasma.github.io/Logging_0883/artfynd/A 6634-2025 artfynd.xlsx", "A 6634-2025")</f>
        <v/>
      </c>
      <c r="T702">
        <f>HYPERLINK("https://klasma.github.io/Logging_0883/kartor/A 6634-2025 karta.png", "A 6634-2025")</f>
        <v/>
      </c>
      <c r="V702">
        <f>HYPERLINK("https://klasma.github.io/Logging_0883/klagomål/A 6634-2025 FSC-klagomål.docx", "A 6634-2025")</f>
        <v/>
      </c>
      <c r="W702">
        <f>HYPERLINK("https://klasma.github.io/Logging_0883/klagomålsmail/A 6634-2025 FSC-klagomål mail.docx", "A 6634-2025")</f>
        <v/>
      </c>
      <c r="X702">
        <f>HYPERLINK("https://klasma.github.io/Logging_0883/tillsyn/A 6634-2025 tillsynsbegäran.docx", "A 6634-2025")</f>
        <v/>
      </c>
      <c r="Y702">
        <f>HYPERLINK("https://klasma.github.io/Logging_0883/tillsynsmail/A 6634-2025 tillsynsbegäran mail.docx", "A 6634-2025")</f>
        <v/>
      </c>
    </row>
    <row r="703" ht="15" customHeight="1">
      <c r="A703" t="inlineStr">
        <is>
          <t>A 14082-2025</t>
        </is>
      </c>
      <c r="B703" s="1" t="n">
        <v>45740.43934027778</v>
      </c>
      <c r="C703" s="1" t="n">
        <v>45884</v>
      </c>
      <c r="D703" t="inlineStr">
        <is>
          <t>KALMAR LÄN</t>
        </is>
      </c>
      <c r="E703" t="inlineStr">
        <is>
          <t>VÄSTERVIK</t>
        </is>
      </c>
      <c r="F703" t="inlineStr">
        <is>
          <t>Sveaskog</t>
        </is>
      </c>
      <c r="G703" t="n">
        <v>1.2</v>
      </c>
      <c r="H703" t="n">
        <v>0</v>
      </c>
      <c r="I703" t="n">
        <v>0</v>
      </c>
      <c r="J703" t="n">
        <v>1</v>
      </c>
      <c r="K703" t="n">
        <v>0</v>
      </c>
      <c r="L703" t="n">
        <v>0</v>
      </c>
      <c r="M703" t="n">
        <v>0</v>
      </c>
      <c r="N703" t="n">
        <v>0</v>
      </c>
      <c r="O703" t="n">
        <v>1</v>
      </c>
      <c r="P703" t="n">
        <v>0</v>
      </c>
      <c r="Q703" t="n">
        <v>1</v>
      </c>
      <c r="R703" s="2" t="inlineStr">
        <is>
          <t>Bredbrämad bastardsvärmare</t>
        </is>
      </c>
      <c r="S703">
        <f>HYPERLINK("https://klasma.github.io/Logging_0883/artfynd/A 14082-2025 artfynd.xlsx", "A 14082-2025")</f>
        <v/>
      </c>
      <c r="T703">
        <f>HYPERLINK("https://klasma.github.io/Logging_0883/kartor/A 14082-2025 karta.png", "A 14082-2025")</f>
        <v/>
      </c>
      <c r="V703">
        <f>HYPERLINK("https://klasma.github.io/Logging_0883/klagomål/A 14082-2025 FSC-klagomål.docx", "A 14082-2025")</f>
        <v/>
      </c>
      <c r="W703">
        <f>HYPERLINK("https://klasma.github.io/Logging_0883/klagomålsmail/A 14082-2025 FSC-klagomål mail.docx", "A 14082-2025")</f>
        <v/>
      </c>
      <c r="X703">
        <f>HYPERLINK("https://klasma.github.io/Logging_0883/tillsyn/A 14082-2025 tillsynsbegäran.docx", "A 14082-2025")</f>
        <v/>
      </c>
      <c r="Y703">
        <f>HYPERLINK("https://klasma.github.io/Logging_0883/tillsynsmail/A 14082-2025 tillsynsbegäran mail.docx", "A 14082-2025")</f>
        <v/>
      </c>
    </row>
    <row r="704" ht="15" customHeight="1">
      <c r="A704" t="inlineStr">
        <is>
          <t>A 15665-2025</t>
        </is>
      </c>
      <c r="B704" s="1" t="n">
        <v>45748.43087962963</v>
      </c>
      <c r="C704" s="1" t="n">
        <v>45884</v>
      </c>
      <c r="D704" t="inlineStr">
        <is>
          <t>KALMAR LÄN</t>
        </is>
      </c>
      <c r="E704" t="inlineStr">
        <is>
          <t>KALMAR</t>
        </is>
      </c>
      <c r="G704" t="n">
        <v>12.6</v>
      </c>
      <c r="H704" t="n">
        <v>1</v>
      </c>
      <c r="I704" t="n">
        <v>0</v>
      </c>
      <c r="J704" t="n">
        <v>0</v>
      </c>
      <c r="K704" t="n">
        <v>0</v>
      </c>
      <c r="L704" t="n">
        <v>0</v>
      </c>
      <c r="M704" t="n">
        <v>0</v>
      </c>
      <c r="N704" t="n">
        <v>0</v>
      </c>
      <c r="O704" t="n">
        <v>0</v>
      </c>
      <c r="P704" t="n">
        <v>0</v>
      </c>
      <c r="Q704" t="n">
        <v>1</v>
      </c>
      <c r="R704" s="2" t="inlineStr">
        <is>
          <t>Tjäder</t>
        </is>
      </c>
      <c r="S704">
        <f>HYPERLINK("https://klasma.github.io/Logging_0880/artfynd/A 15665-2025 artfynd.xlsx", "A 15665-2025")</f>
        <v/>
      </c>
      <c r="T704">
        <f>HYPERLINK("https://klasma.github.io/Logging_0880/kartor/A 15665-2025 karta.png", "A 15665-2025")</f>
        <v/>
      </c>
      <c r="V704">
        <f>HYPERLINK("https://klasma.github.io/Logging_0880/klagomål/A 15665-2025 FSC-klagomål.docx", "A 15665-2025")</f>
        <v/>
      </c>
      <c r="W704">
        <f>HYPERLINK("https://klasma.github.io/Logging_0880/klagomålsmail/A 15665-2025 FSC-klagomål mail.docx", "A 15665-2025")</f>
        <v/>
      </c>
      <c r="X704">
        <f>HYPERLINK("https://klasma.github.io/Logging_0880/tillsyn/A 15665-2025 tillsynsbegäran.docx", "A 15665-2025")</f>
        <v/>
      </c>
      <c r="Y704">
        <f>HYPERLINK("https://klasma.github.io/Logging_0880/tillsynsmail/A 15665-2025 tillsynsbegäran mail.docx", "A 15665-2025")</f>
        <v/>
      </c>
      <c r="Z704">
        <f>HYPERLINK("https://klasma.github.io/Logging_0880/fåglar/A 15665-2025 prioriterade fågelarter.docx", "A 15665-2025")</f>
        <v/>
      </c>
    </row>
    <row r="705" ht="15" customHeight="1">
      <c r="A705" t="inlineStr">
        <is>
          <t>A 59178-2022</t>
        </is>
      </c>
      <c r="B705" s="1" t="n">
        <v>44904</v>
      </c>
      <c r="C705" s="1" t="n">
        <v>45884</v>
      </c>
      <c r="D705" t="inlineStr">
        <is>
          <t>KALMAR LÄN</t>
        </is>
      </c>
      <c r="E705" t="inlineStr">
        <is>
          <t>VÄSTERVIK</t>
        </is>
      </c>
      <c r="G705" t="n">
        <v>3.3</v>
      </c>
      <c r="H705" t="n">
        <v>0</v>
      </c>
      <c r="I705" t="n">
        <v>0</v>
      </c>
      <c r="J705" t="n">
        <v>1</v>
      </c>
      <c r="K705" t="n">
        <v>0</v>
      </c>
      <c r="L705" t="n">
        <v>0</v>
      </c>
      <c r="M705" t="n">
        <v>0</v>
      </c>
      <c r="N705" t="n">
        <v>0</v>
      </c>
      <c r="O705" t="n">
        <v>1</v>
      </c>
      <c r="P705" t="n">
        <v>0</v>
      </c>
      <c r="Q705" t="n">
        <v>1</v>
      </c>
      <c r="R705" s="2" t="inlineStr">
        <is>
          <t>Tallticka</t>
        </is>
      </c>
      <c r="S705">
        <f>HYPERLINK("https://klasma.github.io/Logging_0883/artfynd/A 59178-2022 artfynd.xlsx", "A 59178-2022")</f>
        <v/>
      </c>
      <c r="T705">
        <f>HYPERLINK("https://klasma.github.io/Logging_0883/kartor/A 59178-2022 karta.png", "A 59178-2022")</f>
        <v/>
      </c>
      <c r="V705">
        <f>HYPERLINK("https://klasma.github.io/Logging_0883/klagomål/A 59178-2022 FSC-klagomål.docx", "A 59178-2022")</f>
        <v/>
      </c>
      <c r="W705">
        <f>HYPERLINK("https://klasma.github.io/Logging_0883/klagomålsmail/A 59178-2022 FSC-klagomål mail.docx", "A 59178-2022")</f>
        <v/>
      </c>
      <c r="X705">
        <f>HYPERLINK("https://klasma.github.io/Logging_0883/tillsyn/A 59178-2022 tillsynsbegäran.docx", "A 59178-2022")</f>
        <v/>
      </c>
      <c r="Y705">
        <f>HYPERLINK("https://klasma.github.io/Logging_0883/tillsynsmail/A 59178-2022 tillsynsbegäran mail.docx", "A 59178-2022")</f>
        <v/>
      </c>
    </row>
    <row r="706" ht="15" customHeight="1">
      <c r="A706" t="inlineStr">
        <is>
          <t>A 42097-2020</t>
        </is>
      </c>
      <c r="B706" s="1" t="n">
        <v>44075</v>
      </c>
      <c r="C706" s="1" t="n">
        <v>45884</v>
      </c>
      <c r="D706" t="inlineStr">
        <is>
          <t>KALMAR LÄN</t>
        </is>
      </c>
      <c r="E706" t="inlineStr">
        <is>
          <t>VIMMERBY</t>
        </is>
      </c>
      <c r="G706" t="n">
        <v>5.5</v>
      </c>
      <c r="H706" t="n">
        <v>0</v>
      </c>
      <c r="I706" t="n">
        <v>0</v>
      </c>
      <c r="J706" t="n">
        <v>1</v>
      </c>
      <c r="K706" t="n">
        <v>0</v>
      </c>
      <c r="L706" t="n">
        <v>0</v>
      </c>
      <c r="M706" t="n">
        <v>0</v>
      </c>
      <c r="N706" t="n">
        <v>0</v>
      </c>
      <c r="O706" t="n">
        <v>1</v>
      </c>
      <c r="P706" t="n">
        <v>0</v>
      </c>
      <c r="Q706" t="n">
        <v>1</v>
      </c>
      <c r="R706" s="2" t="inlineStr">
        <is>
          <t>Mjukdån</t>
        </is>
      </c>
      <c r="S706">
        <f>HYPERLINK("https://klasma.github.io/Logging_0884/artfynd/A 42097-2020 artfynd.xlsx", "A 42097-2020")</f>
        <v/>
      </c>
      <c r="T706">
        <f>HYPERLINK("https://klasma.github.io/Logging_0884/kartor/A 42097-2020 karta.png", "A 42097-2020")</f>
        <v/>
      </c>
      <c r="V706">
        <f>HYPERLINK("https://klasma.github.io/Logging_0884/klagomål/A 42097-2020 FSC-klagomål.docx", "A 42097-2020")</f>
        <v/>
      </c>
      <c r="W706">
        <f>HYPERLINK("https://klasma.github.io/Logging_0884/klagomålsmail/A 42097-2020 FSC-klagomål mail.docx", "A 42097-2020")</f>
        <v/>
      </c>
      <c r="X706">
        <f>HYPERLINK("https://klasma.github.io/Logging_0884/tillsyn/A 42097-2020 tillsynsbegäran.docx", "A 42097-2020")</f>
        <v/>
      </c>
      <c r="Y706">
        <f>HYPERLINK("https://klasma.github.io/Logging_0884/tillsynsmail/A 42097-2020 tillsynsbegäran mail.docx", "A 42097-2020")</f>
        <v/>
      </c>
    </row>
    <row r="707" ht="15" customHeight="1">
      <c r="A707" t="inlineStr">
        <is>
          <t>A 24048-2021</t>
        </is>
      </c>
      <c r="B707" s="1" t="n">
        <v>44336</v>
      </c>
      <c r="C707" s="1" t="n">
        <v>45884</v>
      </c>
      <c r="D707" t="inlineStr">
        <is>
          <t>KALMAR LÄN</t>
        </is>
      </c>
      <c r="E707" t="inlineStr">
        <is>
          <t>VÄSTERVIK</t>
        </is>
      </c>
      <c r="G707" t="n">
        <v>3.5</v>
      </c>
      <c r="H707" t="n">
        <v>1</v>
      </c>
      <c r="I707" t="n">
        <v>0</v>
      </c>
      <c r="J707" t="n">
        <v>0</v>
      </c>
      <c r="K707" t="n">
        <v>1</v>
      </c>
      <c r="L707" t="n">
        <v>0</v>
      </c>
      <c r="M707" t="n">
        <v>0</v>
      </c>
      <c r="N707" t="n">
        <v>0</v>
      </c>
      <c r="O707" t="n">
        <v>1</v>
      </c>
      <c r="P707" t="n">
        <v>1</v>
      </c>
      <c r="Q707" t="n">
        <v>1</v>
      </c>
      <c r="R707" s="2" t="inlineStr">
        <is>
          <t>Knärot</t>
        </is>
      </c>
      <c r="S707">
        <f>HYPERLINK("https://klasma.github.io/Logging_0883/artfynd/A 24048-2021 artfynd.xlsx", "A 24048-2021")</f>
        <v/>
      </c>
      <c r="T707">
        <f>HYPERLINK("https://klasma.github.io/Logging_0883/kartor/A 24048-2021 karta.png", "A 24048-2021")</f>
        <v/>
      </c>
      <c r="U707">
        <f>HYPERLINK("https://klasma.github.io/Logging_0883/knärot/A 24048-2021 karta knärot.png", "A 24048-2021")</f>
        <v/>
      </c>
      <c r="V707">
        <f>HYPERLINK("https://klasma.github.io/Logging_0883/klagomål/A 24048-2021 FSC-klagomål.docx", "A 24048-2021")</f>
        <v/>
      </c>
      <c r="W707">
        <f>HYPERLINK("https://klasma.github.io/Logging_0883/klagomålsmail/A 24048-2021 FSC-klagomål mail.docx", "A 24048-2021")</f>
        <v/>
      </c>
      <c r="X707">
        <f>HYPERLINK("https://klasma.github.io/Logging_0883/tillsyn/A 24048-2021 tillsynsbegäran.docx", "A 24048-2021")</f>
        <v/>
      </c>
      <c r="Y707">
        <f>HYPERLINK("https://klasma.github.io/Logging_0883/tillsynsmail/A 24048-2021 tillsynsbegäran mail.docx", "A 24048-2021")</f>
        <v/>
      </c>
    </row>
    <row r="708" ht="15" customHeight="1">
      <c r="A708" t="inlineStr">
        <is>
          <t>A 19900-2022</t>
        </is>
      </c>
      <c r="B708" s="1" t="n">
        <v>44697</v>
      </c>
      <c r="C708" s="1" t="n">
        <v>45884</v>
      </c>
      <c r="D708" t="inlineStr">
        <is>
          <t>KALMAR LÄN</t>
        </is>
      </c>
      <c r="E708" t="inlineStr">
        <is>
          <t>VÄSTERVIK</t>
        </is>
      </c>
      <c r="G708" t="n">
        <v>2.4</v>
      </c>
      <c r="H708" t="n">
        <v>1</v>
      </c>
      <c r="I708" t="n">
        <v>0</v>
      </c>
      <c r="J708" t="n">
        <v>0</v>
      </c>
      <c r="K708" t="n">
        <v>1</v>
      </c>
      <c r="L708" t="n">
        <v>0</v>
      </c>
      <c r="M708" t="n">
        <v>0</v>
      </c>
      <c r="N708" t="n">
        <v>0</v>
      </c>
      <c r="O708" t="n">
        <v>1</v>
      </c>
      <c r="P708" t="n">
        <v>1</v>
      </c>
      <c r="Q708" t="n">
        <v>1</v>
      </c>
      <c r="R708" s="2" t="inlineStr">
        <is>
          <t>Knärot</t>
        </is>
      </c>
      <c r="S708">
        <f>HYPERLINK("https://klasma.github.io/Logging_0883/artfynd/A 19900-2022 artfynd.xlsx", "A 19900-2022")</f>
        <v/>
      </c>
      <c r="T708">
        <f>HYPERLINK("https://klasma.github.io/Logging_0883/kartor/A 19900-2022 karta.png", "A 19900-2022")</f>
        <v/>
      </c>
      <c r="U708">
        <f>HYPERLINK("https://klasma.github.io/Logging_0883/knärot/A 19900-2022 karta knärot.png", "A 19900-2022")</f>
        <v/>
      </c>
      <c r="V708">
        <f>HYPERLINK("https://klasma.github.io/Logging_0883/klagomål/A 19900-2022 FSC-klagomål.docx", "A 19900-2022")</f>
        <v/>
      </c>
      <c r="W708">
        <f>HYPERLINK("https://klasma.github.io/Logging_0883/klagomålsmail/A 19900-2022 FSC-klagomål mail.docx", "A 19900-2022")</f>
        <v/>
      </c>
      <c r="X708">
        <f>HYPERLINK("https://klasma.github.io/Logging_0883/tillsyn/A 19900-2022 tillsynsbegäran.docx", "A 19900-2022")</f>
        <v/>
      </c>
      <c r="Y708">
        <f>HYPERLINK("https://klasma.github.io/Logging_0883/tillsynsmail/A 19900-2022 tillsynsbegäran mail.docx", "A 19900-2022")</f>
        <v/>
      </c>
    </row>
    <row r="709" ht="15" customHeight="1">
      <c r="A709" t="inlineStr">
        <is>
          <t>A 24048-2025</t>
        </is>
      </c>
      <c r="B709" s="1" t="n">
        <v>45796.4959375</v>
      </c>
      <c r="C709" s="1" t="n">
        <v>45884</v>
      </c>
      <c r="D709" t="inlineStr">
        <is>
          <t>KALMAR LÄN</t>
        </is>
      </c>
      <c r="E709" t="inlineStr">
        <is>
          <t>BORGHOLM</t>
        </is>
      </c>
      <c r="G709" t="n">
        <v>2</v>
      </c>
      <c r="H709" t="n">
        <v>0</v>
      </c>
      <c r="I709" t="n">
        <v>0</v>
      </c>
      <c r="J709" t="n">
        <v>1</v>
      </c>
      <c r="K709" t="n">
        <v>0</v>
      </c>
      <c r="L709" t="n">
        <v>0</v>
      </c>
      <c r="M709" t="n">
        <v>0</v>
      </c>
      <c r="N709" t="n">
        <v>0</v>
      </c>
      <c r="O709" t="n">
        <v>1</v>
      </c>
      <c r="P709" t="n">
        <v>0</v>
      </c>
      <c r="Q709" t="n">
        <v>1</v>
      </c>
      <c r="R709" s="2" t="inlineStr">
        <is>
          <t>Loppstarr</t>
        </is>
      </c>
      <c r="S709">
        <f>HYPERLINK("https://klasma.github.io/Logging_0885/artfynd/A 24048-2025 artfynd.xlsx", "A 24048-2025")</f>
        <v/>
      </c>
      <c r="T709">
        <f>HYPERLINK("https://klasma.github.io/Logging_0885/kartor/A 24048-2025 karta.png", "A 24048-2025")</f>
        <v/>
      </c>
      <c r="V709">
        <f>HYPERLINK("https://klasma.github.io/Logging_0885/klagomål/A 24048-2025 FSC-klagomål.docx", "A 24048-2025")</f>
        <v/>
      </c>
      <c r="W709">
        <f>HYPERLINK("https://klasma.github.io/Logging_0885/klagomålsmail/A 24048-2025 FSC-klagomål mail.docx", "A 24048-2025")</f>
        <v/>
      </c>
      <c r="X709">
        <f>HYPERLINK("https://klasma.github.io/Logging_0885/tillsyn/A 24048-2025 tillsynsbegäran.docx", "A 24048-2025")</f>
        <v/>
      </c>
      <c r="Y709">
        <f>HYPERLINK("https://klasma.github.io/Logging_0885/tillsynsmail/A 24048-2025 tillsynsbegäran mail.docx", "A 24048-2025")</f>
        <v/>
      </c>
    </row>
    <row r="710" ht="15" customHeight="1">
      <c r="A710" t="inlineStr">
        <is>
          <t>A 24450-2025</t>
        </is>
      </c>
      <c r="B710" s="1" t="n">
        <v>45798.3421875</v>
      </c>
      <c r="C710" s="1" t="n">
        <v>45884</v>
      </c>
      <c r="D710" t="inlineStr">
        <is>
          <t>KALMAR LÄN</t>
        </is>
      </c>
      <c r="E710" t="inlineStr">
        <is>
          <t>HULTSFRED</t>
        </is>
      </c>
      <c r="F710" t="inlineStr">
        <is>
          <t>Kyrkan</t>
        </is>
      </c>
      <c r="G710" t="n">
        <v>10.9</v>
      </c>
      <c r="H710" t="n">
        <v>1</v>
      </c>
      <c r="I710" t="n">
        <v>0</v>
      </c>
      <c r="J710" t="n">
        <v>0</v>
      </c>
      <c r="K710" t="n">
        <v>0</v>
      </c>
      <c r="L710" t="n">
        <v>0</v>
      </c>
      <c r="M710" t="n">
        <v>0</v>
      </c>
      <c r="N710" t="n">
        <v>0</v>
      </c>
      <c r="O710" t="n">
        <v>0</v>
      </c>
      <c r="P710" t="n">
        <v>0</v>
      </c>
      <c r="Q710" t="n">
        <v>1</v>
      </c>
      <c r="R710" s="2" t="inlineStr">
        <is>
          <t>Tjäder</t>
        </is>
      </c>
      <c r="S710">
        <f>HYPERLINK("https://klasma.github.io/Logging_0860/artfynd/A 24450-2025 artfynd.xlsx", "A 24450-2025")</f>
        <v/>
      </c>
      <c r="T710">
        <f>HYPERLINK("https://klasma.github.io/Logging_0860/kartor/A 24450-2025 karta.png", "A 24450-2025")</f>
        <v/>
      </c>
      <c r="V710">
        <f>HYPERLINK("https://klasma.github.io/Logging_0860/klagomål/A 24450-2025 FSC-klagomål.docx", "A 24450-2025")</f>
        <v/>
      </c>
      <c r="W710">
        <f>HYPERLINK("https://klasma.github.io/Logging_0860/klagomålsmail/A 24450-2025 FSC-klagomål mail.docx", "A 24450-2025")</f>
        <v/>
      </c>
      <c r="X710">
        <f>HYPERLINK("https://klasma.github.io/Logging_0860/tillsyn/A 24450-2025 tillsynsbegäran.docx", "A 24450-2025")</f>
        <v/>
      </c>
      <c r="Y710">
        <f>HYPERLINK("https://klasma.github.io/Logging_0860/tillsynsmail/A 24450-2025 tillsynsbegäran mail.docx", "A 24450-2025")</f>
        <v/>
      </c>
      <c r="Z710">
        <f>HYPERLINK("https://klasma.github.io/Logging_0860/fåglar/A 24450-2025 prioriterade fågelarter.docx", "A 24450-2025")</f>
        <v/>
      </c>
    </row>
    <row r="711" ht="15" customHeight="1">
      <c r="A711" t="inlineStr">
        <is>
          <t>A 24808-2025</t>
        </is>
      </c>
      <c r="B711" s="1" t="n">
        <v>45799.44362268518</v>
      </c>
      <c r="C711" s="1" t="n">
        <v>45884</v>
      </c>
      <c r="D711" t="inlineStr">
        <is>
          <t>KALMAR LÄN</t>
        </is>
      </c>
      <c r="E711" t="inlineStr">
        <is>
          <t>VÄSTERVIK</t>
        </is>
      </c>
      <c r="G711" t="n">
        <v>2.9</v>
      </c>
      <c r="H711" t="n">
        <v>1</v>
      </c>
      <c r="I711" t="n">
        <v>0</v>
      </c>
      <c r="J711" t="n">
        <v>0</v>
      </c>
      <c r="K711" t="n">
        <v>0</v>
      </c>
      <c r="L711" t="n">
        <v>0</v>
      </c>
      <c r="M711" t="n">
        <v>0</v>
      </c>
      <c r="N711" t="n">
        <v>0</v>
      </c>
      <c r="O711" t="n">
        <v>0</v>
      </c>
      <c r="P711" t="n">
        <v>0</v>
      </c>
      <c r="Q711" t="n">
        <v>1</v>
      </c>
      <c r="R711" s="2" t="inlineStr">
        <is>
          <t>Fläcknycklar</t>
        </is>
      </c>
      <c r="S711">
        <f>HYPERLINK("https://klasma.github.io/Logging_0883/artfynd/A 24808-2025 artfynd.xlsx", "A 24808-2025")</f>
        <v/>
      </c>
      <c r="T711">
        <f>HYPERLINK("https://klasma.github.io/Logging_0883/kartor/A 24808-2025 karta.png", "A 24808-2025")</f>
        <v/>
      </c>
      <c r="V711">
        <f>HYPERLINK("https://klasma.github.io/Logging_0883/klagomål/A 24808-2025 FSC-klagomål.docx", "A 24808-2025")</f>
        <v/>
      </c>
      <c r="W711">
        <f>HYPERLINK("https://klasma.github.io/Logging_0883/klagomålsmail/A 24808-2025 FSC-klagomål mail.docx", "A 24808-2025")</f>
        <v/>
      </c>
      <c r="X711">
        <f>HYPERLINK("https://klasma.github.io/Logging_0883/tillsyn/A 24808-2025 tillsynsbegäran.docx", "A 24808-2025")</f>
        <v/>
      </c>
      <c r="Y711">
        <f>HYPERLINK("https://klasma.github.io/Logging_0883/tillsynsmail/A 24808-2025 tillsynsbegäran mail.docx", "A 24808-2025")</f>
        <v/>
      </c>
    </row>
    <row r="712" ht="15" customHeight="1">
      <c r="A712" t="inlineStr">
        <is>
          <t>A 24698-2023</t>
        </is>
      </c>
      <c r="B712" s="1" t="n">
        <v>45084</v>
      </c>
      <c r="C712" s="1" t="n">
        <v>45884</v>
      </c>
      <c r="D712" t="inlineStr">
        <is>
          <t>KALMAR LÄN</t>
        </is>
      </c>
      <c r="E712" t="inlineStr">
        <is>
          <t>MÖRBYLÅNGA</t>
        </is>
      </c>
      <c r="G712" t="n">
        <v>5.5</v>
      </c>
      <c r="H712" t="n">
        <v>0</v>
      </c>
      <c r="I712" t="n">
        <v>1</v>
      </c>
      <c r="J712" t="n">
        <v>0</v>
      </c>
      <c r="K712" t="n">
        <v>0</v>
      </c>
      <c r="L712" t="n">
        <v>0</v>
      </c>
      <c r="M712" t="n">
        <v>0</v>
      </c>
      <c r="N712" t="n">
        <v>0</v>
      </c>
      <c r="O712" t="n">
        <v>0</v>
      </c>
      <c r="P712" t="n">
        <v>0</v>
      </c>
      <c r="Q712" t="n">
        <v>1</v>
      </c>
      <c r="R712" s="2" t="inlineStr">
        <is>
          <t>Sårläka</t>
        </is>
      </c>
      <c r="S712">
        <f>HYPERLINK("https://klasma.github.io/Logging_0840/artfynd/A 24698-2023 artfynd.xlsx", "A 24698-2023")</f>
        <v/>
      </c>
      <c r="T712">
        <f>HYPERLINK("https://klasma.github.io/Logging_0840/kartor/A 24698-2023 karta.png", "A 24698-2023")</f>
        <v/>
      </c>
      <c r="V712">
        <f>HYPERLINK("https://klasma.github.io/Logging_0840/klagomål/A 24698-2023 FSC-klagomål.docx", "A 24698-2023")</f>
        <v/>
      </c>
      <c r="W712">
        <f>HYPERLINK("https://klasma.github.io/Logging_0840/klagomålsmail/A 24698-2023 FSC-klagomål mail.docx", "A 24698-2023")</f>
        <v/>
      </c>
      <c r="X712">
        <f>HYPERLINK("https://klasma.github.io/Logging_0840/tillsyn/A 24698-2023 tillsynsbegäran.docx", "A 24698-2023")</f>
        <v/>
      </c>
      <c r="Y712">
        <f>HYPERLINK("https://klasma.github.io/Logging_0840/tillsynsmail/A 24698-2023 tillsynsbegäran mail.docx", "A 24698-2023")</f>
        <v/>
      </c>
    </row>
    <row r="713" ht="15" customHeight="1">
      <c r="A713" t="inlineStr">
        <is>
          <t>A 24817-2025</t>
        </is>
      </c>
      <c r="B713" s="1" t="n">
        <v>45799.45077546296</v>
      </c>
      <c r="C713" s="1" t="n">
        <v>45884</v>
      </c>
      <c r="D713" t="inlineStr">
        <is>
          <t>KALMAR LÄN</t>
        </is>
      </c>
      <c r="E713" t="inlineStr">
        <is>
          <t>KALMAR</t>
        </is>
      </c>
      <c r="G713" t="n">
        <v>2.1</v>
      </c>
      <c r="H713" t="n">
        <v>0</v>
      </c>
      <c r="I713" t="n">
        <v>0</v>
      </c>
      <c r="J713" t="n">
        <v>0</v>
      </c>
      <c r="K713" t="n">
        <v>0</v>
      </c>
      <c r="L713" t="n">
        <v>1</v>
      </c>
      <c r="M713" t="n">
        <v>0</v>
      </c>
      <c r="N713" t="n">
        <v>0</v>
      </c>
      <c r="O713" t="n">
        <v>1</v>
      </c>
      <c r="P713" t="n">
        <v>1</v>
      </c>
      <c r="Q713" t="n">
        <v>1</v>
      </c>
      <c r="R713" s="2" t="inlineStr">
        <is>
          <t>Ask</t>
        </is>
      </c>
      <c r="S713">
        <f>HYPERLINK("https://klasma.github.io/Logging_0880/artfynd/A 24817-2025 artfynd.xlsx", "A 24817-2025")</f>
        <v/>
      </c>
      <c r="T713">
        <f>HYPERLINK("https://klasma.github.io/Logging_0880/kartor/A 24817-2025 karta.png", "A 24817-2025")</f>
        <v/>
      </c>
      <c r="V713">
        <f>HYPERLINK("https://klasma.github.io/Logging_0880/klagomål/A 24817-2025 FSC-klagomål.docx", "A 24817-2025")</f>
        <v/>
      </c>
      <c r="W713">
        <f>HYPERLINK("https://klasma.github.io/Logging_0880/klagomålsmail/A 24817-2025 FSC-klagomål mail.docx", "A 24817-2025")</f>
        <v/>
      </c>
      <c r="X713">
        <f>HYPERLINK("https://klasma.github.io/Logging_0880/tillsyn/A 24817-2025 tillsynsbegäran.docx", "A 24817-2025")</f>
        <v/>
      </c>
      <c r="Y713">
        <f>HYPERLINK("https://klasma.github.io/Logging_0880/tillsynsmail/A 24817-2025 tillsynsbegäran mail.docx", "A 24817-2025")</f>
        <v/>
      </c>
    </row>
    <row r="714" ht="15" customHeight="1">
      <c r="A714" t="inlineStr">
        <is>
          <t>A 24884-2025</t>
        </is>
      </c>
      <c r="B714" s="1" t="n">
        <v>45799.50620370371</v>
      </c>
      <c r="C714" s="1" t="n">
        <v>45884</v>
      </c>
      <c r="D714" t="inlineStr">
        <is>
          <t>KALMAR LÄN</t>
        </is>
      </c>
      <c r="E714" t="inlineStr">
        <is>
          <t>VÄSTERVIK</t>
        </is>
      </c>
      <c r="F714" t="inlineStr">
        <is>
          <t>Holmen skog AB</t>
        </is>
      </c>
      <c r="G714" t="n">
        <v>5.1</v>
      </c>
      <c r="H714" t="n">
        <v>0</v>
      </c>
      <c r="I714" t="n">
        <v>1</v>
      </c>
      <c r="J714" t="n">
        <v>0</v>
      </c>
      <c r="K714" t="n">
        <v>0</v>
      </c>
      <c r="L714" t="n">
        <v>0</v>
      </c>
      <c r="M714" t="n">
        <v>0</v>
      </c>
      <c r="N714" t="n">
        <v>0</v>
      </c>
      <c r="O714" t="n">
        <v>0</v>
      </c>
      <c r="P714" t="n">
        <v>0</v>
      </c>
      <c r="Q714" t="n">
        <v>1</v>
      </c>
      <c r="R714" s="2" t="inlineStr">
        <is>
          <t>Strävlosta</t>
        </is>
      </c>
      <c r="S714">
        <f>HYPERLINK("https://klasma.github.io/Logging_0883/artfynd/A 24884-2025 artfynd.xlsx", "A 24884-2025")</f>
        <v/>
      </c>
      <c r="T714">
        <f>HYPERLINK("https://klasma.github.io/Logging_0883/kartor/A 24884-2025 karta.png", "A 24884-2025")</f>
        <v/>
      </c>
      <c r="V714">
        <f>HYPERLINK("https://klasma.github.io/Logging_0883/klagomål/A 24884-2025 FSC-klagomål.docx", "A 24884-2025")</f>
        <v/>
      </c>
      <c r="W714">
        <f>HYPERLINK("https://klasma.github.io/Logging_0883/klagomålsmail/A 24884-2025 FSC-klagomål mail.docx", "A 24884-2025")</f>
        <v/>
      </c>
      <c r="X714">
        <f>HYPERLINK("https://klasma.github.io/Logging_0883/tillsyn/A 24884-2025 tillsynsbegäran.docx", "A 24884-2025")</f>
        <v/>
      </c>
      <c r="Y714">
        <f>HYPERLINK("https://klasma.github.io/Logging_0883/tillsynsmail/A 24884-2025 tillsynsbegäran mail.docx", "A 24884-2025")</f>
        <v/>
      </c>
    </row>
    <row r="715" ht="15" customHeight="1">
      <c r="A715" t="inlineStr">
        <is>
          <t>A 10641-2025</t>
        </is>
      </c>
      <c r="B715" s="1" t="n">
        <v>45721.65631944445</v>
      </c>
      <c r="C715" s="1" t="n">
        <v>45884</v>
      </c>
      <c r="D715" t="inlineStr">
        <is>
          <t>KALMAR LÄN</t>
        </is>
      </c>
      <c r="E715" t="inlineStr">
        <is>
          <t>NYBRO</t>
        </is>
      </c>
      <c r="G715" t="n">
        <v>1.6</v>
      </c>
      <c r="H715" t="n">
        <v>1</v>
      </c>
      <c r="I715" t="n">
        <v>0</v>
      </c>
      <c r="J715" t="n">
        <v>0</v>
      </c>
      <c r="K715" t="n">
        <v>0</v>
      </c>
      <c r="L715" t="n">
        <v>0</v>
      </c>
      <c r="M715" t="n">
        <v>0</v>
      </c>
      <c r="N715" t="n">
        <v>0</v>
      </c>
      <c r="O715" t="n">
        <v>0</v>
      </c>
      <c r="P715" t="n">
        <v>0</v>
      </c>
      <c r="Q715" t="n">
        <v>1</v>
      </c>
      <c r="R715" s="2" t="inlineStr">
        <is>
          <t>Revlummer</t>
        </is>
      </c>
      <c r="S715">
        <f>HYPERLINK("https://klasma.github.io/Logging_0881/artfynd/A 10641-2025 artfynd.xlsx", "A 10641-2025")</f>
        <v/>
      </c>
      <c r="T715">
        <f>HYPERLINK("https://klasma.github.io/Logging_0881/kartor/A 10641-2025 karta.png", "A 10641-2025")</f>
        <v/>
      </c>
      <c r="V715">
        <f>HYPERLINK("https://klasma.github.io/Logging_0881/klagomål/A 10641-2025 FSC-klagomål.docx", "A 10641-2025")</f>
        <v/>
      </c>
      <c r="W715">
        <f>HYPERLINK("https://klasma.github.io/Logging_0881/klagomålsmail/A 10641-2025 FSC-klagomål mail.docx", "A 10641-2025")</f>
        <v/>
      </c>
      <c r="X715">
        <f>HYPERLINK("https://klasma.github.io/Logging_0881/tillsyn/A 10641-2025 tillsynsbegäran.docx", "A 10641-2025")</f>
        <v/>
      </c>
      <c r="Y715">
        <f>HYPERLINK("https://klasma.github.io/Logging_0881/tillsynsmail/A 10641-2025 tillsynsbegäran mail.docx", "A 10641-2025")</f>
        <v/>
      </c>
    </row>
    <row r="716" ht="15" customHeight="1">
      <c r="A716" t="inlineStr">
        <is>
          <t>A 41640-2023</t>
        </is>
      </c>
      <c r="B716" s="1" t="n">
        <v>45175</v>
      </c>
      <c r="C716" s="1" t="n">
        <v>45884</v>
      </c>
      <c r="D716" t="inlineStr">
        <is>
          <t>KALMAR LÄN</t>
        </is>
      </c>
      <c r="E716" t="inlineStr">
        <is>
          <t>BORGHOLM</t>
        </is>
      </c>
      <c r="G716" t="n">
        <v>5</v>
      </c>
      <c r="H716" t="n">
        <v>1</v>
      </c>
      <c r="I716" t="n">
        <v>0</v>
      </c>
      <c r="J716" t="n">
        <v>0</v>
      </c>
      <c r="K716" t="n">
        <v>0</v>
      </c>
      <c r="L716" t="n">
        <v>0</v>
      </c>
      <c r="M716" t="n">
        <v>0</v>
      </c>
      <c r="N716" t="n">
        <v>0</v>
      </c>
      <c r="O716" t="n">
        <v>0</v>
      </c>
      <c r="P716" t="n">
        <v>0</v>
      </c>
      <c r="Q716" t="n">
        <v>1</v>
      </c>
      <c r="R716" s="2" t="inlineStr">
        <is>
          <t>Johannesnycklar</t>
        </is>
      </c>
      <c r="S716">
        <f>HYPERLINK("https://klasma.github.io/Logging_0885/artfynd/A 41640-2023 artfynd.xlsx", "A 41640-2023")</f>
        <v/>
      </c>
      <c r="T716">
        <f>HYPERLINK("https://klasma.github.io/Logging_0885/kartor/A 41640-2023 karta.png", "A 41640-2023")</f>
        <v/>
      </c>
      <c r="V716">
        <f>HYPERLINK("https://klasma.github.io/Logging_0885/klagomål/A 41640-2023 FSC-klagomål.docx", "A 41640-2023")</f>
        <v/>
      </c>
      <c r="W716">
        <f>HYPERLINK("https://klasma.github.io/Logging_0885/klagomålsmail/A 41640-2023 FSC-klagomål mail.docx", "A 41640-2023")</f>
        <v/>
      </c>
      <c r="X716">
        <f>HYPERLINK("https://klasma.github.io/Logging_0885/tillsyn/A 41640-2023 tillsynsbegäran.docx", "A 41640-2023")</f>
        <v/>
      </c>
      <c r="Y716">
        <f>HYPERLINK("https://klasma.github.io/Logging_0885/tillsynsmail/A 41640-2023 tillsynsbegäran mail.docx", "A 41640-2023")</f>
        <v/>
      </c>
    </row>
    <row r="717" ht="15" customHeight="1">
      <c r="A717" t="inlineStr">
        <is>
          <t>A 61319-2021</t>
        </is>
      </c>
      <c r="B717" s="1" t="n">
        <v>44498</v>
      </c>
      <c r="C717" s="1" t="n">
        <v>45884</v>
      </c>
      <c r="D717" t="inlineStr">
        <is>
          <t>KALMAR LÄN</t>
        </is>
      </c>
      <c r="E717" t="inlineStr">
        <is>
          <t>VÄSTERVIK</t>
        </is>
      </c>
      <c r="G717" t="n">
        <v>2.2</v>
      </c>
      <c r="H717" t="n">
        <v>1</v>
      </c>
      <c r="I717" t="n">
        <v>1</v>
      </c>
      <c r="J717" t="n">
        <v>0</v>
      </c>
      <c r="K717" t="n">
        <v>0</v>
      </c>
      <c r="L717" t="n">
        <v>0</v>
      </c>
      <c r="M717" t="n">
        <v>0</v>
      </c>
      <c r="N717" t="n">
        <v>0</v>
      </c>
      <c r="O717" t="n">
        <v>0</v>
      </c>
      <c r="P717" t="n">
        <v>0</v>
      </c>
      <c r="Q717" t="n">
        <v>1</v>
      </c>
      <c r="R717" s="2" t="inlineStr">
        <is>
          <t>Ekoxe</t>
        </is>
      </c>
      <c r="S717">
        <f>HYPERLINK("https://klasma.github.io/Logging_0883/artfynd/A 61319-2021 artfynd.xlsx", "A 61319-2021")</f>
        <v/>
      </c>
      <c r="T717">
        <f>HYPERLINK("https://klasma.github.io/Logging_0883/kartor/A 61319-2021 karta.png", "A 61319-2021")</f>
        <v/>
      </c>
      <c r="V717">
        <f>HYPERLINK("https://klasma.github.io/Logging_0883/klagomål/A 61319-2021 FSC-klagomål.docx", "A 61319-2021")</f>
        <v/>
      </c>
      <c r="W717">
        <f>HYPERLINK("https://klasma.github.io/Logging_0883/klagomålsmail/A 61319-2021 FSC-klagomål mail.docx", "A 61319-2021")</f>
        <v/>
      </c>
      <c r="X717">
        <f>HYPERLINK("https://klasma.github.io/Logging_0883/tillsyn/A 61319-2021 tillsynsbegäran.docx", "A 61319-2021")</f>
        <v/>
      </c>
      <c r="Y717">
        <f>HYPERLINK("https://klasma.github.io/Logging_0883/tillsynsmail/A 61319-2021 tillsynsbegäran mail.docx", "A 61319-2021")</f>
        <v/>
      </c>
    </row>
    <row r="718" ht="15" customHeight="1">
      <c r="A718" t="inlineStr">
        <is>
          <t>A 34168-2025</t>
        </is>
      </c>
      <c r="B718" s="1" t="n">
        <v>45845.58349537037</v>
      </c>
      <c r="C718" s="1" t="n">
        <v>45884</v>
      </c>
      <c r="D718" t="inlineStr">
        <is>
          <t>KALMAR LÄN</t>
        </is>
      </c>
      <c r="E718" t="inlineStr">
        <is>
          <t>VÄSTERVIK</t>
        </is>
      </c>
      <c r="G718" t="n">
        <v>2.7</v>
      </c>
      <c r="H718" t="n">
        <v>1</v>
      </c>
      <c r="I718" t="n">
        <v>0</v>
      </c>
      <c r="J718" t="n">
        <v>1</v>
      </c>
      <c r="K718" t="n">
        <v>0</v>
      </c>
      <c r="L718" t="n">
        <v>0</v>
      </c>
      <c r="M718" t="n">
        <v>0</v>
      </c>
      <c r="N718" t="n">
        <v>0</v>
      </c>
      <c r="O718" t="n">
        <v>1</v>
      </c>
      <c r="P718" t="n">
        <v>0</v>
      </c>
      <c r="Q718" t="n">
        <v>1</v>
      </c>
      <c r="R718" s="2" t="inlineStr">
        <is>
          <t>Grönsångare</t>
        </is>
      </c>
      <c r="S718">
        <f>HYPERLINK("https://klasma.github.io/Logging_0883/artfynd/A 34168-2025 artfynd.xlsx", "A 34168-2025")</f>
        <v/>
      </c>
      <c r="T718">
        <f>HYPERLINK("https://klasma.github.io/Logging_0883/kartor/A 34168-2025 karta.png", "A 34168-2025")</f>
        <v/>
      </c>
      <c r="V718">
        <f>HYPERLINK("https://klasma.github.io/Logging_0883/klagomål/A 34168-2025 FSC-klagomål.docx", "A 34168-2025")</f>
        <v/>
      </c>
      <c r="W718">
        <f>HYPERLINK("https://klasma.github.io/Logging_0883/klagomålsmail/A 34168-2025 FSC-klagomål mail.docx", "A 34168-2025")</f>
        <v/>
      </c>
      <c r="X718">
        <f>HYPERLINK("https://klasma.github.io/Logging_0883/tillsyn/A 34168-2025 tillsynsbegäran.docx", "A 34168-2025")</f>
        <v/>
      </c>
      <c r="Y718">
        <f>HYPERLINK("https://klasma.github.io/Logging_0883/tillsynsmail/A 34168-2025 tillsynsbegäran mail.docx", "A 34168-2025")</f>
        <v/>
      </c>
      <c r="Z718">
        <f>HYPERLINK("https://klasma.github.io/Logging_0883/fåglar/A 34168-2025 prioriterade fågelarter.docx", "A 34168-2025")</f>
        <v/>
      </c>
    </row>
    <row r="719" ht="15" customHeight="1">
      <c r="A719" t="inlineStr">
        <is>
          <t>A 33916-2025</t>
        </is>
      </c>
      <c r="B719" s="1" t="n">
        <v>45842.61306712963</v>
      </c>
      <c r="C719" s="1" t="n">
        <v>45884</v>
      </c>
      <c r="D719" t="inlineStr">
        <is>
          <t>KALMAR LÄN</t>
        </is>
      </c>
      <c r="E719" t="inlineStr">
        <is>
          <t>VÄSTERVIK</t>
        </is>
      </c>
      <c r="G719" t="n">
        <v>0.7</v>
      </c>
      <c r="H719" t="n">
        <v>1</v>
      </c>
      <c r="I719" t="n">
        <v>0</v>
      </c>
      <c r="J719" t="n">
        <v>1</v>
      </c>
      <c r="K719" t="n">
        <v>0</v>
      </c>
      <c r="L719" t="n">
        <v>0</v>
      </c>
      <c r="M719" t="n">
        <v>0</v>
      </c>
      <c r="N719" t="n">
        <v>0</v>
      </c>
      <c r="O719" t="n">
        <v>1</v>
      </c>
      <c r="P719" t="n">
        <v>0</v>
      </c>
      <c r="Q719" t="n">
        <v>1</v>
      </c>
      <c r="R719" s="2" t="inlineStr">
        <is>
          <t>Talltita</t>
        </is>
      </c>
      <c r="S719">
        <f>HYPERLINK("https://klasma.github.io/Logging_0883/artfynd/A 33916-2025 artfynd.xlsx", "A 33916-2025")</f>
        <v/>
      </c>
      <c r="T719">
        <f>HYPERLINK("https://klasma.github.io/Logging_0883/kartor/A 33916-2025 karta.png", "A 33916-2025")</f>
        <v/>
      </c>
      <c r="V719">
        <f>HYPERLINK("https://klasma.github.io/Logging_0883/klagomål/A 33916-2025 FSC-klagomål.docx", "A 33916-2025")</f>
        <v/>
      </c>
      <c r="W719">
        <f>HYPERLINK("https://klasma.github.io/Logging_0883/klagomålsmail/A 33916-2025 FSC-klagomål mail.docx", "A 33916-2025")</f>
        <v/>
      </c>
      <c r="X719">
        <f>HYPERLINK("https://klasma.github.io/Logging_0883/tillsyn/A 33916-2025 tillsynsbegäran.docx", "A 33916-2025")</f>
        <v/>
      </c>
      <c r="Y719">
        <f>HYPERLINK("https://klasma.github.io/Logging_0883/tillsynsmail/A 33916-2025 tillsynsbegäran mail.docx", "A 33916-2025")</f>
        <v/>
      </c>
      <c r="Z719">
        <f>HYPERLINK("https://klasma.github.io/Logging_0883/fåglar/A 33916-2025 prioriterade fågelarter.docx", "A 33916-2025")</f>
        <v/>
      </c>
    </row>
    <row r="720" ht="15" customHeight="1">
      <c r="A720" t="inlineStr">
        <is>
          <t>A 31170-2021</t>
        </is>
      </c>
      <c r="B720" s="1" t="n">
        <v>44368</v>
      </c>
      <c r="C720" s="1" t="n">
        <v>45884</v>
      </c>
      <c r="D720" t="inlineStr">
        <is>
          <t>KALMAR LÄN</t>
        </is>
      </c>
      <c r="E720" t="inlineStr">
        <is>
          <t>MÖNSTERÅS</t>
        </is>
      </c>
      <c r="G720" t="n">
        <v>20.1</v>
      </c>
      <c r="H720" t="n">
        <v>1</v>
      </c>
      <c r="I720" t="n">
        <v>0</v>
      </c>
      <c r="J720" t="n">
        <v>0</v>
      </c>
      <c r="K720" t="n">
        <v>1</v>
      </c>
      <c r="L720" t="n">
        <v>0</v>
      </c>
      <c r="M720" t="n">
        <v>0</v>
      </c>
      <c r="N720" t="n">
        <v>0</v>
      </c>
      <c r="O720" t="n">
        <v>1</v>
      </c>
      <c r="P720" t="n">
        <v>1</v>
      </c>
      <c r="Q720" t="n">
        <v>1</v>
      </c>
      <c r="R720" s="2" t="inlineStr">
        <is>
          <t>Knärot</t>
        </is>
      </c>
      <c r="S720">
        <f>HYPERLINK("https://klasma.github.io/Logging_0861/artfynd/A 31170-2021 artfynd.xlsx", "A 31170-2021")</f>
        <v/>
      </c>
      <c r="T720">
        <f>HYPERLINK("https://klasma.github.io/Logging_0861/kartor/A 31170-2021 karta.png", "A 31170-2021")</f>
        <v/>
      </c>
      <c r="U720">
        <f>HYPERLINK("https://klasma.github.io/Logging_0861/knärot/A 31170-2021 karta knärot.png", "A 31170-2021")</f>
        <v/>
      </c>
      <c r="V720">
        <f>HYPERLINK("https://klasma.github.io/Logging_0861/klagomål/A 31170-2021 FSC-klagomål.docx", "A 31170-2021")</f>
        <v/>
      </c>
      <c r="W720">
        <f>HYPERLINK("https://klasma.github.io/Logging_0861/klagomålsmail/A 31170-2021 FSC-klagomål mail.docx", "A 31170-2021")</f>
        <v/>
      </c>
      <c r="X720">
        <f>HYPERLINK("https://klasma.github.io/Logging_0861/tillsyn/A 31170-2021 tillsynsbegäran.docx", "A 31170-2021")</f>
        <v/>
      </c>
      <c r="Y720">
        <f>HYPERLINK("https://klasma.github.io/Logging_0861/tillsynsmail/A 31170-2021 tillsynsbegäran mail.docx", "A 31170-2021")</f>
        <v/>
      </c>
    </row>
    <row r="721" ht="15" customHeight="1">
      <c r="A721" t="inlineStr">
        <is>
          <t>A 22952-2024</t>
        </is>
      </c>
      <c r="B721" s="1" t="n">
        <v>45449.38423611111</v>
      </c>
      <c r="C721" s="1" t="n">
        <v>45884</v>
      </c>
      <c r="D721" t="inlineStr">
        <is>
          <t>KALMAR LÄN</t>
        </is>
      </c>
      <c r="E721" t="inlineStr">
        <is>
          <t>NYBRO</t>
        </is>
      </c>
      <c r="G721" t="n">
        <v>14.1</v>
      </c>
      <c r="H721" t="n">
        <v>1</v>
      </c>
      <c r="I721" t="n">
        <v>0</v>
      </c>
      <c r="J721" t="n">
        <v>0</v>
      </c>
      <c r="K721" t="n">
        <v>0</v>
      </c>
      <c r="L721" t="n">
        <v>0</v>
      </c>
      <c r="M721" t="n">
        <v>0</v>
      </c>
      <c r="N721" t="n">
        <v>0</v>
      </c>
      <c r="O721" t="n">
        <v>0</v>
      </c>
      <c r="P721" t="n">
        <v>0</v>
      </c>
      <c r="Q721" t="n">
        <v>1</v>
      </c>
      <c r="R721" s="2" t="inlineStr">
        <is>
          <t>Revlummer</t>
        </is>
      </c>
      <c r="S721">
        <f>HYPERLINK("https://klasma.github.io/Logging_0881/artfynd/A 22952-2024 artfynd.xlsx", "A 22952-2024")</f>
        <v/>
      </c>
      <c r="T721">
        <f>HYPERLINK("https://klasma.github.io/Logging_0881/kartor/A 22952-2024 karta.png", "A 22952-2024")</f>
        <v/>
      </c>
      <c r="V721">
        <f>HYPERLINK("https://klasma.github.io/Logging_0881/klagomål/A 22952-2024 FSC-klagomål.docx", "A 22952-2024")</f>
        <v/>
      </c>
      <c r="W721">
        <f>HYPERLINK("https://klasma.github.io/Logging_0881/klagomålsmail/A 22952-2024 FSC-klagomål mail.docx", "A 22952-2024")</f>
        <v/>
      </c>
      <c r="X721">
        <f>HYPERLINK("https://klasma.github.io/Logging_0881/tillsyn/A 22952-2024 tillsynsbegäran.docx", "A 22952-2024")</f>
        <v/>
      </c>
      <c r="Y721">
        <f>HYPERLINK("https://klasma.github.io/Logging_0881/tillsynsmail/A 22952-2024 tillsynsbegäran mail.docx", "A 22952-2024")</f>
        <v/>
      </c>
    </row>
    <row r="722" ht="15" customHeight="1">
      <c r="A722" t="inlineStr">
        <is>
          <t>A 25501-2025</t>
        </is>
      </c>
      <c r="B722" s="1" t="n">
        <v>45803.34567129629</v>
      </c>
      <c r="C722" s="1" t="n">
        <v>45884</v>
      </c>
      <c r="D722" t="inlineStr">
        <is>
          <t>KALMAR LÄN</t>
        </is>
      </c>
      <c r="E722" t="inlineStr">
        <is>
          <t>VÄSTERVIK</t>
        </is>
      </c>
      <c r="G722" t="n">
        <v>1.8</v>
      </c>
      <c r="H722" t="n">
        <v>1</v>
      </c>
      <c r="I722" t="n">
        <v>0</v>
      </c>
      <c r="J722" t="n">
        <v>0</v>
      </c>
      <c r="K722" t="n">
        <v>0</v>
      </c>
      <c r="L722" t="n">
        <v>0</v>
      </c>
      <c r="M722" t="n">
        <v>0</v>
      </c>
      <c r="N722" t="n">
        <v>0</v>
      </c>
      <c r="O722" t="n">
        <v>0</v>
      </c>
      <c r="P722" t="n">
        <v>0</v>
      </c>
      <c r="Q722" t="n">
        <v>1</v>
      </c>
      <c r="R722" s="2" t="inlineStr">
        <is>
          <t>Kungsfågel</t>
        </is>
      </c>
      <c r="S722">
        <f>HYPERLINK("https://klasma.github.io/Logging_0883/artfynd/A 25501-2025 artfynd.xlsx", "A 25501-2025")</f>
        <v/>
      </c>
      <c r="T722">
        <f>HYPERLINK("https://klasma.github.io/Logging_0883/kartor/A 25501-2025 karta.png", "A 25501-2025")</f>
        <v/>
      </c>
      <c r="U722">
        <f>HYPERLINK("https://klasma.github.io/Logging_0883/knärot/A 25501-2025 karta knärot.png", "A 25501-2025")</f>
        <v/>
      </c>
      <c r="V722">
        <f>HYPERLINK("https://klasma.github.io/Logging_0883/klagomål/A 25501-2025 FSC-klagomål.docx", "A 25501-2025")</f>
        <v/>
      </c>
      <c r="W722">
        <f>HYPERLINK("https://klasma.github.io/Logging_0883/klagomålsmail/A 25501-2025 FSC-klagomål mail.docx", "A 25501-2025")</f>
        <v/>
      </c>
      <c r="X722">
        <f>HYPERLINK("https://klasma.github.io/Logging_0883/tillsyn/A 25501-2025 tillsynsbegäran.docx", "A 25501-2025")</f>
        <v/>
      </c>
      <c r="Y722">
        <f>HYPERLINK("https://klasma.github.io/Logging_0883/tillsynsmail/A 25501-2025 tillsynsbegäran mail.docx", "A 25501-2025")</f>
        <v/>
      </c>
      <c r="Z722">
        <f>HYPERLINK("https://klasma.github.io/Logging_0883/fåglar/A 25501-2025 prioriterade fågelarter.docx", "A 25501-2025")</f>
        <v/>
      </c>
    </row>
    <row r="723" ht="15" customHeight="1">
      <c r="A723" t="inlineStr">
        <is>
          <t>A 3920-2025</t>
        </is>
      </c>
      <c r="B723" s="1" t="n">
        <v>45684</v>
      </c>
      <c r="C723" s="1" t="n">
        <v>45884</v>
      </c>
      <c r="D723" t="inlineStr">
        <is>
          <t>KALMAR LÄN</t>
        </is>
      </c>
      <c r="E723" t="inlineStr">
        <is>
          <t>KALMAR</t>
        </is>
      </c>
      <c r="G723" t="n">
        <v>44</v>
      </c>
      <c r="H723" t="n">
        <v>0</v>
      </c>
      <c r="I723" t="n">
        <v>0</v>
      </c>
      <c r="J723" t="n">
        <v>1</v>
      </c>
      <c r="K723" t="n">
        <v>0</v>
      </c>
      <c r="L723" t="n">
        <v>0</v>
      </c>
      <c r="M723" t="n">
        <v>0</v>
      </c>
      <c r="N723" t="n">
        <v>0</v>
      </c>
      <c r="O723" t="n">
        <v>1</v>
      </c>
      <c r="P723" t="n">
        <v>0</v>
      </c>
      <c r="Q723" t="n">
        <v>1</v>
      </c>
      <c r="R723" s="2" t="inlineStr">
        <is>
          <t>Sumpviol</t>
        </is>
      </c>
      <c r="S723">
        <f>HYPERLINK("https://klasma.github.io/Logging_0880/artfynd/A 3920-2025 artfynd.xlsx", "A 3920-2025")</f>
        <v/>
      </c>
      <c r="T723">
        <f>HYPERLINK("https://klasma.github.io/Logging_0880/kartor/A 3920-2025 karta.png", "A 3920-2025")</f>
        <v/>
      </c>
      <c r="V723">
        <f>HYPERLINK("https://klasma.github.io/Logging_0880/klagomål/A 3920-2025 FSC-klagomål.docx", "A 3920-2025")</f>
        <v/>
      </c>
      <c r="W723">
        <f>HYPERLINK("https://klasma.github.io/Logging_0880/klagomålsmail/A 3920-2025 FSC-klagomål mail.docx", "A 3920-2025")</f>
        <v/>
      </c>
      <c r="X723">
        <f>HYPERLINK("https://klasma.github.io/Logging_0880/tillsyn/A 3920-2025 tillsynsbegäran.docx", "A 3920-2025")</f>
        <v/>
      </c>
      <c r="Y723">
        <f>HYPERLINK("https://klasma.github.io/Logging_0880/tillsynsmail/A 3920-2025 tillsynsbegäran mail.docx", "A 3920-2025")</f>
        <v/>
      </c>
    </row>
    <row r="724" ht="15" customHeight="1">
      <c r="A724" t="inlineStr">
        <is>
          <t>A 34212-2025</t>
        </is>
      </c>
      <c r="B724" s="1" t="n">
        <v>45845.64383101852</v>
      </c>
      <c r="C724" s="1" t="n">
        <v>45884</v>
      </c>
      <c r="D724" t="inlineStr">
        <is>
          <t>KALMAR LÄN</t>
        </is>
      </c>
      <c r="E724" t="inlineStr">
        <is>
          <t>VÄSTERVIK</t>
        </is>
      </c>
      <c r="G724" t="n">
        <v>6.4</v>
      </c>
      <c r="H724" t="n">
        <v>0</v>
      </c>
      <c r="I724" t="n">
        <v>1</v>
      </c>
      <c r="J724" t="n">
        <v>0</v>
      </c>
      <c r="K724" t="n">
        <v>0</v>
      </c>
      <c r="L724" t="n">
        <v>0</v>
      </c>
      <c r="M724" t="n">
        <v>0</v>
      </c>
      <c r="N724" t="n">
        <v>0</v>
      </c>
      <c r="O724" t="n">
        <v>0</v>
      </c>
      <c r="P724" t="n">
        <v>0</v>
      </c>
      <c r="Q724" t="n">
        <v>1</v>
      </c>
      <c r="R724" s="2" t="inlineStr">
        <is>
          <t>Blåmossa</t>
        </is>
      </c>
      <c r="S724">
        <f>HYPERLINK("https://klasma.github.io/Logging_0883/artfynd/A 34212-2025 artfynd.xlsx", "A 34212-2025")</f>
        <v/>
      </c>
      <c r="T724">
        <f>HYPERLINK("https://klasma.github.io/Logging_0883/kartor/A 34212-2025 karta.png", "A 34212-2025")</f>
        <v/>
      </c>
      <c r="V724">
        <f>HYPERLINK("https://klasma.github.io/Logging_0883/klagomål/A 34212-2025 FSC-klagomål.docx", "A 34212-2025")</f>
        <v/>
      </c>
      <c r="W724">
        <f>HYPERLINK("https://klasma.github.io/Logging_0883/klagomålsmail/A 34212-2025 FSC-klagomål mail.docx", "A 34212-2025")</f>
        <v/>
      </c>
      <c r="X724">
        <f>HYPERLINK("https://klasma.github.io/Logging_0883/tillsyn/A 34212-2025 tillsynsbegäran.docx", "A 34212-2025")</f>
        <v/>
      </c>
      <c r="Y724">
        <f>HYPERLINK("https://klasma.github.io/Logging_0883/tillsynsmail/A 34212-2025 tillsynsbegäran mail.docx", "A 34212-2025")</f>
        <v/>
      </c>
    </row>
    <row r="725" ht="15" customHeight="1">
      <c r="A725" t="inlineStr">
        <is>
          <t>A 61806-2023</t>
        </is>
      </c>
      <c r="B725" s="1" t="n">
        <v>45266.27928240741</v>
      </c>
      <c r="C725" s="1" t="n">
        <v>45884</v>
      </c>
      <c r="D725" t="inlineStr">
        <is>
          <t>KALMAR LÄN</t>
        </is>
      </c>
      <c r="E725" t="inlineStr">
        <is>
          <t>VÄSTERVIK</t>
        </is>
      </c>
      <c r="G725" t="n">
        <v>1.1</v>
      </c>
      <c r="H725" t="n">
        <v>0</v>
      </c>
      <c r="I725" t="n">
        <v>0</v>
      </c>
      <c r="J725" t="n">
        <v>1</v>
      </c>
      <c r="K725" t="n">
        <v>0</v>
      </c>
      <c r="L725" t="n">
        <v>0</v>
      </c>
      <c r="M725" t="n">
        <v>0</v>
      </c>
      <c r="N725" t="n">
        <v>0</v>
      </c>
      <c r="O725" t="n">
        <v>1</v>
      </c>
      <c r="P725" t="n">
        <v>0</v>
      </c>
      <c r="Q725" t="n">
        <v>1</v>
      </c>
      <c r="R725" s="2" t="inlineStr">
        <is>
          <t>Veckticka</t>
        </is>
      </c>
      <c r="S725">
        <f>HYPERLINK("https://klasma.github.io/Logging_0883/artfynd/A 61806-2023 artfynd.xlsx", "A 61806-2023")</f>
        <v/>
      </c>
      <c r="T725">
        <f>HYPERLINK("https://klasma.github.io/Logging_0883/kartor/A 61806-2023 karta.png", "A 61806-2023")</f>
        <v/>
      </c>
      <c r="V725">
        <f>HYPERLINK("https://klasma.github.io/Logging_0883/klagomål/A 61806-2023 FSC-klagomål.docx", "A 61806-2023")</f>
        <v/>
      </c>
      <c r="W725">
        <f>HYPERLINK("https://klasma.github.io/Logging_0883/klagomålsmail/A 61806-2023 FSC-klagomål mail.docx", "A 61806-2023")</f>
        <v/>
      </c>
      <c r="X725">
        <f>HYPERLINK("https://klasma.github.io/Logging_0883/tillsyn/A 61806-2023 tillsynsbegäran.docx", "A 61806-2023")</f>
        <v/>
      </c>
      <c r="Y725">
        <f>HYPERLINK("https://klasma.github.io/Logging_0883/tillsynsmail/A 61806-2023 tillsynsbegäran mail.docx", "A 61806-2023")</f>
        <v/>
      </c>
    </row>
    <row r="726" ht="15" customHeight="1">
      <c r="A726" t="inlineStr">
        <is>
          <t>A 34166-2025</t>
        </is>
      </c>
      <c r="B726" s="1" t="n">
        <v>45845.5819675926</v>
      </c>
      <c r="C726" s="1" t="n">
        <v>45884</v>
      </c>
      <c r="D726" t="inlineStr">
        <is>
          <t>KALMAR LÄN</t>
        </is>
      </c>
      <c r="E726" t="inlineStr">
        <is>
          <t>VÄSTERVIK</t>
        </is>
      </c>
      <c r="G726" t="n">
        <v>3.5</v>
      </c>
      <c r="H726" t="n">
        <v>0</v>
      </c>
      <c r="I726" t="n">
        <v>0</v>
      </c>
      <c r="J726" t="n">
        <v>0</v>
      </c>
      <c r="K726" t="n">
        <v>0</v>
      </c>
      <c r="L726" t="n">
        <v>0</v>
      </c>
      <c r="M726" t="n">
        <v>1</v>
      </c>
      <c r="N726" t="n">
        <v>0</v>
      </c>
      <c r="O726" t="n">
        <v>1</v>
      </c>
      <c r="P726" t="n">
        <v>1</v>
      </c>
      <c r="Q726" t="n">
        <v>1</v>
      </c>
      <c r="R726" s="2" t="inlineStr">
        <is>
          <t>Skogsalm</t>
        </is>
      </c>
      <c r="S726">
        <f>HYPERLINK("https://klasma.github.io/Logging_0883/artfynd/A 34166-2025 artfynd.xlsx", "A 34166-2025")</f>
        <v/>
      </c>
      <c r="T726">
        <f>HYPERLINK("https://klasma.github.io/Logging_0883/kartor/A 34166-2025 karta.png", "A 34166-2025")</f>
        <v/>
      </c>
      <c r="V726">
        <f>HYPERLINK("https://klasma.github.io/Logging_0883/klagomål/A 34166-2025 FSC-klagomål.docx", "A 34166-2025")</f>
        <v/>
      </c>
      <c r="W726">
        <f>HYPERLINK("https://klasma.github.io/Logging_0883/klagomålsmail/A 34166-2025 FSC-klagomål mail.docx", "A 34166-2025")</f>
        <v/>
      </c>
      <c r="X726">
        <f>HYPERLINK("https://klasma.github.io/Logging_0883/tillsyn/A 34166-2025 tillsynsbegäran.docx", "A 34166-2025")</f>
        <v/>
      </c>
      <c r="Y726">
        <f>HYPERLINK("https://klasma.github.io/Logging_0883/tillsynsmail/A 34166-2025 tillsynsbegäran mail.docx", "A 34166-2025")</f>
        <v/>
      </c>
    </row>
    <row r="727" ht="15" customHeight="1">
      <c r="A727" t="inlineStr">
        <is>
          <t>A 44747-2024</t>
        </is>
      </c>
      <c r="B727" s="1" t="n">
        <v>45574.59858796297</v>
      </c>
      <c r="C727" s="1" t="n">
        <v>45884</v>
      </c>
      <c r="D727" t="inlineStr">
        <is>
          <t>KALMAR LÄN</t>
        </is>
      </c>
      <c r="E727" t="inlineStr">
        <is>
          <t>KALMAR</t>
        </is>
      </c>
      <c r="F727" t="inlineStr">
        <is>
          <t>Kommuner</t>
        </is>
      </c>
      <c r="G727" t="n">
        <v>1.7</v>
      </c>
      <c r="H727" t="n">
        <v>0</v>
      </c>
      <c r="I727" t="n">
        <v>0</v>
      </c>
      <c r="J727" t="n">
        <v>0</v>
      </c>
      <c r="K727" t="n">
        <v>1</v>
      </c>
      <c r="L727" t="n">
        <v>0</v>
      </c>
      <c r="M727" t="n">
        <v>0</v>
      </c>
      <c r="N727" t="n">
        <v>0</v>
      </c>
      <c r="O727" t="n">
        <v>1</v>
      </c>
      <c r="P727" t="n">
        <v>1</v>
      </c>
      <c r="Q727" t="n">
        <v>1</v>
      </c>
      <c r="R727" s="2" t="inlineStr">
        <is>
          <t>Lungrot</t>
        </is>
      </c>
      <c r="S727">
        <f>HYPERLINK("https://klasma.github.io/Logging_0880/artfynd/A 44747-2024 artfynd.xlsx", "A 44747-2024")</f>
        <v/>
      </c>
      <c r="T727">
        <f>HYPERLINK("https://klasma.github.io/Logging_0880/kartor/A 44747-2024 karta.png", "A 44747-2024")</f>
        <v/>
      </c>
      <c r="V727">
        <f>HYPERLINK("https://klasma.github.io/Logging_0880/klagomål/A 44747-2024 FSC-klagomål.docx", "A 44747-2024")</f>
        <v/>
      </c>
      <c r="W727">
        <f>HYPERLINK("https://klasma.github.io/Logging_0880/klagomålsmail/A 44747-2024 FSC-klagomål mail.docx", "A 44747-2024")</f>
        <v/>
      </c>
      <c r="X727">
        <f>HYPERLINK("https://klasma.github.io/Logging_0880/tillsyn/A 44747-2024 tillsynsbegäran.docx", "A 44747-2024")</f>
        <v/>
      </c>
      <c r="Y727">
        <f>HYPERLINK("https://klasma.github.io/Logging_0880/tillsynsmail/A 44747-2024 tillsynsbegäran mail.docx", "A 44747-2024")</f>
        <v/>
      </c>
    </row>
    <row r="728" ht="15" customHeight="1">
      <c r="A728" t="inlineStr">
        <is>
          <t>A 16884-2025</t>
        </is>
      </c>
      <c r="B728" s="1" t="n">
        <v>45755.30336805555</v>
      </c>
      <c r="C728" s="1" t="n">
        <v>45884</v>
      </c>
      <c r="D728" t="inlineStr">
        <is>
          <t>KALMAR LÄN</t>
        </is>
      </c>
      <c r="E728" t="inlineStr">
        <is>
          <t>HULTSFRED</t>
        </is>
      </c>
      <c r="F728" t="inlineStr">
        <is>
          <t>Sveaskog</t>
        </is>
      </c>
      <c r="G728" t="n">
        <v>7.4</v>
      </c>
      <c r="H728" t="n">
        <v>0</v>
      </c>
      <c r="I728" t="n">
        <v>0</v>
      </c>
      <c r="J728" t="n">
        <v>1</v>
      </c>
      <c r="K728" t="n">
        <v>0</v>
      </c>
      <c r="L728" t="n">
        <v>0</v>
      </c>
      <c r="M728" t="n">
        <v>0</v>
      </c>
      <c r="N728" t="n">
        <v>0</v>
      </c>
      <c r="O728" t="n">
        <v>1</v>
      </c>
      <c r="P728" t="n">
        <v>0</v>
      </c>
      <c r="Q728" t="n">
        <v>1</v>
      </c>
      <c r="R728" s="2" t="inlineStr">
        <is>
          <t>Åkerrödtoppa</t>
        </is>
      </c>
      <c r="S728">
        <f>HYPERLINK("https://klasma.github.io/Logging_0860/artfynd/A 16884-2025 artfynd.xlsx", "A 16884-2025")</f>
        <v/>
      </c>
      <c r="T728">
        <f>HYPERLINK("https://klasma.github.io/Logging_0860/kartor/A 16884-2025 karta.png", "A 16884-2025")</f>
        <v/>
      </c>
      <c r="V728">
        <f>HYPERLINK("https://klasma.github.io/Logging_0860/klagomål/A 16884-2025 FSC-klagomål.docx", "A 16884-2025")</f>
        <v/>
      </c>
      <c r="W728">
        <f>HYPERLINK("https://klasma.github.io/Logging_0860/klagomålsmail/A 16884-2025 FSC-klagomål mail.docx", "A 16884-2025")</f>
        <v/>
      </c>
      <c r="X728">
        <f>HYPERLINK("https://klasma.github.io/Logging_0860/tillsyn/A 16884-2025 tillsynsbegäran.docx", "A 16884-2025")</f>
        <v/>
      </c>
      <c r="Y728">
        <f>HYPERLINK("https://klasma.github.io/Logging_0860/tillsynsmail/A 16884-2025 tillsynsbegäran mail.docx", "A 16884-2025")</f>
        <v/>
      </c>
    </row>
    <row r="729" ht="15" customHeight="1">
      <c r="A729" t="inlineStr">
        <is>
          <t>A 16891-2025</t>
        </is>
      </c>
      <c r="B729" s="1" t="n">
        <v>45755.3155787037</v>
      </c>
      <c r="C729" s="1" t="n">
        <v>45884</v>
      </c>
      <c r="D729" t="inlineStr">
        <is>
          <t>KALMAR LÄN</t>
        </is>
      </c>
      <c r="E729" t="inlineStr">
        <is>
          <t>HULTSFRED</t>
        </is>
      </c>
      <c r="G729" t="n">
        <v>4.3</v>
      </c>
      <c r="H729" t="n">
        <v>0</v>
      </c>
      <c r="I729" t="n">
        <v>0</v>
      </c>
      <c r="J729" t="n">
        <v>1</v>
      </c>
      <c r="K729" t="n">
        <v>0</v>
      </c>
      <c r="L729" t="n">
        <v>0</v>
      </c>
      <c r="M729" t="n">
        <v>0</v>
      </c>
      <c r="N729" t="n">
        <v>0</v>
      </c>
      <c r="O729" t="n">
        <v>1</v>
      </c>
      <c r="P729" t="n">
        <v>0</v>
      </c>
      <c r="Q729" t="n">
        <v>1</v>
      </c>
      <c r="R729" s="2" t="inlineStr">
        <is>
          <t>Fyrflikig jordstjärna</t>
        </is>
      </c>
      <c r="S729">
        <f>HYPERLINK("https://klasma.github.io/Logging_0860/artfynd/A 16891-2025 artfynd.xlsx", "A 16891-2025")</f>
        <v/>
      </c>
      <c r="T729">
        <f>HYPERLINK("https://klasma.github.io/Logging_0860/kartor/A 16891-2025 karta.png", "A 16891-2025")</f>
        <v/>
      </c>
      <c r="V729">
        <f>HYPERLINK("https://klasma.github.io/Logging_0860/klagomål/A 16891-2025 FSC-klagomål.docx", "A 16891-2025")</f>
        <v/>
      </c>
      <c r="W729">
        <f>HYPERLINK("https://klasma.github.io/Logging_0860/klagomålsmail/A 16891-2025 FSC-klagomål mail.docx", "A 16891-2025")</f>
        <v/>
      </c>
      <c r="X729">
        <f>HYPERLINK("https://klasma.github.io/Logging_0860/tillsyn/A 16891-2025 tillsynsbegäran.docx", "A 16891-2025")</f>
        <v/>
      </c>
      <c r="Y729">
        <f>HYPERLINK("https://klasma.github.io/Logging_0860/tillsynsmail/A 16891-2025 tillsynsbegäran mail.docx", "A 16891-2025")</f>
        <v/>
      </c>
    </row>
    <row r="730" ht="15" customHeight="1">
      <c r="A730" t="inlineStr">
        <is>
          <t>A 1201-2025</t>
        </is>
      </c>
      <c r="B730" s="1" t="n">
        <v>45667</v>
      </c>
      <c r="C730" s="1" t="n">
        <v>45884</v>
      </c>
      <c r="D730" t="inlineStr">
        <is>
          <t>KALMAR LÄN</t>
        </is>
      </c>
      <c r="E730" t="inlineStr">
        <is>
          <t>VIMMERBY</t>
        </is>
      </c>
      <c r="G730" t="n">
        <v>6.4</v>
      </c>
      <c r="H730" t="n">
        <v>1</v>
      </c>
      <c r="I730" t="n">
        <v>0</v>
      </c>
      <c r="J730" t="n">
        <v>0</v>
      </c>
      <c r="K730" t="n">
        <v>1</v>
      </c>
      <c r="L730" t="n">
        <v>0</v>
      </c>
      <c r="M730" t="n">
        <v>0</v>
      </c>
      <c r="N730" t="n">
        <v>0</v>
      </c>
      <c r="O730" t="n">
        <v>1</v>
      </c>
      <c r="P730" t="n">
        <v>1</v>
      </c>
      <c r="Q730" t="n">
        <v>1</v>
      </c>
      <c r="R730" s="2" t="inlineStr">
        <is>
          <t>Knärot</t>
        </is>
      </c>
      <c r="S730">
        <f>HYPERLINK("https://klasma.github.io/Logging_0884/artfynd/A 1201-2025 artfynd.xlsx", "A 1201-2025")</f>
        <v/>
      </c>
      <c r="T730">
        <f>HYPERLINK("https://klasma.github.io/Logging_0884/kartor/A 1201-2025 karta.png", "A 1201-2025")</f>
        <v/>
      </c>
      <c r="U730">
        <f>HYPERLINK("https://klasma.github.io/Logging_0884/knärot/A 1201-2025 karta knärot.png", "A 1201-2025")</f>
        <v/>
      </c>
      <c r="V730">
        <f>HYPERLINK("https://klasma.github.io/Logging_0884/klagomål/A 1201-2025 FSC-klagomål.docx", "A 1201-2025")</f>
        <v/>
      </c>
      <c r="W730">
        <f>HYPERLINK("https://klasma.github.io/Logging_0884/klagomålsmail/A 1201-2025 FSC-klagomål mail.docx", "A 1201-2025")</f>
        <v/>
      </c>
      <c r="X730">
        <f>HYPERLINK("https://klasma.github.io/Logging_0884/tillsyn/A 1201-2025 tillsynsbegäran.docx", "A 1201-2025")</f>
        <v/>
      </c>
      <c r="Y730">
        <f>HYPERLINK("https://klasma.github.io/Logging_0884/tillsynsmail/A 1201-2025 tillsynsbegäran mail.docx", "A 1201-2025")</f>
        <v/>
      </c>
    </row>
    <row r="731" ht="15" customHeight="1">
      <c r="A731" t="inlineStr">
        <is>
          <t>A 34366-2025</t>
        </is>
      </c>
      <c r="B731" s="1" t="n">
        <v>45846.4975</v>
      </c>
      <c r="C731" s="1" t="n">
        <v>45884</v>
      </c>
      <c r="D731" t="inlineStr">
        <is>
          <t>KALMAR LÄN</t>
        </is>
      </c>
      <c r="E731" t="inlineStr">
        <is>
          <t>NYBRO</t>
        </is>
      </c>
      <c r="F731" t="inlineStr">
        <is>
          <t>Sveaskog</t>
        </is>
      </c>
      <c r="G731" t="n">
        <v>2.8</v>
      </c>
      <c r="H731" t="n">
        <v>1</v>
      </c>
      <c r="I731" t="n">
        <v>0</v>
      </c>
      <c r="J731" t="n">
        <v>0</v>
      </c>
      <c r="K731" t="n">
        <v>0</v>
      </c>
      <c r="L731" t="n">
        <v>0</v>
      </c>
      <c r="M731" t="n">
        <v>0</v>
      </c>
      <c r="N731" t="n">
        <v>0</v>
      </c>
      <c r="O731" t="n">
        <v>0</v>
      </c>
      <c r="P731" t="n">
        <v>0</v>
      </c>
      <c r="Q731" t="n">
        <v>1</v>
      </c>
      <c r="R731" s="2" t="inlineStr">
        <is>
          <t>Tjäder</t>
        </is>
      </c>
      <c r="S731">
        <f>HYPERLINK("https://klasma.github.io/Logging_0881/artfynd/A 34366-2025 artfynd.xlsx", "A 34366-2025")</f>
        <v/>
      </c>
      <c r="T731">
        <f>HYPERLINK("https://klasma.github.io/Logging_0881/kartor/A 34366-2025 karta.png", "A 34366-2025")</f>
        <v/>
      </c>
      <c r="V731">
        <f>HYPERLINK("https://klasma.github.io/Logging_0881/klagomål/A 34366-2025 FSC-klagomål.docx", "A 34366-2025")</f>
        <v/>
      </c>
      <c r="W731">
        <f>HYPERLINK("https://klasma.github.io/Logging_0881/klagomålsmail/A 34366-2025 FSC-klagomål mail.docx", "A 34366-2025")</f>
        <v/>
      </c>
      <c r="X731">
        <f>HYPERLINK("https://klasma.github.io/Logging_0881/tillsyn/A 34366-2025 tillsynsbegäran.docx", "A 34366-2025")</f>
        <v/>
      </c>
      <c r="Y731">
        <f>HYPERLINK("https://klasma.github.io/Logging_0881/tillsynsmail/A 34366-2025 tillsynsbegäran mail.docx", "A 34366-2025")</f>
        <v/>
      </c>
      <c r="Z731">
        <f>HYPERLINK("https://klasma.github.io/Logging_0881/fåglar/A 34366-2025 prioriterade fågelarter.docx", "A 34366-2025")</f>
        <v/>
      </c>
    </row>
    <row r="732" ht="15" customHeight="1">
      <c r="A732" t="inlineStr">
        <is>
          <t>A 4750-2025</t>
        </is>
      </c>
      <c r="B732" s="1" t="n">
        <v>45688</v>
      </c>
      <c r="C732" s="1" t="n">
        <v>45884</v>
      </c>
      <c r="D732" t="inlineStr">
        <is>
          <t>KALMAR LÄN</t>
        </is>
      </c>
      <c r="E732" t="inlineStr">
        <is>
          <t>VÄSTERVIK</t>
        </is>
      </c>
      <c r="F732" t="inlineStr">
        <is>
          <t>Holmen skog AB</t>
        </is>
      </c>
      <c r="G732" t="n">
        <v>0.9</v>
      </c>
      <c r="H732" t="n">
        <v>1</v>
      </c>
      <c r="I732" t="n">
        <v>0</v>
      </c>
      <c r="J732" t="n">
        <v>1</v>
      </c>
      <c r="K732" t="n">
        <v>0</v>
      </c>
      <c r="L732" t="n">
        <v>0</v>
      </c>
      <c r="M732" t="n">
        <v>0</v>
      </c>
      <c r="N732" t="n">
        <v>0</v>
      </c>
      <c r="O732" t="n">
        <v>1</v>
      </c>
      <c r="P732" t="n">
        <v>0</v>
      </c>
      <c r="Q732" t="n">
        <v>1</v>
      </c>
      <c r="R732" s="2" t="inlineStr">
        <is>
          <t>Talltita</t>
        </is>
      </c>
      <c r="S732">
        <f>HYPERLINK("https://klasma.github.io/Logging_0883/artfynd/A 4750-2025 artfynd.xlsx", "A 4750-2025")</f>
        <v/>
      </c>
      <c r="T732">
        <f>HYPERLINK("https://klasma.github.io/Logging_0883/kartor/A 4750-2025 karta.png", "A 4750-2025")</f>
        <v/>
      </c>
      <c r="V732">
        <f>HYPERLINK("https://klasma.github.io/Logging_0883/klagomål/A 4750-2025 FSC-klagomål.docx", "A 4750-2025")</f>
        <v/>
      </c>
      <c r="W732">
        <f>HYPERLINK("https://klasma.github.io/Logging_0883/klagomålsmail/A 4750-2025 FSC-klagomål mail.docx", "A 4750-2025")</f>
        <v/>
      </c>
      <c r="X732">
        <f>HYPERLINK("https://klasma.github.io/Logging_0883/tillsyn/A 4750-2025 tillsynsbegäran.docx", "A 4750-2025")</f>
        <v/>
      </c>
      <c r="Y732">
        <f>HYPERLINK("https://klasma.github.io/Logging_0883/tillsynsmail/A 4750-2025 tillsynsbegäran mail.docx", "A 4750-2025")</f>
        <v/>
      </c>
      <c r="Z732">
        <f>HYPERLINK("https://klasma.github.io/Logging_0883/fåglar/A 4750-2025 prioriterade fågelarter.docx", "A 4750-2025")</f>
        <v/>
      </c>
    </row>
    <row r="733" ht="15" customHeight="1">
      <c r="A733" t="inlineStr">
        <is>
          <t>A 62431-2023</t>
        </is>
      </c>
      <c r="B733" s="1" t="n">
        <v>45268</v>
      </c>
      <c r="C733" s="1" t="n">
        <v>45884</v>
      </c>
      <c r="D733" t="inlineStr">
        <is>
          <t>KALMAR LÄN</t>
        </is>
      </c>
      <c r="E733" t="inlineStr">
        <is>
          <t>HÖGSBY</t>
        </is>
      </c>
      <c r="G733" t="n">
        <v>4.3</v>
      </c>
      <c r="H733" t="n">
        <v>0</v>
      </c>
      <c r="I733" t="n">
        <v>0</v>
      </c>
      <c r="J733" t="n">
        <v>1</v>
      </c>
      <c r="K733" t="n">
        <v>0</v>
      </c>
      <c r="L733" t="n">
        <v>0</v>
      </c>
      <c r="M733" t="n">
        <v>0</v>
      </c>
      <c r="N733" t="n">
        <v>0</v>
      </c>
      <c r="O733" t="n">
        <v>1</v>
      </c>
      <c r="P733" t="n">
        <v>0</v>
      </c>
      <c r="Q733" t="n">
        <v>1</v>
      </c>
      <c r="R733" s="2" t="inlineStr">
        <is>
          <t>Tallticka</t>
        </is>
      </c>
      <c r="S733">
        <f>HYPERLINK("https://klasma.github.io/Logging_0821/artfynd/A 62431-2023 artfynd.xlsx", "A 62431-2023")</f>
        <v/>
      </c>
      <c r="T733">
        <f>HYPERLINK("https://klasma.github.io/Logging_0821/kartor/A 62431-2023 karta.png", "A 62431-2023")</f>
        <v/>
      </c>
      <c r="V733">
        <f>HYPERLINK("https://klasma.github.io/Logging_0821/klagomål/A 62431-2023 FSC-klagomål.docx", "A 62431-2023")</f>
        <v/>
      </c>
      <c r="W733">
        <f>HYPERLINK("https://klasma.github.io/Logging_0821/klagomålsmail/A 62431-2023 FSC-klagomål mail.docx", "A 62431-2023")</f>
        <v/>
      </c>
      <c r="X733">
        <f>HYPERLINK("https://klasma.github.io/Logging_0821/tillsyn/A 62431-2023 tillsynsbegäran.docx", "A 62431-2023")</f>
        <v/>
      </c>
      <c r="Y733">
        <f>HYPERLINK("https://klasma.github.io/Logging_0821/tillsynsmail/A 62431-2023 tillsynsbegäran mail.docx", "A 62431-2023")</f>
        <v/>
      </c>
    </row>
    <row r="734" ht="15" customHeight="1">
      <c r="A734" t="inlineStr">
        <is>
          <t>A 34885-2025</t>
        </is>
      </c>
      <c r="B734" s="1" t="n">
        <v>45849.47128472223</v>
      </c>
      <c r="C734" s="1" t="n">
        <v>45884</v>
      </c>
      <c r="D734" t="inlineStr">
        <is>
          <t>KALMAR LÄN</t>
        </is>
      </c>
      <c r="E734" t="inlineStr">
        <is>
          <t>BORGHOLM</t>
        </is>
      </c>
      <c r="G734" t="n">
        <v>4.4</v>
      </c>
      <c r="H734" t="n">
        <v>0</v>
      </c>
      <c r="I734" t="n">
        <v>0</v>
      </c>
      <c r="J734" t="n">
        <v>1</v>
      </c>
      <c r="K734" t="n">
        <v>0</v>
      </c>
      <c r="L734" t="n">
        <v>0</v>
      </c>
      <c r="M734" t="n">
        <v>0</v>
      </c>
      <c r="N734" t="n">
        <v>0</v>
      </c>
      <c r="O734" t="n">
        <v>1</v>
      </c>
      <c r="P734" t="n">
        <v>0</v>
      </c>
      <c r="Q734" t="n">
        <v>1</v>
      </c>
      <c r="R734" s="2" t="inlineStr">
        <is>
          <t>Backfryle</t>
        </is>
      </c>
      <c r="S734">
        <f>HYPERLINK("https://klasma.github.io/Logging_0885/artfynd/A 34885-2025 artfynd.xlsx", "A 34885-2025")</f>
        <v/>
      </c>
      <c r="T734">
        <f>HYPERLINK("https://klasma.github.io/Logging_0885/kartor/A 34885-2025 karta.png", "A 34885-2025")</f>
        <v/>
      </c>
      <c r="V734">
        <f>HYPERLINK("https://klasma.github.io/Logging_0885/klagomål/A 34885-2025 FSC-klagomål.docx", "A 34885-2025")</f>
        <v/>
      </c>
      <c r="W734">
        <f>HYPERLINK("https://klasma.github.io/Logging_0885/klagomålsmail/A 34885-2025 FSC-klagomål mail.docx", "A 34885-2025")</f>
        <v/>
      </c>
      <c r="X734">
        <f>HYPERLINK("https://klasma.github.io/Logging_0885/tillsyn/A 34885-2025 tillsynsbegäran.docx", "A 34885-2025")</f>
        <v/>
      </c>
      <c r="Y734">
        <f>HYPERLINK("https://klasma.github.io/Logging_0885/tillsynsmail/A 34885-2025 tillsynsbegäran mail.docx", "A 34885-2025")</f>
        <v/>
      </c>
    </row>
    <row r="735" ht="15" customHeight="1">
      <c r="A735" t="inlineStr">
        <is>
          <t>A 55290-2024</t>
        </is>
      </c>
      <c r="B735" s="1" t="n">
        <v>45621.63548611111</v>
      </c>
      <c r="C735" s="1" t="n">
        <v>45884</v>
      </c>
      <c r="D735" t="inlineStr">
        <is>
          <t>KALMAR LÄN</t>
        </is>
      </c>
      <c r="E735" t="inlineStr">
        <is>
          <t>NYBRO</t>
        </is>
      </c>
      <c r="F735" t="inlineStr">
        <is>
          <t>Sveaskog</t>
        </is>
      </c>
      <c r="G735" t="n">
        <v>5.9</v>
      </c>
      <c r="H735" t="n">
        <v>1</v>
      </c>
      <c r="I735" t="n">
        <v>0</v>
      </c>
      <c r="J735" t="n">
        <v>1</v>
      </c>
      <c r="K735" t="n">
        <v>0</v>
      </c>
      <c r="L735" t="n">
        <v>0</v>
      </c>
      <c r="M735" t="n">
        <v>0</v>
      </c>
      <c r="N735" t="n">
        <v>0</v>
      </c>
      <c r="O735" t="n">
        <v>1</v>
      </c>
      <c r="P735" t="n">
        <v>0</v>
      </c>
      <c r="Q735" t="n">
        <v>1</v>
      </c>
      <c r="R735" s="2" t="inlineStr">
        <is>
          <t>Utter</t>
        </is>
      </c>
      <c r="S735">
        <f>HYPERLINK("https://klasma.github.io/Logging_0881/artfynd/A 55290-2024 artfynd.xlsx", "A 55290-2024")</f>
        <v/>
      </c>
      <c r="T735">
        <f>HYPERLINK("https://klasma.github.io/Logging_0881/kartor/A 55290-2024 karta.png", "A 55290-2024")</f>
        <v/>
      </c>
      <c r="V735">
        <f>HYPERLINK("https://klasma.github.io/Logging_0881/klagomål/A 55290-2024 FSC-klagomål.docx", "A 55290-2024")</f>
        <v/>
      </c>
      <c r="W735">
        <f>HYPERLINK("https://klasma.github.io/Logging_0881/klagomålsmail/A 55290-2024 FSC-klagomål mail.docx", "A 55290-2024")</f>
        <v/>
      </c>
      <c r="X735">
        <f>HYPERLINK("https://klasma.github.io/Logging_0881/tillsyn/A 55290-2024 tillsynsbegäran.docx", "A 55290-2024")</f>
        <v/>
      </c>
      <c r="Y735">
        <f>HYPERLINK("https://klasma.github.io/Logging_0881/tillsynsmail/A 55290-2024 tillsynsbegäran mail.docx", "A 55290-2024")</f>
        <v/>
      </c>
    </row>
    <row r="736" ht="15" customHeight="1">
      <c r="A736" t="inlineStr">
        <is>
          <t>A 6657-2025</t>
        </is>
      </c>
      <c r="B736" s="1" t="n">
        <v>45700</v>
      </c>
      <c r="C736" s="1" t="n">
        <v>45884</v>
      </c>
      <c r="D736" t="inlineStr">
        <is>
          <t>KALMAR LÄN</t>
        </is>
      </c>
      <c r="E736" t="inlineStr">
        <is>
          <t>VÄSTERVIK</t>
        </is>
      </c>
      <c r="F736" t="inlineStr">
        <is>
          <t>Holmen skog AB</t>
        </is>
      </c>
      <c r="G736" t="n">
        <v>3</v>
      </c>
      <c r="H736" t="n">
        <v>1</v>
      </c>
      <c r="I736" t="n">
        <v>0</v>
      </c>
      <c r="J736" t="n">
        <v>0</v>
      </c>
      <c r="K736" t="n">
        <v>1</v>
      </c>
      <c r="L736" t="n">
        <v>0</v>
      </c>
      <c r="M736" t="n">
        <v>0</v>
      </c>
      <c r="N736" t="n">
        <v>0</v>
      </c>
      <c r="O736" t="n">
        <v>1</v>
      </c>
      <c r="P736" t="n">
        <v>1</v>
      </c>
      <c r="Q736" t="n">
        <v>1</v>
      </c>
      <c r="R736" s="2" t="inlineStr">
        <is>
          <t>Knärot</t>
        </is>
      </c>
      <c r="S736">
        <f>HYPERLINK("https://klasma.github.io/Logging_0883/artfynd/A 6657-2025 artfynd.xlsx", "A 6657-2025")</f>
        <v/>
      </c>
      <c r="T736">
        <f>HYPERLINK("https://klasma.github.io/Logging_0883/kartor/A 6657-2025 karta.png", "A 6657-2025")</f>
        <v/>
      </c>
      <c r="U736">
        <f>HYPERLINK("https://klasma.github.io/Logging_0883/knärot/A 6657-2025 karta knärot.png", "A 6657-2025")</f>
        <v/>
      </c>
      <c r="V736">
        <f>HYPERLINK("https://klasma.github.io/Logging_0883/klagomål/A 6657-2025 FSC-klagomål.docx", "A 6657-2025")</f>
        <v/>
      </c>
      <c r="W736">
        <f>HYPERLINK("https://klasma.github.io/Logging_0883/klagomålsmail/A 6657-2025 FSC-klagomål mail.docx", "A 6657-2025")</f>
        <v/>
      </c>
      <c r="X736">
        <f>HYPERLINK("https://klasma.github.io/Logging_0883/tillsyn/A 6657-2025 tillsynsbegäran.docx", "A 6657-2025")</f>
        <v/>
      </c>
      <c r="Y736">
        <f>HYPERLINK("https://klasma.github.io/Logging_0883/tillsynsmail/A 6657-2025 tillsynsbegäran mail.docx", "A 6657-2025")</f>
        <v/>
      </c>
    </row>
    <row r="737" ht="15" customHeight="1">
      <c r="A737" t="inlineStr">
        <is>
          <t>A 26516-2025</t>
        </is>
      </c>
      <c r="B737" s="1" t="n">
        <v>45807.55402777778</v>
      </c>
      <c r="C737" s="1" t="n">
        <v>45884</v>
      </c>
      <c r="D737" t="inlineStr">
        <is>
          <t>KALMAR LÄN</t>
        </is>
      </c>
      <c r="E737" t="inlineStr">
        <is>
          <t>VÄSTERVIK</t>
        </is>
      </c>
      <c r="G737" t="n">
        <v>1.3</v>
      </c>
      <c r="H737" t="n">
        <v>1</v>
      </c>
      <c r="I737" t="n">
        <v>0</v>
      </c>
      <c r="J737" t="n">
        <v>1</v>
      </c>
      <c r="K737" t="n">
        <v>0</v>
      </c>
      <c r="L737" t="n">
        <v>0</v>
      </c>
      <c r="M737" t="n">
        <v>0</v>
      </c>
      <c r="N737" t="n">
        <v>0</v>
      </c>
      <c r="O737" t="n">
        <v>1</v>
      </c>
      <c r="P737" t="n">
        <v>0</v>
      </c>
      <c r="Q737" t="n">
        <v>1</v>
      </c>
      <c r="R737" s="2" t="inlineStr">
        <is>
          <t>Grönsångare</t>
        </is>
      </c>
      <c r="S737">
        <f>HYPERLINK("https://klasma.github.io/Logging_0883/artfynd/A 26516-2025 artfynd.xlsx", "A 26516-2025")</f>
        <v/>
      </c>
      <c r="T737">
        <f>HYPERLINK("https://klasma.github.io/Logging_0883/kartor/A 26516-2025 karta.png", "A 26516-2025")</f>
        <v/>
      </c>
      <c r="V737">
        <f>HYPERLINK("https://klasma.github.io/Logging_0883/klagomål/A 26516-2025 FSC-klagomål.docx", "A 26516-2025")</f>
        <v/>
      </c>
      <c r="W737">
        <f>HYPERLINK("https://klasma.github.io/Logging_0883/klagomålsmail/A 26516-2025 FSC-klagomål mail.docx", "A 26516-2025")</f>
        <v/>
      </c>
      <c r="X737">
        <f>HYPERLINK("https://klasma.github.io/Logging_0883/tillsyn/A 26516-2025 tillsynsbegäran.docx", "A 26516-2025")</f>
        <v/>
      </c>
      <c r="Y737">
        <f>HYPERLINK("https://klasma.github.io/Logging_0883/tillsynsmail/A 26516-2025 tillsynsbegäran mail.docx", "A 26516-2025")</f>
        <v/>
      </c>
      <c r="Z737">
        <f>HYPERLINK("https://klasma.github.io/Logging_0883/fåglar/A 26516-2025 prioriterade fågelarter.docx", "A 26516-2025")</f>
        <v/>
      </c>
    </row>
    <row r="738" ht="15" customHeight="1">
      <c r="A738" t="inlineStr">
        <is>
          <t>A 36886-2024</t>
        </is>
      </c>
      <c r="B738" s="1" t="n">
        <v>45538.60297453704</v>
      </c>
      <c r="C738" s="1" t="n">
        <v>45884</v>
      </c>
      <c r="D738" t="inlineStr">
        <is>
          <t>KALMAR LÄN</t>
        </is>
      </c>
      <c r="E738" t="inlineStr">
        <is>
          <t>MÖNSTERÅS</t>
        </is>
      </c>
      <c r="G738" t="n">
        <v>10.2</v>
      </c>
      <c r="H738" t="n">
        <v>0</v>
      </c>
      <c r="I738" t="n">
        <v>1</v>
      </c>
      <c r="J738" t="n">
        <v>0</v>
      </c>
      <c r="K738" t="n">
        <v>0</v>
      </c>
      <c r="L738" t="n">
        <v>0</v>
      </c>
      <c r="M738" t="n">
        <v>0</v>
      </c>
      <c r="N738" t="n">
        <v>0</v>
      </c>
      <c r="O738" t="n">
        <v>0</v>
      </c>
      <c r="P738" t="n">
        <v>0</v>
      </c>
      <c r="Q738" t="n">
        <v>1</v>
      </c>
      <c r="R738" s="2" t="inlineStr">
        <is>
          <t>Underviol</t>
        </is>
      </c>
      <c r="S738">
        <f>HYPERLINK("https://klasma.github.io/Logging_0861/artfynd/A 36886-2024 artfynd.xlsx", "A 36886-2024")</f>
        <v/>
      </c>
      <c r="T738">
        <f>HYPERLINK("https://klasma.github.io/Logging_0861/kartor/A 36886-2024 karta.png", "A 36886-2024")</f>
        <v/>
      </c>
      <c r="V738">
        <f>HYPERLINK("https://klasma.github.io/Logging_0861/klagomål/A 36886-2024 FSC-klagomål.docx", "A 36886-2024")</f>
        <v/>
      </c>
      <c r="W738">
        <f>HYPERLINK("https://klasma.github.io/Logging_0861/klagomålsmail/A 36886-2024 FSC-klagomål mail.docx", "A 36886-2024")</f>
        <v/>
      </c>
      <c r="X738">
        <f>HYPERLINK("https://klasma.github.io/Logging_0861/tillsyn/A 36886-2024 tillsynsbegäran.docx", "A 36886-2024")</f>
        <v/>
      </c>
      <c r="Y738">
        <f>HYPERLINK("https://klasma.github.io/Logging_0861/tillsynsmail/A 36886-2024 tillsynsbegäran mail.docx", "A 36886-2024")</f>
        <v/>
      </c>
    </row>
    <row r="739" ht="15" customHeight="1">
      <c r="A739" t="inlineStr">
        <is>
          <t>A 34636-2025</t>
        </is>
      </c>
      <c r="B739" s="1" t="n">
        <v>45848.29729166667</v>
      </c>
      <c r="C739" s="1" t="n">
        <v>45884</v>
      </c>
      <c r="D739" t="inlineStr">
        <is>
          <t>KALMAR LÄN</t>
        </is>
      </c>
      <c r="E739" t="inlineStr">
        <is>
          <t>HÖGSBY</t>
        </is>
      </c>
      <c r="G739" t="n">
        <v>29.6</v>
      </c>
      <c r="H739" t="n">
        <v>1</v>
      </c>
      <c r="I739" t="n">
        <v>0</v>
      </c>
      <c r="J739" t="n">
        <v>0</v>
      </c>
      <c r="K739" t="n">
        <v>0</v>
      </c>
      <c r="L739" t="n">
        <v>0</v>
      </c>
      <c r="M739" t="n">
        <v>0</v>
      </c>
      <c r="N739" t="n">
        <v>0</v>
      </c>
      <c r="O739" t="n">
        <v>0</v>
      </c>
      <c r="P739" t="n">
        <v>0</v>
      </c>
      <c r="Q739" t="n">
        <v>1</v>
      </c>
      <c r="R739" s="2" t="inlineStr">
        <is>
          <t>Blåsippa</t>
        </is>
      </c>
      <c r="S739">
        <f>HYPERLINK("https://klasma.github.io/Logging_0821/artfynd/A 34636-2025 artfynd.xlsx", "A 34636-2025")</f>
        <v/>
      </c>
      <c r="T739">
        <f>HYPERLINK("https://klasma.github.io/Logging_0821/kartor/A 34636-2025 karta.png", "A 34636-2025")</f>
        <v/>
      </c>
      <c r="V739">
        <f>HYPERLINK("https://klasma.github.io/Logging_0821/klagomål/A 34636-2025 FSC-klagomål.docx", "A 34636-2025")</f>
        <v/>
      </c>
      <c r="W739">
        <f>HYPERLINK("https://klasma.github.io/Logging_0821/klagomålsmail/A 34636-2025 FSC-klagomål mail.docx", "A 34636-2025")</f>
        <v/>
      </c>
      <c r="X739">
        <f>HYPERLINK("https://klasma.github.io/Logging_0821/tillsyn/A 34636-2025 tillsynsbegäran.docx", "A 34636-2025")</f>
        <v/>
      </c>
      <c r="Y739">
        <f>HYPERLINK("https://klasma.github.io/Logging_0821/tillsynsmail/A 34636-2025 tillsynsbegäran mail.docx", "A 34636-2025")</f>
        <v/>
      </c>
    </row>
    <row r="740" ht="15" customHeight="1">
      <c r="A740" t="inlineStr">
        <is>
          <t>A 34637-2025</t>
        </is>
      </c>
      <c r="B740" s="1" t="n">
        <v>45848.3046875</v>
      </c>
      <c r="C740" s="1" t="n">
        <v>45884</v>
      </c>
      <c r="D740" t="inlineStr">
        <is>
          <t>KALMAR LÄN</t>
        </is>
      </c>
      <c r="E740" t="inlineStr">
        <is>
          <t>HÖGSBY</t>
        </is>
      </c>
      <c r="G740" t="n">
        <v>12</v>
      </c>
      <c r="H740" t="n">
        <v>0</v>
      </c>
      <c r="I740" t="n">
        <v>1</v>
      </c>
      <c r="J740" t="n">
        <v>0</v>
      </c>
      <c r="K740" t="n">
        <v>0</v>
      </c>
      <c r="L740" t="n">
        <v>0</v>
      </c>
      <c r="M740" t="n">
        <v>0</v>
      </c>
      <c r="N740" t="n">
        <v>0</v>
      </c>
      <c r="O740" t="n">
        <v>0</v>
      </c>
      <c r="P740" t="n">
        <v>0</v>
      </c>
      <c r="Q740" t="n">
        <v>1</v>
      </c>
      <c r="R740" s="2" t="inlineStr">
        <is>
          <t>Blåmossa</t>
        </is>
      </c>
      <c r="S740">
        <f>HYPERLINK("https://klasma.github.io/Logging_0821/artfynd/A 34637-2025 artfynd.xlsx", "A 34637-2025")</f>
        <v/>
      </c>
      <c r="T740">
        <f>HYPERLINK("https://klasma.github.io/Logging_0821/kartor/A 34637-2025 karta.png", "A 34637-2025")</f>
        <v/>
      </c>
      <c r="V740">
        <f>HYPERLINK("https://klasma.github.io/Logging_0821/klagomål/A 34637-2025 FSC-klagomål.docx", "A 34637-2025")</f>
        <v/>
      </c>
      <c r="W740">
        <f>HYPERLINK("https://klasma.github.io/Logging_0821/klagomålsmail/A 34637-2025 FSC-klagomål mail.docx", "A 34637-2025")</f>
        <v/>
      </c>
      <c r="X740">
        <f>HYPERLINK("https://klasma.github.io/Logging_0821/tillsyn/A 34637-2025 tillsynsbegäran.docx", "A 34637-2025")</f>
        <v/>
      </c>
      <c r="Y740">
        <f>HYPERLINK("https://klasma.github.io/Logging_0821/tillsynsmail/A 34637-2025 tillsynsbegäran mail.docx", "A 34637-2025")</f>
        <v/>
      </c>
    </row>
    <row r="741" ht="15" customHeight="1">
      <c r="A741" t="inlineStr">
        <is>
          <t>A 13690-2022</t>
        </is>
      </c>
      <c r="B741" s="1" t="n">
        <v>44648</v>
      </c>
      <c r="C741" s="1" t="n">
        <v>45884</v>
      </c>
      <c r="D741" t="inlineStr">
        <is>
          <t>KALMAR LÄN</t>
        </is>
      </c>
      <c r="E741" t="inlineStr">
        <is>
          <t>NYBRO</t>
        </is>
      </c>
      <c r="F741" t="inlineStr">
        <is>
          <t>Kommuner</t>
        </is>
      </c>
      <c r="G741" t="n">
        <v>8.300000000000001</v>
      </c>
      <c r="H741" t="n">
        <v>1</v>
      </c>
      <c r="I741" t="n">
        <v>0</v>
      </c>
      <c r="J741" t="n">
        <v>0</v>
      </c>
      <c r="K741" t="n">
        <v>1</v>
      </c>
      <c r="L741" t="n">
        <v>0</v>
      </c>
      <c r="M741" t="n">
        <v>0</v>
      </c>
      <c r="N741" t="n">
        <v>0</v>
      </c>
      <c r="O741" t="n">
        <v>1</v>
      </c>
      <c r="P741" t="n">
        <v>1</v>
      </c>
      <c r="Q741" t="n">
        <v>1</v>
      </c>
      <c r="R741" s="2" t="inlineStr">
        <is>
          <t>Knärot</t>
        </is>
      </c>
      <c r="S741">
        <f>HYPERLINK("https://klasma.github.io/Logging_0881/artfynd/A 13690-2022 artfynd.xlsx", "A 13690-2022")</f>
        <v/>
      </c>
      <c r="T741">
        <f>HYPERLINK("https://klasma.github.io/Logging_0881/kartor/A 13690-2022 karta.png", "A 13690-2022")</f>
        <v/>
      </c>
      <c r="U741">
        <f>HYPERLINK("https://klasma.github.io/Logging_0881/knärot/A 13690-2022 karta knärot.png", "A 13690-2022")</f>
        <v/>
      </c>
      <c r="V741">
        <f>HYPERLINK("https://klasma.github.io/Logging_0881/klagomål/A 13690-2022 FSC-klagomål.docx", "A 13690-2022")</f>
        <v/>
      </c>
      <c r="W741">
        <f>HYPERLINK("https://klasma.github.io/Logging_0881/klagomålsmail/A 13690-2022 FSC-klagomål mail.docx", "A 13690-2022")</f>
        <v/>
      </c>
      <c r="X741">
        <f>HYPERLINK("https://klasma.github.io/Logging_0881/tillsyn/A 13690-2022 tillsynsbegäran.docx", "A 13690-2022")</f>
        <v/>
      </c>
      <c r="Y741">
        <f>HYPERLINK("https://klasma.github.io/Logging_0881/tillsynsmail/A 13690-2022 tillsynsbegäran mail.docx", "A 13690-2022")</f>
        <v/>
      </c>
    </row>
    <row r="742" ht="15" customHeight="1">
      <c r="A742" t="inlineStr">
        <is>
          <t>A 26988-2025</t>
        </is>
      </c>
      <c r="B742" s="1" t="n">
        <v>45811.51012731482</v>
      </c>
      <c r="C742" s="1" t="n">
        <v>45884</v>
      </c>
      <c r="D742" t="inlineStr">
        <is>
          <t>KALMAR LÄN</t>
        </is>
      </c>
      <c r="E742" t="inlineStr">
        <is>
          <t>OSKARSHAMN</t>
        </is>
      </c>
      <c r="G742" t="n">
        <v>5.5</v>
      </c>
      <c r="H742" t="n">
        <v>0</v>
      </c>
      <c r="I742" t="n">
        <v>0</v>
      </c>
      <c r="J742" t="n">
        <v>1</v>
      </c>
      <c r="K742" t="n">
        <v>0</v>
      </c>
      <c r="L742" t="n">
        <v>0</v>
      </c>
      <c r="M742" t="n">
        <v>0</v>
      </c>
      <c r="N742" t="n">
        <v>0</v>
      </c>
      <c r="O742" t="n">
        <v>1</v>
      </c>
      <c r="P742" t="n">
        <v>0</v>
      </c>
      <c r="Q742" t="n">
        <v>1</v>
      </c>
      <c r="R742" s="2" t="inlineStr">
        <is>
          <t>Motaggsvamp</t>
        </is>
      </c>
      <c r="S742">
        <f>HYPERLINK("https://klasma.github.io/Logging_0882/artfynd/A 26988-2025 artfynd.xlsx", "A 26988-2025")</f>
        <v/>
      </c>
      <c r="T742">
        <f>HYPERLINK("https://klasma.github.io/Logging_0882/kartor/A 26988-2025 karta.png", "A 26988-2025")</f>
        <v/>
      </c>
      <c r="V742">
        <f>HYPERLINK("https://klasma.github.io/Logging_0882/klagomål/A 26988-2025 FSC-klagomål.docx", "A 26988-2025")</f>
        <v/>
      </c>
      <c r="W742">
        <f>HYPERLINK("https://klasma.github.io/Logging_0882/klagomålsmail/A 26988-2025 FSC-klagomål mail.docx", "A 26988-2025")</f>
        <v/>
      </c>
      <c r="X742">
        <f>HYPERLINK("https://klasma.github.io/Logging_0882/tillsyn/A 26988-2025 tillsynsbegäran.docx", "A 26988-2025")</f>
        <v/>
      </c>
      <c r="Y742">
        <f>HYPERLINK("https://klasma.github.io/Logging_0882/tillsynsmail/A 26988-2025 tillsynsbegäran mail.docx", "A 26988-2025")</f>
        <v/>
      </c>
    </row>
    <row r="743" ht="15" customHeight="1">
      <c r="A743" t="inlineStr">
        <is>
          <t>A 14103-2025</t>
        </is>
      </c>
      <c r="B743" s="1" t="n">
        <v>45740.45232638889</v>
      </c>
      <c r="C743" s="1" t="n">
        <v>45884</v>
      </c>
      <c r="D743" t="inlineStr">
        <is>
          <t>KALMAR LÄN</t>
        </is>
      </c>
      <c r="E743" t="inlineStr">
        <is>
          <t>VÄSTERVIK</t>
        </is>
      </c>
      <c r="F743" t="inlineStr">
        <is>
          <t>Sveaskog</t>
        </is>
      </c>
      <c r="G743" t="n">
        <v>0.8</v>
      </c>
      <c r="H743" t="n">
        <v>1</v>
      </c>
      <c r="I743" t="n">
        <v>0</v>
      </c>
      <c r="J743" t="n">
        <v>0</v>
      </c>
      <c r="K743" t="n">
        <v>0</v>
      </c>
      <c r="L743" t="n">
        <v>0</v>
      </c>
      <c r="M743" t="n">
        <v>0</v>
      </c>
      <c r="N743" t="n">
        <v>0</v>
      </c>
      <c r="O743" t="n">
        <v>0</v>
      </c>
      <c r="P743" t="n">
        <v>0</v>
      </c>
      <c r="Q743" t="n">
        <v>1</v>
      </c>
      <c r="R743" s="2" t="inlineStr">
        <is>
          <t>Grönvit nattviol</t>
        </is>
      </c>
      <c r="S743">
        <f>HYPERLINK("https://klasma.github.io/Logging_0883/artfynd/A 14103-2025 artfynd.xlsx", "A 14103-2025")</f>
        <v/>
      </c>
      <c r="T743">
        <f>HYPERLINK("https://klasma.github.io/Logging_0883/kartor/A 14103-2025 karta.png", "A 14103-2025")</f>
        <v/>
      </c>
      <c r="V743">
        <f>HYPERLINK("https://klasma.github.io/Logging_0883/klagomål/A 14103-2025 FSC-klagomål.docx", "A 14103-2025")</f>
        <v/>
      </c>
      <c r="W743">
        <f>HYPERLINK("https://klasma.github.io/Logging_0883/klagomålsmail/A 14103-2025 FSC-klagomål mail.docx", "A 14103-2025")</f>
        <v/>
      </c>
      <c r="X743">
        <f>HYPERLINK("https://klasma.github.io/Logging_0883/tillsyn/A 14103-2025 tillsynsbegäran.docx", "A 14103-2025")</f>
        <v/>
      </c>
      <c r="Y743">
        <f>HYPERLINK("https://klasma.github.io/Logging_0883/tillsynsmail/A 14103-2025 tillsynsbegäran mail.docx", "A 14103-2025")</f>
        <v/>
      </c>
    </row>
    <row r="744" ht="15" customHeight="1">
      <c r="A744" t="inlineStr">
        <is>
          <t>A 25218-2023</t>
        </is>
      </c>
      <c r="B744" s="1" t="n">
        <v>45086</v>
      </c>
      <c r="C744" s="1" t="n">
        <v>45884</v>
      </c>
      <c r="D744" t="inlineStr">
        <is>
          <t>KALMAR LÄN</t>
        </is>
      </c>
      <c r="E744" t="inlineStr">
        <is>
          <t>MÖNSTERÅS</t>
        </is>
      </c>
      <c r="G744" t="n">
        <v>1.5</v>
      </c>
      <c r="H744" t="n">
        <v>1</v>
      </c>
      <c r="I744" t="n">
        <v>0</v>
      </c>
      <c r="J744" t="n">
        <v>0</v>
      </c>
      <c r="K744" t="n">
        <v>0</v>
      </c>
      <c r="L744" t="n">
        <v>0</v>
      </c>
      <c r="M744" t="n">
        <v>0</v>
      </c>
      <c r="N744" t="n">
        <v>0</v>
      </c>
      <c r="O744" t="n">
        <v>0</v>
      </c>
      <c r="P744" t="n">
        <v>0</v>
      </c>
      <c r="Q744" t="n">
        <v>1</v>
      </c>
      <c r="R744" s="2" t="inlineStr">
        <is>
          <t>Hasselmus</t>
        </is>
      </c>
      <c r="S744">
        <f>HYPERLINK("https://klasma.github.io/Logging_0861/artfynd/A 25218-2023 artfynd.xlsx", "A 25218-2023")</f>
        <v/>
      </c>
      <c r="T744">
        <f>HYPERLINK("https://klasma.github.io/Logging_0861/kartor/A 25218-2023 karta.png", "A 25218-2023")</f>
        <v/>
      </c>
      <c r="V744">
        <f>HYPERLINK("https://klasma.github.io/Logging_0861/klagomål/A 25218-2023 FSC-klagomål.docx", "A 25218-2023")</f>
        <v/>
      </c>
      <c r="W744">
        <f>HYPERLINK("https://klasma.github.io/Logging_0861/klagomålsmail/A 25218-2023 FSC-klagomål mail.docx", "A 25218-2023")</f>
        <v/>
      </c>
      <c r="X744">
        <f>HYPERLINK("https://klasma.github.io/Logging_0861/tillsyn/A 25218-2023 tillsynsbegäran.docx", "A 25218-2023")</f>
        <v/>
      </c>
      <c r="Y744">
        <f>HYPERLINK("https://klasma.github.io/Logging_0861/tillsynsmail/A 25218-2023 tillsynsbegäran mail.docx", "A 25218-2023")</f>
        <v/>
      </c>
    </row>
    <row r="745" ht="15" customHeight="1">
      <c r="A745" t="inlineStr">
        <is>
          <t>A 53862-2022</t>
        </is>
      </c>
      <c r="B745" s="1" t="n">
        <v>44876</v>
      </c>
      <c r="C745" s="1" t="n">
        <v>45884</v>
      </c>
      <c r="D745" t="inlineStr">
        <is>
          <t>KALMAR LÄN</t>
        </is>
      </c>
      <c r="E745" t="inlineStr">
        <is>
          <t>HULTSFRED</t>
        </is>
      </c>
      <c r="F745" t="inlineStr">
        <is>
          <t>Kommuner</t>
        </is>
      </c>
      <c r="G745" t="n">
        <v>1.7</v>
      </c>
      <c r="H745" t="n">
        <v>1</v>
      </c>
      <c r="I745" t="n">
        <v>0</v>
      </c>
      <c r="J745" t="n">
        <v>0</v>
      </c>
      <c r="K745" t="n">
        <v>0</v>
      </c>
      <c r="L745" t="n">
        <v>0</v>
      </c>
      <c r="M745" t="n">
        <v>0</v>
      </c>
      <c r="N745" t="n">
        <v>0</v>
      </c>
      <c r="O745" t="n">
        <v>0</v>
      </c>
      <c r="P745" t="n">
        <v>0</v>
      </c>
      <c r="Q745" t="n">
        <v>1</v>
      </c>
      <c r="R745" s="2" t="inlineStr">
        <is>
          <t>Blåsippa</t>
        </is>
      </c>
      <c r="S745">
        <f>HYPERLINK("https://klasma.github.io/Logging_0860/artfynd/A 53862-2022 artfynd.xlsx", "A 53862-2022")</f>
        <v/>
      </c>
      <c r="T745">
        <f>HYPERLINK("https://klasma.github.io/Logging_0860/kartor/A 53862-2022 karta.png", "A 53862-2022")</f>
        <v/>
      </c>
      <c r="V745">
        <f>HYPERLINK("https://klasma.github.io/Logging_0860/klagomål/A 53862-2022 FSC-klagomål.docx", "A 53862-2022")</f>
        <v/>
      </c>
      <c r="W745">
        <f>HYPERLINK("https://klasma.github.io/Logging_0860/klagomålsmail/A 53862-2022 FSC-klagomål mail.docx", "A 53862-2022")</f>
        <v/>
      </c>
      <c r="X745">
        <f>HYPERLINK("https://klasma.github.io/Logging_0860/tillsyn/A 53862-2022 tillsynsbegäran.docx", "A 53862-2022")</f>
        <v/>
      </c>
      <c r="Y745">
        <f>HYPERLINK("https://klasma.github.io/Logging_0860/tillsynsmail/A 53862-2022 tillsynsbegäran mail.docx", "A 53862-2022")</f>
        <v/>
      </c>
    </row>
    <row r="746" ht="15" customHeight="1">
      <c r="A746" t="inlineStr">
        <is>
          <t>A 26669-2025</t>
        </is>
      </c>
      <c r="B746" s="1" t="n">
        <v>45810.41100694444</v>
      </c>
      <c r="C746" s="1" t="n">
        <v>45884</v>
      </c>
      <c r="D746" t="inlineStr">
        <is>
          <t>KALMAR LÄN</t>
        </is>
      </c>
      <c r="E746" t="inlineStr">
        <is>
          <t>HULTSFRED</t>
        </is>
      </c>
      <c r="G746" t="n">
        <v>3.1</v>
      </c>
      <c r="H746" t="n">
        <v>0</v>
      </c>
      <c r="I746" t="n">
        <v>1</v>
      </c>
      <c r="J746" t="n">
        <v>0</v>
      </c>
      <c r="K746" t="n">
        <v>0</v>
      </c>
      <c r="L746" t="n">
        <v>0</v>
      </c>
      <c r="M746" t="n">
        <v>0</v>
      </c>
      <c r="N746" t="n">
        <v>0</v>
      </c>
      <c r="O746" t="n">
        <v>0</v>
      </c>
      <c r="P746" t="n">
        <v>0</v>
      </c>
      <c r="Q746" t="n">
        <v>1</v>
      </c>
      <c r="R746" s="2" t="inlineStr">
        <is>
          <t>Gulnål</t>
        </is>
      </c>
      <c r="S746">
        <f>HYPERLINK("https://klasma.github.io/Logging_0860/artfynd/A 26669-2025 artfynd.xlsx", "A 26669-2025")</f>
        <v/>
      </c>
      <c r="T746">
        <f>HYPERLINK("https://klasma.github.io/Logging_0860/kartor/A 26669-2025 karta.png", "A 26669-2025")</f>
        <v/>
      </c>
      <c r="V746">
        <f>HYPERLINK("https://klasma.github.io/Logging_0860/klagomål/A 26669-2025 FSC-klagomål.docx", "A 26669-2025")</f>
        <v/>
      </c>
      <c r="W746">
        <f>HYPERLINK("https://klasma.github.io/Logging_0860/klagomålsmail/A 26669-2025 FSC-klagomål mail.docx", "A 26669-2025")</f>
        <v/>
      </c>
      <c r="X746">
        <f>HYPERLINK("https://klasma.github.io/Logging_0860/tillsyn/A 26669-2025 tillsynsbegäran.docx", "A 26669-2025")</f>
        <v/>
      </c>
      <c r="Y746">
        <f>HYPERLINK("https://klasma.github.io/Logging_0860/tillsynsmail/A 26669-2025 tillsynsbegäran mail.docx", "A 26669-2025")</f>
        <v/>
      </c>
    </row>
    <row r="747" ht="15" customHeight="1">
      <c r="A747" t="inlineStr">
        <is>
          <t>A 26686-2025</t>
        </is>
      </c>
      <c r="B747" s="1" t="n">
        <v>45810.43359953703</v>
      </c>
      <c r="C747" s="1" t="n">
        <v>45884</v>
      </c>
      <c r="D747" t="inlineStr">
        <is>
          <t>KALMAR LÄN</t>
        </is>
      </c>
      <c r="E747" t="inlineStr">
        <is>
          <t>HULTSFRED</t>
        </is>
      </c>
      <c r="G747" t="n">
        <v>4.1</v>
      </c>
      <c r="H747" t="n">
        <v>1</v>
      </c>
      <c r="I747" t="n">
        <v>0</v>
      </c>
      <c r="J747" t="n">
        <v>0</v>
      </c>
      <c r="K747" t="n">
        <v>0</v>
      </c>
      <c r="L747" t="n">
        <v>0</v>
      </c>
      <c r="M747" t="n">
        <v>0</v>
      </c>
      <c r="N747" t="n">
        <v>0</v>
      </c>
      <c r="O747" t="n">
        <v>0</v>
      </c>
      <c r="P747" t="n">
        <v>0</v>
      </c>
      <c r="Q747" t="n">
        <v>1</v>
      </c>
      <c r="R747" s="2" t="inlineStr">
        <is>
          <t>Revlummer</t>
        </is>
      </c>
      <c r="S747">
        <f>HYPERLINK("https://klasma.github.io/Logging_0860/artfynd/A 26686-2025 artfynd.xlsx", "A 26686-2025")</f>
        <v/>
      </c>
      <c r="T747">
        <f>HYPERLINK("https://klasma.github.io/Logging_0860/kartor/A 26686-2025 karta.png", "A 26686-2025")</f>
        <v/>
      </c>
      <c r="V747">
        <f>HYPERLINK("https://klasma.github.io/Logging_0860/klagomål/A 26686-2025 FSC-klagomål.docx", "A 26686-2025")</f>
        <v/>
      </c>
      <c r="W747">
        <f>HYPERLINK("https://klasma.github.io/Logging_0860/klagomålsmail/A 26686-2025 FSC-klagomål mail.docx", "A 26686-2025")</f>
        <v/>
      </c>
      <c r="X747">
        <f>HYPERLINK("https://klasma.github.io/Logging_0860/tillsyn/A 26686-2025 tillsynsbegäran.docx", "A 26686-2025")</f>
        <v/>
      </c>
      <c r="Y747">
        <f>HYPERLINK("https://klasma.github.io/Logging_0860/tillsynsmail/A 26686-2025 tillsynsbegäran mail.docx", "A 26686-2025")</f>
        <v/>
      </c>
    </row>
    <row r="748" ht="15" customHeight="1">
      <c r="A748" t="inlineStr">
        <is>
          <t>A 62394-2023</t>
        </is>
      </c>
      <c r="B748" s="1" t="n">
        <v>45268</v>
      </c>
      <c r="C748" s="1" t="n">
        <v>45884</v>
      </c>
      <c r="D748" t="inlineStr">
        <is>
          <t>KALMAR LÄN</t>
        </is>
      </c>
      <c r="E748" t="inlineStr">
        <is>
          <t>HÖGSBY</t>
        </is>
      </c>
      <c r="G748" t="n">
        <v>4.1</v>
      </c>
      <c r="H748" t="n">
        <v>0</v>
      </c>
      <c r="I748" t="n">
        <v>1</v>
      </c>
      <c r="J748" t="n">
        <v>0</v>
      </c>
      <c r="K748" t="n">
        <v>0</v>
      </c>
      <c r="L748" t="n">
        <v>0</v>
      </c>
      <c r="M748" t="n">
        <v>0</v>
      </c>
      <c r="N748" t="n">
        <v>0</v>
      </c>
      <c r="O748" t="n">
        <v>0</v>
      </c>
      <c r="P748" t="n">
        <v>0</v>
      </c>
      <c r="Q748" t="n">
        <v>1</v>
      </c>
      <c r="R748" s="2" t="inlineStr">
        <is>
          <t>Kattfotslav</t>
        </is>
      </c>
      <c r="S748">
        <f>HYPERLINK("https://klasma.github.io/Logging_0821/artfynd/A 62394-2023 artfynd.xlsx", "A 62394-2023")</f>
        <v/>
      </c>
      <c r="T748">
        <f>HYPERLINK("https://klasma.github.io/Logging_0821/kartor/A 62394-2023 karta.png", "A 62394-2023")</f>
        <v/>
      </c>
      <c r="V748">
        <f>HYPERLINK("https://klasma.github.io/Logging_0821/klagomål/A 62394-2023 FSC-klagomål.docx", "A 62394-2023")</f>
        <v/>
      </c>
      <c r="W748">
        <f>HYPERLINK("https://klasma.github.io/Logging_0821/klagomålsmail/A 62394-2023 FSC-klagomål mail.docx", "A 62394-2023")</f>
        <v/>
      </c>
      <c r="X748">
        <f>HYPERLINK("https://klasma.github.io/Logging_0821/tillsyn/A 62394-2023 tillsynsbegäran.docx", "A 62394-2023")</f>
        <v/>
      </c>
      <c r="Y748">
        <f>HYPERLINK("https://klasma.github.io/Logging_0821/tillsynsmail/A 62394-2023 tillsynsbegäran mail.docx", "A 62394-2023")</f>
        <v/>
      </c>
    </row>
    <row r="749" ht="15" customHeight="1">
      <c r="A749" t="inlineStr">
        <is>
          <t>A 35002-2025</t>
        </is>
      </c>
      <c r="B749" s="1" t="n">
        <v>45850.60619212963</v>
      </c>
      <c r="C749" s="1" t="n">
        <v>45884</v>
      </c>
      <c r="D749" t="inlineStr">
        <is>
          <t>KALMAR LÄN</t>
        </is>
      </c>
      <c r="E749" t="inlineStr">
        <is>
          <t>NYBRO</t>
        </is>
      </c>
      <c r="G749" t="n">
        <v>1.9</v>
      </c>
      <c r="H749" t="n">
        <v>0</v>
      </c>
      <c r="I749" t="n">
        <v>1</v>
      </c>
      <c r="J749" t="n">
        <v>0</v>
      </c>
      <c r="K749" t="n">
        <v>0</v>
      </c>
      <c r="L749" t="n">
        <v>0</v>
      </c>
      <c r="M749" t="n">
        <v>0</v>
      </c>
      <c r="N749" t="n">
        <v>0</v>
      </c>
      <c r="O749" t="n">
        <v>0</v>
      </c>
      <c r="P749" t="n">
        <v>0</v>
      </c>
      <c r="Q749" t="n">
        <v>1</v>
      </c>
      <c r="R749" s="2" t="inlineStr">
        <is>
          <t>Blomkålssvamp</t>
        </is>
      </c>
      <c r="S749">
        <f>HYPERLINK("https://klasma.github.io/Logging_0881/artfynd/A 35002-2025 artfynd.xlsx", "A 35002-2025")</f>
        <v/>
      </c>
      <c r="T749">
        <f>HYPERLINK("https://klasma.github.io/Logging_0881/kartor/A 35002-2025 karta.png", "A 35002-2025")</f>
        <v/>
      </c>
      <c r="U749">
        <f>HYPERLINK("https://klasma.github.io/Logging_0881/knärot/A 35002-2025 karta knärot.png", "A 35002-2025")</f>
        <v/>
      </c>
      <c r="V749">
        <f>HYPERLINK("https://klasma.github.io/Logging_0881/klagomål/A 35002-2025 FSC-klagomål.docx", "A 35002-2025")</f>
        <v/>
      </c>
      <c r="W749">
        <f>HYPERLINK("https://klasma.github.io/Logging_0881/klagomålsmail/A 35002-2025 FSC-klagomål mail.docx", "A 35002-2025")</f>
        <v/>
      </c>
      <c r="X749">
        <f>HYPERLINK("https://klasma.github.io/Logging_0881/tillsyn/A 35002-2025 tillsynsbegäran.docx", "A 35002-2025")</f>
        <v/>
      </c>
      <c r="Y749">
        <f>HYPERLINK("https://klasma.github.io/Logging_0881/tillsynsmail/A 35002-2025 tillsynsbegäran mail.docx", "A 35002-2025")</f>
        <v/>
      </c>
    </row>
    <row r="750" ht="15" customHeight="1">
      <c r="A750" t="inlineStr">
        <is>
          <t>A 27426-2025</t>
        </is>
      </c>
      <c r="B750" s="1" t="n">
        <v>45813</v>
      </c>
      <c r="C750" s="1" t="n">
        <v>45884</v>
      </c>
      <c r="D750" t="inlineStr">
        <is>
          <t>KALMAR LÄN</t>
        </is>
      </c>
      <c r="E750" t="inlineStr">
        <is>
          <t>VÄSTERVIK</t>
        </is>
      </c>
      <c r="G750" t="n">
        <v>2</v>
      </c>
      <c r="H750" t="n">
        <v>0</v>
      </c>
      <c r="I750" t="n">
        <v>1</v>
      </c>
      <c r="J750" t="n">
        <v>0</v>
      </c>
      <c r="K750" t="n">
        <v>0</v>
      </c>
      <c r="L750" t="n">
        <v>0</v>
      </c>
      <c r="M750" t="n">
        <v>0</v>
      </c>
      <c r="N750" t="n">
        <v>0</v>
      </c>
      <c r="O750" t="n">
        <v>0</v>
      </c>
      <c r="P750" t="n">
        <v>0</v>
      </c>
      <c r="Q750" t="n">
        <v>1</v>
      </c>
      <c r="R750" s="2" t="inlineStr">
        <is>
          <t>Vätteros</t>
        </is>
      </c>
      <c r="S750">
        <f>HYPERLINK("https://klasma.github.io/Logging_0883/artfynd/A 27426-2025 artfynd.xlsx", "A 27426-2025")</f>
        <v/>
      </c>
      <c r="T750">
        <f>HYPERLINK("https://klasma.github.io/Logging_0883/kartor/A 27426-2025 karta.png", "A 27426-2025")</f>
        <v/>
      </c>
      <c r="V750">
        <f>HYPERLINK("https://klasma.github.io/Logging_0883/klagomål/A 27426-2025 FSC-klagomål.docx", "A 27426-2025")</f>
        <v/>
      </c>
      <c r="W750">
        <f>HYPERLINK("https://klasma.github.io/Logging_0883/klagomålsmail/A 27426-2025 FSC-klagomål mail.docx", "A 27426-2025")</f>
        <v/>
      </c>
      <c r="X750">
        <f>HYPERLINK("https://klasma.github.io/Logging_0883/tillsyn/A 27426-2025 tillsynsbegäran.docx", "A 27426-2025")</f>
        <v/>
      </c>
      <c r="Y750">
        <f>HYPERLINK("https://klasma.github.io/Logging_0883/tillsynsmail/A 27426-2025 tillsynsbegäran mail.docx", "A 27426-2025")</f>
        <v/>
      </c>
    </row>
    <row r="751" ht="15" customHeight="1">
      <c r="A751" t="inlineStr">
        <is>
          <t>A 7941-2024</t>
        </is>
      </c>
      <c r="B751" s="1" t="n">
        <v>45350.52813657407</v>
      </c>
      <c r="C751" s="1" t="n">
        <v>45884</v>
      </c>
      <c r="D751" t="inlineStr">
        <is>
          <t>KALMAR LÄN</t>
        </is>
      </c>
      <c r="E751" t="inlineStr">
        <is>
          <t>MÖNSTERÅS</t>
        </is>
      </c>
      <c r="F751" t="inlineStr">
        <is>
          <t>Övriga Aktiebolag</t>
        </is>
      </c>
      <c r="G751" t="n">
        <v>5.6</v>
      </c>
      <c r="H751" t="n">
        <v>1</v>
      </c>
      <c r="I751" t="n">
        <v>0</v>
      </c>
      <c r="J751" t="n">
        <v>0</v>
      </c>
      <c r="K751" t="n">
        <v>1</v>
      </c>
      <c r="L751" t="n">
        <v>0</v>
      </c>
      <c r="M751" t="n">
        <v>0</v>
      </c>
      <c r="N751" t="n">
        <v>0</v>
      </c>
      <c r="O751" t="n">
        <v>1</v>
      </c>
      <c r="P751" t="n">
        <v>1</v>
      </c>
      <c r="Q751" t="n">
        <v>1</v>
      </c>
      <c r="R751" s="2" t="inlineStr">
        <is>
          <t>Kricka</t>
        </is>
      </c>
      <c r="S751">
        <f>HYPERLINK("https://klasma.github.io/Logging_0861/artfynd/A 7941-2024 artfynd.xlsx", "A 7941-2024")</f>
        <v/>
      </c>
      <c r="T751">
        <f>HYPERLINK("https://klasma.github.io/Logging_0861/kartor/A 7941-2024 karta.png", "A 7941-2024")</f>
        <v/>
      </c>
      <c r="V751">
        <f>HYPERLINK("https://klasma.github.io/Logging_0861/klagomål/A 7941-2024 FSC-klagomål.docx", "A 7941-2024")</f>
        <v/>
      </c>
      <c r="W751">
        <f>HYPERLINK("https://klasma.github.io/Logging_0861/klagomålsmail/A 7941-2024 FSC-klagomål mail.docx", "A 7941-2024")</f>
        <v/>
      </c>
      <c r="X751">
        <f>HYPERLINK("https://klasma.github.io/Logging_0861/tillsyn/A 7941-2024 tillsynsbegäran.docx", "A 7941-2024")</f>
        <v/>
      </c>
      <c r="Y751">
        <f>HYPERLINK("https://klasma.github.io/Logging_0861/tillsynsmail/A 7941-2024 tillsynsbegäran mail.docx", "A 7941-2024")</f>
        <v/>
      </c>
      <c r="Z751">
        <f>HYPERLINK("https://klasma.github.io/Logging_0861/fåglar/A 7941-2024 prioriterade fågelarter.docx", "A 7941-2024")</f>
        <v/>
      </c>
    </row>
    <row r="752" ht="15" customHeight="1">
      <c r="A752" t="inlineStr">
        <is>
          <t>A 39875-2021</t>
        </is>
      </c>
      <c r="B752" s="1" t="n">
        <v>44417</v>
      </c>
      <c r="C752" s="1" t="n">
        <v>45884</v>
      </c>
      <c r="D752" t="inlineStr">
        <is>
          <t>KALMAR LÄN</t>
        </is>
      </c>
      <c r="E752" t="inlineStr">
        <is>
          <t>HULTSFRED</t>
        </is>
      </c>
      <c r="G752" t="n">
        <v>8</v>
      </c>
      <c r="H752" t="n">
        <v>1</v>
      </c>
      <c r="I752" t="n">
        <v>0</v>
      </c>
      <c r="J752" t="n">
        <v>1</v>
      </c>
      <c r="K752" t="n">
        <v>0</v>
      </c>
      <c r="L752" t="n">
        <v>0</v>
      </c>
      <c r="M752" t="n">
        <v>0</v>
      </c>
      <c r="N752" t="n">
        <v>0</v>
      </c>
      <c r="O752" t="n">
        <v>1</v>
      </c>
      <c r="P752" t="n">
        <v>0</v>
      </c>
      <c r="Q752" t="n">
        <v>1</v>
      </c>
      <c r="R752" s="2" t="inlineStr">
        <is>
          <t>Talltita</t>
        </is>
      </c>
      <c r="S752">
        <f>HYPERLINK("https://klasma.github.io/Logging_0860/artfynd/A 39875-2021 artfynd.xlsx", "A 39875-2021")</f>
        <v/>
      </c>
      <c r="T752">
        <f>HYPERLINK("https://klasma.github.io/Logging_0860/kartor/A 39875-2021 karta.png", "A 39875-2021")</f>
        <v/>
      </c>
      <c r="V752">
        <f>HYPERLINK("https://klasma.github.io/Logging_0860/klagomål/A 39875-2021 FSC-klagomål.docx", "A 39875-2021")</f>
        <v/>
      </c>
      <c r="W752">
        <f>HYPERLINK("https://klasma.github.io/Logging_0860/klagomålsmail/A 39875-2021 FSC-klagomål mail.docx", "A 39875-2021")</f>
        <v/>
      </c>
      <c r="X752">
        <f>HYPERLINK("https://klasma.github.io/Logging_0860/tillsyn/A 39875-2021 tillsynsbegäran.docx", "A 39875-2021")</f>
        <v/>
      </c>
      <c r="Y752">
        <f>HYPERLINK("https://klasma.github.io/Logging_0860/tillsynsmail/A 39875-2021 tillsynsbegäran mail.docx", "A 39875-2021")</f>
        <v/>
      </c>
      <c r="Z752">
        <f>HYPERLINK("https://klasma.github.io/Logging_0860/fåglar/A 39875-2021 prioriterade fågelarter.docx", "A 39875-2021")</f>
        <v/>
      </c>
    </row>
    <row r="753" ht="15" customHeight="1">
      <c r="A753" t="inlineStr">
        <is>
          <t>A 14095-2023</t>
        </is>
      </c>
      <c r="B753" s="1" t="n">
        <v>45009.35950231482</v>
      </c>
      <c r="C753" s="1" t="n">
        <v>45884</v>
      </c>
      <c r="D753" t="inlineStr">
        <is>
          <t>KALMAR LÄN</t>
        </is>
      </c>
      <c r="E753" t="inlineStr">
        <is>
          <t>HULTSFRED</t>
        </is>
      </c>
      <c r="G753" t="n">
        <v>5.7</v>
      </c>
      <c r="H753" t="n">
        <v>0</v>
      </c>
      <c r="I753" t="n">
        <v>1</v>
      </c>
      <c r="J753" t="n">
        <v>0</v>
      </c>
      <c r="K753" t="n">
        <v>0</v>
      </c>
      <c r="L753" t="n">
        <v>0</v>
      </c>
      <c r="M753" t="n">
        <v>0</v>
      </c>
      <c r="N753" t="n">
        <v>0</v>
      </c>
      <c r="O753" t="n">
        <v>0</v>
      </c>
      <c r="P753" t="n">
        <v>0</v>
      </c>
      <c r="Q753" t="n">
        <v>1</v>
      </c>
      <c r="R753" s="2" t="inlineStr">
        <is>
          <t>Dvärgkällmossa</t>
        </is>
      </c>
      <c r="S753">
        <f>HYPERLINK("https://klasma.github.io/Logging_0860/artfynd/A 14095-2023 artfynd.xlsx", "A 14095-2023")</f>
        <v/>
      </c>
      <c r="T753">
        <f>HYPERLINK("https://klasma.github.io/Logging_0860/kartor/A 14095-2023 karta.png", "A 14095-2023")</f>
        <v/>
      </c>
      <c r="V753">
        <f>HYPERLINK("https://klasma.github.io/Logging_0860/klagomål/A 14095-2023 FSC-klagomål.docx", "A 14095-2023")</f>
        <v/>
      </c>
      <c r="W753">
        <f>HYPERLINK("https://klasma.github.io/Logging_0860/klagomålsmail/A 14095-2023 FSC-klagomål mail.docx", "A 14095-2023")</f>
        <v/>
      </c>
      <c r="X753">
        <f>HYPERLINK("https://klasma.github.io/Logging_0860/tillsyn/A 14095-2023 tillsynsbegäran.docx", "A 14095-2023")</f>
        <v/>
      </c>
      <c r="Y753">
        <f>HYPERLINK("https://klasma.github.io/Logging_0860/tillsynsmail/A 14095-2023 tillsynsbegäran mail.docx", "A 14095-2023")</f>
        <v/>
      </c>
    </row>
    <row r="754" ht="15" customHeight="1">
      <c r="A754" t="inlineStr">
        <is>
          <t>A 61771-2022</t>
        </is>
      </c>
      <c r="B754" s="1" t="n">
        <v>44917</v>
      </c>
      <c r="C754" s="1" t="n">
        <v>45884</v>
      </c>
      <c r="D754" t="inlineStr">
        <is>
          <t>KALMAR LÄN</t>
        </is>
      </c>
      <c r="E754" t="inlineStr">
        <is>
          <t>NYBRO</t>
        </is>
      </c>
      <c r="F754" t="inlineStr">
        <is>
          <t>Kommuner</t>
        </is>
      </c>
      <c r="G754" t="n">
        <v>10.4</v>
      </c>
      <c r="H754" t="n">
        <v>1</v>
      </c>
      <c r="I754" t="n">
        <v>0</v>
      </c>
      <c r="J754" t="n">
        <v>1</v>
      </c>
      <c r="K754" t="n">
        <v>0</v>
      </c>
      <c r="L754" t="n">
        <v>0</v>
      </c>
      <c r="M754" t="n">
        <v>0</v>
      </c>
      <c r="N754" t="n">
        <v>0</v>
      </c>
      <c r="O754" t="n">
        <v>1</v>
      </c>
      <c r="P754" t="n">
        <v>0</v>
      </c>
      <c r="Q754" t="n">
        <v>1</v>
      </c>
      <c r="R754" s="2" t="inlineStr">
        <is>
          <t>Talltita</t>
        </is>
      </c>
      <c r="S754">
        <f>HYPERLINK("https://klasma.github.io/Logging_0881/artfynd/A 61771-2022 artfynd.xlsx", "A 61771-2022")</f>
        <v/>
      </c>
      <c r="T754">
        <f>HYPERLINK("https://klasma.github.io/Logging_0881/kartor/A 61771-2022 karta.png", "A 61771-2022")</f>
        <v/>
      </c>
      <c r="V754">
        <f>HYPERLINK("https://klasma.github.io/Logging_0881/klagomål/A 61771-2022 FSC-klagomål.docx", "A 61771-2022")</f>
        <v/>
      </c>
      <c r="W754">
        <f>HYPERLINK("https://klasma.github.io/Logging_0881/klagomålsmail/A 61771-2022 FSC-klagomål mail.docx", "A 61771-2022")</f>
        <v/>
      </c>
      <c r="X754">
        <f>HYPERLINK("https://klasma.github.io/Logging_0881/tillsyn/A 61771-2022 tillsynsbegäran.docx", "A 61771-2022")</f>
        <v/>
      </c>
      <c r="Y754">
        <f>HYPERLINK("https://klasma.github.io/Logging_0881/tillsynsmail/A 61771-2022 tillsynsbegäran mail.docx", "A 61771-2022")</f>
        <v/>
      </c>
      <c r="Z754">
        <f>HYPERLINK("https://klasma.github.io/Logging_0881/fåglar/A 61771-2022 prioriterade fågelarter.docx", "A 61771-2022")</f>
        <v/>
      </c>
    </row>
    <row r="755" ht="15" customHeight="1">
      <c r="A755" t="inlineStr">
        <is>
          <t>A 35520-2025</t>
        </is>
      </c>
      <c r="B755" s="1" t="n">
        <v>45856.41157407407</v>
      </c>
      <c r="C755" s="1" t="n">
        <v>45884</v>
      </c>
      <c r="D755" t="inlineStr">
        <is>
          <t>KALMAR LÄN</t>
        </is>
      </c>
      <c r="E755" t="inlineStr">
        <is>
          <t>KALMAR</t>
        </is>
      </c>
      <c r="F755" t="inlineStr">
        <is>
          <t>Sveaskog</t>
        </is>
      </c>
      <c r="G755" t="n">
        <v>1.6</v>
      </c>
      <c r="H755" t="n">
        <v>0</v>
      </c>
      <c r="I755" t="n">
        <v>1</v>
      </c>
      <c r="J755" t="n">
        <v>0</v>
      </c>
      <c r="K755" t="n">
        <v>0</v>
      </c>
      <c r="L755" t="n">
        <v>0</v>
      </c>
      <c r="M755" t="n">
        <v>0</v>
      </c>
      <c r="N755" t="n">
        <v>0</v>
      </c>
      <c r="O755" t="n">
        <v>0</v>
      </c>
      <c r="P755" t="n">
        <v>0</v>
      </c>
      <c r="Q755" t="n">
        <v>1</v>
      </c>
      <c r="R755" s="2" t="inlineStr">
        <is>
          <t>Kattfotslav</t>
        </is>
      </c>
      <c r="S755">
        <f>HYPERLINK("https://klasma.github.io/Logging_0880/artfynd/A 35520-2025 artfynd.xlsx", "A 35520-2025")</f>
        <v/>
      </c>
      <c r="T755">
        <f>HYPERLINK("https://klasma.github.io/Logging_0880/kartor/A 35520-2025 karta.png", "A 35520-2025")</f>
        <v/>
      </c>
      <c r="V755">
        <f>HYPERLINK("https://klasma.github.io/Logging_0880/klagomål/A 35520-2025 FSC-klagomål.docx", "A 35520-2025")</f>
        <v/>
      </c>
      <c r="W755">
        <f>HYPERLINK("https://klasma.github.io/Logging_0880/klagomålsmail/A 35520-2025 FSC-klagomål mail.docx", "A 35520-2025")</f>
        <v/>
      </c>
      <c r="X755">
        <f>HYPERLINK("https://klasma.github.io/Logging_0880/tillsyn/A 35520-2025 tillsynsbegäran.docx", "A 35520-2025")</f>
        <v/>
      </c>
      <c r="Y755">
        <f>HYPERLINK("https://klasma.github.io/Logging_0880/tillsynsmail/A 35520-2025 tillsynsbegäran mail.docx", "A 35520-2025")</f>
        <v/>
      </c>
    </row>
    <row r="756" ht="15" customHeight="1">
      <c r="A756" t="inlineStr">
        <is>
          <t>A 44635-2021</t>
        </is>
      </c>
      <c r="B756" s="1" t="n">
        <v>44437</v>
      </c>
      <c r="C756" s="1" t="n">
        <v>45884</v>
      </c>
      <c r="D756" t="inlineStr">
        <is>
          <t>KALMAR LÄN</t>
        </is>
      </c>
      <c r="E756" t="inlineStr">
        <is>
          <t>VÄSTERVIK</t>
        </is>
      </c>
      <c r="G756" t="n">
        <v>0.9</v>
      </c>
      <c r="H756" t="n">
        <v>0</v>
      </c>
      <c r="I756" t="n">
        <v>1</v>
      </c>
      <c r="J756" t="n">
        <v>0</v>
      </c>
      <c r="K756" t="n">
        <v>0</v>
      </c>
      <c r="L756" t="n">
        <v>0</v>
      </c>
      <c r="M756" t="n">
        <v>0</v>
      </c>
      <c r="N756" t="n">
        <v>0</v>
      </c>
      <c r="O756" t="n">
        <v>0</v>
      </c>
      <c r="P756" t="n">
        <v>0</v>
      </c>
      <c r="Q756" t="n">
        <v>1</v>
      </c>
      <c r="R756" s="2" t="inlineStr">
        <is>
          <t>Brandticka</t>
        </is>
      </c>
      <c r="S756">
        <f>HYPERLINK("https://klasma.github.io/Logging_0883/artfynd/A 44635-2021 artfynd.xlsx", "A 44635-2021")</f>
        <v/>
      </c>
      <c r="T756">
        <f>HYPERLINK("https://klasma.github.io/Logging_0883/kartor/A 44635-2021 karta.png", "A 44635-2021")</f>
        <v/>
      </c>
      <c r="V756">
        <f>HYPERLINK("https://klasma.github.io/Logging_0883/klagomål/A 44635-2021 FSC-klagomål.docx", "A 44635-2021")</f>
        <v/>
      </c>
      <c r="W756">
        <f>HYPERLINK("https://klasma.github.io/Logging_0883/klagomålsmail/A 44635-2021 FSC-klagomål mail.docx", "A 44635-2021")</f>
        <v/>
      </c>
      <c r="X756">
        <f>HYPERLINK("https://klasma.github.io/Logging_0883/tillsyn/A 44635-2021 tillsynsbegäran.docx", "A 44635-2021")</f>
        <v/>
      </c>
      <c r="Y756">
        <f>HYPERLINK("https://klasma.github.io/Logging_0883/tillsynsmail/A 44635-2021 tillsynsbegäran mail.docx", "A 44635-2021")</f>
        <v/>
      </c>
    </row>
    <row r="757" ht="15" customHeight="1">
      <c r="A757" t="inlineStr">
        <is>
          <t>A 41198-2023</t>
        </is>
      </c>
      <c r="B757" s="1" t="n">
        <v>45174</v>
      </c>
      <c r="C757" s="1" t="n">
        <v>45884</v>
      </c>
      <c r="D757" t="inlineStr">
        <is>
          <t>KALMAR LÄN</t>
        </is>
      </c>
      <c r="E757" t="inlineStr">
        <is>
          <t>MÖNSTERÅS</t>
        </is>
      </c>
      <c r="G757" t="n">
        <v>3.5</v>
      </c>
      <c r="H757" t="n">
        <v>1</v>
      </c>
      <c r="I757" t="n">
        <v>0</v>
      </c>
      <c r="J757" t="n">
        <v>0</v>
      </c>
      <c r="K757" t="n">
        <v>0</v>
      </c>
      <c r="L757" t="n">
        <v>0</v>
      </c>
      <c r="M757" t="n">
        <v>0</v>
      </c>
      <c r="N757" t="n">
        <v>0</v>
      </c>
      <c r="O757" t="n">
        <v>0</v>
      </c>
      <c r="P757" t="n">
        <v>0</v>
      </c>
      <c r="Q757" t="n">
        <v>1</v>
      </c>
      <c r="R757" s="2" t="inlineStr">
        <is>
          <t>Revlummer</t>
        </is>
      </c>
      <c r="S757">
        <f>HYPERLINK("https://klasma.github.io/Logging_0861/artfynd/A 41198-2023 artfynd.xlsx", "A 41198-2023")</f>
        <v/>
      </c>
      <c r="T757">
        <f>HYPERLINK("https://klasma.github.io/Logging_0861/kartor/A 41198-2023 karta.png", "A 41198-2023")</f>
        <v/>
      </c>
      <c r="V757">
        <f>HYPERLINK("https://klasma.github.io/Logging_0861/klagomål/A 41198-2023 FSC-klagomål.docx", "A 41198-2023")</f>
        <v/>
      </c>
      <c r="W757">
        <f>HYPERLINK("https://klasma.github.io/Logging_0861/klagomålsmail/A 41198-2023 FSC-klagomål mail.docx", "A 41198-2023")</f>
        <v/>
      </c>
      <c r="X757">
        <f>HYPERLINK("https://klasma.github.io/Logging_0861/tillsyn/A 41198-2023 tillsynsbegäran.docx", "A 41198-2023")</f>
        <v/>
      </c>
      <c r="Y757">
        <f>HYPERLINK("https://klasma.github.io/Logging_0861/tillsynsmail/A 41198-2023 tillsynsbegäran mail.docx", "A 41198-2023")</f>
        <v/>
      </c>
    </row>
    <row r="758" ht="15" customHeight="1">
      <c r="A758" t="inlineStr">
        <is>
          <t>A 28293-2025</t>
        </is>
      </c>
      <c r="B758" s="1" t="n">
        <v>45818.59546296296</v>
      </c>
      <c r="C758" s="1" t="n">
        <v>45884</v>
      </c>
      <c r="D758" t="inlineStr">
        <is>
          <t>KALMAR LÄN</t>
        </is>
      </c>
      <c r="E758" t="inlineStr">
        <is>
          <t>MÖNSTERÅS</t>
        </is>
      </c>
      <c r="G758" t="n">
        <v>0.8</v>
      </c>
      <c r="H758" t="n">
        <v>1</v>
      </c>
      <c r="I758" t="n">
        <v>0</v>
      </c>
      <c r="J758" t="n">
        <v>1</v>
      </c>
      <c r="K758" t="n">
        <v>0</v>
      </c>
      <c r="L758" t="n">
        <v>0</v>
      </c>
      <c r="M758" t="n">
        <v>0</v>
      </c>
      <c r="N758" t="n">
        <v>0</v>
      </c>
      <c r="O758" t="n">
        <v>1</v>
      </c>
      <c r="P758" t="n">
        <v>0</v>
      </c>
      <c r="Q758" t="n">
        <v>1</v>
      </c>
      <c r="R758" s="2" t="inlineStr">
        <is>
          <t>Spillkråka</t>
        </is>
      </c>
      <c r="S758">
        <f>HYPERLINK("https://klasma.github.io/Logging_0861/artfynd/A 28293-2025 artfynd.xlsx", "A 28293-2025")</f>
        <v/>
      </c>
      <c r="T758">
        <f>HYPERLINK("https://klasma.github.io/Logging_0861/kartor/A 28293-2025 karta.png", "A 28293-2025")</f>
        <v/>
      </c>
      <c r="V758">
        <f>HYPERLINK("https://klasma.github.io/Logging_0861/klagomål/A 28293-2025 FSC-klagomål.docx", "A 28293-2025")</f>
        <v/>
      </c>
      <c r="W758">
        <f>HYPERLINK("https://klasma.github.io/Logging_0861/klagomålsmail/A 28293-2025 FSC-klagomål mail.docx", "A 28293-2025")</f>
        <v/>
      </c>
      <c r="X758">
        <f>HYPERLINK("https://klasma.github.io/Logging_0861/tillsyn/A 28293-2025 tillsynsbegäran.docx", "A 28293-2025")</f>
        <v/>
      </c>
      <c r="Y758">
        <f>HYPERLINK("https://klasma.github.io/Logging_0861/tillsynsmail/A 28293-2025 tillsynsbegäran mail.docx", "A 28293-2025")</f>
        <v/>
      </c>
      <c r="Z758">
        <f>HYPERLINK("https://klasma.github.io/Logging_0861/fåglar/A 28293-2025 prioriterade fågelarter.docx", "A 28293-2025")</f>
        <v/>
      </c>
    </row>
    <row r="759" ht="15" customHeight="1">
      <c r="A759" t="inlineStr">
        <is>
          <t>A 29183-2025</t>
        </is>
      </c>
      <c r="B759" s="1" t="n">
        <v>45821</v>
      </c>
      <c r="C759" s="1" t="n">
        <v>45884</v>
      </c>
      <c r="D759" t="inlineStr">
        <is>
          <t>KALMAR LÄN</t>
        </is>
      </c>
      <c r="E759" t="inlineStr">
        <is>
          <t>VIMMERBY</t>
        </is>
      </c>
      <c r="G759" t="n">
        <v>2.7</v>
      </c>
      <c r="H759" t="n">
        <v>0</v>
      </c>
      <c r="I759" t="n">
        <v>1</v>
      </c>
      <c r="J759" t="n">
        <v>0</v>
      </c>
      <c r="K759" t="n">
        <v>0</v>
      </c>
      <c r="L759" t="n">
        <v>0</v>
      </c>
      <c r="M759" t="n">
        <v>0</v>
      </c>
      <c r="N759" t="n">
        <v>0</v>
      </c>
      <c r="O759" t="n">
        <v>0</v>
      </c>
      <c r="P759" t="n">
        <v>0</v>
      </c>
      <c r="Q759" t="n">
        <v>1</v>
      </c>
      <c r="R759" s="2" t="inlineStr">
        <is>
          <t>Sårläka</t>
        </is>
      </c>
      <c r="S759">
        <f>HYPERLINK("https://klasma.github.io/Logging_0884/artfynd/A 29183-2025 artfynd.xlsx", "A 29183-2025")</f>
        <v/>
      </c>
      <c r="T759">
        <f>HYPERLINK("https://klasma.github.io/Logging_0884/kartor/A 29183-2025 karta.png", "A 29183-2025")</f>
        <v/>
      </c>
      <c r="V759">
        <f>HYPERLINK("https://klasma.github.io/Logging_0884/klagomål/A 29183-2025 FSC-klagomål.docx", "A 29183-2025")</f>
        <v/>
      </c>
      <c r="W759">
        <f>HYPERLINK("https://klasma.github.io/Logging_0884/klagomålsmail/A 29183-2025 FSC-klagomål mail.docx", "A 29183-2025")</f>
        <v/>
      </c>
      <c r="X759">
        <f>HYPERLINK("https://klasma.github.io/Logging_0884/tillsyn/A 29183-2025 tillsynsbegäran.docx", "A 29183-2025")</f>
        <v/>
      </c>
      <c r="Y759">
        <f>HYPERLINK("https://klasma.github.io/Logging_0884/tillsynsmail/A 29183-2025 tillsynsbegäran mail.docx", "A 29183-2025")</f>
        <v/>
      </c>
    </row>
    <row r="760" ht="15" customHeight="1">
      <c r="A760" t="inlineStr">
        <is>
          <t>A 28785-2025</t>
        </is>
      </c>
      <c r="B760" s="1" t="n">
        <v>45820.46159722222</v>
      </c>
      <c r="C760" s="1" t="n">
        <v>45884</v>
      </c>
      <c r="D760" t="inlineStr">
        <is>
          <t>KALMAR LÄN</t>
        </is>
      </c>
      <c r="E760" t="inlineStr">
        <is>
          <t>BORGHOLM</t>
        </is>
      </c>
      <c r="F760" t="inlineStr">
        <is>
          <t>Sveaskog</t>
        </is>
      </c>
      <c r="G760" t="n">
        <v>2.3</v>
      </c>
      <c r="H760" t="n">
        <v>1</v>
      </c>
      <c r="I760" t="n">
        <v>0</v>
      </c>
      <c r="J760" t="n">
        <v>1</v>
      </c>
      <c r="K760" t="n">
        <v>0</v>
      </c>
      <c r="L760" t="n">
        <v>0</v>
      </c>
      <c r="M760" t="n">
        <v>0</v>
      </c>
      <c r="N760" t="n">
        <v>0</v>
      </c>
      <c r="O760" t="n">
        <v>1</v>
      </c>
      <c r="P760" t="n">
        <v>0</v>
      </c>
      <c r="Q760" t="n">
        <v>1</v>
      </c>
      <c r="R760" s="2" t="inlineStr">
        <is>
          <t>Havsörn</t>
        </is>
      </c>
      <c r="S760">
        <f>HYPERLINK("https://klasma.github.io/Logging_0885/artfynd/A 28785-2025 artfynd.xlsx", "A 28785-2025")</f>
        <v/>
      </c>
      <c r="T760">
        <f>HYPERLINK("https://klasma.github.io/Logging_0885/kartor/A 28785-2025 karta.png", "A 28785-2025")</f>
        <v/>
      </c>
      <c r="V760">
        <f>HYPERLINK("https://klasma.github.io/Logging_0885/klagomål/A 28785-2025 FSC-klagomål.docx", "A 28785-2025")</f>
        <v/>
      </c>
      <c r="W760">
        <f>HYPERLINK("https://klasma.github.io/Logging_0885/klagomålsmail/A 28785-2025 FSC-klagomål mail.docx", "A 28785-2025")</f>
        <v/>
      </c>
      <c r="X760">
        <f>HYPERLINK("https://klasma.github.io/Logging_0885/tillsyn/A 28785-2025 tillsynsbegäran.docx", "A 28785-2025")</f>
        <v/>
      </c>
      <c r="Y760">
        <f>HYPERLINK("https://klasma.github.io/Logging_0885/tillsynsmail/A 28785-2025 tillsynsbegäran mail.docx", "A 28785-2025")</f>
        <v/>
      </c>
      <c r="Z760">
        <f>HYPERLINK("https://klasma.github.io/Logging_0885/fåglar/A 28785-2025 prioriterade fågelarter.docx", "A 28785-2025")</f>
        <v/>
      </c>
    </row>
    <row r="761" ht="15" customHeight="1">
      <c r="A761" t="inlineStr">
        <is>
          <t>A 35964-2025</t>
        </is>
      </c>
      <c r="B761" s="1" t="n">
        <v>45863.39380787037</v>
      </c>
      <c r="C761" s="1" t="n">
        <v>45884</v>
      </c>
      <c r="D761" t="inlineStr">
        <is>
          <t>KALMAR LÄN</t>
        </is>
      </c>
      <c r="E761" t="inlineStr">
        <is>
          <t>NYBRO</t>
        </is>
      </c>
      <c r="G761" t="n">
        <v>1.6</v>
      </c>
      <c r="H761" t="n">
        <v>0</v>
      </c>
      <c r="I761" t="n">
        <v>0</v>
      </c>
      <c r="J761" t="n">
        <v>0</v>
      </c>
      <c r="K761" t="n">
        <v>1</v>
      </c>
      <c r="L761" t="n">
        <v>0</v>
      </c>
      <c r="M761" t="n">
        <v>0</v>
      </c>
      <c r="N761" t="n">
        <v>0</v>
      </c>
      <c r="O761" t="n">
        <v>1</v>
      </c>
      <c r="P761" t="n">
        <v>1</v>
      </c>
      <c r="Q761" t="n">
        <v>1</v>
      </c>
      <c r="R761" s="2" t="inlineStr">
        <is>
          <t>Hartmansstarr</t>
        </is>
      </c>
      <c r="S761">
        <f>HYPERLINK("https://klasma.github.io/Logging_0881/artfynd/A 35964-2025 artfynd.xlsx", "A 35964-2025")</f>
        <v/>
      </c>
      <c r="T761">
        <f>HYPERLINK("https://klasma.github.io/Logging_0881/kartor/A 35964-2025 karta.png", "A 35964-2025")</f>
        <v/>
      </c>
      <c r="V761">
        <f>HYPERLINK("https://klasma.github.io/Logging_0881/klagomål/A 35964-2025 FSC-klagomål.docx", "A 35964-2025")</f>
        <v/>
      </c>
      <c r="W761">
        <f>HYPERLINK("https://klasma.github.io/Logging_0881/klagomålsmail/A 35964-2025 FSC-klagomål mail.docx", "A 35964-2025")</f>
        <v/>
      </c>
      <c r="X761">
        <f>HYPERLINK("https://klasma.github.io/Logging_0881/tillsyn/A 35964-2025 tillsynsbegäran.docx", "A 35964-2025")</f>
        <v/>
      </c>
      <c r="Y761">
        <f>HYPERLINK("https://klasma.github.io/Logging_0881/tillsynsmail/A 35964-2025 tillsynsbegäran mail.docx", "A 35964-2025")</f>
        <v/>
      </c>
    </row>
    <row r="762" ht="15" customHeight="1">
      <c r="A762" t="inlineStr">
        <is>
          <t>A 61860-2024</t>
        </is>
      </c>
      <c r="B762" s="1" t="n">
        <v>45649</v>
      </c>
      <c r="C762" s="1" t="n">
        <v>45884</v>
      </c>
      <c r="D762" t="inlineStr">
        <is>
          <t>KALMAR LÄN</t>
        </is>
      </c>
      <c r="E762" t="inlineStr">
        <is>
          <t>VIMMERBY</t>
        </is>
      </c>
      <c r="G762" t="n">
        <v>4.4</v>
      </c>
      <c r="H762" t="n">
        <v>1</v>
      </c>
      <c r="I762" t="n">
        <v>0</v>
      </c>
      <c r="J762" t="n">
        <v>0</v>
      </c>
      <c r="K762" t="n">
        <v>1</v>
      </c>
      <c r="L762" t="n">
        <v>0</v>
      </c>
      <c r="M762" t="n">
        <v>0</v>
      </c>
      <c r="N762" t="n">
        <v>0</v>
      </c>
      <c r="O762" t="n">
        <v>1</v>
      </c>
      <c r="P762" t="n">
        <v>1</v>
      </c>
      <c r="Q762" t="n">
        <v>1</v>
      </c>
      <c r="R762" s="2" t="inlineStr">
        <is>
          <t>Knärot</t>
        </is>
      </c>
      <c r="S762">
        <f>HYPERLINK("https://klasma.github.io/Logging_0884/artfynd/A 61860-2024 artfynd.xlsx", "A 61860-2024")</f>
        <v/>
      </c>
      <c r="T762">
        <f>HYPERLINK("https://klasma.github.io/Logging_0884/kartor/A 61860-2024 karta.png", "A 61860-2024")</f>
        <v/>
      </c>
      <c r="U762">
        <f>HYPERLINK("https://klasma.github.io/Logging_0884/knärot/A 61860-2024 karta knärot.png", "A 61860-2024")</f>
        <v/>
      </c>
      <c r="V762">
        <f>HYPERLINK("https://klasma.github.io/Logging_0884/klagomål/A 61860-2024 FSC-klagomål.docx", "A 61860-2024")</f>
        <v/>
      </c>
      <c r="W762">
        <f>HYPERLINK("https://klasma.github.io/Logging_0884/klagomålsmail/A 61860-2024 FSC-klagomål mail.docx", "A 61860-2024")</f>
        <v/>
      </c>
      <c r="X762">
        <f>HYPERLINK("https://klasma.github.io/Logging_0884/tillsyn/A 61860-2024 tillsynsbegäran.docx", "A 61860-2024")</f>
        <v/>
      </c>
      <c r="Y762">
        <f>HYPERLINK("https://klasma.github.io/Logging_0884/tillsynsmail/A 61860-2024 tillsynsbegäran mail.docx", "A 61860-2024")</f>
        <v/>
      </c>
    </row>
    <row r="763" ht="15" customHeight="1">
      <c r="A763" t="inlineStr">
        <is>
          <t>A 29736-2025</t>
        </is>
      </c>
      <c r="B763" s="1" t="n">
        <v>45825.58484953704</v>
      </c>
      <c r="C763" s="1" t="n">
        <v>45884</v>
      </c>
      <c r="D763" t="inlineStr">
        <is>
          <t>KALMAR LÄN</t>
        </is>
      </c>
      <c r="E763" t="inlineStr">
        <is>
          <t>VIMMERBY</t>
        </is>
      </c>
      <c r="G763" t="n">
        <v>7.3</v>
      </c>
      <c r="H763" t="n">
        <v>1</v>
      </c>
      <c r="I763" t="n">
        <v>0</v>
      </c>
      <c r="J763" t="n">
        <v>1</v>
      </c>
      <c r="K763" t="n">
        <v>0</v>
      </c>
      <c r="L763" t="n">
        <v>0</v>
      </c>
      <c r="M763" t="n">
        <v>0</v>
      </c>
      <c r="N763" t="n">
        <v>0</v>
      </c>
      <c r="O763" t="n">
        <v>1</v>
      </c>
      <c r="P763" t="n">
        <v>0</v>
      </c>
      <c r="Q763" t="n">
        <v>1</v>
      </c>
      <c r="R763" s="2" t="inlineStr">
        <is>
          <t>Spillkråka</t>
        </is>
      </c>
      <c r="S763">
        <f>HYPERLINK("https://klasma.github.io/Logging_0884/artfynd/A 29736-2025 artfynd.xlsx", "A 29736-2025")</f>
        <v/>
      </c>
      <c r="T763">
        <f>HYPERLINK("https://klasma.github.io/Logging_0884/kartor/A 29736-2025 karta.png", "A 29736-2025")</f>
        <v/>
      </c>
      <c r="V763">
        <f>HYPERLINK("https://klasma.github.io/Logging_0884/klagomål/A 29736-2025 FSC-klagomål.docx", "A 29736-2025")</f>
        <v/>
      </c>
      <c r="W763">
        <f>HYPERLINK("https://klasma.github.io/Logging_0884/klagomålsmail/A 29736-2025 FSC-klagomål mail.docx", "A 29736-2025")</f>
        <v/>
      </c>
      <c r="X763">
        <f>HYPERLINK("https://klasma.github.io/Logging_0884/tillsyn/A 29736-2025 tillsynsbegäran.docx", "A 29736-2025")</f>
        <v/>
      </c>
      <c r="Y763">
        <f>HYPERLINK("https://klasma.github.io/Logging_0884/tillsynsmail/A 29736-2025 tillsynsbegäran mail.docx", "A 29736-2025")</f>
        <v/>
      </c>
      <c r="Z763">
        <f>HYPERLINK("https://klasma.github.io/Logging_0884/fåglar/A 29736-2025 prioriterade fågelarter.docx", "A 29736-2025")</f>
        <v/>
      </c>
    </row>
    <row r="764" ht="15" customHeight="1">
      <c r="A764" t="inlineStr">
        <is>
          <t>A 51488-2024</t>
        </is>
      </c>
      <c r="B764" s="1" t="n">
        <v>45604</v>
      </c>
      <c r="C764" s="1" t="n">
        <v>45884</v>
      </c>
      <c r="D764" t="inlineStr">
        <is>
          <t>KALMAR LÄN</t>
        </is>
      </c>
      <c r="E764" t="inlineStr">
        <is>
          <t>VÄSTERVIK</t>
        </is>
      </c>
      <c r="F764" t="inlineStr">
        <is>
          <t>Övriga Aktiebolag</t>
        </is>
      </c>
      <c r="G764" t="n">
        <v>2.9</v>
      </c>
      <c r="H764" t="n">
        <v>1</v>
      </c>
      <c r="I764" t="n">
        <v>0</v>
      </c>
      <c r="J764" t="n">
        <v>1</v>
      </c>
      <c r="K764" t="n">
        <v>0</v>
      </c>
      <c r="L764" t="n">
        <v>0</v>
      </c>
      <c r="M764" t="n">
        <v>0</v>
      </c>
      <c r="N764" t="n">
        <v>0</v>
      </c>
      <c r="O764" t="n">
        <v>1</v>
      </c>
      <c r="P764" t="n">
        <v>0</v>
      </c>
      <c r="Q764" t="n">
        <v>1</v>
      </c>
      <c r="R764" s="2" t="inlineStr">
        <is>
          <t>Entita</t>
        </is>
      </c>
      <c r="S764">
        <f>HYPERLINK("https://klasma.github.io/Logging_0883/artfynd/A 51488-2024 artfynd.xlsx", "A 51488-2024")</f>
        <v/>
      </c>
      <c r="T764">
        <f>HYPERLINK("https://klasma.github.io/Logging_0883/kartor/A 51488-2024 karta.png", "A 51488-2024")</f>
        <v/>
      </c>
      <c r="V764">
        <f>HYPERLINK("https://klasma.github.io/Logging_0883/klagomål/A 51488-2024 FSC-klagomål.docx", "A 51488-2024")</f>
        <v/>
      </c>
      <c r="W764">
        <f>HYPERLINK("https://klasma.github.io/Logging_0883/klagomålsmail/A 51488-2024 FSC-klagomål mail.docx", "A 51488-2024")</f>
        <v/>
      </c>
      <c r="X764">
        <f>HYPERLINK("https://klasma.github.io/Logging_0883/tillsyn/A 51488-2024 tillsynsbegäran.docx", "A 51488-2024")</f>
        <v/>
      </c>
      <c r="Y764">
        <f>HYPERLINK("https://klasma.github.io/Logging_0883/tillsynsmail/A 51488-2024 tillsynsbegäran mail.docx", "A 51488-2024")</f>
        <v/>
      </c>
      <c r="Z764">
        <f>HYPERLINK("https://klasma.github.io/Logging_0883/fåglar/A 51488-2024 prioriterade fågelarter.docx", "A 51488-2024")</f>
        <v/>
      </c>
    </row>
    <row r="765" ht="15" customHeight="1">
      <c r="A765" t="inlineStr">
        <is>
          <t>A 36389-2025</t>
        </is>
      </c>
      <c r="B765" s="1" t="n">
        <v>45868.60506944444</v>
      </c>
      <c r="C765" s="1" t="n">
        <v>45884</v>
      </c>
      <c r="D765" t="inlineStr">
        <is>
          <t>KALMAR LÄN</t>
        </is>
      </c>
      <c r="E765" t="inlineStr">
        <is>
          <t>KALMAR</t>
        </is>
      </c>
      <c r="G765" t="n">
        <v>4</v>
      </c>
      <c r="H765" t="n">
        <v>0</v>
      </c>
      <c r="I765" t="n">
        <v>1</v>
      </c>
      <c r="J765" t="n">
        <v>0</v>
      </c>
      <c r="K765" t="n">
        <v>0</v>
      </c>
      <c r="L765" t="n">
        <v>0</v>
      </c>
      <c r="M765" t="n">
        <v>0</v>
      </c>
      <c r="N765" t="n">
        <v>0</v>
      </c>
      <c r="O765" t="n">
        <v>0</v>
      </c>
      <c r="P765" t="n">
        <v>0</v>
      </c>
      <c r="Q765" t="n">
        <v>1</v>
      </c>
      <c r="R765" s="2" t="inlineStr">
        <is>
          <t>Blåmossa</t>
        </is>
      </c>
      <c r="S765">
        <f>HYPERLINK("https://klasma.github.io/Logging_0880/artfynd/A 36389-2025 artfynd.xlsx", "A 36389-2025")</f>
        <v/>
      </c>
      <c r="T765">
        <f>HYPERLINK("https://klasma.github.io/Logging_0880/kartor/A 36389-2025 karta.png", "A 36389-2025")</f>
        <v/>
      </c>
      <c r="V765">
        <f>HYPERLINK("https://klasma.github.io/Logging_0880/klagomål/A 36389-2025 FSC-klagomål.docx", "A 36389-2025")</f>
        <v/>
      </c>
      <c r="W765">
        <f>HYPERLINK("https://klasma.github.io/Logging_0880/klagomålsmail/A 36389-2025 FSC-klagomål mail.docx", "A 36389-2025")</f>
        <v/>
      </c>
      <c r="X765">
        <f>HYPERLINK("https://klasma.github.io/Logging_0880/tillsyn/A 36389-2025 tillsynsbegäran.docx", "A 36389-2025")</f>
        <v/>
      </c>
      <c r="Y765">
        <f>HYPERLINK("https://klasma.github.io/Logging_0880/tillsynsmail/A 36389-2025 tillsynsbegäran mail.docx", "A 36389-2025")</f>
        <v/>
      </c>
    </row>
    <row r="766" ht="15" customHeight="1">
      <c r="A766" t="inlineStr">
        <is>
          <t>A 29962-2025</t>
        </is>
      </c>
      <c r="B766" s="1" t="n">
        <v>45826.48184027777</v>
      </c>
      <c r="C766" s="1" t="n">
        <v>45884</v>
      </c>
      <c r="D766" t="inlineStr">
        <is>
          <t>KALMAR LÄN</t>
        </is>
      </c>
      <c r="E766" t="inlineStr">
        <is>
          <t>BORGHOLM</t>
        </is>
      </c>
      <c r="G766" t="n">
        <v>3.3</v>
      </c>
      <c r="H766" t="n">
        <v>1</v>
      </c>
      <c r="I766" t="n">
        <v>0</v>
      </c>
      <c r="J766" t="n">
        <v>0</v>
      </c>
      <c r="K766" t="n">
        <v>0</v>
      </c>
      <c r="L766" t="n">
        <v>0</v>
      </c>
      <c r="M766" t="n">
        <v>0</v>
      </c>
      <c r="N766" t="n">
        <v>0</v>
      </c>
      <c r="O766" t="n">
        <v>0</v>
      </c>
      <c r="P766" t="n">
        <v>0</v>
      </c>
      <c r="Q766" t="n">
        <v>1</v>
      </c>
      <c r="R766" s="2" t="inlineStr">
        <is>
          <t>Grönvit nattviol</t>
        </is>
      </c>
      <c r="S766">
        <f>HYPERLINK("https://klasma.github.io/Logging_0885/artfynd/A 29962-2025 artfynd.xlsx", "A 29962-2025")</f>
        <v/>
      </c>
      <c r="T766">
        <f>HYPERLINK("https://klasma.github.io/Logging_0885/kartor/A 29962-2025 karta.png", "A 29962-2025")</f>
        <v/>
      </c>
      <c r="V766">
        <f>HYPERLINK("https://klasma.github.io/Logging_0885/klagomål/A 29962-2025 FSC-klagomål.docx", "A 29962-2025")</f>
        <v/>
      </c>
      <c r="W766">
        <f>HYPERLINK("https://klasma.github.io/Logging_0885/klagomålsmail/A 29962-2025 FSC-klagomål mail.docx", "A 29962-2025")</f>
        <v/>
      </c>
      <c r="X766">
        <f>HYPERLINK("https://klasma.github.io/Logging_0885/tillsyn/A 29962-2025 tillsynsbegäran.docx", "A 29962-2025")</f>
        <v/>
      </c>
      <c r="Y766">
        <f>HYPERLINK("https://klasma.github.io/Logging_0885/tillsynsmail/A 29962-2025 tillsynsbegäran mail.docx", "A 29962-2025")</f>
        <v/>
      </c>
    </row>
    <row r="767" ht="15" customHeight="1">
      <c r="A767" t="inlineStr">
        <is>
          <t>A 36595-2025</t>
        </is>
      </c>
      <c r="B767" s="1" t="n">
        <v>45870.513125</v>
      </c>
      <c r="C767" s="1" t="n">
        <v>45884</v>
      </c>
      <c r="D767" t="inlineStr">
        <is>
          <t>KALMAR LÄN</t>
        </is>
      </c>
      <c r="E767" t="inlineStr">
        <is>
          <t>VÄSTERVIK</t>
        </is>
      </c>
      <c r="G767" t="n">
        <v>1.5</v>
      </c>
      <c r="H767" t="n">
        <v>1</v>
      </c>
      <c r="I767" t="n">
        <v>0</v>
      </c>
      <c r="J767" t="n">
        <v>1</v>
      </c>
      <c r="K767" t="n">
        <v>0</v>
      </c>
      <c r="L767" t="n">
        <v>0</v>
      </c>
      <c r="M767" t="n">
        <v>0</v>
      </c>
      <c r="N767" t="n">
        <v>0</v>
      </c>
      <c r="O767" t="n">
        <v>1</v>
      </c>
      <c r="P767" t="n">
        <v>0</v>
      </c>
      <c r="Q767" t="n">
        <v>1</v>
      </c>
      <c r="R767" s="2" t="inlineStr">
        <is>
          <t>Talltita</t>
        </is>
      </c>
      <c r="S767">
        <f>HYPERLINK("https://klasma.github.io/Logging_0883/artfynd/A 36595-2025 artfynd.xlsx", "A 36595-2025")</f>
        <v/>
      </c>
      <c r="T767">
        <f>HYPERLINK("https://klasma.github.io/Logging_0883/kartor/A 36595-2025 karta.png", "A 36595-2025")</f>
        <v/>
      </c>
      <c r="V767">
        <f>HYPERLINK("https://klasma.github.io/Logging_0883/klagomål/A 36595-2025 FSC-klagomål.docx", "A 36595-2025")</f>
        <v/>
      </c>
      <c r="W767">
        <f>HYPERLINK("https://klasma.github.io/Logging_0883/klagomålsmail/A 36595-2025 FSC-klagomål mail.docx", "A 36595-2025")</f>
        <v/>
      </c>
      <c r="X767">
        <f>HYPERLINK("https://klasma.github.io/Logging_0883/tillsyn/A 36595-2025 tillsynsbegäran.docx", "A 36595-2025")</f>
        <v/>
      </c>
      <c r="Y767">
        <f>HYPERLINK("https://klasma.github.io/Logging_0883/tillsynsmail/A 36595-2025 tillsynsbegäran mail.docx", "A 36595-2025")</f>
        <v/>
      </c>
      <c r="Z767">
        <f>HYPERLINK("https://klasma.github.io/Logging_0883/fåglar/A 36595-2025 prioriterade fågelarter.docx", "A 36595-2025")</f>
        <v/>
      </c>
    </row>
    <row r="768" ht="15" customHeight="1">
      <c r="A768" t="inlineStr">
        <is>
          <t>A 30794-2025</t>
        </is>
      </c>
      <c r="B768" s="1" t="n">
        <v>45831.63834490741</v>
      </c>
      <c r="C768" s="1" t="n">
        <v>45884</v>
      </c>
      <c r="D768" t="inlineStr">
        <is>
          <t>KALMAR LÄN</t>
        </is>
      </c>
      <c r="E768" t="inlineStr">
        <is>
          <t>VÄSTERVIK</t>
        </is>
      </c>
      <c r="G768" t="n">
        <v>4.8</v>
      </c>
      <c r="H768" t="n">
        <v>0</v>
      </c>
      <c r="I768" t="n">
        <v>0</v>
      </c>
      <c r="J768" t="n">
        <v>1</v>
      </c>
      <c r="K768" t="n">
        <v>0</v>
      </c>
      <c r="L768" t="n">
        <v>0</v>
      </c>
      <c r="M768" t="n">
        <v>0</v>
      </c>
      <c r="N768" t="n">
        <v>0</v>
      </c>
      <c r="O768" t="n">
        <v>1</v>
      </c>
      <c r="P768" t="n">
        <v>0</v>
      </c>
      <c r="Q768" t="n">
        <v>1</v>
      </c>
      <c r="R768" s="2" t="inlineStr">
        <is>
          <t>Tallticka</t>
        </is>
      </c>
      <c r="S768">
        <f>HYPERLINK("https://klasma.github.io/Logging_0883/artfynd/A 30794-2025 artfynd.xlsx", "A 30794-2025")</f>
        <v/>
      </c>
      <c r="T768">
        <f>HYPERLINK("https://klasma.github.io/Logging_0883/kartor/A 30794-2025 karta.png", "A 30794-2025")</f>
        <v/>
      </c>
      <c r="V768">
        <f>HYPERLINK("https://klasma.github.io/Logging_0883/klagomål/A 30794-2025 FSC-klagomål.docx", "A 30794-2025")</f>
        <v/>
      </c>
      <c r="W768">
        <f>HYPERLINK("https://klasma.github.io/Logging_0883/klagomålsmail/A 30794-2025 FSC-klagomål mail.docx", "A 30794-2025")</f>
        <v/>
      </c>
      <c r="X768">
        <f>HYPERLINK("https://klasma.github.io/Logging_0883/tillsyn/A 30794-2025 tillsynsbegäran.docx", "A 30794-2025")</f>
        <v/>
      </c>
      <c r="Y768">
        <f>HYPERLINK("https://klasma.github.io/Logging_0883/tillsynsmail/A 30794-2025 tillsynsbegäran mail.docx", "A 30794-2025")</f>
        <v/>
      </c>
    </row>
    <row r="769" ht="15" customHeight="1">
      <c r="A769" t="inlineStr">
        <is>
          <t>A 31390-2025</t>
        </is>
      </c>
      <c r="B769" s="1" t="n">
        <v>45833.45934027778</v>
      </c>
      <c r="C769" s="1" t="n">
        <v>45884</v>
      </c>
      <c r="D769" t="inlineStr">
        <is>
          <t>KALMAR LÄN</t>
        </is>
      </c>
      <c r="E769" t="inlineStr">
        <is>
          <t>OSKARSHAMN</t>
        </is>
      </c>
      <c r="G769" t="n">
        <v>6.4</v>
      </c>
      <c r="H769" t="n">
        <v>1</v>
      </c>
      <c r="I769" t="n">
        <v>0</v>
      </c>
      <c r="J769" t="n">
        <v>0</v>
      </c>
      <c r="K769" t="n">
        <v>1</v>
      </c>
      <c r="L769" t="n">
        <v>0</v>
      </c>
      <c r="M769" t="n">
        <v>0</v>
      </c>
      <c r="N769" t="n">
        <v>0</v>
      </c>
      <c r="O769" t="n">
        <v>1</v>
      </c>
      <c r="P769" t="n">
        <v>1</v>
      </c>
      <c r="Q769" t="n">
        <v>1</v>
      </c>
      <c r="R769" s="2" t="inlineStr">
        <is>
          <t>Knärot</t>
        </is>
      </c>
      <c r="S769">
        <f>HYPERLINK("https://klasma.github.io/Logging_0882/artfynd/A 31390-2025 artfynd.xlsx", "A 31390-2025")</f>
        <v/>
      </c>
      <c r="T769">
        <f>HYPERLINK("https://klasma.github.io/Logging_0882/kartor/A 31390-2025 karta.png", "A 31390-2025")</f>
        <v/>
      </c>
      <c r="U769">
        <f>HYPERLINK("https://klasma.github.io/Logging_0882/knärot/A 31390-2025 karta knärot.png", "A 31390-2025")</f>
        <v/>
      </c>
      <c r="V769">
        <f>HYPERLINK("https://klasma.github.io/Logging_0882/klagomål/A 31390-2025 FSC-klagomål.docx", "A 31390-2025")</f>
        <v/>
      </c>
      <c r="W769">
        <f>HYPERLINK("https://klasma.github.io/Logging_0882/klagomålsmail/A 31390-2025 FSC-klagomål mail.docx", "A 31390-2025")</f>
        <v/>
      </c>
      <c r="X769">
        <f>HYPERLINK("https://klasma.github.io/Logging_0882/tillsyn/A 31390-2025 tillsynsbegäran.docx", "A 31390-2025")</f>
        <v/>
      </c>
      <c r="Y769">
        <f>HYPERLINK("https://klasma.github.io/Logging_0882/tillsynsmail/A 31390-2025 tillsynsbegäran mail.docx", "A 31390-2025")</f>
        <v/>
      </c>
    </row>
    <row r="770" ht="15" customHeight="1">
      <c r="A770" t="inlineStr">
        <is>
          <t>A 54924-2022</t>
        </is>
      </c>
      <c r="B770" s="1" t="n">
        <v>44886</v>
      </c>
      <c r="C770" s="1" t="n">
        <v>45884</v>
      </c>
      <c r="D770" t="inlineStr">
        <is>
          <t>KALMAR LÄN</t>
        </is>
      </c>
      <c r="E770" t="inlineStr">
        <is>
          <t>MÖNSTERÅS</t>
        </is>
      </c>
      <c r="G770" t="n">
        <v>5</v>
      </c>
      <c r="H770" t="n">
        <v>1</v>
      </c>
      <c r="I770" t="n">
        <v>0</v>
      </c>
      <c r="J770" t="n">
        <v>0</v>
      </c>
      <c r="K770" t="n">
        <v>1</v>
      </c>
      <c r="L770" t="n">
        <v>0</v>
      </c>
      <c r="M770" t="n">
        <v>0</v>
      </c>
      <c r="N770" t="n">
        <v>0</v>
      </c>
      <c r="O770" t="n">
        <v>1</v>
      </c>
      <c r="P770" t="n">
        <v>1</v>
      </c>
      <c r="Q770" t="n">
        <v>1</v>
      </c>
      <c r="R770" s="2" t="inlineStr">
        <is>
          <t>Knärot</t>
        </is>
      </c>
      <c r="S770">
        <f>HYPERLINK("https://klasma.github.io/Logging_0861/artfynd/A 54924-2022 artfynd.xlsx", "A 54924-2022")</f>
        <v/>
      </c>
      <c r="T770">
        <f>HYPERLINK("https://klasma.github.io/Logging_0861/kartor/A 54924-2022 karta.png", "A 54924-2022")</f>
        <v/>
      </c>
      <c r="U770">
        <f>HYPERLINK("https://klasma.github.io/Logging_0861/knärot/A 54924-2022 karta knärot.png", "A 54924-2022")</f>
        <v/>
      </c>
      <c r="V770">
        <f>HYPERLINK("https://klasma.github.io/Logging_0861/klagomål/A 54924-2022 FSC-klagomål.docx", "A 54924-2022")</f>
        <v/>
      </c>
      <c r="W770">
        <f>HYPERLINK("https://klasma.github.io/Logging_0861/klagomålsmail/A 54924-2022 FSC-klagomål mail.docx", "A 54924-2022")</f>
        <v/>
      </c>
      <c r="X770">
        <f>HYPERLINK("https://klasma.github.io/Logging_0861/tillsyn/A 54924-2022 tillsynsbegäran.docx", "A 54924-2022")</f>
        <v/>
      </c>
      <c r="Y770">
        <f>HYPERLINK("https://klasma.github.io/Logging_0861/tillsynsmail/A 54924-2022 tillsynsbegäran mail.docx", "A 54924-2022")</f>
        <v/>
      </c>
    </row>
    <row r="771" ht="15" customHeight="1">
      <c r="A771" t="inlineStr">
        <is>
          <t>A 31862-2025</t>
        </is>
      </c>
      <c r="B771" s="1" t="n">
        <v>45834.63185185185</v>
      </c>
      <c r="C771" s="1" t="n">
        <v>45884</v>
      </c>
      <c r="D771" t="inlineStr">
        <is>
          <t>KALMAR LÄN</t>
        </is>
      </c>
      <c r="E771" t="inlineStr">
        <is>
          <t>OSKARSHAMN</t>
        </is>
      </c>
      <c r="G771" t="n">
        <v>6.1</v>
      </c>
      <c r="H771" t="n">
        <v>1</v>
      </c>
      <c r="I771" t="n">
        <v>0</v>
      </c>
      <c r="J771" t="n">
        <v>1</v>
      </c>
      <c r="K771" t="n">
        <v>0</v>
      </c>
      <c r="L771" t="n">
        <v>0</v>
      </c>
      <c r="M771" t="n">
        <v>0</v>
      </c>
      <c r="N771" t="n">
        <v>0</v>
      </c>
      <c r="O771" t="n">
        <v>1</v>
      </c>
      <c r="P771" t="n">
        <v>0</v>
      </c>
      <c r="Q771" t="n">
        <v>1</v>
      </c>
      <c r="R771" s="2" t="inlineStr">
        <is>
          <t>Grönsångare</t>
        </is>
      </c>
      <c r="S771">
        <f>HYPERLINK("https://klasma.github.io/Logging_0882/artfynd/A 31862-2025 artfynd.xlsx", "A 31862-2025")</f>
        <v/>
      </c>
      <c r="T771">
        <f>HYPERLINK("https://klasma.github.io/Logging_0882/kartor/A 31862-2025 karta.png", "A 31862-2025")</f>
        <v/>
      </c>
      <c r="V771">
        <f>HYPERLINK("https://klasma.github.io/Logging_0882/klagomål/A 31862-2025 FSC-klagomål.docx", "A 31862-2025")</f>
        <v/>
      </c>
      <c r="W771">
        <f>HYPERLINK("https://klasma.github.io/Logging_0882/klagomålsmail/A 31862-2025 FSC-klagomål mail.docx", "A 31862-2025")</f>
        <v/>
      </c>
      <c r="X771">
        <f>HYPERLINK("https://klasma.github.io/Logging_0882/tillsyn/A 31862-2025 tillsynsbegäran.docx", "A 31862-2025")</f>
        <v/>
      </c>
      <c r="Y771">
        <f>HYPERLINK("https://klasma.github.io/Logging_0882/tillsynsmail/A 31862-2025 tillsynsbegäran mail.docx", "A 31862-2025")</f>
        <v/>
      </c>
      <c r="Z771">
        <f>HYPERLINK("https://klasma.github.io/Logging_0882/fåglar/A 31862-2025 prioriterade fågelarter.docx", "A 31862-2025")</f>
        <v/>
      </c>
    </row>
    <row r="772" ht="15" customHeight="1">
      <c r="A772" t="inlineStr">
        <is>
          <t>A 32003-2025</t>
        </is>
      </c>
      <c r="B772" s="1" t="n">
        <v>45835.38121527778</v>
      </c>
      <c r="C772" s="1" t="n">
        <v>45884</v>
      </c>
      <c r="D772" t="inlineStr">
        <is>
          <t>KALMAR LÄN</t>
        </is>
      </c>
      <c r="E772" t="inlineStr">
        <is>
          <t>HULTSFRED</t>
        </is>
      </c>
      <c r="G772" t="n">
        <v>9.6</v>
      </c>
      <c r="H772" t="n">
        <v>1</v>
      </c>
      <c r="I772" t="n">
        <v>0</v>
      </c>
      <c r="J772" t="n">
        <v>0</v>
      </c>
      <c r="K772" t="n">
        <v>0</v>
      </c>
      <c r="L772" t="n">
        <v>0</v>
      </c>
      <c r="M772" t="n">
        <v>0</v>
      </c>
      <c r="N772" t="n">
        <v>0</v>
      </c>
      <c r="O772" t="n">
        <v>0</v>
      </c>
      <c r="P772" t="n">
        <v>0</v>
      </c>
      <c r="Q772" t="n">
        <v>1</v>
      </c>
      <c r="R772" s="2" t="inlineStr">
        <is>
          <t>Blåsippa</t>
        </is>
      </c>
      <c r="S772">
        <f>HYPERLINK("https://klasma.github.io/Logging_0860/artfynd/A 32003-2025 artfynd.xlsx", "A 32003-2025")</f>
        <v/>
      </c>
      <c r="T772">
        <f>HYPERLINK("https://klasma.github.io/Logging_0860/kartor/A 32003-2025 karta.png", "A 32003-2025")</f>
        <v/>
      </c>
      <c r="V772">
        <f>HYPERLINK("https://klasma.github.io/Logging_0860/klagomål/A 32003-2025 FSC-klagomål.docx", "A 32003-2025")</f>
        <v/>
      </c>
      <c r="W772">
        <f>HYPERLINK("https://klasma.github.io/Logging_0860/klagomålsmail/A 32003-2025 FSC-klagomål mail.docx", "A 32003-2025")</f>
        <v/>
      </c>
      <c r="X772">
        <f>HYPERLINK("https://klasma.github.io/Logging_0860/tillsyn/A 32003-2025 tillsynsbegäran.docx", "A 32003-2025")</f>
        <v/>
      </c>
      <c r="Y772">
        <f>HYPERLINK("https://klasma.github.io/Logging_0860/tillsynsmail/A 32003-2025 tillsynsbegäran mail.docx", "A 32003-2025")</f>
        <v/>
      </c>
    </row>
    <row r="773" ht="15" customHeight="1">
      <c r="A773" t="inlineStr">
        <is>
          <t>A 32836-2025</t>
        </is>
      </c>
      <c r="B773" s="1" t="n">
        <v>45839.55894675926</v>
      </c>
      <c r="C773" s="1" t="n">
        <v>45884</v>
      </c>
      <c r="D773" t="inlineStr">
        <is>
          <t>KALMAR LÄN</t>
        </is>
      </c>
      <c r="E773" t="inlineStr">
        <is>
          <t>OSKARSHAMN</t>
        </is>
      </c>
      <c r="G773" t="n">
        <v>6.1</v>
      </c>
      <c r="H773" t="n">
        <v>0</v>
      </c>
      <c r="I773" t="n">
        <v>0</v>
      </c>
      <c r="J773" t="n">
        <v>1</v>
      </c>
      <c r="K773" t="n">
        <v>0</v>
      </c>
      <c r="L773" t="n">
        <v>0</v>
      </c>
      <c r="M773" t="n">
        <v>0</v>
      </c>
      <c r="N773" t="n">
        <v>0</v>
      </c>
      <c r="O773" t="n">
        <v>1</v>
      </c>
      <c r="P773" t="n">
        <v>0</v>
      </c>
      <c r="Q773" t="n">
        <v>1</v>
      </c>
      <c r="R773" s="2" t="inlineStr">
        <is>
          <t>Backtimjan</t>
        </is>
      </c>
      <c r="S773">
        <f>HYPERLINK("https://klasma.github.io/Logging_0882/artfynd/A 32836-2025 artfynd.xlsx", "A 32836-2025")</f>
        <v/>
      </c>
      <c r="T773">
        <f>HYPERLINK("https://klasma.github.io/Logging_0882/kartor/A 32836-2025 karta.png", "A 32836-2025")</f>
        <v/>
      </c>
      <c r="V773">
        <f>HYPERLINK("https://klasma.github.io/Logging_0882/klagomål/A 32836-2025 FSC-klagomål.docx", "A 32836-2025")</f>
        <v/>
      </c>
      <c r="W773">
        <f>HYPERLINK("https://klasma.github.io/Logging_0882/klagomålsmail/A 32836-2025 FSC-klagomål mail.docx", "A 32836-2025")</f>
        <v/>
      </c>
      <c r="X773">
        <f>HYPERLINK("https://klasma.github.io/Logging_0882/tillsyn/A 32836-2025 tillsynsbegäran.docx", "A 32836-2025")</f>
        <v/>
      </c>
      <c r="Y773">
        <f>HYPERLINK("https://klasma.github.io/Logging_0882/tillsynsmail/A 32836-2025 tillsynsbegäran mail.docx", "A 32836-2025")</f>
        <v/>
      </c>
    </row>
    <row r="774" ht="15" customHeight="1">
      <c r="A774" t="inlineStr">
        <is>
          <t>A 38083-2025</t>
        </is>
      </c>
      <c r="B774" s="1" t="n">
        <v>45882</v>
      </c>
      <c r="C774" s="1" t="n">
        <v>45884</v>
      </c>
      <c r="D774" t="inlineStr">
        <is>
          <t>KALMAR LÄN</t>
        </is>
      </c>
      <c r="E774" t="inlineStr">
        <is>
          <t>KALMAR</t>
        </is>
      </c>
      <c r="G774" t="n">
        <v>1.4</v>
      </c>
      <c r="H774" t="n">
        <v>1</v>
      </c>
      <c r="I774" t="n">
        <v>0</v>
      </c>
      <c r="J774" t="n">
        <v>0</v>
      </c>
      <c r="K774" t="n">
        <v>0</v>
      </c>
      <c r="L774" t="n">
        <v>0</v>
      </c>
      <c r="M774" t="n">
        <v>0</v>
      </c>
      <c r="N774" t="n">
        <v>0</v>
      </c>
      <c r="O774" t="n">
        <v>0</v>
      </c>
      <c r="P774" t="n">
        <v>0</v>
      </c>
      <c r="Q774" t="n">
        <v>1</v>
      </c>
      <c r="R774" s="2" t="inlineStr">
        <is>
          <t>Blåsippa</t>
        </is>
      </c>
      <c r="S774">
        <f>HYPERLINK("https://klasma.github.io/Logging_0880/artfynd/A 38083-2025 artfynd.xlsx", "A 38083-2025")</f>
        <v/>
      </c>
      <c r="T774">
        <f>HYPERLINK("https://klasma.github.io/Logging_0880/kartor/A 38083-2025 karta.png", "A 38083-2025")</f>
        <v/>
      </c>
      <c r="V774">
        <f>HYPERLINK("https://klasma.github.io/Logging_0880/klagomål/A 38083-2025 FSC-klagomål.docx", "A 38083-2025")</f>
        <v/>
      </c>
      <c r="W774">
        <f>HYPERLINK("https://klasma.github.io/Logging_0880/klagomålsmail/A 38083-2025 FSC-klagomål mail.docx", "A 38083-2025")</f>
        <v/>
      </c>
      <c r="X774">
        <f>HYPERLINK("https://klasma.github.io/Logging_0880/tillsyn/A 38083-2025 tillsynsbegäran.docx", "A 38083-2025")</f>
        <v/>
      </c>
      <c r="Y774">
        <f>HYPERLINK("https://klasma.github.io/Logging_0880/tillsynsmail/A 38083-2025 tillsynsbegäran mail.docx", "A 38083-2025")</f>
        <v/>
      </c>
    </row>
    <row r="775" ht="15" customHeight="1">
      <c r="A775" t="inlineStr">
        <is>
          <t>A 33291-2025</t>
        </is>
      </c>
      <c r="B775" s="1" t="n">
        <v>45840.8834375</v>
      </c>
      <c r="C775" s="1" t="n">
        <v>45884</v>
      </c>
      <c r="D775" t="inlineStr">
        <is>
          <t>KALMAR LÄN</t>
        </is>
      </c>
      <c r="E775" t="inlineStr">
        <is>
          <t>NYBRO</t>
        </is>
      </c>
      <c r="G775" t="n">
        <v>2.3</v>
      </c>
      <c r="H775" t="n">
        <v>1</v>
      </c>
      <c r="I775" t="n">
        <v>0</v>
      </c>
      <c r="J775" t="n">
        <v>1</v>
      </c>
      <c r="K775" t="n">
        <v>0</v>
      </c>
      <c r="L775" t="n">
        <v>0</v>
      </c>
      <c r="M775" t="n">
        <v>0</v>
      </c>
      <c r="N775" t="n">
        <v>0</v>
      </c>
      <c r="O775" t="n">
        <v>1</v>
      </c>
      <c r="P775" t="n">
        <v>0</v>
      </c>
      <c r="Q775" t="n">
        <v>1</v>
      </c>
      <c r="R775" s="2" t="inlineStr">
        <is>
          <t>Långbensgroda</t>
        </is>
      </c>
      <c r="S775">
        <f>HYPERLINK("https://klasma.github.io/Logging_0881/artfynd/A 33291-2025 artfynd.xlsx", "A 33291-2025")</f>
        <v/>
      </c>
      <c r="T775">
        <f>HYPERLINK("https://klasma.github.io/Logging_0881/kartor/A 33291-2025 karta.png", "A 33291-2025")</f>
        <v/>
      </c>
      <c r="V775">
        <f>HYPERLINK("https://klasma.github.io/Logging_0881/klagomål/A 33291-2025 FSC-klagomål.docx", "A 33291-2025")</f>
        <v/>
      </c>
      <c r="W775">
        <f>HYPERLINK("https://klasma.github.io/Logging_0881/klagomålsmail/A 33291-2025 FSC-klagomål mail.docx", "A 33291-2025")</f>
        <v/>
      </c>
      <c r="X775">
        <f>HYPERLINK("https://klasma.github.io/Logging_0881/tillsyn/A 33291-2025 tillsynsbegäran.docx", "A 33291-2025")</f>
        <v/>
      </c>
      <c r="Y775">
        <f>HYPERLINK("https://klasma.github.io/Logging_0881/tillsynsmail/A 33291-2025 tillsynsbegäran mail.docx", "A 33291-2025")</f>
        <v/>
      </c>
    </row>
    <row r="776" ht="15" customHeight="1">
      <c r="A776" t="inlineStr">
        <is>
          <t>A 36877-2025</t>
        </is>
      </c>
      <c r="B776" s="1" t="n">
        <v>45873</v>
      </c>
      <c r="C776" s="1" t="n">
        <v>45884</v>
      </c>
      <c r="D776" t="inlineStr">
        <is>
          <t>KALMAR LÄN</t>
        </is>
      </c>
      <c r="E776" t="inlineStr">
        <is>
          <t>NYBRO</t>
        </is>
      </c>
      <c r="G776" t="n">
        <v>3.2</v>
      </c>
      <c r="H776" t="n">
        <v>0</v>
      </c>
      <c r="I776" t="n">
        <v>0</v>
      </c>
      <c r="J776" t="n">
        <v>1</v>
      </c>
      <c r="K776" t="n">
        <v>0</v>
      </c>
      <c r="L776" t="n">
        <v>0</v>
      </c>
      <c r="M776" t="n">
        <v>0</v>
      </c>
      <c r="N776" t="n">
        <v>0</v>
      </c>
      <c r="O776" t="n">
        <v>1</v>
      </c>
      <c r="P776" t="n">
        <v>0</v>
      </c>
      <c r="Q776" t="n">
        <v>1</v>
      </c>
      <c r="R776" s="2" t="inlineStr">
        <is>
          <t>Flentimotej</t>
        </is>
      </c>
      <c r="S776">
        <f>HYPERLINK("https://klasma.github.io/Logging_0881/artfynd/A 36877-2025 artfynd.xlsx", "A 36877-2025")</f>
        <v/>
      </c>
      <c r="T776">
        <f>HYPERLINK("https://klasma.github.io/Logging_0881/kartor/A 36877-2025 karta.png", "A 36877-2025")</f>
        <v/>
      </c>
      <c r="V776">
        <f>HYPERLINK("https://klasma.github.io/Logging_0881/klagomål/A 36877-2025 FSC-klagomål.docx", "A 36877-2025")</f>
        <v/>
      </c>
      <c r="W776">
        <f>HYPERLINK("https://klasma.github.io/Logging_0881/klagomålsmail/A 36877-2025 FSC-klagomål mail.docx", "A 36877-2025")</f>
        <v/>
      </c>
      <c r="X776">
        <f>HYPERLINK("https://klasma.github.io/Logging_0881/tillsyn/A 36877-2025 tillsynsbegäran.docx", "A 36877-2025")</f>
        <v/>
      </c>
      <c r="Y776">
        <f>HYPERLINK("https://klasma.github.io/Logging_0881/tillsynsmail/A 36877-2025 tillsynsbegäran mail.docx", "A 36877-2025")</f>
        <v/>
      </c>
    </row>
    <row r="777" ht="15" customHeight="1">
      <c r="A777" t="inlineStr">
        <is>
          <t>A 33398-2025</t>
        </is>
      </c>
      <c r="B777" s="1" t="n">
        <v>45841.42056712963</v>
      </c>
      <c r="C777" s="1" t="n">
        <v>45884</v>
      </c>
      <c r="D777" t="inlineStr">
        <is>
          <t>KALMAR LÄN</t>
        </is>
      </c>
      <c r="E777" t="inlineStr">
        <is>
          <t>HÖGSBY</t>
        </is>
      </c>
      <c r="F777" t="inlineStr">
        <is>
          <t>Sveaskog</t>
        </is>
      </c>
      <c r="G777" t="n">
        <v>2</v>
      </c>
      <c r="H777" t="n">
        <v>1</v>
      </c>
      <c r="I777" t="n">
        <v>0</v>
      </c>
      <c r="J777" t="n">
        <v>0</v>
      </c>
      <c r="K777" t="n">
        <v>0</v>
      </c>
      <c r="L777" t="n">
        <v>0</v>
      </c>
      <c r="M777" t="n">
        <v>0</v>
      </c>
      <c r="N777" t="n">
        <v>0</v>
      </c>
      <c r="O777" t="n">
        <v>0</v>
      </c>
      <c r="P777" t="n">
        <v>0</v>
      </c>
      <c r="Q777" t="n">
        <v>1</v>
      </c>
      <c r="R777" s="2" t="inlineStr">
        <is>
          <t>Vanlig padda</t>
        </is>
      </c>
      <c r="S777">
        <f>HYPERLINK("https://klasma.github.io/Logging_0821/artfynd/A 33398-2025 artfynd.xlsx", "A 33398-2025")</f>
        <v/>
      </c>
      <c r="T777">
        <f>HYPERLINK("https://klasma.github.io/Logging_0821/kartor/A 33398-2025 karta.png", "A 33398-2025")</f>
        <v/>
      </c>
      <c r="V777">
        <f>HYPERLINK("https://klasma.github.io/Logging_0821/klagomål/A 33398-2025 FSC-klagomål.docx", "A 33398-2025")</f>
        <v/>
      </c>
      <c r="W777">
        <f>HYPERLINK("https://klasma.github.io/Logging_0821/klagomålsmail/A 33398-2025 FSC-klagomål mail.docx", "A 33398-2025")</f>
        <v/>
      </c>
      <c r="X777">
        <f>HYPERLINK("https://klasma.github.io/Logging_0821/tillsyn/A 33398-2025 tillsynsbegäran.docx", "A 33398-2025")</f>
        <v/>
      </c>
      <c r="Y777">
        <f>HYPERLINK("https://klasma.github.io/Logging_0821/tillsynsmail/A 33398-2025 tillsynsbegäran mail.docx", "A 33398-2025")</f>
        <v/>
      </c>
    </row>
    <row r="778" ht="15" customHeight="1">
      <c r="A778" t="inlineStr">
        <is>
          <t>A 11165-2024</t>
        </is>
      </c>
      <c r="B778" s="1" t="n">
        <v>45371</v>
      </c>
      <c r="C778" s="1" t="n">
        <v>45884</v>
      </c>
      <c r="D778" t="inlineStr">
        <is>
          <t>KALMAR LÄN</t>
        </is>
      </c>
      <c r="E778" t="inlineStr">
        <is>
          <t>VÄSTERVIK</t>
        </is>
      </c>
      <c r="G778" t="n">
        <v>3.7</v>
      </c>
      <c r="H778" t="n">
        <v>1</v>
      </c>
      <c r="I778" t="n">
        <v>0</v>
      </c>
      <c r="J778" t="n">
        <v>1</v>
      </c>
      <c r="K778" t="n">
        <v>0</v>
      </c>
      <c r="L778" t="n">
        <v>0</v>
      </c>
      <c r="M778" t="n">
        <v>0</v>
      </c>
      <c r="N778" t="n">
        <v>0</v>
      </c>
      <c r="O778" t="n">
        <v>1</v>
      </c>
      <c r="P778" t="n">
        <v>0</v>
      </c>
      <c r="Q778" t="n">
        <v>1</v>
      </c>
      <c r="R778" s="2" t="inlineStr">
        <is>
          <t>Spillkråka</t>
        </is>
      </c>
      <c r="S778">
        <f>HYPERLINK("https://klasma.github.io/Logging_0883/artfynd/A 11165-2024 artfynd.xlsx", "A 11165-2024")</f>
        <v/>
      </c>
      <c r="T778">
        <f>HYPERLINK("https://klasma.github.io/Logging_0883/kartor/A 11165-2024 karta.png", "A 11165-2024")</f>
        <v/>
      </c>
      <c r="V778">
        <f>HYPERLINK("https://klasma.github.io/Logging_0883/klagomål/A 11165-2024 FSC-klagomål.docx", "A 11165-2024")</f>
        <v/>
      </c>
      <c r="W778">
        <f>HYPERLINK("https://klasma.github.io/Logging_0883/klagomålsmail/A 11165-2024 FSC-klagomål mail.docx", "A 11165-2024")</f>
        <v/>
      </c>
      <c r="X778">
        <f>HYPERLINK("https://klasma.github.io/Logging_0883/tillsyn/A 11165-2024 tillsynsbegäran.docx", "A 11165-2024")</f>
        <v/>
      </c>
      <c r="Y778">
        <f>HYPERLINK("https://klasma.github.io/Logging_0883/tillsynsmail/A 11165-2024 tillsynsbegäran mail.docx", "A 11165-2024")</f>
        <v/>
      </c>
      <c r="Z778">
        <f>HYPERLINK("https://klasma.github.io/Logging_0883/fåglar/A 11165-2024 prioriterade fågelarter.docx", "A 11165-2024")</f>
        <v/>
      </c>
    </row>
    <row r="779" ht="15" customHeight="1">
      <c r="A779" t="inlineStr">
        <is>
          <t>A 36313-2022</t>
        </is>
      </c>
      <c r="B779" s="1" t="n">
        <v>44803.67887731481</v>
      </c>
      <c r="C779" s="1" t="n">
        <v>45884</v>
      </c>
      <c r="D779" t="inlineStr">
        <is>
          <t>KALMAR LÄN</t>
        </is>
      </c>
      <c r="E779" t="inlineStr">
        <is>
          <t>OSKARSHAMN</t>
        </is>
      </c>
      <c r="G779" t="n">
        <v>0.5</v>
      </c>
      <c r="H779" t="n">
        <v>0</v>
      </c>
      <c r="I779" t="n">
        <v>0</v>
      </c>
      <c r="J779" t="n">
        <v>0</v>
      </c>
      <c r="K779" t="n">
        <v>0</v>
      </c>
      <c r="L779" t="n">
        <v>0</v>
      </c>
      <c r="M779" t="n">
        <v>0</v>
      </c>
      <c r="N779" t="n">
        <v>0</v>
      </c>
      <c r="O779" t="n">
        <v>0</v>
      </c>
      <c r="P779" t="n">
        <v>0</v>
      </c>
      <c r="Q779" t="n">
        <v>0</v>
      </c>
      <c r="R779" s="2" t="inlineStr"/>
    </row>
    <row r="780" ht="15" customHeight="1">
      <c r="A780" t="inlineStr">
        <is>
          <t>A 41425-2020</t>
        </is>
      </c>
      <c r="B780" s="1" t="n">
        <v>44073</v>
      </c>
      <c r="C780" s="1" t="n">
        <v>45884</v>
      </c>
      <c r="D780" t="inlineStr">
        <is>
          <t>KALMAR LÄN</t>
        </is>
      </c>
      <c r="E780" t="inlineStr">
        <is>
          <t>NYBRO</t>
        </is>
      </c>
      <c r="G780" t="n">
        <v>7.6</v>
      </c>
      <c r="H780" t="n">
        <v>0</v>
      </c>
      <c r="I780" t="n">
        <v>0</v>
      </c>
      <c r="J780" t="n">
        <v>0</v>
      </c>
      <c r="K780" t="n">
        <v>0</v>
      </c>
      <c r="L780" t="n">
        <v>0</v>
      </c>
      <c r="M780" t="n">
        <v>0</v>
      </c>
      <c r="N780" t="n">
        <v>0</v>
      </c>
      <c r="O780" t="n">
        <v>0</v>
      </c>
      <c r="P780" t="n">
        <v>0</v>
      </c>
      <c r="Q780" t="n">
        <v>0</v>
      </c>
      <c r="R780" s="2" t="inlineStr"/>
    </row>
    <row r="781" ht="15" customHeight="1">
      <c r="A781" t="inlineStr">
        <is>
          <t>A 38102-2021</t>
        </is>
      </c>
      <c r="B781" s="1" t="n">
        <v>44405.32738425926</v>
      </c>
      <c r="C781" s="1" t="n">
        <v>45884</v>
      </c>
      <c r="D781" t="inlineStr">
        <is>
          <t>KALMAR LÄN</t>
        </is>
      </c>
      <c r="E781" t="inlineStr">
        <is>
          <t>EMMABODA</t>
        </is>
      </c>
      <c r="G781" t="n">
        <v>0.9</v>
      </c>
      <c r="H781" t="n">
        <v>0</v>
      </c>
      <c r="I781" t="n">
        <v>0</v>
      </c>
      <c r="J781" t="n">
        <v>0</v>
      </c>
      <c r="K781" t="n">
        <v>0</v>
      </c>
      <c r="L781" t="n">
        <v>0</v>
      </c>
      <c r="M781" t="n">
        <v>0</v>
      </c>
      <c r="N781" t="n">
        <v>0</v>
      </c>
      <c r="O781" t="n">
        <v>0</v>
      </c>
      <c r="P781" t="n">
        <v>0</v>
      </c>
      <c r="Q781" t="n">
        <v>0</v>
      </c>
      <c r="R781" s="2" t="inlineStr"/>
    </row>
    <row r="782" ht="15" customHeight="1">
      <c r="A782" t="inlineStr">
        <is>
          <t>A 1959-2021</t>
        </is>
      </c>
      <c r="B782" s="1" t="n">
        <v>44210.65167824074</v>
      </c>
      <c r="C782" s="1" t="n">
        <v>45884</v>
      </c>
      <c r="D782" t="inlineStr">
        <is>
          <t>KALMAR LÄN</t>
        </is>
      </c>
      <c r="E782" t="inlineStr">
        <is>
          <t>VÄSTERVIK</t>
        </is>
      </c>
      <c r="G782" t="n">
        <v>0.8</v>
      </c>
      <c r="H782" t="n">
        <v>0</v>
      </c>
      <c r="I782" t="n">
        <v>0</v>
      </c>
      <c r="J782" t="n">
        <v>0</v>
      </c>
      <c r="K782" t="n">
        <v>0</v>
      </c>
      <c r="L782" t="n">
        <v>0</v>
      </c>
      <c r="M782" t="n">
        <v>0</v>
      </c>
      <c r="N782" t="n">
        <v>0</v>
      </c>
      <c r="O782" t="n">
        <v>0</v>
      </c>
      <c r="P782" t="n">
        <v>0</v>
      </c>
      <c r="Q782" t="n">
        <v>0</v>
      </c>
      <c r="R782" s="2" t="inlineStr"/>
    </row>
    <row r="783" ht="15" customHeight="1">
      <c r="A783" t="inlineStr">
        <is>
          <t>A 8074-2021</t>
        </is>
      </c>
      <c r="B783" s="1" t="n">
        <v>44243.6503125</v>
      </c>
      <c r="C783" s="1" t="n">
        <v>45884</v>
      </c>
      <c r="D783" t="inlineStr">
        <is>
          <t>KALMAR LÄN</t>
        </is>
      </c>
      <c r="E783" t="inlineStr">
        <is>
          <t>VÄSTERVIK</t>
        </is>
      </c>
      <c r="G783" t="n">
        <v>0.7</v>
      </c>
      <c r="H783" t="n">
        <v>0</v>
      </c>
      <c r="I783" t="n">
        <v>0</v>
      </c>
      <c r="J783" t="n">
        <v>0</v>
      </c>
      <c r="K783" t="n">
        <v>0</v>
      </c>
      <c r="L783" t="n">
        <v>0</v>
      </c>
      <c r="M783" t="n">
        <v>0</v>
      </c>
      <c r="N783" t="n">
        <v>0</v>
      </c>
      <c r="O783" t="n">
        <v>0</v>
      </c>
      <c r="P783" t="n">
        <v>0</v>
      </c>
      <c r="Q783" t="n">
        <v>0</v>
      </c>
      <c r="R783" s="2" t="inlineStr"/>
    </row>
    <row r="784" ht="15" customHeight="1">
      <c r="A784" t="inlineStr">
        <is>
          <t>A 38134-2020</t>
        </is>
      </c>
      <c r="B784" s="1" t="n">
        <v>44059</v>
      </c>
      <c r="C784" s="1" t="n">
        <v>45884</v>
      </c>
      <c r="D784" t="inlineStr">
        <is>
          <t>KALMAR LÄN</t>
        </is>
      </c>
      <c r="E784" t="inlineStr">
        <is>
          <t>NYBRO</t>
        </is>
      </c>
      <c r="G784" t="n">
        <v>0.5</v>
      </c>
      <c r="H784" t="n">
        <v>0</v>
      </c>
      <c r="I784" t="n">
        <v>0</v>
      </c>
      <c r="J784" t="n">
        <v>0</v>
      </c>
      <c r="K784" t="n">
        <v>0</v>
      </c>
      <c r="L784" t="n">
        <v>0</v>
      </c>
      <c r="M784" t="n">
        <v>0</v>
      </c>
      <c r="N784" t="n">
        <v>0</v>
      </c>
      <c r="O784" t="n">
        <v>0</v>
      </c>
      <c r="P784" t="n">
        <v>0</v>
      </c>
      <c r="Q784" t="n">
        <v>0</v>
      </c>
      <c r="R784" s="2" t="inlineStr"/>
    </row>
    <row r="785" ht="15" customHeight="1">
      <c r="A785" t="inlineStr">
        <is>
          <t>A 5742-2021</t>
        </is>
      </c>
      <c r="B785" s="1" t="n">
        <v>44230</v>
      </c>
      <c r="C785" s="1" t="n">
        <v>45884</v>
      </c>
      <c r="D785" t="inlineStr">
        <is>
          <t>KALMAR LÄN</t>
        </is>
      </c>
      <c r="E785" t="inlineStr">
        <is>
          <t>KALMAR</t>
        </is>
      </c>
      <c r="G785" t="n">
        <v>4</v>
      </c>
      <c r="H785" t="n">
        <v>0</v>
      </c>
      <c r="I785" t="n">
        <v>0</v>
      </c>
      <c r="J785" t="n">
        <v>0</v>
      </c>
      <c r="K785" t="n">
        <v>0</v>
      </c>
      <c r="L785" t="n">
        <v>0</v>
      </c>
      <c r="M785" t="n">
        <v>0</v>
      </c>
      <c r="N785" t="n">
        <v>0</v>
      </c>
      <c r="O785" t="n">
        <v>0</v>
      </c>
      <c r="P785" t="n">
        <v>0</v>
      </c>
      <c r="Q785" t="n">
        <v>0</v>
      </c>
      <c r="R785" s="2" t="inlineStr"/>
    </row>
    <row r="786" ht="15" customHeight="1">
      <c r="A786" t="inlineStr">
        <is>
          <t>A 5759-2021</t>
        </is>
      </c>
      <c r="B786" s="1" t="n">
        <v>44230</v>
      </c>
      <c r="C786" s="1" t="n">
        <v>45884</v>
      </c>
      <c r="D786" t="inlineStr">
        <is>
          <t>KALMAR LÄN</t>
        </is>
      </c>
      <c r="E786" t="inlineStr">
        <is>
          <t>KALMAR</t>
        </is>
      </c>
      <c r="G786" t="n">
        <v>0.5</v>
      </c>
      <c r="H786" t="n">
        <v>0</v>
      </c>
      <c r="I786" t="n">
        <v>0</v>
      </c>
      <c r="J786" t="n">
        <v>0</v>
      </c>
      <c r="K786" t="n">
        <v>0</v>
      </c>
      <c r="L786" t="n">
        <v>0</v>
      </c>
      <c r="M786" t="n">
        <v>0</v>
      </c>
      <c r="N786" t="n">
        <v>0</v>
      </c>
      <c r="O786" t="n">
        <v>0</v>
      </c>
      <c r="P786" t="n">
        <v>0</v>
      </c>
      <c r="Q786" t="n">
        <v>0</v>
      </c>
      <c r="R786" s="2" t="inlineStr"/>
    </row>
    <row r="787" ht="15" customHeight="1">
      <c r="A787" t="inlineStr">
        <is>
          <t>A 38210-2020</t>
        </is>
      </c>
      <c r="B787" s="1" t="n">
        <v>44060</v>
      </c>
      <c r="C787" s="1" t="n">
        <v>45884</v>
      </c>
      <c r="D787" t="inlineStr">
        <is>
          <t>KALMAR LÄN</t>
        </is>
      </c>
      <c r="E787" t="inlineStr">
        <is>
          <t>NYBRO</t>
        </is>
      </c>
      <c r="G787" t="n">
        <v>1.3</v>
      </c>
      <c r="H787" t="n">
        <v>0</v>
      </c>
      <c r="I787" t="n">
        <v>0</v>
      </c>
      <c r="J787" t="n">
        <v>0</v>
      </c>
      <c r="K787" t="n">
        <v>0</v>
      </c>
      <c r="L787" t="n">
        <v>0</v>
      </c>
      <c r="M787" t="n">
        <v>0</v>
      </c>
      <c r="N787" t="n">
        <v>0</v>
      </c>
      <c r="O787" t="n">
        <v>0</v>
      </c>
      <c r="P787" t="n">
        <v>0</v>
      </c>
      <c r="Q787" t="n">
        <v>0</v>
      </c>
      <c r="R787" s="2" t="inlineStr"/>
    </row>
    <row r="788" ht="15" customHeight="1">
      <c r="A788" t="inlineStr">
        <is>
          <t>A 38248-2020</t>
        </is>
      </c>
      <c r="B788" s="1" t="n">
        <v>44060</v>
      </c>
      <c r="C788" s="1" t="n">
        <v>45884</v>
      </c>
      <c r="D788" t="inlineStr">
        <is>
          <t>KALMAR LÄN</t>
        </is>
      </c>
      <c r="E788" t="inlineStr">
        <is>
          <t>HULTSFRED</t>
        </is>
      </c>
      <c r="G788" t="n">
        <v>5.8</v>
      </c>
      <c r="H788" t="n">
        <v>0</v>
      </c>
      <c r="I788" t="n">
        <v>0</v>
      </c>
      <c r="J788" t="n">
        <v>0</v>
      </c>
      <c r="K788" t="n">
        <v>0</v>
      </c>
      <c r="L788" t="n">
        <v>0</v>
      </c>
      <c r="M788" t="n">
        <v>0</v>
      </c>
      <c r="N788" t="n">
        <v>0</v>
      </c>
      <c r="O788" t="n">
        <v>0</v>
      </c>
      <c r="P788" t="n">
        <v>0</v>
      </c>
      <c r="Q788" t="n">
        <v>0</v>
      </c>
      <c r="R788" s="2" t="inlineStr"/>
    </row>
    <row r="789" ht="15" customHeight="1">
      <c r="A789" t="inlineStr">
        <is>
          <t>A 40645-2020</t>
        </is>
      </c>
      <c r="B789" s="1" t="n">
        <v>44069</v>
      </c>
      <c r="C789" s="1" t="n">
        <v>45884</v>
      </c>
      <c r="D789" t="inlineStr">
        <is>
          <t>KALMAR LÄN</t>
        </is>
      </c>
      <c r="E789" t="inlineStr">
        <is>
          <t>MÖNSTERÅS</t>
        </is>
      </c>
      <c r="F789" t="inlineStr">
        <is>
          <t>Övriga Aktiebolag</t>
        </is>
      </c>
      <c r="G789" t="n">
        <v>4.8</v>
      </c>
      <c r="H789" t="n">
        <v>0</v>
      </c>
      <c r="I789" t="n">
        <v>0</v>
      </c>
      <c r="J789" t="n">
        <v>0</v>
      </c>
      <c r="K789" t="n">
        <v>0</v>
      </c>
      <c r="L789" t="n">
        <v>0</v>
      </c>
      <c r="M789" t="n">
        <v>0</v>
      </c>
      <c r="N789" t="n">
        <v>0</v>
      </c>
      <c r="O789" t="n">
        <v>0</v>
      </c>
      <c r="P789" t="n">
        <v>0</v>
      </c>
      <c r="Q789" t="n">
        <v>0</v>
      </c>
      <c r="R789" s="2" t="inlineStr"/>
    </row>
    <row r="790" ht="15" customHeight="1">
      <c r="A790" t="inlineStr">
        <is>
          <t>A 11262-2021</t>
        </is>
      </c>
      <c r="B790" s="1" t="n">
        <v>44260</v>
      </c>
      <c r="C790" s="1" t="n">
        <v>45884</v>
      </c>
      <c r="D790" t="inlineStr">
        <is>
          <t>KALMAR LÄN</t>
        </is>
      </c>
      <c r="E790" t="inlineStr">
        <is>
          <t>MÖNSTERÅS</t>
        </is>
      </c>
      <c r="G790" t="n">
        <v>4.4</v>
      </c>
      <c r="H790" t="n">
        <v>0</v>
      </c>
      <c r="I790" t="n">
        <v>0</v>
      </c>
      <c r="J790" t="n">
        <v>0</v>
      </c>
      <c r="K790" t="n">
        <v>0</v>
      </c>
      <c r="L790" t="n">
        <v>0</v>
      </c>
      <c r="M790" t="n">
        <v>0</v>
      </c>
      <c r="N790" t="n">
        <v>0</v>
      </c>
      <c r="O790" t="n">
        <v>0</v>
      </c>
      <c r="P790" t="n">
        <v>0</v>
      </c>
      <c r="Q790" t="n">
        <v>0</v>
      </c>
      <c r="R790" s="2" t="inlineStr"/>
    </row>
    <row r="791" ht="15" customHeight="1">
      <c r="A791" t="inlineStr">
        <is>
          <t>A 45371-2020</t>
        </is>
      </c>
      <c r="B791" s="1" t="n">
        <v>44089</v>
      </c>
      <c r="C791" s="1" t="n">
        <v>45884</v>
      </c>
      <c r="D791" t="inlineStr">
        <is>
          <t>KALMAR LÄN</t>
        </is>
      </c>
      <c r="E791" t="inlineStr">
        <is>
          <t>KALMAR</t>
        </is>
      </c>
      <c r="G791" t="n">
        <v>0.7</v>
      </c>
      <c r="H791" t="n">
        <v>0</v>
      </c>
      <c r="I791" t="n">
        <v>0</v>
      </c>
      <c r="J791" t="n">
        <v>0</v>
      </c>
      <c r="K791" t="n">
        <v>0</v>
      </c>
      <c r="L791" t="n">
        <v>0</v>
      </c>
      <c r="M791" t="n">
        <v>0</v>
      </c>
      <c r="N791" t="n">
        <v>0</v>
      </c>
      <c r="O791" t="n">
        <v>0</v>
      </c>
      <c r="P791" t="n">
        <v>0</v>
      </c>
      <c r="Q791" t="n">
        <v>0</v>
      </c>
      <c r="R791" s="2" t="inlineStr"/>
    </row>
    <row r="792" ht="15" customHeight="1">
      <c r="A792" t="inlineStr">
        <is>
          <t>A 39508-2020</t>
        </is>
      </c>
      <c r="B792" s="1" t="n">
        <v>44064</v>
      </c>
      <c r="C792" s="1" t="n">
        <v>45884</v>
      </c>
      <c r="D792" t="inlineStr">
        <is>
          <t>KALMAR LÄN</t>
        </is>
      </c>
      <c r="E792" t="inlineStr">
        <is>
          <t>VIMMERBY</t>
        </is>
      </c>
      <c r="G792" t="n">
        <v>4.7</v>
      </c>
      <c r="H792" t="n">
        <v>0</v>
      </c>
      <c r="I792" t="n">
        <v>0</v>
      </c>
      <c r="J792" t="n">
        <v>0</v>
      </c>
      <c r="K792" t="n">
        <v>0</v>
      </c>
      <c r="L792" t="n">
        <v>0</v>
      </c>
      <c r="M792" t="n">
        <v>0</v>
      </c>
      <c r="N792" t="n">
        <v>0</v>
      </c>
      <c r="O792" t="n">
        <v>0</v>
      </c>
      <c r="P792" t="n">
        <v>0</v>
      </c>
      <c r="Q792" t="n">
        <v>0</v>
      </c>
      <c r="R792" s="2" t="inlineStr"/>
    </row>
    <row r="793" ht="15" customHeight="1">
      <c r="A793" t="inlineStr">
        <is>
          <t>A 50623-2022</t>
        </is>
      </c>
      <c r="B793" s="1" t="n">
        <v>44866</v>
      </c>
      <c r="C793" s="1" t="n">
        <v>45884</v>
      </c>
      <c r="D793" t="inlineStr">
        <is>
          <t>KALMAR LÄN</t>
        </is>
      </c>
      <c r="E793" t="inlineStr">
        <is>
          <t>HÖGSBY</t>
        </is>
      </c>
      <c r="F793" t="inlineStr">
        <is>
          <t>Sveaskog</t>
        </is>
      </c>
      <c r="G793" t="n">
        <v>2.9</v>
      </c>
      <c r="H793" t="n">
        <v>0</v>
      </c>
      <c r="I793" t="n">
        <v>0</v>
      </c>
      <c r="J793" t="n">
        <v>0</v>
      </c>
      <c r="K793" t="n">
        <v>0</v>
      </c>
      <c r="L793" t="n">
        <v>0</v>
      </c>
      <c r="M793" t="n">
        <v>0</v>
      </c>
      <c r="N793" t="n">
        <v>0</v>
      </c>
      <c r="O793" t="n">
        <v>0</v>
      </c>
      <c r="P793" t="n">
        <v>0</v>
      </c>
      <c r="Q793" t="n">
        <v>0</v>
      </c>
      <c r="R793" s="2" t="inlineStr"/>
    </row>
    <row r="794" ht="15" customHeight="1">
      <c r="A794" t="inlineStr">
        <is>
          <t>A 46214-2020</t>
        </is>
      </c>
      <c r="B794" s="1" t="n">
        <v>44092</v>
      </c>
      <c r="C794" s="1" t="n">
        <v>45884</v>
      </c>
      <c r="D794" t="inlineStr">
        <is>
          <t>KALMAR LÄN</t>
        </is>
      </c>
      <c r="E794" t="inlineStr">
        <is>
          <t>VÄSTERVIK</t>
        </is>
      </c>
      <c r="G794" t="n">
        <v>2.7</v>
      </c>
      <c r="H794" t="n">
        <v>0</v>
      </c>
      <c r="I794" t="n">
        <v>0</v>
      </c>
      <c r="J794" t="n">
        <v>0</v>
      </c>
      <c r="K794" t="n">
        <v>0</v>
      </c>
      <c r="L794" t="n">
        <v>0</v>
      </c>
      <c r="M794" t="n">
        <v>0</v>
      </c>
      <c r="N794" t="n">
        <v>0</v>
      </c>
      <c r="O794" t="n">
        <v>0</v>
      </c>
      <c r="P794" t="n">
        <v>0</v>
      </c>
      <c r="Q794" t="n">
        <v>0</v>
      </c>
      <c r="R794" s="2" t="inlineStr"/>
    </row>
    <row r="795" ht="15" customHeight="1">
      <c r="A795" t="inlineStr">
        <is>
          <t>A 39395-2020</t>
        </is>
      </c>
      <c r="B795" s="1" t="n">
        <v>44064</v>
      </c>
      <c r="C795" s="1" t="n">
        <v>45884</v>
      </c>
      <c r="D795" t="inlineStr">
        <is>
          <t>KALMAR LÄN</t>
        </is>
      </c>
      <c r="E795" t="inlineStr">
        <is>
          <t>NYBRO</t>
        </is>
      </c>
      <c r="G795" t="n">
        <v>19.3</v>
      </c>
      <c r="H795" t="n">
        <v>0</v>
      </c>
      <c r="I795" t="n">
        <v>0</v>
      </c>
      <c r="J795" t="n">
        <v>0</v>
      </c>
      <c r="K795" t="n">
        <v>0</v>
      </c>
      <c r="L795" t="n">
        <v>0</v>
      </c>
      <c r="M795" t="n">
        <v>0</v>
      </c>
      <c r="N795" t="n">
        <v>0</v>
      </c>
      <c r="O795" t="n">
        <v>0</v>
      </c>
      <c r="P795" t="n">
        <v>0</v>
      </c>
      <c r="Q795" t="n">
        <v>0</v>
      </c>
      <c r="R795" s="2" t="inlineStr"/>
    </row>
    <row r="796" ht="15" customHeight="1">
      <c r="A796" t="inlineStr">
        <is>
          <t>A 57065-2020</t>
        </is>
      </c>
      <c r="B796" s="1" t="n">
        <v>44138</v>
      </c>
      <c r="C796" s="1" t="n">
        <v>45884</v>
      </c>
      <c r="D796" t="inlineStr">
        <is>
          <t>KALMAR LÄN</t>
        </is>
      </c>
      <c r="E796" t="inlineStr">
        <is>
          <t>VÄSTERVIK</t>
        </is>
      </c>
      <c r="G796" t="n">
        <v>3.7</v>
      </c>
      <c r="H796" t="n">
        <v>0</v>
      </c>
      <c r="I796" t="n">
        <v>0</v>
      </c>
      <c r="J796" t="n">
        <v>0</v>
      </c>
      <c r="K796" t="n">
        <v>0</v>
      </c>
      <c r="L796" t="n">
        <v>0</v>
      </c>
      <c r="M796" t="n">
        <v>0</v>
      </c>
      <c r="N796" t="n">
        <v>0</v>
      </c>
      <c r="O796" t="n">
        <v>0</v>
      </c>
      <c r="P796" t="n">
        <v>0</v>
      </c>
      <c r="Q796" t="n">
        <v>0</v>
      </c>
      <c r="R796" s="2" t="inlineStr"/>
    </row>
    <row r="797" ht="15" customHeight="1">
      <c r="A797" t="inlineStr">
        <is>
          <t>A 12717-2021</t>
        </is>
      </c>
      <c r="B797" s="1" t="n">
        <v>44270.60216435185</v>
      </c>
      <c r="C797" s="1" t="n">
        <v>45884</v>
      </c>
      <c r="D797" t="inlineStr">
        <is>
          <t>KALMAR LÄN</t>
        </is>
      </c>
      <c r="E797" t="inlineStr">
        <is>
          <t>HULTSFRED</t>
        </is>
      </c>
      <c r="F797" t="inlineStr">
        <is>
          <t>Sveaskog</t>
        </is>
      </c>
      <c r="G797" t="n">
        <v>0.8</v>
      </c>
      <c r="H797" t="n">
        <v>0</v>
      </c>
      <c r="I797" t="n">
        <v>0</v>
      </c>
      <c r="J797" t="n">
        <v>0</v>
      </c>
      <c r="K797" t="n">
        <v>0</v>
      </c>
      <c r="L797" t="n">
        <v>0</v>
      </c>
      <c r="M797" t="n">
        <v>0</v>
      </c>
      <c r="N797" t="n">
        <v>0</v>
      </c>
      <c r="O797" t="n">
        <v>0</v>
      </c>
      <c r="P797" t="n">
        <v>0</v>
      </c>
      <c r="Q797" t="n">
        <v>0</v>
      </c>
      <c r="R797" s="2" t="inlineStr"/>
    </row>
    <row r="798" ht="15" customHeight="1">
      <c r="A798" t="inlineStr">
        <is>
          <t>A 56499-2020</t>
        </is>
      </c>
      <c r="B798" s="1" t="n">
        <v>44137</v>
      </c>
      <c r="C798" s="1" t="n">
        <v>45884</v>
      </c>
      <c r="D798" t="inlineStr">
        <is>
          <t>KALMAR LÄN</t>
        </is>
      </c>
      <c r="E798" t="inlineStr">
        <is>
          <t>BORGHOLM</t>
        </is>
      </c>
      <c r="F798" t="inlineStr">
        <is>
          <t>Sveaskog</t>
        </is>
      </c>
      <c r="G798" t="n">
        <v>0.5</v>
      </c>
      <c r="H798" t="n">
        <v>0</v>
      </c>
      <c r="I798" t="n">
        <v>0</v>
      </c>
      <c r="J798" t="n">
        <v>0</v>
      </c>
      <c r="K798" t="n">
        <v>0</v>
      </c>
      <c r="L798" t="n">
        <v>0</v>
      </c>
      <c r="M798" t="n">
        <v>0</v>
      </c>
      <c r="N798" t="n">
        <v>0</v>
      </c>
      <c r="O798" t="n">
        <v>0</v>
      </c>
      <c r="P798" t="n">
        <v>0</v>
      </c>
      <c r="Q798" t="n">
        <v>0</v>
      </c>
      <c r="R798" s="2" t="inlineStr"/>
    </row>
    <row r="799" ht="15" customHeight="1">
      <c r="A799" t="inlineStr">
        <is>
          <t>A 61257-2020</t>
        </is>
      </c>
      <c r="B799" s="1" t="n">
        <v>44155</v>
      </c>
      <c r="C799" s="1" t="n">
        <v>45884</v>
      </c>
      <c r="D799" t="inlineStr">
        <is>
          <t>KALMAR LÄN</t>
        </is>
      </c>
      <c r="E799" t="inlineStr">
        <is>
          <t>TORSÅS</t>
        </is>
      </c>
      <c r="F799" t="inlineStr">
        <is>
          <t>Övriga Aktiebolag</t>
        </is>
      </c>
      <c r="G799" t="n">
        <v>1.3</v>
      </c>
      <c r="H799" t="n">
        <v>0</v>
      </c>
      <c r="I799" t="n">
        <v>0</v>
      </c>
      <c r="J799" t="n">
        <v>0</v>
      </c>
      <c r="K799" t="n">
        <v>0</v>
      </c>
      <c r="L799" t="n">
        <v>0</v>
      </c>
      <c r="M799" t="n">
        <v>0</v>
      </c>
      <c r="N799" t="n">
        <v>0</v>
      </c>
      <c r="O799" t="n">
        <v>0</v>
      </c>
      <c r="P799" t="n">
        <v>0</v>
      </c>
      <c r="Q799" t="n">
        <v>0</v>
      </c>
      <c r="R799" s="2" t="inlineStr"/>
    </row>
    <row r="800" ht="15" customHeight="1">
      <c r="A800" t="inlineStr">
        <is>
          <t>A 69413-2020</t>
        </is>
      </c>
      <c r="B800" s="1" t="n">
        <v>44193.83646990741</v>
      </c>
      <c r="C800" s="1" t="n">
        <v>45884</v>
      </c>
      <c r="D800" t="inlineStr">
        <is>
          <t>KALMAR LÄN</t>
        </is>
      </c>
      <c r="E800" t="inlineStr">
        <is>
          <t>HULTSFRED</t>
        </is>
      </c>
      <c r="G800" t="n">
        <v>1.5</v>
      </c>
      <c r="H800" t="n">
        <v>0</v>
      </c>
      <c r="I800" t="n">
        <v>0</v>
      </c>
      <c r="J800" t="n">
        <v>0</v>
      </c>
      <c r="K800" t="n">
        <v>0</v>
      </c>
      <c r="L800" t="n">
        <v>0</v>
      </c>
      <c r="M800" t="n">
        <v>0</v>
      </c>
      <c r="N800" t="n">
        <v>0</v>
      </c>
      <c r="O800" t="n">
        <v>0</v>
      </c>
      <c r="P800" t="n">
        <v>0</v>
      </c>
      <c r="Q800" t="n">
        <v>0</v>
      </c>
      <c r="R800" s="2" t="inlineStr"/>
    </row>
    <row r="801" ht="15" customHeight="1">
      <c r="A801" t="inlineStr">
        <is>
          <t>A 58113-2020</t>
        </is>
      </c>
      <c r="B801" s="1" t="n">
        <v>44144</v>
      </c>
      <c r="C801" s="1" t="n">
        <v>45884</v>
      </c>
      <c r="D801" t="inlineStr">
        <is>
          <t>KALMAR LÄN</t>
        </is>
      </c>
      <c r="E801" t="inlineStr">
        <is>
          <t>BORGHOLM</t>
        </is>
      </c>
      <c r="F801" t="inlineStr">
        <is>
          <t>Sveaskog</t>
        </is>
      </c>
      <c r="G801" t="n">
        <v>3</v>
      </c>
      <c r="H801" t="n">
        <v>0</v>
      </c>
      <c r="I801" t="n">
        <v>0</v>
      </c>
      <c r="J801" t="n">
        <v>0</v>
      </c>
      <c r="K801" t="n">
        <v>0</v>
      </c>
      <c r="L801" t="n">
        <v>0</v>
      </c>
      <c r="M801" t="n">
        <v>0</v>
      </c>
      <c r="N801" t="n">
        <v>0</v>
      </c>
      <c r="O801" t="n">
        <v>0</v>
      </c>
      <c r="P801" t="n">
        <v>0</v>
      </c>
      <c r="Q801" t="n">
        <v>0</v>
      </c>
      <c r="R801" s="2" t="inlineStr"/>
    </row>
    <row r="802" ht="15" customHeight="1">
      <c r="A802" t="inlineStr">
        <is>
          <t>A 57920-2020</t>
        </is>
      </c>
      <c r="B802" s="1" t="n">
        <v>44140</v>
      </c>
      <c r="C802" s="1" t="n">
        <v>45884</v>
      </c>
      <c r="D802" t="inlineStr">
        <is>
          <t>KALMAR LÄN</t>
        </is>
      </c>
      <c r="E802" t="inlineStr">
        <is>
          <t>EMMABODA</t>
        </is>
      </c>
      <c r="G802" t="n">
        <v>0.6</v>
      </c>
      <c r="H802" t="n">
        <v>0</v>
      </c>
      <c r="I802" t="n">
        <v>0</v>
      </c>
      <c r="J802" t="n">
        <v>0</v>
      </c>
      <c r="K802" t="n">
        <v>0</v>
      </c>
      <c r="L802" t="n">
        <v>0</v>
      </c>
      <c r="M802" t="n">
        <v>0</v>
      </c>
      <c r="N802" t="n">
        <v>0</v>
      </c>
      <c r="O802" t="n">
        <v>0</v>
      </c>
      <c r="P802" t="n">
        <v>0</v>
      </c>
      <c r="Q802" t="n">
        <v>0</v>
      </c>
      <c r="R802" s="2" t="inlineStr"/>
    </row>
    <row r="803" ht="15" customHeight="1">
      <c r="A803" t="inlineStr">
        <is>
          <t>A 40239-2020</t>
        </is>
      </c>
      <c r="B803" s="1" t="n">
        <v>44068</v>
      </c>
      <c r="C803" s="1" t="n">
        <v>45884</v>
      </c>
      <c r="D803" t="inlineStr">
        <is>
          <t>KALMAR LÄN</t>
        </is>
      </c>
      <c r="E803" t="inlineStr">
        <is>
          <t>VIMMERBY</t>
        </is>
      </c>
      <c r="G803" t="n">
        <v>0.5</v>
      </c>
      <c r="H803" t="n">
        <v>0</v>
      </c>
      <c r="I803" t="n">
        <v>0</v>
      </c>
      <c r="J803" t="n">
        <v>0</v>
      </c>
      <c r="K803" t="n">
        <v>0</v>
      </c>
      <c r="L803" t="n">
        <v>0</v>
      </c>
      <c r="M803" t="n">
        <v>0</v>
      </c>
      <c r="N803" t="n">
        <v>0</v>
      </c>
      <c r="O803" t="n">
        <v>0</v>
      </c>
      <c r="P803" t="n">
        <v>0</v>
      </c>
      <c r="Q803" t="n">
        <v>0</v>
      </c>
      <c r="R803" s="2" t="inlineStr"/>
    </row>
    <row r="804" ht="15" customHeight="1">
      <c r="A804" t="inlineStr">
        <is>
          <t>A 56434-2020</t>
        </is>
      </c>
      <c r="B804" s="1" t="n">
        <v>44137</v>
      </c>
      <c r="C804" s="1" t="n">
        <v>45884</v>
      </c>
      <c r="D804" t="inlineStr">
        <is>
          <t>KALMAR LÄN</t>
        </is>
      </c>
      <c r="E804" t="inlineStr">
        <is>
          <t>BORGHOLM</t>
        </is>
      </c>
      <c r="F804" t="inlineStr">
        <is>
          <t>Sveaskog</t>
        </is>
      </c>
      <c r="G804" t="n">
        <v>1.2</v>
      </c>
      <c r="H804" t="n">
        <v>0</v>
      </c>
      <c r="I804" t="n">
        <v>0</v>
      </c>
      <c r="J804" t="n">
        <v>0</v>
      </c>
      <c r="K804" t="n">
        <v>0</v>
      </c>
      <c r="L804" t="n">
        <v>0</v>
      </c>
      <c r="M804" t="n">
        <v>0</v>
      </c>
      <c r="N804" t="n">
        <v>0</v>
      </c>
      <c r="O804" t="n">
        <v>0</v>
      </c>
      <c r="P804" t="n">
        <v>0</v>
      </c>
      <c r="Q804" t="n">
        <v>0</v>
      </c>
      <c r="R804" s="2" t="inlineStr"/>
    </row>
    <row r="805" ht="15" customHeight="1">
      <c r="A805" t="inlineStr">
        <is>
          <t>A 16697-2021</t>
        </is>
      </c>
      <c r="B805" s="1" t="n">
        <v>44294</v>
      </c>
      <c r="C805" s="1" t="n">
        <v>45884</v>
      </c>
      <c r="D805" t="inlineStr">
        <is>
          <t>KALMAR LÄN</t>
        </is>
      </c>
      <c r="E805" t="inlineStr">
        <is>
          <t>VÄSTERVIK</t>
        </is>
      </c>
      <c r="G805" t="n">
        <v>1.5</v>
      </c>
      <c r="H805" t="n">
        <v>0</v>
      </c>
      <c r="I805" t="n">
        <v>0</v>
      </c>
      <c r="J805" t="n">
        <v>0</v>
      </c>
      <c r="K805" t="n">
        <v>0</v>
      </c>
      <c r="L805" t="n">
        <v>0</v>
      </c>
      <c r="M805" t="n">
        <v>0</v>
      </c>
      <c r="N805" t="n">
        <v>0</v>
      </c>
      <c r="O805" t="n">
        <v>0</v>
      </c>
      <c r="P805" t="n">
        <v>0</v>
      </c>
      <c r="Q805" t="n">
        <v>0</v>
      </c>
      <c r="R805" s="2" t="inlineStr"/>
    </row>
    <row r="806" ht="15" customHeight="1">
      <c r="A806" t="inlineStr">
        <is>
          <t>A 61442-2020</t>
        </is>
      </c>
      <c r="B806" s="1" t="n">
        <v>44157</v>
      </c>
      <c r="C806" s="1" t="n">
        <v>45884</v>
      </c>
      <c r="D806" t="inlineStr">
        <is>
          <t>KALMAR LÄN</t>
        </is>
      </c>
      <c r="E806" t="inlineStr">
        <is>
          <t>MÖNSTERÅS</t>
        </is>
      </c>
      <c r="G806" t="n">
        <v>1.5</v>
      </c>
      <c r="H806" t="n">
        <v>0</v>
      </c>
      <c r="I806" t="n">
        <v>0</v>
      </c>
      <c r="J806" t="n">
        <v>0</v>
      </c>
      <c r="K806" t="n">
        <v>0</v>
      </c>
      <c r="L806" t="n">
        <v>0</v>
      </c>
      <c r="M806" t="n">
        <v>0</v>
      </c>
      <c r="N806" t="n">
        <v>0</v>
      </c>
      <c r="O806" t="n">
        <v>0</v>
      </c>
      <c r="P806" t="n">
        <v>0</v>
      </c>
      <c r="Q806" t="n">
        <v>0</v>
      </c>
      <c r="R806" s="2" t="inlineStr"/>
    </row>
    <row r="807" ht="15" customHeight="1">
      <c r="A807" t="inlineStr">
        <is>
          <t>A 23626-2021</t>
        </is>
      </c>
      <c r="B807" s="1" t="n">
        <v>44334</v>
      </c>
      <c r="C807" s="1" t="n">
        <v>45884</v>
      </c>
      <c r="D807" t="inlineStr">
        <is>
          <t>KALMAR LÄN</t>
        </is>
      </c>
      <c r="E807" t="inlineStr">
        <is>
          <t>VÄSTERVIK</t>
        </is>
      </c>
      <c r="G807" t="n">
        <v>9</v>
      </c>
      <c r="H807" t="n">
        <v>0</v>
      </c>
      <c r="I807" t="n">
        <v>0</v>
      </c>
      <c r="J807" t="n">
        <v>0</v>
      </c>
      <c r="K807" t="n">
        <v>0</v>
      </c>
      <c r="L807" t="n">
        <v>0</v>
      </c>
      <c r="M807" t="n">
        <v>0</v>
      </c>
      <c r="N807" t="n">
        <v>0</v>
      </c>
      <c r="O807" t="n">
        <v>0</v>
      </c>
      <c r="P807" t="n">
        <v>0</v>
      </c>
      <c r="Q807" t="n">
        <v>0</v>
      </c>
      <c r="R807" s="2" t="inlineStr"/>
    </row>
    <row r="808" ht="15" customHeight="1">
      <c r="A808" t="inlineStr">
        <is>
          <t>A 5423-2021</t>
        </is>
      </c>
      <c r="B808" s="1" t="n">
        <v>44229</v>
      </c>
      <c r="C808" s="1" t="n">
        <v>45884</v>
      </c>
      <c r="D808" t="inlineStr">
        <is>
          <t>KALMAR LÄN</t>
        </is>
      </c>
      <c r="E808" t="inlineStr">
        <is>
          <t>HULTSFRED</t>
        </is>
      </c>
      <c r="G808" t="n">
        <v>1.9</v>
      </c>
      <c r="H808" t="n">
        <v>0</v>
      </c>
      <c r="I808" t="n">
        <v>0</v>
      </c>
      <c r="J808" t="n">
        <v>0</v>
      </c>
      <c r="K808" t="n">
        <v>0</v>
      </c>
      <c r="L808" t="n">
        <v>0</v>
      </c>
      <c r="M808" t="n">
        <v>0</v>
      </c>
      <c r="N808" t="n">
        <v>0</v>
      </c>
      <c r="O808" t="n">
        <v>0</v>
      </c>
      <c r="P808" t="n">
        <v>0</v>
      </c>
      <c r="Q808" t="n">
        <v>0</v>
      </c>
      <c r="R808" s="2" t="inlineStr"/>
    </row>
    <row r="809" ht="15" customHeight="1">
      <c r="A809" t="inlineStr">
        <is>
          <t>A 44580-2022</t>
        </is>
      </c>
      <c r="B809" s="1" t="n">
        <v>44840.49690972222</v>
      </c>
      <c r="C809" s="1" t="n">
        <v>45884</v>
      </c>
      <c r="D809" t="inlineStr">
        <is>
          <t>KALMAR LÄN</t>
        </is>
      </c>
      <c r="E809" t="inlineStr">
        <is>
          <t>TORSÅS</t>
        </is>
      </c>
      <c r="G809" t="n">
        <v>0.7</v>
      </c>
      <c r="H809" t="n">
        <v>0</v>
      </c>
      <c r="I809" t="n">
        <v>0</v>
      </c>
      <c r="J809" t="n">
        <v>0</v>
      </c>
      <c r="K809" t="n">
        <v>0</v>
      </c>
      <c r="L809" t="n">
        <v>0</v>
      </c>
      <c r="M809" t="n">
        <v>0</v>
      </c>
      <c r="N809" t="n">
        <v>0</v>
      </c>
      <c r="O809" t="n">
        <v>0</v>
      </c>
      <c r="P809" t="n">
        <v>0</v>
      </c>
      <c r="Q809" t="n">
        <v>0</v>
      </c>
      <c r="R809" s="2" t="inlineStr"/>
    </row>
    <row r="810" ht="15" customHeight="1">
      <c r="A810" t="inlineStr">
        <is>
          <t>A 14317-2021</t>
        </is>
      </c>
      <c r="B810" s="1" t="n">
        <v>44278</v>
      </c>
      <c r="C810" s="1" t="n">
        <v>45884</v>
      </c>
      <c r="D810" t="inlineStr">
        <is>
          <t>KALMAR LÄN</t>
        </is>
      </c>
      <c r="E810" t="inlineStr">
        <is>
          <t>VÄSTERVIK</t>
        </is>
      </c>
      <c r="G810" t="n">
        <v>2.1</v>
      </c>
      <c r="H810" t="n">
        <v>0</v>
      </c>
      <c r="I810" t="n">
        <v>0</v>
      </c>
      <c r="J810" t="n">
        <v>0</v>
      </c>
      <c r="K810" t="n">
        <v>0</v>
      </c>
      <c r="L810" t="n">
        <v>0</v>
      </c>
      <c r="M810" t="n">
        <v>0</v>
      </c>
      <c r="N810" t="n">
        <v>0</v>
      </c>
      <c r="O810" t="n">
        <v>0</v>
      </c>
      <c r="P810" t="n">
        <v>0</v>
      </c>
      <c r="Q810" t="n">
        <v>0</v>
      </c>
      <c r="R810" s="2" t="inlineStr"/>
    </row>
    <row r="811" ht="15" customHeight="1">
      <c r="A811" t="inlineStr">
        <is>
          <t>A 45427-2020</t>
        </is>
      </c>
      <c r="B811" s="1" t="n">
        <v>44089</v>
      </c>
      <c r="C811" s="1" t="n">
        <v>45884</v>
      </c>
      <c r="D811" t="inlineStr">
        <is>
          <t>KALMAR LÄN</t>
        </is>
      </c>
      <c r="E811" t="inlineStr">
        <is>
          <t>EMMABODA</t>
        </is>
      </c>
      <c r="G811" t="n">
        <v>1</v>
      </c>
      <c r="H811" t="n">
        <v>0</v>
      </c>
      <c r="I811" t="n">
        <v>0</v>
      </c>
      <c r="J811" t="n">
        <v>0</v>
      </c>
      <c r="K811" t="n">
        <v>0</v>
      </c>
      <c r="L811" t="n">
        <v>0</v>
      </c>
      <c r="M811" t="n">
        <v>0</v>
      </c>
      <c r="N811" t="n">
        <v>0</v>
      </c>
      <c r="O811" t="n">
        <v>0</v>
      </c>
      <c r="P811" t="n">
        <v>0</v>
      </c>
      <c r="Q811" t="n">
        <v>0</v>
      </c>
      <c r="R811" s="2" t="inlineStr"/>
    </row>
    <row r="812" ht="15" customHeight="1">
      <c r="A812" t="inlineStr">
        <is>
          <t>A 43797-2020</t>
        </is>
      </c>
      <c r="B812" s="1" t="n">
        <v>44082</v>
      </c>
      <c r="C812" s="1" t="n">
        <v>45884</v>
      </c>
      <c r="D812" t="inlineStr">
        <is>
          <t>KALMAR LÄN</t>
        </is>
      </c>
      <c r="E812" t="inlineStr">
        <is>
          <t>EMMABODA</t>
        </is>
      </c>
      <c r="G812" t="n">
        <v>1</v>
      </c>
      <c r="H812" t="n">
        <v>0</v>
      </c>
      <c r="I812" t="n">
        <v>0</v>
      </c>
      <c r="J812" t="n">
        <v>0</v>
      </c>
      <c r="K812" t="n">
        <v>0</v>
      </c>
      <c r="L812" t="n">
        <v>0</v>
      </c>
      <c r="M812" t="n">
        <v>0</v>
      </c>
      <c r="N812" t="n">
        <v>0</v>
      </c>
      <c r="O812" t="n">
        <v>0</v>
      </c>
      <c r="P812" t="n">
        <v>0</v>
      </c>
      <c r="Q812" t="n">
        <v>0</v>
      </c>
      <c r="R812" s="2" t="inlineStr"/>
    </row>
    <row r="813" ht="15" customHeight="1">
      <c r="A813" t="inlineStr">
        <is>
          <t>A 43918-2020</t>
        </is>
      </c>
      <c r="B813" s="1" t="n">
        <v>44083</v>
      </c>
      <c r="C813" s="1" t="n">
        <v>45884</v>
      </c>
      <c r="D813" t="inlineStr">
        <is>
          <t>KALMAR LÄN</t>
        </is>
      </c>
      <c r="E813" t="inlineStr">
        <is>
          <t>HULTSFRED</t>
        </is>
      </c>
      <c r="G813" t="n">
        <v>0.8</v>
      </c>
      <c r="H813" t="n">
        <v>0</v>
      </c>
      <c r="I813" t="n">
        <v>0</v>
      </c>
      <c r="J813" t="n">
        <v>0</v>
      </c>
      <c r="K813" t="n">
        <v>0</v>
      </c>
      <c r="L813" t="n">
        <v>0</v>
      </c>
      <c r="M813" t="n">
        <v>0</v>
      </c>
      <c r="N813" t="n">
        <v>0</v>
      </c>
      <c r="O813" t="n">
        <v>0</v>
      </c>
      <c r="P813" t="n">
        <v>0</v>
      </c>
      <c r="Q813" t="n">
        <v>0</v>
      </c>
      <c r="R813" s="2" t="inlineStr"/>
    </row>
    <row r="814" ht="15" customHeight="1">
      <c r="A814" t="inlineStr">
        <is>
          <t>A 42090-2020</t>
        </is>
      </c>
      <c r="B814" s="1" t="n">
        <v>44074</v>
      </c>
      <c r="C814" s="1" t="n">
        <v>45884</v>
      </c>
      <c r="D814" t="inlineStr">
        <is>
          <t>KALMAR LÄN</t>
        </is>
      </c>
      <c r="E814" t="inlineStr">
        <is>
          <t>NYBRO</t>
        </is>
      </c>
      <c r="G814" t="n">
        <v>4.2</v>
      </c>
      <c r="H814" t="n">
        <v>0</v>
      </c>
      <c r="I814" t="n">
        <v>0</v>
      </c>
      <c r="J814" t="n">
        <v>0</v>
      </c>
      <c r="K814" t="n">
        <v>0</v>
      </c>
      <c r="L814" t="n">
        <v>0</v>
      </c>
      <c r="M814" t="n">
        <v>0</v>
      </c>
      <c r="N814" t="n">
        <v>0</v>
      </c>
      <c r="O814" t="n">
        <v>0</v>
      </c>
      <c r="P814" t="n">
        <v>0</v>
      </c>
      <c r="Q814" t="n">
        <v>0</v>
      </c>
      <c r="R814" s="2" t="inlineStr"/>
    </row>
    <row r="815" ht="15" customHeight="1">
      <c r="A815" t="inlineStr">
        <is>
          <t>A 44000-2020</t>
        </is>
      </c>
      <c r="B815" s="1" t="n">
        <v>44083</v>
      </c>
      <c r="C815" s="1" t="n">
        <v>45884</v>
      </c>
      <c r="D815" t="inlineStr">
        <is>
          <t>KALMAR LÄN</t>
        </is>
      </c>
      <c r="E815" t="inlineStr">
        <is>
          <t>VIMMERBY</t>
        </is>
      </c>
      <c r="G815" t="n">
        <v>0.8</v>
      </c>
      <c r="H815" t="n">
        <v>0</v>
      </c>
      <c r="I815" t="n">
        <v>0</v>
      </c>
      <c r="J815" t="n">
        <v>0</v>
      </c>
      <c r="K815" t="n">
        <v>0</v>
      </c>
      <c r="L815" t="n">
        <v>0</v>
      </c>
      <c r="M815" t="n">
        <v>0</v>
      </c>
      <c r="N815" t="n">
        <v>0</v>
      </c>
      <c r="O815" t="n">
        <v>0</v>
      </c>
      <c r="P815" t="n">
        <v>0</v>
      </c>
      <c r="Q815" t="n">
        <v>0</v>
      </c>
      <c r="R815" s="2" t="inlineStr"/>
    </row>
    <row r="816" ht="15" customHeight="1">
      <c r="A816" t="inlineStr">
        <is>
          <t>A 28662-2021</t>
        </is>
      </c>
      <c r="B816" s="1" t="n">
        <v>44357</v>
      </c>
      <c r="C816" s="1" t="n">
        <v>45884</v>
      </c>
      <c r="D816" t="inlineStr">
        <is>
          <t>KALMAR LÄN</t>
        </is>
      </c>
      <c r="E816" t="inlineStr">
        <is>
          <t>HÖGSBY</t>
        </is>
      </c>
      <c r="G816" t="n">
        <v>1.1</v>
      </c>
      <c r="H816" t="n">
        <v>0</v>
      </c>
      <c r="I816" t="n">
        <v>0</v>
      </c>
      <c r="J816" t="n">
        <v>0</v>
      </c>
      <c r="K816" t="n">
        <v>0</v>
      </c>
      <c r="L816" t="n">
        <v>0</v>
      </c>
      <c r="M816" t="n">
        <v>0</v>
      </c>
      <c r="N816" t="n">
        <v>0</v>
      </c>
      <c r="O816" t="n">
        <v>0</v>
      </c>
      <c r="P816" t="n">
        <v>0</v>
      </c>
      <c r="Q816" t="n">
        <v>0</v>
      </c>
      <c r="R816" s="2" t="inlineStr"/>
    </row>
    <row r="817" ht="15" customHeight="1">
      <c r="A817" t="inlineStr">
        <is>
          <t>A 635-2021</t>
        </is>
      </c>
      <c r="B817" s="1" t="n">
        <v>44203.65149305556</v>
      </c>
      <c r="C817" s="1" t="n">
        <v>45884</v>
      </c>
      <c r="D817" t="inlineStr">
        <is>
          <t>KALMAR LÄN</t>
        </is>
      </c>
      <c r="E817" t="inlineStr">
        <is>
          <t>HULTSFRED</t>
        </is>
      </c>
      <c r="G817" t="n">
        <v>1.2</v>
      </c>
      <c r="H817" t="n">
        <v>0</v>
      </c>
      <c r="I817" t="n">
        <v>0</v>
      </c>
      <c r="J817" t="n">
        <v>0</v>
      </c>
      <c r="K817" t="n">
        <v>0</v>
      </c>
      <c r="L817" t="n">
        <v>0</v>
      </c>
      <c r="M817" t="n">
        <v>0</v>
      </c>
      <c r="N817" t="n">
        <v>0</v>
      </c>
      <c r="O817" t="n">
        <v>0</v>
      </c>
      <c r="P817" t="n">
        <v>0</v>
      </c>
      <c r="Q817" t="n">
        <v>0</v>
      </c>
      <c r="R817" s="2" t="inlineStr"/>
    </row>
    <row r="818" ht="15" customHeight="1">
      <c r="A818" t="inlineStr">
        <is>
          <t>A 54793-2020</t>
        </is>
      </c>
      <c r="B818" s="1" t="n">
        <v>44127</v>
      </c>
      <c r="C818" s="1" t="n">
        <v>45884</v>
      </c>
      <c r="D818" t="inlineStr">
        <is>
          <t>KALMAR LÄN</t>
        </is>
      </c>
      <c r="E818" t="inlineStr">
        <is>
          <t>OSKARSHAMN</t>
        </is>
      </c>
      <c r="G818" t="n">
        <v>1</v>
      </c>
      <c r="H818" t="n">
        <v>0</v>
      </c>
      <c r="I818" t="n">
        <v>0</v>
      </c>
      <c r="J818" t="n">
        <v>0</v>
      </c>
      <c r="K818" t="n">
        <v>0</v>
      </c>
      <c r="L818" t="n">
        <v>0</v>
      </c>
      <c r="M818" t="n">
        <v>0</v>
      </c>
      <c r="N818" t="n">
        <v>0</v>
      </c>
      <c r="O818" t="n">
        <v>0</v>
      </c>
      <c r="P818" t="n">
        <v>0</v>
      </c>
      <c r="Q818" t="n">
        <v>0</v>
      </c>
      <c r="R818" s="2" t="inlineStr"/>
    </row>
    <row r="819" ht="15" customHeight="1">
      <c r="A819" t="inlineStr">
        <is>
          <t>A 11146-2021</t>
        </is>
      </c>
      <c r="B819" s="1" t="n">
        <v>44261</v>
      </c>
      <c r="C819" s="1" t="n">
        <v>45884</v>
      </c>
      <c r="D819" t="inlineStr">
        <is>
          <t>KALMAR LÄN</t>
        </is>
      </c>
      <c r="E819" t="inlineStr">
        <is>
          <t>NYBRO</t>
        </is>
      </c>
      <c r="G819" t="n">
        <v>2.1</v>
      </c>
      <c r="H819" t="n">
        <v>0</v>
      </c>
      <c r="I819" t="n">
        <v>0</v>
      </c>
      <c r="J819" t="n">
        <v>0</v>
      </c>
      <c r="K819" t="n">
        <v>0</v>
      </c>
      <c r="L819" t="n">
        <v>0</v>
      </c>
      <c r="M819" t="n">
        <v>0</v>
      </c>
      <c r="N819" t="n">
        <v>0</v>
      </c>
      <c r="O819" t="n">
        <v>0</v>
      </c>
      <c r="P819" t="n">
        <v>0</v>
      </c>
      <c r="Q819" t="n">
        <v>0</v>
      </c>
      <c r="R819" s="2" t="inlineStr"/>
    </row>
    <row r="820" ht="15" customHeight="1">
      <c r="A820" t="inlineStr">
        <is>
          <t>A 61696-2020</t>
        </is>
      </c>
      <c r="B820" s="1" t="n">
        <v>44158</v>
      </c>
      <c r="C820" s="1" t="n">
        <v>45884</v>
      </c>
      <c r="D820" t="inlineStr">
        <is>
          <t>KALMAR LÄN</t>
        </is>
      </c>
      <c r="E820" t="inlineStr">
        <is>
          <t>VÄSTERVIK</t>
        </is>
      </c>
      <c r="G820" t="n">
        <v>1.7</v>
      </c>
      <c r="H820" t="n">
        <v>0</v>
      </c>
      <c r="I820" t="n">
        <v>0</v>
      </c>
      <c r="J820" t="n">
        <v>0</v>
      </c>
      <c r="K820" t="n">
        <v>0</v>
      </c>
      <c r="L820" t="n">
        <v>0</v>
      </c>
      <c r="M820" t="n">
        <v>0</v>
      </c>
      <c r="N820" t="n">
        <v>0</v>
      </c>
      <c r="O820" t="n">
        <v>0</v>
      </c>
      <c r="P820" t="n">
        <v>0</v>
      </c>
      <c r="Q820" t="n">
        <v>0</v>
      </c>
      <c r="R820" s="2" t="inlineStr"/>
    </row>
    <row r="821" ht="15" customHeight="1">
      <c r="A821" t="inlineStr">
        <is>
          <t>A 19219-2021</t>
        </is>
      </c>
      <c r="B821" s="1" t="n">
        <v>44309</v>
      </c>
      <c r="C821" s="1" t="n">
        <v>45884</v>
      </c>
      <c r="D821" t="inlineStr">
        <is>
          <t>KALMAR LÄN</t>
        </is>
      </c>
      <c r="E821" t="inlineStr">
        <is>
          <t>VÄSTERVIK</t>
        </is>
      </c>
      <c r="G821" t="n">
        <v>0.9</v>
      </c>
      <c r="H821" t="n">
        <v>0</v>
      </c>
      <c r="I821" t="n">
        <v>0</v>
      </c>
      <c r="J821" t="n">
        <v>0</v>
      </c>
      <c r="K821" t="n">
        <v>0</v>
      </c>
      <c r="L821" t="n">
        <v>0</v>
      </c>
      <c r="M821" t="n">
        <v>0</v>
      </c>
      <c r="N821" t="n">
        <v>0</v>
      </c>
      <c r="O821" t="n">
        <v>0</v>
      </c>
      <c r="P821" t="n">
        <v>0</v>
      </c>
      <c r="Q821" t="n">
        <v>0</v>
      </c>
      <c r="R821" s="2" t="inlineStr"/>
    </row>
    <row r="822" ht="15" customHeight="1">
      <c r="A822" t="inlineStr">
        <is>
          <t>A 47081-2020</t>
        </is>
      </c>
      <c r="B822" s="1" t="n">
        <v>44096</v>
      </c>
      <c r="C822" s="1" t="n">
        <v>45884</v>
      </c>
      <c r="D822" t="inlineStr">
        <is>
          <t>KALMAR LÄN</t>
        </is>
      </c>
      <c r="E822" t="inlineStr">
        <is>
          <t>MÖNSTERÅS</t>
        </is>
      </c>
      <c r="G822" t="n">
        <v>2.8</v>
      </c>
      <c r="H822" t="n">
        <v>0</v>
      </c>
      <c r="I822" t="n">
        <v>0</v>
      </c>
      <c r="J822" t="n">
        <v>0</v>
      </c>
      <c r="K822" t="n">
        <v>0</v>
      </c>
      <c r="L822" t="n">
        <v>0</v>
      </c>
      <c r="M822" t="n">
        <v>0</v>
      </c>
      <c r="N822" t="n">
        <v>0</v>
      </c>
      <c r="O822" t="n">
        <v>0</v>
      </c>
      <c r="P822" t="n">
        <v>0</v>
      </c>
      <c r="Q822" t="n">
        <v>0</v>
      </c>
      <c r="R822" s="2" t="inlineStr"/>
    </row>
    <row r="823" ht="15" customHeight="1">
      <c r="A823" t="inlineStr">
        <is>
          <t>A 48038-2020</t>
        </is>
      </c>
      <c r="B823" s="1" t="n">
        <v>44099</v>
      </c>
      <c r="C823" s="1" t="n">
        <v>45884</v>
      </c>
      <c r="D823" t="inlineStr">
        <is>
          <t>KALMAR LÄN</t>
        </is>
      </c>
      <c r="E823" t="inlineStr">
        <is>
          <t>OSKARSHAMN</t>
        </is>
      </c>
      <c r="G823" t="n">
        <v>0.6</v>
      </c>
      <c r="H823" t="n">
        <v>0</v>
      </c>
      <c r="I823" t="n">
        <v>0</v>
      </c>
      <c r="J823" t="n">
        <v>0</v>
      </c>
      <c r="K823" t="n">
        <v>0</v>
      </c>
      <c r="L823" t="n">
        <v>0</v>
      </c>
      <c r="M823" t="n">
        <v>0</v>
      </c>
      <c r="N823" t="n">
        <v>0</v>
      </c>
      <c r="O823" t="n">
        <v>0</v>
      </c>
      <c r="P823" t="n">
        <v>0</v>
      </c>
      <c r="Q823" t="n">
        <v>0</v>
      </c>
      <c r="R823" s="2" t="inlineStr"/>
    </row>
    <row r="824" ht="15" customHeight="1">
      <c r="A824" t="inlineStr">
        <is>
          <t>A 49059-2020</t>
        </is>
      </c>
      <c r="B824" s="1" t="n">
        <v>44102</v>
      </c>
      <c r="C824" s="1" t="n">
        <v>45884</v>
      </c>
      <c r="D824" t="inlineStr">
        <is>
          <t>KALMAR LÄN</t>
        </is>
      </c>
      <c r="E824" t="inlineStr">
        <is>
          <t>VIMMERBY</t>
        </is>
      </c>
      <c r="G824" t="n">
        <v>5.8</v>
      </c>
      <c r="H824" t="n">
        <v>0</v>
      </c>
      <c r="I824" t="n">
        <v>0</v>
      </c>
      <c r="J824" t="n">
        <v>0</v>
      </c>
      <c r="K824" t="n">
        <v>0</v>
      </c>
      <c r="L824" t="n">
        <v>0</v>
      </c>
      <c r="M824" t="n">
        <v>0</v>
      </c>
      <c r="N824" t="n">
        <v>0</v>
      </c>
      <c r="O824" t="n">
        <v>0</v>
      </c>
      <c r="P824" t="n">
        <v>0</v>
      </c>
      <c r="Q824" t="n">
        <v>0</v>
      </c>
      <c r="R824" s="2" t="inlineStr"/>
    </row>
    <row r="825" ht="15" customHeight="1">
      <c r="A825" t="inlineStr">
        <is>
          <t>A 48523-2020</t>
        </is>
      </c>
      <c r="B825" s="1" t="n">
        <v>44103</v>
      </c>
      <c r="C825" s="1" t="n">
        <v>45884</v>
      </c>
      <c r="D825" t="inlineStr">
        <is>
          <t>KALMAR LÄN</t>
        </is>
      </c>
      <c r="E825" t="inlineStr">
        <is>
          <t>OSKARSHAMN</t>
        </is>
      </c>
      <c r="G825" t="n">
        <v>2.5</v>
      </c>
      <c r="H825" t="n">
        <v>0</v>
      </c>
      <c r="I825" t="n">
        <v>0</v>
      </c>
      <c r="J825" t="n">
        <v>0</v>
      </c>
      <c r="K825" t="n">
        <v>0</v>
      </c>
      <c r="L825" t="n">
        <v>0</v>
      </c>
      <c r="M825" t="n">
        <v>0</v>
      </c>
      <c r="N825" t="n">
        <v>0</v>
      </c>
      <c r="O825" t="n">
        <v>0</v>
      </c>
      <c r="P825" t="n">
        <v>0</v>
      </c>
      <c r="Q825" t="n">
        <v>0</v>
      </c>
      <c r="R825" s="2" t="inlineStr"/>
    </row>
    <row r="826" ht="15" customHeight="1">
      <c r="A826" t="inlineStr">
        <is>
          <t>A 67036-2020</t>
        </is>
      </c>
      <c r="B826" s="1" t="n">
        <v>44179</v>
      </c>
      <c r="C826" s="1" t="n">
        <v>45884</v>
      </c>
      <c r="D826" t="inlineStr">
        <is>
          <t>KALMAR LÄN</t>
        </is>
      </c>
      <c r="E826" t="inlineStr">
        <is>
          <t>NYBRO</t>
        </is>
      </c>
      <c r="G826" t="n">
        <v>1.5</v>
      </c>
      <c r="H826" t="n">
        <v>0</v>
      </c>
      <c r="I826" t="n">
        <v>0</v>
      </c>
      <c r="J826" t="n">
        <v>0</v>
      </c>
      <c r="K826" t="n">
        <v>0</v>
      </c>
      <c r="L826" t="n">
        <v>0</v>
      </c>
      <c r="M826" t="n">
        <v>0</v>
      </c>
      <c r="N826" t="n">
        <v>0</v>
      </c>
      <c r="O826" t="n">
        <v>0</v>
      </c>
      <c r="P826" t="n">
        <v>0</v>
      </c>
      <c r="Q826" t="n">
        <v>0</v>
      </c>
      <c r="R826" s="2" t="inlineStr"/>
    </row>
    <row r="827" ht="15" customHeight="1">
      <c r="A827" t="inlineStr">
        <is>
          <t>A 52952-2020</t>
        </is>
      </c>
      <c r="B827" s="1" t="n">
        <v>44120.38783564815</v>
      </c>
      <c r="C827" s="1" t="n">
        <v>45884</v>
      </c>
      <c r="D827" t="inlineStr">
        <is>
          <t>KALMAR LÄN</t>
        </is>
      </c>
      <c r="E827" t="inlineStr">
        <is>
          <t>EMMABODA</t>
        </is>
      </c>
      <c r="F827" t="inlineStr">
        <is>
          <t>Sveaskog</t>
        </is>
      </c>
      <c r="G827" t="n">
        <v>1.2</v>
      </c>
      <c r="H827" t="n">
        <v>0</v>
      </c>
      <c r="I827" t="n">
        <v>0</v>
      </c>
      <c r="J827" t="n">
        <v>0</v>
      </c>
      <c r="K827" t="n">
        <v>0</v>
      </c>
      <c r="L827" t="n">
        <v>0</v>
      </c>
      <c r="M827" t="n">
        <v>0</v>
      </c>
      <c r="N827" t="n">
        <v>0</v>
      </c>
      <c r="O827" t="n">
        <v>0</v>
      </c>
      <c r="P827" t="n">
        <v>0</v>
      </c>
      <c r="Q827" t="n">
        <v>0</v>
      </c>
      <c r="R827" s="2" t="inlineStr"/>
    </row>
    <row r="828" ht="15" customHeight="1">
      <c r="A828" t="inlineStr">
        <is>
          <t>A 19988-2021</t>
        </is>
      </c>
      <c r="B828" s="1" t="n">
        <v>44313.69768518519</v>
      </c>
      <c r="C828" s="1" t="n">
        <v>45884</v>
      </c>
      <c r="D828" t="inlineStr">
        <is>
          <t>KALMAR LÄN</t>
        </is>
      </c>
      <c r="E828" t="inlineStr">
        <is>
          <t>TORSÅS</t>
        </is>
      </c>
      <c r="G828" t="n">
        <v>2</v>
      </c>
      <c r="H828" t="n">
        <v>0</v>
      </c>
      <c r="I828" t="n">
        <v>0</v>
      </c>
      <c r="J828" t="n">
        <v>0</v>
      </c>
      <c r="K828" t="n">
        <v>0</v>
      </c>
      <c r="L828" t="n">
        <v>0</v>
      </c>
      <c r="M828" t="n">
        <v>0</v>
      </c>
      <c r="N828" t="n">
        <v>0</v>
      </c>
      <c r="O828" t="n">
        <v>0</v>
      </c>
      <c r="P828" t="n">
        <v>0</v>
      </c>
      <c r="Q828" t="n">
        <v>0</v>
      </c>
      <c r="R828" s="2" t="inlineStr"/>
    </row>
    <row r="829" ht="15" customHeight="1">
      <c r="A829" t="inlineStr">
        <is>
          <t>A 65911-2020</t>
        </is>
      </c>
      <c r="B829" s="1" t="n">
        <v>44175</v>
      </c>
      <c r="C829" s="1" t="n">
        <v>45884</v>
      </c>
      <c r="D829" t="inlineStr">
        <is>
          <t>KALMAR LÄN</t>
        </is>
      </c>
      <c r="E829" t="inlineStr">
        <is>
          <t>MÖNSTERÅS</t>
        </is>
      </c>
      <c r="G829" t="n">
        <v>0.2</v>
      </c>
      <c r="H829" t="n">
        <v>0</v>
      </c>
      <c r="I829" t="n">
        <v>0</v>
      </c>
      <c r="J829" t="n">
        <v>0</v>
      </c>
      <c r="K829" t="n">
        <v>0</v>
      </c>
      <c r="L829" t="n">
        <v>0</v>
      </c>
      <c r="M829" t="n">
        <v>0</v>
      </c>
      <c r="N829" t="n">
        <v>0</v>
      </c>
      <c r="O829" t="n">
        <v>0</v>
      </c>
      <c r="P829" t="n">
        <v>0</v>
      </c>
      <c r="Q829" t="n">
        <v>0</v>
      </c>
      <c r="R829" s="2" t="inlineStr"/>
    </row>
    <row r="830" ht="15" customHeight="1">
      <c r="A830" t="inlineStr">
        <is>
          <t>A 44182-2020</t>
        </is>
      </c>
      <c r="B830" s="1" t="n">
        <v>44083</v>
      </c>
      <c r="C830" s="1" t="n">
        <v>45884</v>
      </c>
      <c r="D830" t="inlineStr">
        <is>
          <t>KALMAR LÄN</t>
        </is>
      </c>
      <c r="E830" t="inlineStr">
        <is>
          <t>OSKARSHAMN</t>
        </is>
      </c>
      <c r="G830" t="n">
        <v>1.7</v>
      </c>
      <c r="H830" t="n">
        <v>0</v>
      </c>
      <c r="I830" t="n">
        <v>0</v>
      </c>
      <c r="J830" t="n">
        <v>0</v>
      </c>
      <c r="K830" t="n">
        <v>0</v>
      </c>
      <c r="L830" t="n">
        <v>0</v>
      </c>
      <c r="M830" t="n">
        <v>0</v>
      </c>
      <c r="N830" t="n">
        <v>0</v>
      </c>
      <c r="O830" t="n">
        <v>0</v>
      </c>
      <c r="P830" t="n">
        <v>0</v>
      </c>
      <c r="Q830" t="n">
        <v>0</v>
      </c>
      <c r="R830" s="2" t="inlineStr"/>
    </row>
    <row r="831" ht="15" customHeight="1">
      <c r="A831" t="inlineStr">
        <is>
          <t>A 33856-2021</t>
        </is>
      </c>
      <c r="B831" s="1" t="n">
        <v>44378</v>
      </c>
      <c r="C831" s="1" t="n">
        <v>45884</v>
      </c>
      <c r="D831" t="inlineStr">
        <is>
          <t>KALMAR LÄN</t>
        </is>
      </c>
      <c r="E831" t="inlineStr">
        <is>
          <t>NYBRO</t>
        </is>
      </c>
      <c r="G831" t="n">
        <v>1</v>
      </c>
      <c r="H831" t="n">
        <v>0</v>
      </c>
      <c r="I831" t="n">
        <v>0</v>
      </c>
      <c r="J831" t="n">
        <v>0</v>
      </c>
      <c r="K831" t="n">
        <v>0</v>
      </c>
      <c r="L831" t="n">
        <v>0</v>
      </c>
      <c r="M831" t="n">
        <v>0</v>
      </c>
      <c r="N831" t="n">
        <v>0</v>
      </c>
      <c r="O831" t="n">
        <v>0</v>
      </c>
      <c r="P831" t="n">
        <v>0</v>
      </c>
      <c r="Q831" t="n">
        <v>0</v>
      </c>
      <c r="R831" s="2" t="inlineStr"/>
    </row>
    <row r="832" ht="15" customHeight="1">
      <c r="A832" t="inlineStr">
        <is>
          <t>A 26271-2021</t>
        </is>
      </c>
      <c r="B832" s="1" t="n">
        <v>44347</v>
      </c>
      <c r="C832" s="1" t="n">
        <v>45884</v>
      </c>
      <c r="D832" t="inlineStr">
        <is>
          <t>KALMAR LÄN</t>
        </is>
      </c>
      <c r="E832" t="inlineStr">
        <is>
          <t>NYBRO</t>
        </is>
      </c>
      <c r="G832" t="n">
        <v>4</v>
      </c>
      <c r="H832" t="n">
        <v>0</v>
      </c>
      <c r="I832" t="n">
        <v>0</v>
      </c>
      <c r="J832" t="n">
        <v>0</v>
      </c>
      <c r="K832" t="n">
        <v>0</v>
      </c>
      <c r="L832" t="n">
        <v>0</v>
      </c>
      <c r="M832" t="n">
        <v>0</v>
      </c>
      <c r="N832" t="n">
        <v>0</v>
      </c>
      <c r="O832" t="n">
        <v>0</v>
      </c>
      <c r="P832" t="n">
        <v>0</v>
      </c>
      <c r="Q832" t="n">
        <v>0</v>
      </c>
      <c r="R832" s="2" t="inlineStr"/>
    </row>
    <row r="833" ht="15" customHeight="1">
      <c r="A833" t="inlineStr">
        <is>
          <t>A 41427-2020</t>
        </is>
      </c>
      <c r="B833" s="1" t="n">
        <v>44073.7496875</v>
      </c>
      <c r="C833" s="1" t="n">
        <v>45884</v>
      </c>
      <c r="D833" t="inlineStr">
        <is>
          <t>KALMAR LÄN</t>
        </is>
      </c>
      <c r="E833" t="inlineStr">
        <is>
          <t>NYBRO</t>
        </is>
      </c>
      <c r="G833" t="n">
        <v>11.4</v>
      </c>
      <c r="H833" t="n">
        <v>0</v>
      </c>
      <c r="I833" t="n">
        <v>0</v>
      </c>
      <c r="J833" t="n">
        <v>0</v>
      </c>
      <c r="K833" t="n">
        <v>0</v>
      </c>
      <c r="L833" t="n">
        <v>0</v>
      </c>
      <c r="M833" t="n">
        <v>0</v>
      </c>
      <c r="N833" t="n">
        <v>0</v>
      </c>
      <c r="O833" t="n">
        <v>0</v>
      </c>
      <c r="P833" t="n">
        <v>0</v>
      </c>
      <c r="Q833" t="n">
        <v>0</v>
      </c>
      <c r="R833" s="2" t="inlineStr"/>
    </row>
    <row r="834" ht="15" customHeight="1">
      <c r="A834" t="inlineStr">
        <is>
          <t>A 27570-2021</t>
        </is>
      </c>
      <c r="B834" s="1" t="n">
        <v>44353</v>
      </c>
      <c r="C834" s="1" t="n">
        <v>45884</v>
      </c>
      <c r="D834" t="inlineStr">
        <is>
          <t>KALMAR LÄN</t>
        </is>
      </c>
      <c r="E834" t="inlineStr">
        <is>
          <t>HULTSFRED</t>
        </is>
      </c>
      <c r="G834" t="n">
        <v>2.4</v>
      </c>
      <c r="H834" t="n">
        <v>0</v>
      </c>
      <c r="I834" t="n">
        <v>0</v>
      </c>
      <c r="J834" t="n">
        <v>0</v>
      </c>
      <c r="K834" t="n">
        <v>0</v>
      </c>
      <c r="L834" t="n">
        <v>0</v>
      </c>
      <c r="M834" t="n">
        <v>0</v>
      </c>
      <c r="N834" t="n">
        <v>0</v>
      </c>
      <c r="O834" t="n">
        <v>0</v>
      </c>
      <c r="P834" t="n">
        <v>0</v>
      </c>
      <c r="Q834" t="n">
        <v>0</v>
      </c>
      <c r="R834" s="2" t="inlineStr"/>
    </row>
    <row r="835" ht="15" customHeight="1">
      <c r="A835" t="inlineStr">
        <is>
          <t>A 56475-2020</t>
        </is>
      </c>
      <c r="B835" s="1" t="n">
        <v>44137</v>
      </c>
      <c r="C835" s="1" t="n">
        <v>45884</v>
      </c>
      <c r="D835" t="inlineStr">
        <is>
          <t>KALMAR LÄN</t>
        </is>
      </c>
      <c r="E835" t="inlineStr">
        <is>
          <t>BORGHOLM</t>
        </is>
      </c>
      <c r="F835" t="inlineStr">
        <is>
          <t>Sveaskog</t>
        </is>
      </c>
      <c r="G835" t="n">
        <v>0.9</v>
      </c>
      <c r="H835" t="n">
        <v>0</v>
      </c>
      <c r="I835" t="n">
        <v>0</v>
      </c>
      <c r="J835" t="n">
        <v>0</v>
      </c>
      <c r="K835" t="n">
        <v>0</v>
      </c>
      <c r="L835" t="n">
        <v>0</v>
      </c>
      <c r="M835" t="n">
        <v>0</v>
      </c>
      <c r="N835" t="n">
        <v>0</v>
      </c>
      <c r="O835" t="n">
        <v>0</v>
      </c>
      <c r="P835" t="n">
        <v>0</v>
      </c>
      <c r="Q835" t="n">
        <v>0</v>
      </c>
      <c r="R835" s="2" t="inlineStr"/>
    </row>
    <row r="836" ht="15" customHeight="1">
      <c r="A836" t="inlineStr">
        <is>
          <t>A 56488-2020</t>
        </is>
      </c>
      <c r="B836" s="1" t="n">
        <v>44137</v>
      </c>
      <c r="C836" s="1" t="n">
        <v>45884</v>
      </c>
      <c r="D836" t="inlineStr">
        <is>
          <t>KALMAR LÄN</t>
        </is>
      </c>
      <c r="E836" t="inlineStr">
        <is>
          <t>BORGHOLM</t>
        </is>
      </c>
      <c r="F836" t="inlineStr">
        <is>
          <t>Sveaskog</t>
        </is>
      </c>
      <c r="G836" t="n">
        <v>1.4</v>
      </c>
      <c r="H836" t="n">
        <v>0</v>
      </c>
      <c r="I836" t="n">
        <v>0</v>
      </c>
      <c r="J836" t="n">
        <v>0</v>
      </c>
      <c r="K836" t="n">
        <v>0</v>
      </c>
      <c r="L836" t="n">
        <v>0</v>
      </c>
      <c r="M836" t="n">
        <v>0</v>
      </c>
      <c r="N836" t="n">
        <v>0</v>
      </c>
      <c r="O836" t="n">
        <v>0</v>
      </c>
      <c r="P836" t="n">
        <v>0</v>
      </c>
      <c r="Q836" t="n">
        <v>0</v>
      </c>
      <c r="R836" s="2" t="inlineStr"/>
    </row>
    <row r="837" ht="15" customHeight="1">
      <c r="A837" t="inlineStr">
        <is>
          <t>A 56506-2020</t>
        </is>
      </c>
      <c r="B837" s="1" t="n">
        <v>44137</v>
      </c>
      <c r="C837" s="1" t="n">
        <v>45884</v>
      </c>
      <c r="D837" t="inlineStr">
        <is>
          <t>KALMAR LÄN</t>
        </is>
      </c>
      <c r="E837" t="inlineStr">
        <is>
          <t>BORGHOLM</t>
        </is>
      </c>
      <c r="F837" t="inlineStr">
        <is>
          <t>Sveaskog</t>
        </is>
      </c>
      <c r="G837" t="n">
        <v>1.7</v>
      </c>
      <c r="H837" t="n">
        <v>0</v>
      </c>
      <c r="I837" t="n">
        <v>0</v>
      </c>
      <c r="J837" t="n">
        <v>0</v>
      </c>
      <c r="K837" t="n">
        <v>0</v>
      </c>
      <c r="L837" t="n">
        <v>0</v>
      </c>
      <c r="M837" t="n">
        <v>0</v>
      </c>
      <c r="N837" t="n">
        <v>0</v>
      </c>
      <c r="O837" t="n">
        <v>0</v>
      </c>
      <c r="P837" t="n">
        <v>0</v>
      </c>
      <c r="Q837" t="n">
        <v>0</v>
      </c>
      <c r="R837" s="2" t="inlineStr"/>
    </row>
    <row r="838" ht="15" customHeight="1">
      <c r="A838" t="inlineStr">
        <is>
          <t>A 45429-2020</t>
        </is>
      </c>
      <c r="B838" s="1" t="n">
        <v>44089</v>
      </c>
      <c r="C838" s="1" t="n">
        <v>45884</v>
      </c>
      <c r="D838" t="inlineStr">
        <is>
          <t>KALMAR LÄN</t>
        </is>
      </c>
      <c r="E838" t="inlineStr">
        <is>
          <t>HÖGSBY</t>
        </is>
      </c>
      <c r="F838" t="inlineStr">
        <is>
          <t>Sveaskog</t>
        </is>
      </c>
      <c r="G838" t="n">
        <v>1.8</v>
      </c>
      <c r="H838" t="n">
        <v>0</v>
      </c>
      <c r="I838" t="n">
        <v>0</v>
      </c>
      <c r="J838" t="n">
        <v>0</v>
      </c>
      <c r="K838" t="n">
        <v>0</v>
      </c>
      <c r="L838" t="n">
        <v>0</v>
      </c>
      <c r="M838" t="n">
        <v>0</v>
      </c>
      <c r="N838" t="n">
        <v>0</v>
      </c>
      <c r="O838" t="n">
        <v>0</v>
      </c>
      <c r="P838" t="n">
        <v>0</v>
      </c>
      <c r="Q838" t="n">
        <v>0</v>
      </c>
      <c r="R838" s="2" t="inlineStr"/>
    </row>
    <row r="839" ht="15" customHeight="1">
      <c r="A839" t="inlineStr">
        <is>
          <t>A 53089-2020</t>
        </is>
      </c>
      <c r="B839" s="1" t="n">
        <v>44120</v>
      </c>
      <c r="C839" s="1" t="n">
        <v>45884</v>
      </c>
      <c r="D839" t="inlineStr">
        <is>
          <t>KALMAR LÄN</t>
        </is>
      </c>
      <c r="E839" t="inlineStr">
        <is>
          <t>NYBRO</t>
        </is>
      </c>
      <c r="G839" t="n">
        <v>13.1</v>
      </c>
      <c r="H839" t="n">
        <v>0</v>
      </c>
      <c r="I839" t="n">
        <v>0</v>
      </c>
      <c r="J839" t="n">
        <v>0</v>
      </c>
      <c r="K839" t="n">
        <v>0</v>
      </c>
      <c r="L839" t="n">
        <v>0</v>
      </c>
      <c r="M839" t="n">
        <v>0</v>
      </c>
      <c r="N839" t="n">
        <v>0</v>
      </c>
      <c r="O839" t="n">
        <v>0</v>
      </c>
      <c r="P839" t="n">
        <v>0</v>
      </c>
      <c r="Q839" t="n">
        <v>0</v>
      </c>
      <c r="R839" s="2" t="inlineStr"/>
    </row>
    <row r="840" ht="15" customHeight="1">
      <c r="A840" t="inlineStr">
        <is>
          <t>A 55046-2020</t>
        </is>
      </c>
      <c r="B840" s="1" t="n">
        <v>44130</v>
      </c>
      <c r="C840" s="1" t="n">
        <v>45884</v>
      </c>
      <c r="D840" t="inlineStr">
        <is>
          <t>KALMAR LÄN</t>
        </is>
      </c>
      <c r="E840" t="inlineStr">
        <is>
          <t>NYBRO</t>
        </is>
      </c>
      <c r="G840" t="n">
        <v>3.9</v>
      </c>
      <c r="H840" t="n">
        <v>0</v>
      </c>
      <c r="I840" t="n">
        <v>0</v>
      </c>
      <c r="J840" t="n">
        <v>0</v>
      </c>
      <c r="K840" t="n">
        <v>0</v>
      </c>
      <c r="L840" t="n">
        <v>0</v>
      </c>
      <c r="M840" t="n">
        <v>0</v>
      </c>
      <c r="N840" t="n">
        <v>0</v>
      </c>
      <c r="O840" t="n">
        <v>0</v>
      </c>
      <c r="P840" t="n">
        <v>0</v>
      </c>
      <c r="Q840" t="n">
        <v>0</v>
      </c>
      <c r="R840" s="2" t="inlineStr"/>
    </row>
    <row r="841" ht="15" customHeight="1">
      <c r="A841" t="inlineStr">
        <is>
          <t>A 55053-2020</t>
        </is>
      </c>
      <c r="B841" s="1" t="n">
        <v>44130</v>
      </c>
      <c r="C841" s="1" t="n">
        <v>45884</v>
      </c>
      <c r="D841" t="inlineStr">
        <is>
          <t>KALMAR LÄN</t>
        </is>
      </c>
      <c r="E841" t="inlineStr">
        <is>
          <t>VIMMERBY</t>
        </is>
      </c>
      <c r="G841" t="n">
        <v>1</v>
      </c>
      <c r="H841" t="n">
        <v>0</v>
      </c>
      <c r="I841" t="n">
        <v>0</v>
      </c>
      <c r="J841" t="n">
        <v>0</v>
      </c>
      <c r="K841" t="n">
        <v>0</v>
      </c>
      <c r="L841" t="n">
        <v>0</v>
      </c>
      <c r="M841" t="n">
        <v>0</v>
      </c>
      <c r="N841" t="n">
        <v>0</v>
      </c>
      <c r="O841" t="n">
        <v>0</v>
      </c>
      <c r="P841" t="n">
        <v>0</v>
      </c>
      <c r="Q841" t="n">
        <v>0</v>
      </c>
      <c r="R841" s="2" t="inlineStr"/>
    </row>
    <row r="842" ht="15" customHeight="1">
      <c r="A842" t="inlineStr">
        <is>
          <t>A 4523-2021</t>
        </is>
      </c>
      <c r="B842" s="1" t="n">
        <v>44224</v>
      </c>
      <c r="C842" s="1" t="n">
        <v>45884</v>
      </c>
      <c r="D842" t="inlineStr">
        <is>
          <t>KALMAR LÄN</t>
        </is>
      </c>
      <c r="E842" t="inlineStr">
        <is>
          <t>NYBRO</t>
        </is>
      </c>
      <c r="G842" t="n">
        <v>0.8</v>
      </c>
      <c r="H842" t="n">
        <v>0</v>
      </c>
      <c r="I842" t="n">
        <v>0</v>
      </c>
      <c r="J842" t="n">
        <v>0</v>
      </c>
      <c r="K842" t="n">
        <v>0</v>
      </c>
      <c r="L842" t="n">
        <v>0</v>
      </c>
      <c r="M842" t="n">
        <v>0</v>
      </c>
      <c r="N842" t="n">
        <v>0</v>
      </c>
      <c r="O842" t="n">
        <v>0</v>
      </c>
      <c r="P842" t="n">
        <v>0</v>
      </c>
      <c r="Q842" t="n">
        <v>0</v>
      </c>
      <c r="R842" s="2" t="inlineStr"/>
    </row>
    <row r="843" ht="15" customHeight="1">
      <c r="A843" t="inlineStr">
        <is>
          <t>A 12711-2021</t>
        </is>
      </c>
      <c r="B843" s="1" t="n">
        <v>44270</v>
      </c>
      <c r="C843" s="1" t="n">
        <v>45884</v>
      </c>
      <c r="D843" t="inlineStr">
        <is>
          <t>KALMAR LÄN</t>
        </is>
      </c>
      <c r="E843" t="inlineStr">
        <is>
          <t>BORGHOLM</t>
        </is>
      </c>
      <c r="G843" t="n">
        <v>1.3</v>
      </c>
      <c r="H843" t="n">
        <v>0</v>
      </c>
      <c r="I843" t="n">
        <v>0</v>
      </c>
      <c r="J843" t="n">
        <v>0</v>
      </c>
      <c r="K843" t="n">
        <v>0</v>
      </c>
      <c r="L843" t="n">
        <v>0</v>
      </c>
      <c r="M843" t="n">
        <v>0</v>
      </c>
      <c r="N843" t="n">
        <v>0</v>
      </c>
      <c r="O843" t="n">
        <v>0</v>
      </c>
      <c r="P843" t="n">
        <v>0</v>
      </c>
      <c r="Q843" t="n">
        <v>0</v>
      </c>
      <c r="R843" s="2" t="inlineStr"/>
    </row>
    <row r="844" ht="15" customHeight="1">
      <c r="A844" t="inlineStr">
        <is>
          <t>A 50355-2020</t>
        </is>
      </c>
      <c r="B844" s="1" t="n">
        <v>44110.43048611111</v>
      </c>
      <c r="C844" s="1" t="n">
        <v>45884</v>
      </c>
      <c r="D844" t="inlineStr">
        <is>
          <t>KALMAR LÄN</t>
        </is>
      </c>
      <c r="E844" t="inlineStr">
        <is>
          <t>NYBRO</t>
        </is>
      </c>
      <c r="G844" t="n">
        <v>0.7</v>
      </c>
      <c r="H844" t="n">
        <v>0</v>
      </c>
      <c r="I844" t="n">
        <v>0</v>
      </c>
      <c r="J844" t="n">
        <v>0</v>
      </c>
      <c r="K844" t="n">
        <v>0</v>
      </c>
      <c r="L844" t="n">
        <v>0</v>
      </c>
      <c r="M844" t="n">
        <v>0</v>
      </c>
      <c r="N844" t="n">
        <v>0</v>
      </c>
      <c r="O844" t="n">
        <v>0</v>
      </c>
      <c r="P844" t="n">
        <v>0</v>
      </c>
      <c r="Q844" t="n">
        <v>0</v>
      </c>
      <c r="R844" s="2" t="inlineStr"/>
    </row>
    <row r="845" ht="15" customHeight="1">
      <c r="A845" t="inlineStr">
        <is>
          <t>A 5709-2021</t>
        </is>
      </c>
      <c r="B845" s="1" t="n">
        <v>44230</v>
      </c>
      <c r="C845" s="1" t="n">
        <v>45884</v>
      </c>
      <c r="D845" t="inlineStr">
        <is>
          <t>KALMAR LÄN</t>
        </is>
      </c>
      <c r="E845" t="inlineStr">
        <is>
          <t>NYBRO</t>
        </is>
      </c>
      <c r="G845" t="n">
        <v>4.3</v>
      </c>
      <c r="H845" t="n">
        <v>0</v>
      </c>
      <c r="I845" t="n">
        <v>0</v>
      </c>
      <c r="J845" t="n">
        <v>0</v>
      </c>
      <c r="K845" t="n">
        <v>0</v>
      </c>
      <c r="L845" t="n">
        <v>0</v>
      </c>
      <c r="M845" t="n">
        <v>0</v>
      </c>
      <c r="N845" t="n">
        <v>0</v>
      </c>
      <c r="O845" t="n">
        <v>0</v>
      </c>
      <c r="P845" t="n">
        <v>0</v>
      </c>
      <c r="Q845" t="n">
        <v>0</v>
      </c>
      <c r="R845" s="2" t="inlineStr"/>
    </row>
    <row r="846" ht="15" customHeight="1">
      <c r="A846" t="inlineStr">
        <is>
          <t>A 13064-2021</t>
        </is>
      </c>
      <c r="B846" s="1" t="n">
        <v>44272</v>
      </c>
      <c r="C846" s="1" t="n">
        <v>45884</v>
      </c>
      <c r="D846" t="inlineStr">
        <is>
          <t>KALMAR LÄN</t>
        </is>
      </c>
      <c r="E846" t="inlineStr">
        <is>
          <t>NYBRO</t>
        </is>
      </c>
      <c r="G846" t="n">
        <v>3</v>
      </c>
      <c r="H846" t="n">
        <v>0</v>
      </c>
      <c r="I846" t="n">
        <v>0</v>
      </c>
      <c r="J846" t="n">
        <v>0</v>
      </c>
      <c r="K846" t="n">
        <v>0</v>
      </c>
      <c r="L846" t="n">
        <v>0</v>
      </c>
      <c r="M846" t="n">
        <v>0</v>
      </c>
      <c r="N846" t="n">
        <v>0</v>
      </c>
      <c r="O846" t="n">
        <v>0</v>
      </c>
      <c r="P846" t="n">
        <v>0</v>
      </c>
      <c r="Q846" t="n">
        <v>0</v>
      </c>
      <c r="R846" s="2" t="inlineStr"/>
    </row>
    <row r="847" ht="15" customHeight="1">
      <c r="A847" t="inlineStr">
        <is>
          <t>A 16728-2021</t>
        </is>
      </c>
      <c r="B847" s="1" t="n">
        <v>44294.68079861111</v>
      </c>
      <c r="C847" s="1" t="n">
        <v>45884</v>
      </c>
      <c r="D847" t="inlineStr">
        <is>
          <t>KALMAR LÄN</t>
        </is>
      </c>
      <c r="E847" t="inlineStr">
        <is>
          <t>VÄSTERVIK</t>
        </is>
      </c>
      <c r="G847" t="n">
        <v>3.1</v>
      </c>
      <c r="H847" t="n">
        <v>0</v>
      </c>
      <c r="I847" t="n">
        <v>0</v>
      </c>
      <c r="J847" t="n">
        <v>0</v>
      </c>
      <c r="K847" t="n">
        <v>0</v>
      </c>
      <c r="L847" t="n">
        <v>0</v>
      </c>
      <c r="M847" t="n">
        <v>0</v>
      </c>
      <c r="N847" t="n">
        <v>0</v>
      </c>
      <c r="O847" t="n">
        <v>0</v>
      </c>
      <c r="P847" t="n">
        <v>0</v>
      </c>
      <c r="Q847" t="n">
        <v>0</v>
      </c>
      <c r="R847" s="2" t="inlineStr"/>
    </row>
    <row r="848" ht="15" customHeight="1">
      <c r="A848" t="inlineStr">
        <is>
          <t>A 50348-2021</t>
        </is>
      </c>
      <c r="B848" s="1" t="n">
        <v>44459.43425925926</v>
      </c>
      <c r="C848" s="1" t="n">
        <v>45884</v>
      </c>
      <c r="D848" t="inlineStr">
        <is>
          <t>KALMAR LÄN</t>
        </is>
      </c>
      <c r="E848" t="inlineStr">
        <is>
          <t>EMMABODA</t>
        </is>
      </c>
      <c r="G848" t="n">
        <v>1.8</v>
      </c>
      <c r="H848" t="n">
        <v>0</v>
      </c>
      <c r="I848" t="n">
        <v>0</v>
      </c>
      <c r="J848" t="n">
        <v>0</v>
      </c>
      <c r="K848" t="n">
        <v>0</v>
      </c>
      <c r="L848" t="n">
        <v>0</v>
      </c>
      <c r="M848" t="n">
        <v>0</v>
      </c>
      <c r="N848" t="n">
        <v>0</v>
      </c>
      <c r="O848" t="n">
        <v>0</v>
      </c>
      <c r="P848" t="n">
        <v>0</v>
      </c>
      <c r="Q848" t="n">
        <v>0</v>
      </c>
      <c r="R848" s="2" t="inlineStr"/>
    </row>
    <row r="849" ht="15" customHeight="1">
      <c r="A849" t="inlineStr">
        <is>
          <t>A 17641-2021</t>
        </is>
      </c>
      <c r="B849" s="1" t="n">
        <v>44300.3625</v>
      </c>
      <c r="C849" s="1" t="n">
        <v>45884</v>
      </c>
      <c r="D849" t="inlineStr">
        <is>
          <t>KALMAR LÄN</t>
        </is>
      </c>
      <c r="E849" t="inlineStr">
        <is>
          <t>NYBRO</t>
        </is>
      </c>
      <c r="G849" t="n">
        <v>9.1</v>
      </c>
      <c r="H849" t="n">
        <v>0</v>
      </c>
      <c r="I849" t="n">
        <v>0</v>
      </c>
      <c r="J849" t="n">
        <v>0</v>
      </c>
      <c r="K849" t="n">
        <v>0</v>
      </c>
      <c r="L849" t="n">
        <v>0</v>
      </c>
      <c r="M849" t="n">
        <v>0</v>
      </c>
      <c r="N849" t="n">
        <v>0</v>
      </c>
      <c r="O849" t="n">
        <v>0</v>
      </c>
      <c r="P849" t="n">
        <v>0</v>
      </c>
      <c r="Q849" t="n">
        <v>0</v>
      </c>
      <c r="R849" s="2" t="inlineStr"/>
    </row>
    <row r="850" ht="15" customHeight="1">
      <c r="A850" t="inlineStr">
        <is>
          <t>A 8196-2021</t>
        </is>
      </c>
      <c r="B850" s="1" t="n">
        <v>44244</v>
      </c>
      <c r="C850" s="1" t="n">
        <v>45884</v>
      </c>
      <c r="D850" t="inlineStr">
        <is>
          <t>KALMAR LÄN</t>
        </is>
      </c>
      <c r="E850" t="inlineStr">
        <is>
          <t>VÄSTERVIK</t>
        </is>
      </c>
      <c r="G850" t="n">
        <v>3.5</v>
      </c>
      <c r="H850" t="n">
        <v>0</v>
      </c>
      <c r="I850" t="n">
        <v>0</v>
      </c>
      <c r="J850" t="n">
        <v>0</v>
      </c>
      <c r="K850" t="n">
        <v>0</v>
      </c>
      <c r="L850" t="n">
        <v>0</v>
      </c>
      <c r="M850" t="n">
        <v>0</v>
      </c>
      <c r="N850" t="n">
        <v>0</v>
      </c>
      <c r="O850" t="n">
        <v>0</v>
      </c>
      <c r="P850" t="n">
        <v>0</v>
      </c>
      <c r="Q850" t="n">
        <v>0</v>
      </c>
      <c r="R850" s="2" t="inlineStr"/>
    </row>
    <row r="851" ht="15" customHeight="1">
      <c r="A851" t="inlineStr">
        <is>
          <t>A 37748-2021</t>
        </is>
      </c>
      <c r="B851" s="1" t="n">
        <v>44400.63459490741</v>
      </c>
      <c r="C851" s="1" t="n">
        <v>45884</v>
      </c>
      <c r="D851" t="inlineStr">
        <is>
          <t>KALMAR LÄN</t>
        </is>
      </c>
      <c r="E851" t="inlineStr">
        <is>
          <t>VÄSTERVIK</t>
        </is>
      </c>
      <c r="G851" t="n">
        <v>0.5</v>
      </c>
      <c r="H851" t="n">
        <v>0</v>
      </c>
      <c r="I851" t="n">
        <v>0</v>
      </c>
      <c r="J851" t="n">
        <v>0</v>
      </c>
      <c r="K851" t="n">
        <v>0</v>
      </c>
      <c r="L851" t="n">
        <v>0</v>
      </c>
      <c r="M851" t="n">
        <v>0</v>
      </c>
      <c r="N851" t="n">
        <v>0</v>
      </c>
      <c r="O851" t="n">
        <v>0</v>
      </c>
      <c r="P851" t="n">
        <v>0</v>
      </c>
      <c r="Q851" t="n">
        <v>0</v>
      </c>
      <c r="R851" s="2" t="inlineStr"/>
    </row>
    <row r="852" ht="15" customHeight="1">
      <c r="A852" t="inlineStr">
        <is>
          <t>A 42164-2021</t>
        </is>
      </c>
      <c r="B852" s="1" t="n">
        <v>44426</v>
      </c>
      <c r="C852" s="1" t="n">
        <v>45884</v>
      </c>
      <c r="D852" t="inlineStr">
        <is>
          <t>KALMAR LÄN</t>
        </is>
      </c>
      <c r="E852" t="inlineStr">
        <is>
          <t>VÄSTERVIK</t>
        </is>
      </c>
      <c r="G852" t="n">
        <v>5.5</v>
      </c>
      <c r="H852" t="n">
        <v>0</v>
      </c>
      <c r="I852" t="n">
        <v>0</v>
      </c>
      <c r="J852" t="n">
        <v>0</v>
      </c>
      <c r="K852" t="n">
        <v>0</v>
      </c>
      <c r="L852" t="n">
        <v>0</v>
      </c>
      <c r="M852" t="n">
        <v>0</v>
      </c>
      <c r="N852" t="n">
        <v>0</v>
      </c>
      <c r="O852" t="n">
        <v>0</v>
      </c>
      <c r="P852" t="n">
        <v>0</v>
      </c>
      <c r="Q852" t="n">
        <v>0</v>
      </c>
      <c r="R852" s="2" t="inlineStr"/>
      <c r="U852">
        <f>HYPERLINK("https://klasma.github.io/Logging_0883/knärot/A 42164-2021 karta knärot.png", "A 42164-2021")</f>
        <v/>
      </c>
      <c r="V852">
        <f>HYPERLINK("https://klasma.github.io/Logging_0883/klagomål/A 42164-2021 FSC-klagomål.docx", "A 42164-2021")</f>
        <v/>
      </c>
      <c r="W852">
        <f>HYPERLINK("https://klasma.github.io/Logging_0883/klagomålsmail/A 42164-2021 FSC-klagomål mail.docx", "A 42164-2021")</f>
        <v/>
      </c>
      <c r="X852">
        <f>HYPERLINK("https://klasma.github.io/Logging_0883/tillsyn/A 42164-2021 tillsynsbegäran.docx", "A 42164-2021")</f>
        <v/>
      </c>
      <c r="Y852">
        <f>HYPERLINK("https://klasma.github.io/Logging_0883/tillsynsmail/A 42164-2021 tillsynsbegäran mail.docx", "A 42164-2021")</f>
        <v/>
      </c>
    </row>
    <row r="853" ht="15" customHeight="1">
      <c r="A853" t="inlineStr">
        <is>
          <t>A 15903-2021</t>
        </is>
      </c>
      <c r="B853" s="1" t="n">
        <v>44287.33261574074</v>
      </c>
      <c r="C853" s="1" t="n">
        <v>45884</v>
      </c>
      <c r="D853" t="inlineStr">
        <is>
          <t>KALMAR LÄN</t>
        </is>
      </c>
      <c r="E853" t="inlineStr">
        <is>
          <t>VIMMERBY</t>
        </is>
      </c>
      <c r="G853" t="n">
        <v>0.5</v>
      </c>
      <c r="H853" t="n">
        <v>0</v>
      </c>
      <c r="I853" t="n">
        <v>0</v>
      </c>
      <c r="J853" t="n">
        <v>0</v>
      </c>
      <c r="K853" t="n">
        <v>0</v>
      </c>
      <c r="L853" t="n">
        <v>0</v>
      </c>
      <c r="M853" t="n">
        <v>0</v>
      </c>
      <c r="N853" t="n">
        <v>0</v>
      </c>
      <c r="O853" t="n">
        <v>0</v>
      </c>
      <c r="P853" t="n">
        <v>0</v>
      </c>
      <c r="Q853" t="n">
        <v>0</v>
      </c>
      <c r="R853" s="2" t="inlineStr"/>
    </row>
    <row r="854" ht="15" customHeight="1">
      <c r="A854" t="inlineStr">
        <is>
          <t>A 24307-2021</t>
        </is>
      </c>
      <c r="B854" s="1" t="n">
        <v>44337</v>
      </c>
      <c r="C854" s="1" t="n">
        <v>45884</v>
      </c>
      <c r="D854" t="inlineStr">
        <is>
          <t>KALMAR LÄN</t>
        </is>
      </c>
      <c r="E854" t="inlineStr">
        <is>
          <t>HULTSFRED</t>
        </is>
      </c>
      <c r="G854" t="n">
        <v>0.5</v>
      </c>
      <c r="H854" t="n">
        <v>0</v>
      </c>
      <c r="I854" t="n">
        <v>0</v>
      </c>
      <c r="J854" t="n">
        <v>0</v>
      </c>
      <c r="K854" t="n">
        <v>0</v>
      </c>
      <c r="L854" t="n">
        <v>0</v>
      </c>
      <c r="M854" t="n">
        <v>0</v>
      </c>
      <c r="N854" t="n">
        <v>0</v>
      </c>
      <c r="O854" t="n">
        <v>0</v>
      </c>
      <c r="P854" t="n">
        <v>0</v>
      </c>
      <c r="Q854" t="n">
        <v>0</v>
      </c>
      <c r="R854" s="2" t="inlineStr"/>
    </row>
    <row r="855" ht="15" customHeight="1">
      <c r="A855" t="inlineStr">
        <is>
          <t>A 3963-2021</t>
        </is>
      </c>
      <c r="B855" s="1" t="n">
        <v>44222</v>
      </c>
      <c r="C855" s="1" t="n">
        <v>45884</v>
      </c>
      <c r="D855" t="inlineStr">
        <is>
          <t>KALMAR LÄN</t>
        </is>
      </c>
      <c r="E855" t="inlineStr">
        <is>
          <t>OSKARSHAMN</t>
        </is>
      </c>
      <c r="G855" t="n">
        <v>0.6</v>
      </c>
      <c r="H855" t="n">
        <v>0</v>
      </c>
      <c r="I855" t="n">
        <v>0</v>
      </c>
      <c r="J855" t="n">
        <v>0</v>
      </c>
      <c r="K855" t="n">
        <v>0</v>
      </c>
      <c r="L855" t="n">
        <v>0</v>
      </c>
      <c r="M855" t="n">
        <v>0</v>
      </c>
      <c r="N855" t="n">
        <v>0</v>
      </c>
      <c r="O855" t="n">
        <v>0</v>
      </c>
      <c r="P855" t="n">
        <v>0</v>
      </c>
      <c r="Q855" t="n">
        <v>0</v>
      </c>
      <c r="R855" s="2" t="inlineStr"/>
    </row>
    <row r="856" ht="15" customHeight="1">
      <c r="A856" t="inlineStr">
        <is>
          <t>A 15092-2021</t>
        </is>
      </c>
      <c r="B856" s="1" t="n">
        <v>44281.79269675926</v>
      </c>
      <c r="C856" s="1" t="n">
        <v>45884</v>
      </c>
      <c r="D856" t="inlineStr">
        <is>
          <t>KALMAR LÄN</t>
        </is>
      </c>
      <c r="E856" t="inlineStr">
        <is>
          <t>VIMMERBY</t>
        </is>
      </c>
      <c r="G856" t="n">
        <v>1.6</v>
      </c>
      <c r="H856" t="n">
        <v>0</v>
      </c>
      <c r="I856" t="n">
        <v>0</v>
      </c>
      <c r="J856" t="n">
        <v>0</v>
      </c>
      <c r="K856" t="n">
        <v>0</v>
      </c>
      <c r="L856" t="n">
        <v>0</v>
      </c>
      <c r="M856" t="n">
        <v>0</v>
      </c>
      <c r="N856" t="n">
        <v>0</v>
      </c>
      <c r="O856" t="n">
        <v>0</v>
      </c>
      <c r="P856" t="n">
        <v>0</v>
      </c>
      <c r="Q856" t="n">
        <v>0</v>
      </c>
      <c r="R856" s="2" t="inlineStr"/>
    </row>
    <row r="857" ht="15" customHeight="1">
      <c r="A857" t="inlineStr">
        <is>
          <t>A 1929-2021</t>
        </is>
      </c>
      <c r="B857" s="1" t="n">
        <v>44210</v>
      </c>
      <c r="C857" s="1" t="n">
        <v>45884</v>
      </c>
      <c r="D857" t="inlineStr">
        <is>
          <t>KALMAR LÄN</t>
        </is>
      </c>
      <c r="E857" t="inlineStr">
        <is>
          <t>VIMMERBY</t>
        </is>
      </c>
      <c r="G857" t="n">
        <v>1.6</v>
      </c>
      <c r="H857" t="n">
        <v>0</v>
      </c>
      <c r="I857" t="n">
        <v>0</v>
      </c>
      <c r="J857" t="n">
        <v>0</v>
      </c>
      <c r="K857" t="n">
        <v>0</v>
      </c>
      <c r="L857" t="n">
        <v>0</v>
      </c>
      <c r="M857" t="n">
        <v>0</v>
      </c>
      <c r="N857" t="n">
        <v>0</v>
      </c>
      <c r="O857" t="n">
        <v>0</v>
      </c>
      <c r="P857" t="n">
        <v>0</v>
      </c>
      <c r="Q857" t="n">
        <v>0</v>
      </c>
      <c r="R857" s="2" t="inlineStr"/>
    </row>
    <row r="858" ht="15" customHeight="1">
      <c r="A858" t="inlineStr">
        <is>
          <t>A 49245-2020</t>
        </is>
      </c>
      <c r="B858" s="1" t="n">
        <v>44105</v>
      </c>
      <c r="C858" s="1" t="n">
        <v>45884</v>
      </c>
      <c r="D858" t="inlineStr">
        <is>
          <t>KALMAR LÄN</t>
        </is>
      </c>
      <c r="E858" t="inlineStr">
        <is>
          <t>OSKARSHAMN</t>
        </is>
      </c>
      <c r="G858" t="n">
        <v>3.2</v>
      </c>
      <c r="H858" t="n">
        <v>0</v>
      </c>
      <c r="I858" t="n">
        <v>0</v>
      </c>
      <c r="J858" t="n">
        <v>0</v>
      </c>
      <c r="K858" t="n">
        <v>0</v>
      </c>
      <c r="L858" t="n">
        <v>0</v>
      </c>
      <c r="M858" t="n">
        <v>0</v>
      </c>
      <c r="N858" t="n">
        <v>0</v>
      </c>
      <c r="O858" t="n">
        <v>0</v>
      </c>
      <c r="P858" t="n">
        <v>0</v>
      </c>
      <c r="Q858" t="n">
        <v>0</v>
      </c>
      <c r="R858" s="2" t="inlineStr"/>
    </row>
    <row r="859" ht="15" customHeight="1">
      <c r="A859" t="inlineStr">
        <is>
          <t>A 49314-2020</t>
        </is>
      </c>
      <c r="B859" s="1" t="n">
        <v>44105</v>
      </c>
      <c r="C859" s="1" t="n">
        <v>45884</v>
      </c>
      <c r="D859" t="inlineStr">
        <is>
          <t>KALMAR LÄN</t>
        </is>
      </c>
      <c r="E859" t="inlineStr">
        <is>
          <t>EMMABODA</t>
        </is>
      </c>
      <c r="G859" t="n">
        <v>2.6</v>
      </c>
      <c r="H859" t="n">
        <v>0</v>
      </c>
      <c r="I859" t="n">
        <v>0</v>
      </c>
      <c r="J859" t="n">
        <v>0</v>
      </c>
      <c r="K859" t="n">
        <v>0</v>
      </c>
      <c r="L859" t="n">
        <v>0</v>
      </c>
      <c r="M859" t="n">
        <v>0</v>
      </c>
      <c r="N859" t="n">
        <v>0</v>
      </c>
      <c r="O859" t="n">
        <v>0</v>
      </c>
      <c r="P859" t="n">
        <v>0</v>
      </c>
      <c r="Q859" t="n">
        <v>0</v>
      </c>
      <c r="R859" s="2" t="inlineStr"/>
    </row>
    <row r="860" ht="15" customHeight="1">
      <c r="A860" t="inlineStr">
        <is>
          <t>A 50226-2021</t>
        </is>
      </c>
      <c r="B860" s="1" t="n">
        <v>44457.73708333333</v>
      </c>
      <c r="C860" s="1" t="n">
        <v>45884</v>
      </c>
      <c r="D860" t="inlineStr">
        <is>
          <t>KALMAR LÄN</t>
        </is>
      </c>
      <c r="E860" t="inlineStr">
        <is>
          <t>TORSÅS</t>
        </is>
      </c>
      <c r="G860" t="n">
        <v>3.3</v>
      </c>
      <c r="H860" t="n">
        <v>0</v>
      </c>
      <c r="I860" t="n">
        <v>0</v>
      </c>
      <c r="J860" t="n">
        <v>0</v>
      </c>
      <c r="K860" t="n">
        <v>0</v>
      </c>
      <c r="L860" t="n">
        <v>0</v>
      </c>
      <c r="M860" t="n">
        <v>0</v>
      </c>
      <c r="N860" t="n">
        <v>0</v>
      </c>
      <c r="O860" t="n">
        <v>0</v>
      </c>
      <c r="P860" t="n">
        <v>0</v>
      </c>
      <c r="Q860" t="n">
        <v>0</v>
      </c>
      <c r="R860" s="2" t="inlineStr"/>
    </row>
    <row r="861" ht="15" customHeight="1">
      <c r="A861" t="inlineStr">
        <is>
          <t>A 12757-2021</t>
        </is>
      </c>
      <c r="B861" s="1" t="n">
        <v>44270.67071759259</v>
      </c>
      <c r="C861" s="1" t="n">
        <v>45884</v>
      </c>
      <c r="D861" t="inlineStr">
        <is>
          <t>KALMAR LÄN</t>
        </is>
      </c>
      <c r="E861" t="inlineStr">
        <is>
          <t>VIMMERBY</t>
        </is>
      </c>
      <c r="G861" t="n">
        <v>1</v>
      </c>
      <c r="H861" t="n">
        <v>0</v>
      </c>
      <c r="I861" t="n">
        <v>0</v>
      </c>
      <c r="J861" t="n">
        <v>0</v>
      </c>
      <c r="K861" t="n">
        <v>0</v>
      </c>
      <c r="L861" t="n">
        <v>0</v>
      </c>
      <c r="M861" t="n">
        <v>0</v>
      </c>
      <c r="N861" t="n">
        <v>0</v>
      </c>
      <c r="O861" t="n">
        <v>0</v>
      </c>
      <c r="P861" t="n">
        <v>0</v>
      </c>
      <c r="Q861" t="n">
        <v>0</v>
      </c>
      <c r="R861" s="2" t="inlineStr"/>
    </row>
    <row r="862" ht="15" customHeight="1">
      <c r="A862" t="inlineStr">
        <is>
          <t>A 34251-2021</t>
        </is>
      </c>
      <c r="B862" s="1" t="n">
        <v>44379.56671296297</v>
      </c>
      <c r="C862" s="1" t="n">
        <v>45884</v>
      </c>
      <c r="D862" t="inlineStr">
        <is>
          <t>KALMAR LÄN</t>
        </is>
      </c>
      <c r="E862" t="inlineStr">
        <is>
          <t>EMMABODA</t>
        </is>
      </c>
      <c r="G862" t="n">
        <v>0.6</v>
      </c>
      <c r="H862" t="n">
        <v>0</v>
      </c>
      <c r="I862" t="n">
        <v>0</v>
      </c>
      <c r="J862" t="n">
        <v>0</v>
      </c>
      <c r="K862" t="n">
        <v>0</v>
      </c>
      <c r="L862" t="n">
        <v>0</v>
      </c>
      <c r="M862" t="n">
        <v>0</v>
      </c>
      <c r="N862" t="n">
        <v>0</v>
      </c>
      <c r="O862" t="n">
        <v>0</v>
      </c>
      <c r="P862" t="n">
        <v>0</v>
      </c>
      <c r="Q862" t="n">
        <v>0</v>
      </c>
      <c r="R862" s="2" t="inlineStr"/>
    </row>
    <row r="863" ht="15" customHeight="1">
      <c r="A863" t="inlineStr">
        <is>
          <t>A 38971-2021</t>
        </is>
      </c>
      <c r="B863" s="1" t="n">
        <v>44411</v>
      </c>
      <c r="C863" s="1" t="n">
        <v>45884</v>
      </c>
      <c r="D863" t="inlineStr">
        <is>
          <t>KALMAR LÄN</t>
        </is>
      </c>
      <c r="E863" t="inlineStr">
        <is>
          <t>HULTSFRED</t>
        </is>
      </c>
      <c r="G863" t="n">
        <v>0.6</v>
      </c>
      <c r="H863" t="n">
        <v>0</v>
      </c>
      <c r="I863" t="n">
        <v>0</v>
      </c>
      <c r="J863" t="n">
        <v>0</v>
      </c>
      <c r="K863" t="n">
        <v>0</v>
      </c>
      <c r="L863" t="n">
        <v>0</v>
      </c>
      <c r="M863" t="n">
        <v>0</v>
      </c>
      <c r="N863" t="n">
        <v>0</v>
      </c>
      <c r="O863" t="n">
        <v>0</v>
      </c>
      <c r="P863" t="n">
        <v>0</v>
      </c>
      <c r="Q863" t="n">
        <v>0</v>
      </c>
      <c r="R863" s="2" t="inlineStr"/>
    </row>
    <row r="864" ht="15" customHeight="1">
      <c r="A864" t="inlineStr">
        <is>
          <t>A 59058-2021</t>
        </is>
      </c>
      <c r="B864" s="1" t="n">
        <v>44490.37232638889</v>
      </c>
      <c r="C864" s="1" t="n">
        <v>45884</v>
      </c>
      <c r="D864" t="inlineStr">
        <is>
          <t>KALMAR LÄN</t>
        </is>
      </c>
      <c r="E864" t="inlineStr">
        <is>
          <t>OSKARSHAMN</t>
        </is>
      </c>
      <c r="G864" t="n">
        <v>3.5</v>
      </c>
      <c r="H864" t="n">
        <v>0</v>
      </c>
      <c r="I864" t="n">
        <v>0</v>
      </c>
      <c r="J864" t="n">
        <v>0</v>
      </c>
      <c r="K864" t="n">
        <v>0</v>
      </c>
      <c r="L864" t="n">
        <v>0</v>
      </c>
      <c r="M864" t="n">
        <v>0</v>
      </c>
      <c r="N864" t="n">
        <v>0</v>
      </c>
      <c r="O864" t="n">
        <v>0</v>
      </c>
      <c r="P864" t="n">
        <v>0</v>
      </c>
      <c r="Q864" t="n">
        <v>0</v>
      </c>
      <c r="R864" s="2" t="inlineStr"/>
    </row>
    <row r="865" ht="15" customHeight="1">
      <c r="A865" t="inlineStr">
        <is>
          <t>A 59068-2021</t>
        </is>
      </c>
      <c r="B865" s="1" t="n">
        <v>44489</v>
      </c>
      <c r="C865" s="1" t="n">
        <v>45884</v>
      </c>
      <c r="D865" t="inlineStr">
        <is>
          <t>KALMAR LÄN</t>
        </is>
      </c>
      <c r="E865" t="inlineStr">
        <is>
          <t>OSKARSHAMN</t>
        </is>
      </c>
      <c r="G865" t="n">
        <v>1.1</v>
      </c>
      <c r="H865" t="n">
        <v>0</v>
      </c>
      <c r="I865" t="n">
        <v>0</v>
      </c>
      <c r="J865" t="n">
        <v>0</v>
      </c>
      <c r="K865" t="n">
        <v>0</v>
      </c>
      <c r="L865" t="n">
        <v>0</v>
      </c>
      <c r="M865" t="n">
        <v>0</v>
      </c>
      <c r="N865" t="n">
        <v>0</v>
      </c>
      <c r="O865" t="n">
        <v>0</v>
      </c>
      <c r="P865" t="n">
        <v>0</v>
      </c>
      <c r="Q865" t="n">
        <v>0</v>
      </c>
      <c r="R865" s="2" t="inlineStr"/>
    </row>
    <row r="866" ht="15" customHeight="1">
      <c r="A866" t="inlineStr">
        <is>
          <t>A 59070-2021</t>
        </is>
      </c>
      <c r="B866" s="1" t="n">
        <v>44490.38613425926</v>
      </c>
      <c r="C866" s="1" t="n">
        <v>45884</v>
      </c>
      <c r="D866" t="inlineStr">
        <is>
          <t>KALMAR LÄN</t>
        </is>
      </c>
      <c r="E866" t="inlineStr">
        <is>
          <t>VIMMERBY</t>
        </is>
      </c>
      <c r="G866" t="n">
        <v>1.7</v>
      </c>
      <c r="H866" t="n">
        <v>0</v>
      </c>
      <c r="I866" t="n">
        <v>0</v>
      </c>
      <c r="J866" t="n">
        <v>0</v>
      </c>
      <c r="K866" t="n">
        <v>0</v>
      </c>
      <c r="L866" t="n">
        <v>0</v>
      </c>
      <c r="M866" t="n">
        <v>0</v>
      </c>
      <c r="N866" t="n">
        <v>0</v>
      </c>
      <c r="O866" t="n">
        <v>0</v>
      </c>
      <c r="P866" t="n">
        <v>0</v>
      </c>
      <c r="Q866" t="n">
        <v>0</v>
      </c>
      <c r="R866" s="2" t="inlineStr"/>
    </row>
    <row r="867" ht="15" customHeight="1">
      <c r="A867" t="inlineStr">
        <is>
          <t>A 61740-2021</t>
        </is>
      </c>
      <c r="B867" s="1" t="n">
        <v>44501.63425925926</v>
      </c>
      <c r="C867" s="1" t="n">
        <v>45884</v>
      </c>
      <c r="D867" t="inlineStr">
        <is>
          <t>KALMAR LÄN</t>
        </is>
      </c>
      <c r="E867" t="inlineStr">
        <is>
          <t>HÖGSBY</t>
        </is>
      </c>
      <c r="G867" t="n">
        <v>1</v>
      </c>
      <c r="H867" t="n">
        <v>0</v>
      </c>
      <c r="I867" t="n">
        <v>0</v>
      </c>
      <c r="J867" t="n">
        <v>0</v>
      </c>
      <c r="K867" t="n">
        <v>0</v>
      </c>
      <c r="L867" t="n">
        <v>0</v>
      </c>
      <c r="M867" t="n">
        <v>0</v>
      </c>
      <c r="N867" t="n">
        <v>0</v>
      </c>
      <c r="O867" t="n">
        <v>0</v>
      </c>
      <c r="P867" t="n">
        <v>0</v>
      </c>
      <c r="Q867" t="n">
        <v>0</v>
      </c>
      <c r="R867" s="2" t="inlineStr"/>
    </row>
    <row r="868" ht="15" customHeight="1">
      <c r="A868" t="inlineStr">
        <is>
          <t>A 64550-2021</t>
        </is>
      </c>
      <c r="B868" s="1" t="n">
        <v>44511.63819444444</v>
      </c>
      <c r="C868" s="1" t="n">
        <v>45884</v>
      </c>
      <c r="D868" t="inlineStr">
        <is>
          <t>KALMAR LÄN</t>
        </is>
      </c>
      <c r="E868" t="inlineStr">
        <is>
          <t>MÖNSTERÅS</t>
        </is>
      </c>
      <c r="G868" t="n">
        <v>9.1</v>
      </c>
      <c r="H868" t="n">
        <v>0</v>
      </c>
      <c r="I868" t="n">
        <v>0</v>
      </c>
      <c r="J868" t="n">
        <v>0</v>
      </c>
      <c r="K868" t="n">
        <v>0</v>
      </c>
      <c r="L868" t="n">
        <v>0</v>
      </c>
      <c r="M868" t="n">
        <v>0</v>
      </c>
      <c r="N868" t="n">
        <v>0</v>
      </c>
      <c r="O868" t="n">
        <v>0</v>
      </c>
      <c r="P868" t="n">
        <v>0</v>
      </c>
      <c r="Q868" t="n">
        <v>0</v>
      </c>
      <c r="R868" s="2" t="inlineStr"/>
    </row>
    <row r="869" ht="15" customHeight="1">
      <c r="A869" t="inlineStr">
        <is>
          <t>A 68897-2021</t>
        </is>
      </c>
      <c r="B869" s="1" t="n">
        <v>44530.4546875</v>
      </c>
      <c r="C869" s="1" t="n">
        <v>45884</v>
      </c>
      <c r="D869" t="inlineStr">
        <is>
          <t>KALMAR LÄN</t>
        </is>
      </c>
      <c r="E869" t="inlineStr">
        <is>
          <t>EMMABODA</t>
        </is>
      </c>
      <c r="G869" t="n">
        <v>1.2</v>
      </c>
      <c r="H869" t="n">
        <v>0</v>
      </c>
      <c r="I869" t="n">
        <v>0</v>
      </c>
      <c r="J869" t="n">
        <v>0</v>
      </c>
      <c r="K869" t="n">
        <v>0</v>
      </c>
      <c r="L869" t="n">
        <v>0</v>
      </c>
      <c r="M869" t="n">
        <v>0</v>
      </c>
      <c r="N869" t="n">
        <v>0</v>
      </c>
      <c r="O869" t="n">
        <v>0</v>
      </c>
      <c r="P869" t="n">
        <v>0</v>
      </c>
      <c r="Q869" t="n">
        <v>0</v>
      </c>
      <c r="R869" s="2" t="inlineStr"/>
    </row>
    <row r="870" ht="15" customHeight="1">
      <c r="A870" t="inlineStr">
        <is>
          <t>A 3145-2022</t>
        </is>
      </c>
      <c r="B870" s="1" t="n">
        <v>44582.5518287037</v>
      </c>
      <c r="C870" s="1" t="n">
        <v>45884</v>
      </c>
      <c r="D870" t="inlineStr">
        <is>
          <t>KALMAR LÄN</t>
        </is>
      </c>
      <c r="E870" t="inlineStr">
        <is>
          <t>VÄSTERVIK</t>
        </is>
      </c>
      <c r="G870" t="n">
        <v>0.8</v>
      </c>
      <c r="H870" t="n">
        <v>0</v>
      </c>
      <c r="I870" t="n">
        <v>0</v>
      </c>
      <c r="J870" t="n">
        <v>0</v>
      </c>
      <c r="K870" t="n">
        <v>0</v>
      </c>
      <c r="L870" t="n">
        <v>0</v>
      </c>
      <c r="M870" t="n">
        <v>0</v>
      </c>
      <c r="N870" t="n">
        <v>0</v>
      </c>
      <c r="O870" t="n">
        <v>0</v>
      </c>
      <c r="P870" t="n">
        <v>0</v>
      </c>
      <c r="Q870" t="n">
        <v>0</v>
      </c>
      <c r="R870" s="2" t="inlineStr"/>
    </row>
    <row r="871" ht="15" customHeight="1">
      <c r="A871" t="inlineStr">
        <is>
          <t>A 60541-2021</t>
        </is>
      </c>
      <c r="B871" s="1" t="n">
        <v>44496.52702546296</v>
      </c>
      <c r="C871" s="1" t="n">
        <v>45884</v>
      </c>
      <c r="D871" t="inlineStr">
        <is>
          <t>KALMAR LÄN</t>
        </is>
      </c>
      <c r="E871" t="inlineStr">
        <is>
          <t>EMMABODA</t>
        </is>
      </c>
      <c r="G871" t="n">
        <v>1.7</v>
      </c>
      <c r="H871" t="n">
        <v>0</v>
      </c>
      <c r="I871" t="n">
        <v>0</v>
      </c>
      <c r="J871" t="n">
        <v>0</v>
      </c>
      <c r="K871" t="n">
        <v>0</v>
      </c>
      <c r="L871" t="n">
        <v>0</v>
      </c>
      <c r="M871" t="n">
        <v>0</v>
      </c>
      <c r="N871" t="n">
        <v>0</v>
      </c>
      <c r="O871" t="n">
        <v>0</v>
      </c>
      <c r="P871" t="n">
        <v>0</v>
      </c>
      <c r="Q871" t="n">
        <v>0</v>
      </c>
      <c r="R871" s="2" t="inlineStr"/>
    </row>
    <row r="872" ht="15" customHeight="1">
      <c r="A872" t="inlineStr">
        <is>
          <t>A 44103-2021</t>
        </is>
      </c>
      <c r="B872" s="1" t="n">
        <v>44434</v>
      </c>
      <c r="C872" s="1" t="n">
        <v>45884</v>
      </c>
      <c r="D872" t="inlineStr">
        <is>
          <t>KALMAR LÄN</t>
        </is>
      </c>
      <c r="E872" t="inlineStr">
        <is>
          <t>TORSÅS</t>
        </is>
      </c>
      <c r="G872" t="n">
        <v>6.2</v>
      </c>
      <c r="H872" t="n">
        <v>0</v>
      </c>
      <c r="I872" t="n">
        <v>0</v>
      </c>
      <c r="J872" t="n">
        <v>0</v>
      </c>
      <c r="K872" t="n">
        <v>0</v>
      </c>
      <c r="L872" t="n">
        <v>0</v>
      </c>
      <c r="M872" t="n">
        <v>0</v>
      </c>
      <c r="N872" t="n">
        <v>0</v>
      </c>
      <c r="O872" t="n">
        <v>0</v>
      </c>
      <c r="P872" t="n">
        <v>0</v>
      </c>
      <c r="Q872" t="n">
        <v>0</v>
      </c>
      <c r="R872" s="2" t="inlineStr"/>
    </row>
    <row r="873" ht="15" customHeight="1">
      <c r="A873" t="inlineStr">
        <is>
          <t>A 14063-2021</t>
        </is>
      </c>
      <c r="B873" s="1" t="n">
        <v>44277</v>
      </c>
      <c r="C873" s="1" t="n">
        <v>45884</v>
      </c>
      <c r="D873" t="inlineStr">
        <is>
          <t>KALMAR LÄN</t>
        </is>
      </c>
      <c r="E873" t="inlineStr">
        <is>
          <t>TORSÅS</t>
        </is>
      </c>
      <c r="G873" t="n">
        <v>1.7</v>
      </c>
      <c r="H873" t="n">
        <v>0</v>
      </c>
      <c r="I873" t="n">
        <v>0</v>
      </c>
      <c r="J873" t="n">
        <v>0</v>
      </c>
      <c r="K873" t="n">
        <v>0</v>
      </c>
      <c r="L873" t="n">
        <v>0</v>
      </c>
      <c r="M873" t="n">
        <v>0</v>
      </c>
      <c r="N873" t="n">
        <v>0</v>
      </c>
      <c r="O873" t="n">
        <v>0</v>
      </c>
      <c r="P873" t="n">
        <v>0</v>
      </c>
      <c r="Q873" t="n">
        <v>0</v>
      </c>
      <c r="R873" s="2" t="inlineStr"/>
    </row>
    <row r="874" ht="15" customHeight="1">
      <c r="A874" t="inlineStr">
        <is>
          <t>A 14149-2021</t>
        </is>
      </c>
      <c r="B874" s="1" t="n">
        <v>44278</v>
      </c>
      <c r="C874" s="1" t="n">
        <v>45884</v>
      </c>
      <c r="D874" t="inlineStr">
        <is>
          <t>KALMAR LÄN</t>
        </is>
      </c>
      <c r="E874" t="inlineStr">
        <is>
          <t>VÄSTERVIK</t>
        </is>
      </c>
      <c r="G874" t="n">
        <v>4.1</v>
      </c>
      <c r="H874" t="n">
        <v>0</v>
      </c>
      <c r="I874" t="n">
        <v>0</v>
      </c>
      <c r="J874" t="n">
        <v>0</v>
      </c>
      <c r="K874" t="n">
        <v>0</v>
      </c>
      <c r="L874" t="n">
        <v>0</v>
      </c>
      <c r="M874" t="n">
        <v>0</v>
      </c>
      <c r="N874" t="n">
        <v>0</v>
      </c>
      <c r="O874" t="n">
        <v>0</v>
      </c>
      <c r="P874" t="n">
        <v>0</v>
      </c>
      <c r="Q874" t="n">
        <v>0</v>
      </c>
      <c r="R874" s="2" t="inlineStr"/>
    </row>
    <row r="875" ht="15" customHeight="1">
      <c r="A875" t="inlineStr">
        <is>
          <t>A 56754-2021</t>
        </is>
      </c>
      <c r="B875" s="1" t="n">
        <v>44481.47483796296</v>
      </c>
      <c r="C875" s="1" t="n">
        <v>45884</v>
      </c>
      <c r="D875" t="inlineStr">
        <is>
          <t>KALMAR LÄN</t>
        </is>
      </c>
      <c r="E875" t="inlineStr">
        <is>
          <t>VIMMERBY</t>
        </is>
      </c>
      <c r="G875" t="n">
        <v>1.4</v>
      </c>
      <c r="H875" t="n">
        <v>0</v>
      </c>
      <c r="I875" t="n">
        <v>0</v>
      </c>
      <c r="J875" t="n">
        <v>0</v>
      </c>
      <c r="K875" t="n">
        <v>0</v>
      </c>
      <c r="L875" t="n">
        <v>0</v>
      </c>
      <c r="M875" t="n">
        <v>0</v>
      </c>
      <c r="N875" t="n">
        <v>0</v>
      </c>
      <c r="O875" t="n">
        <v>0</v>
      </c>
      <c r="P875" t="n">
        <v>0</v>
      </c>
      <c r="Q875" t="n">
        <v>0</v>
      </c>
      <c r="R875" s="2" t="inlineStr"/>
    </row>
    <row r="876" ht="15" customHeight="1">
      <c r="A876" t="inlineStr">
        <is>
          <t>A 13072-2022</t>
        </is>
      </c>
      <c r="B876" s="1" t="n">
        <v>44643</v>
      </c>
      <c r="C876" s="1" t="n">
        <v>45884</v>
      </c>
      <c r="D876" t="inlineStr">
        <is>
          <t>KALMAR LÄN</t>
        </is>
      </c>
      <c r="E876" t="inlineStr">
        <is>
          <t>KALMAR</t>
        </is>
      </c>
      <c r="G876" t="n">
        <v>0.7</v>
      </c>
      <c r="H876" t="n">
        <v>0</v>
      </c>
      <c r="I876" t="n">
        <v>0</v>
      </c>
      <c r="J876" t="n">
        <v>0</v>
      </c>
      <c r="K876" t="n">
        <v>0</v>
      </c>
      <c r="L876" t="n">
        <v>0</v>
      </c>
      <c r="M876" t="n">
        <v>0</v>
      </c>
      <c r="N876" t="n">
        <v>0</v>
      </c>
      <c r="O876" t="n">
        <v>0</v>
      </c>
      <c r="P876" t="n">
        <v>0</v>
      </c>
      <c r="Q876" t="n">
        <v>0</v>
      </c>
      <c r="R876" s="2" t="inlineStr"/>
    </row>
    <row r="877" ht="15" customHeight="1">
      <c r="A877" t="inlineStr">
        <is>
          <t>A 35387-2021</t>
        </is>
      </c>
      <c r="B877" s="1" t="n">
        <v>44385.34373842592</v>
      </c>
      <c r="C877" s="1" t="n">
        <v>45884</v>
      </c>
      <c r="D877" t="inlineStr">
        <is>
          <t>KALMAR LÄN</t>
        </is>
      </c>
      <c r="E877" t="inlineStr">
        <is>
          <t>HULTSFRED</t>
        </is>
      </c>
      <c r="G877" t="n">
        <v>0.6</v>
      </c>
      <c r="H877" t="n">
        <v>0</v>
      </c>
      <c r="I877" t="n">
        <v>0</v>
      </c>
      <c r="J877" t="n">
        <v>0</v>
      </c>
      <c r="K877" t="n">
        <v>0</v>
      </c>
      <c r="L877" t="n">
        <v>0</v>
      </c>
      <c r="M877" t="n">
        <v>0</v>
      </c>
      <c r="N877" t="n">
        <v>0</v>
      </c>
      <c r="O877" t="n">
        <v>0</v>
      </c>
      <c r="P877" t="n">
        <v>0</v>
      </c>
      <c r="Q877" t="n">
        <v>0</v>
      </c>
      <c r="R877" s="2" t="inlineStr"/>
    </row>
    <row r="878" ht="15" customHeight="1">
      <c r="A878" t="inlineStr">
        <is>
          <t>A 37064-2021</t>
        </is>
      </c>
      <c r="B878" s="1" t="n">
        <v>44394</v>
      </c>
      <c r="C878" s="1" t="n">
        <v>45884</v>
      </c>
      <c r="D878" t="inlineStr">
        <is>
          <t>KALMAR LÄN</t>
        </is>
      </c>
      <c r="E878" t="inlineStr">
        <is>
          <t>MÖNSTERÅS</t>
        </is>
      </c>
      <c r="G878" t="n">
        <v>9.199999999999999</v>
      </c>
      <c r="H878" t="n">
        <v>0</v>
      </c>
      <c r="I878" t="n">
        <v>0</v>
      </c>
      <c r="J878" t="n">
        <v>0</v>
      </c>
      <c r="K878" t="n">
        <v>0</v>
      </c>
      <c r="L878" t="n">
        <v>0</v>
      </c>
      <c r="M878" t="n">
        <v>0</v>
      </c>
      <c r="N878" t="n">
        <v>0</v>
      </c>
      <c r="O878" t="n">
        <v>0</v>
      </c>
      <c r="P878" t="n">
        <v>0</v>
      </c>
      <c r="Q878" t="n">
        <v>0</v>
      </c>
      <c r="R878" s="2" t="inlineStr"/>
    </row>
    <row r="879" ht="15" customHeight="1">
      <c r="A879" t="inlineStr">
        <is>
          <t>A 57683-2020</t>
        </is>
      </c>
      <c r="B879" s="1" t="n">
        <v>44140.80674768519</v>
      </c>
      <c r="C879" s="1" t="n">
        <v>45884</v>
      </c>
      <c r="D879" t="inlineStr">
        <is>
          <t>KALMAR LÄN</t>
        </is>
      </c>
      <c r="E879" t="inlineStr">
        <is>
          <t>HÖGSBY</t>
        </is>
      </c>
      <c r="G879" t="n">
        <v>4.5</v>
      </c>
      <c r="H879" t="n">
        <v>0</v>
      </c>
      <c r="I879" t="n">
        <v>0</v>
      </c>
      <c r="J879" t="n">
        <v>0</v>
      </c>
      <c r="K879" t="n">
        <v>0</v>
      </c>
      <c r="L879" t="n">
        <v>0</v>
      </c>
      <c r="M879" t="n">
        <v>0</v>
      </c>
      <c r="N879" t="n">
        <v>0</v>
      </c>
      <c r="O879" t="n">
        <v>0</v>
      </c>
      <c r="P879" t="n">
        <v>0</v>
      </c>
      <c r="Q879" t="n">
        <v>0</v>
      </c>
      <c r="R879" s="2" t="inlineStr"/>
    </row>
    <row r="880" ht="15" customHeight="1">
      <c r="A880" t="inlineStr">
        <is>
          <t>A 47205-2021</t>
        </is>
      </c>
      <c r="B880" s="1" t="n">
        <v>44447</v>
      </c>
      <c r="C880" s="1" t="n">
        <v>45884</v>
      </c>
      <c r="D880" t="inlineStr">
        <is>
          <t>KALMAR LÄN</t>
        </is>
      </c>
      <c r="E880" t="inlineStr">
        <is>
          <t>VIMMERBY</t>
        </is>
      </c>
      <c r="G880" t="n">
        <v>0.5</v>
      </c>
      <c r="H880" t="n">
        <v>0</v>
      </c>
      <c r="I880" t="n">
        <v>0</v>
      </c>
      <c r="J880" t="n">
        <v>0</v>
      </c>
      <c r="K880" t="n">
        <v>0</v>
      </c>
      <c r="L880" t="n">
        <v>0</v>
      </c>
      <c r="M880" t="n">
        <v>0</v>
      </c>
      <c r="N880" t="n">
        <v>0</v>
      </c>
      <c r="O880" t="n">
        <v>0</v>
      </c>
      <c r="P880" t="n">
        <v>0</v>
      </c>
      <c r="Q880" t="n">
        <v>0</v>
      </c>
      <c r="R880" s="2" t="inlineStr"/>
    </row>
    <row r="881" ht="15" customHeight="1">
      <c r="A881" t="inlineStr">
        <is>
          <t>A 35402-2021</t>
        </is>
      </c>
      <c r="B881" s="1" t="n">
        <v>44385.40346064815</v>
      </c>
      <c r="C881" s="1" t="n">
        <v>45884</v>
      </c>
      <c r="D881" t="inlineStr">
        <is>
          <t>KALMAR LÄN</t>
        </is>
      </c>
      <c r="E881" t="inlineStr">
        <is>
          <t>NYBRO</t>
        </is>
      </c>
      <c r="G881" t="n">
        <v>1.1</v>
      </c>
      <c r="H881" t="n">
        <v>0</v>
      </c>
      <c r="I881" t="n">
        <v>0</v>
      </c>
      <c r="J881" t="n">
        <v>0</v>
      </c>
      <c r="K881" t="n">
        <v>0</v>
      </c>
      <c r="L881" t="n">
        <v>0</v>
      </c>
      <c r="M881" t="n">
        <v>0</v>
      </c>
      <c r="N881" t="n">
        <v>0</v>
      </c>
      <c r="O881" t="n">
        <v>0</v>
      </c>
      <c r="P881" t="n">
        <v>0</v>
      </c>
      <c r="Q881" t="n">
        <v>0</v>
      </c>
      <c r="R881" s="2" t="inlineStr"/>
    </row>
    <row r="882" ht="15" customHeight="1">
      <c r="A882" t="inlineStr">
        <is>
          <t>A 45804-2021</t>
        </is>
      </c>
      <c r="B882" s="1" t="n">
        <v>44441.48626157407</v>
      </c>
      <c r="C882" s="1" t="n">
        <v>45884</v>
      </c>
      <c r="D882" t="inlineStr">
        <is>
          <t>KALMAR LÄN</t>
        </is>
      </c>
      <c r="E882" t="inlineStr">
        <is>
          <t>EMMABODA</t>
        </is>
      </c>
      <c r="G882" t="n">
        <v>1</v>
      </c>
      <c r="H882" t="n">
        <v>0</v>
      </c>
      <c r="I882" t="n">
        <v>0</v>
      </c>
      <c r="J882" t="n">
        <v>0</v>
      </c>
      <c r="K882" t="n">
        <v>0</v>
      </c>
      <c r="L882" t="n">
        <v>0</v>
      </c>
      <c r="M882" t="n">
        <v>0</v>
      </c>
      <c r="N882" t="n">
        <v>0</v>
      </c>
      <c r="O882" t="n">
        <v>0</v>
      </c>
      <c r="P882" t="n">
        <v>0</v>
      </c>
      <c r="Q882" t="n">
        <v>0</v>
      </c>
      <c r="R882" s="2" t="inlineStr"/>
    </row>
    <row r="883" ht="15" customHeight="1">
      <c r="A883" t="inlineStr">
        <is>
          <t>A 56140-2021</t>
        </is>
      </c>
      <c r="B883" s="1" t="n">
        <v>44477</v>
      </c>
      <c r="C883" s="1" t="n">
        <v>45884</v>
      </c>
      <c r="D883" t="inlineStr">
        <is>
          <t>KALMAR LÄN</t>
        </is>
      </c>
      <c r="E883" t="inlineStr">
        <is>
          <t>HULTSFRED</t>
        </is>
      </c>
      <c r="G883" t="n">
        <v>0.5</v>
      </c>
      <c r="H883" t="n">
        <v>0</v>
      </c>
      <c r="I883" t="n">
        <v>0</v>
      </c>
      <c r="J883" t="n">
        <v>0</v>
      </c>
      <c r="K883" t="n">
        <v>0</v>
      </c>
      <c r="L883" t="n">
        <v>0</v>
      </c>
      <c r="M883" t="n">
        <v>0</v>
      </c>
      <c r="N883" t="n">
        <v>0</v>
      </c>
      <c r="O883" t="n">
        <v>0</v>
      </c>
      <c r="P883" t="n">
        <v>0</v>
      </c>
      <c r="Q883" t="n">
        <v>0</v>
      </c>
      <c r="R883" s="2" t="inlineStr"/>
    </row>
    <row r="884" ht="15" customHeight="1">
      <c r="A884" t="inlineStr">
        <is>
          <t>A 8509-2022</t>
        </is>
      </c>
      <c r="B884" s="1" t="n">
        <v>44613.42834490741</v>
      </c>
      <c r="C884" s="1" t="n">
        <v>45884</v>
      </c>
      <c r="D884" t="inlineStr">
        <is>
          <t>KALMAR LÄN</t>
        </is>
      </c>
      <c r="E884" t="inlineStr">
        <is>
          <t>TORSÅS</t>
        </is>
      </c>
      <c r="G884" t="n">
        <v>0.6</v>
      </c>
      <c r="H884" t="n">
        <v>0</v>
      </c>
      <c r="I884" t="n">
        <v>0</v>
      </c>
      <c r="J884" t="n">
        <v>0</v>
      </c>
      <c r="K884" t="n">
        <v>0</v>
      </c>
      <c r="L884" t="n">
        <v>0</v>
      </c>
      <c r="M884" t="n">
        <v>0</v>
      </c>
      <c r="N884" t="n">
        <v>0</v>
      </c>
      <c r="O884" t="n">
        <v>0</v>
      </c>
      <c r="P884" t="n">
        <v>0</v>
      </c>
      <c r="Q884" t="n">
        <v>0</v>
      </c>
      <c r="R884" s="2" t="inlineStr"/>
    </row>
    <row r="885" ht="15" customHeight="1">
      <c r="A885" t="inlineStr">
        <is>
          <t>A 58463-2021</t>
        </is>
      </c>
      <c r="B885" s="1" t="n">
        <v>44488</v>
      </c>
      <c r="C885" s="1" t="n">
        <v>45884</v>
      </c>
      <c r="D885" t="inlineStr">
        <is>
          <t>KALMAR LÄN</t>
        </is>
      </c>
      <c r="E885" t="inlineStr">
        <is>
          <t>EMMABODA</t>
        </is>
      </c>
      <c r="G885" t="n">
        <v>3.1</v>
      </c>
      <c r="H885" t="n">
        <v>0</v>
      </c>
      <c r="I885" t="n">
        <v>0</v>
      </c>
      <c r="J885" t="n">
        <v>0</v>
      </c>
      <c r="K885" t="n">
        <v>0</v>
      </c>
      <c r="L885" t="n">
        <v>0</v>
      </c>
      <c r="M885" t="n">
        <v>0</v>
      </c>
      <c r="N885" t="n">
        <v>0</v>
      </c>
      <c r="O885" t="n">
        <v>0</v>
      </c>
      <c r="P885" t="n">
        <v>0</v>
      </c>
      <c r="Q885" t="n">
        <v>0</v>
      </c>
      <c r="R885" s="2" t="inlineStr"/>
    </row>
    <row r="886" ht="15" customHeight="1">
      <c r="A886" t="inlineStr">
        <is>
          <t>A 11216-2022</t>
        </is>
      </c>
      <c r="B886" s="1" t="n">
        <v>44629</v>
      </c>
      <c r="C886" s="1" t="n">
        <v>45884</v>
      </c>
      <c r="D886" t="inlineStr">
        <is>
          <t>KALMAR LÄN</t>
        </is>
      </c>
      <c r="E886" t="inlineStr">
        <is>
          <t>KALMAR</t>
        </is>
      </c>
      <c r="G886" t="n">
        <v>1.1</v>
      </c>
      <c r="H886" t="n">
        <v>0</v>
      </c>
      <c r="I886" t="n">
        <v>0</v>
      </c>
      <c r="J886" t="n">
        <v>0</v>
      </c>
      <c r="K886" t="n">
        <v>0</v>
      </c>
      <c r="L886" t="n">
        <v>0</v>
      </c>
      <c r="M886" t="n">
        <v>0</v>
      </c>
      <c r="N886" t="n">
        <v>0</v>
      </c>
      <c r="O886" t="n">
        <v>0</v>
      </c>
      <c r="P886" t="n">
        <v>0</v>
      </c>
      <c r="Q886" t="n">
        <v>0</v>
      </c>
      <c r="R886" s="2" t="inlineStr"/>
    </row>
    <row r="887" ht="15" customHeight="1">
      <c r="A887" t="inlineStr">
        <is>
          <t>A 8199-2022</t>
        </is>
      </c>
      <c r="B887" s="1" t="n">
        <v>44609.71396990741</v>
      </c>
      <c r="C887" s="1" t="n">
        <v>45884</v>
      </c>
      <c r="D887" t="inlineStr">
        <is>
          <t>KALMAR LÄN</t>
        </is>
      </c>
      <c r="E887" t="inlineStr">
        <is>
          <t>HULTSFRED</t>
        </is>
      </c>
      <c r="G887" t="n">
        <v>2.8</v>
      </c>
      <c r="H887" t="n">
        <v>0</v>
      </c>
      <c r="I887" t="n">
        <v>0</v>
      </c>
      <c r="J887" t="n">
        <v>0</v>
      </c>
      <c r="K887" t="n">
        <v>0</v>
      </c>
      <c r="L887" t="n">
        <v>0</v>
      </c>
      <c r="M887" t="n">
        <v>0</v>
      </c>
      <c r="N887" t="n">
        <v>0</v>
      </c>
      <c r="O887" t="n">
        <v>0</v>
      </c>
      <c r="P887" t="n">
        <v>0</v>
      </c>
      <c r="Q887" t="n">
        <v>0</v>
      </c>
      <c r="R887" s="2" t="inlineStr"/>
    </row>
    <row r="888" ht="15" customHeight="1">
      <c r="A888" t="inlineStr">
        <is>
          <t>A 48249-2021</t>
        </is>
      </c>
      <c r="B888" s="1" t="n">
        <v>44449</v>
      </c>
      <c r="C888" s="1" t="n">
        <v>45884</v>
      </c>
      <c r="D888" t="inlineStr">
        <is>
          <t>KALMAR LÄN</t>
        </is>
      </c>
      <c r="E888" t="inlineStr">
        <is>
          <t>HULTSFRED</t>
        </is>
      </c>
      <c r="G888" t="n">
        <v>0.5</v>
      </c>
      <c r="H888" t="n">
        <v>0</v>
      </c>
      <c r="I888" t="n">
        <v>0</v>
      </c>
      <c r="J888" t="n">
        <v>0</v>
      </c>
      <c r="K888" t="n">
        <v>0</v>
      </c>
      <c r="L888" t="n">
        <v>0</v>
      </c>
      <c r="M888" t="n">
        <v>0</v>
      </c>
      <c r="N888" t="n">
        <v>0</v>
      </c>
      <c r="O888" t="n">
        <v>0</v>
      </c>
      <c r="P888" t="n">
        <v>0</v>
      </c>
      <c r="Q888" t="n">
        <v>0</v>
      </c>
      <c r="R888" s="2" t="inlineStr"/>
    </row>
    <row r="889" ht="15" customHeight="1">
      <c r="A889" t="inlineStr">
        <is>
          <t>A 40838-2021</t>
        </is>
      </c>
      <c r="B889" s="1" t="n">
        <v>44421</v>
      </c>
      <c r="C889" s="1" t="n">
        <v>45884</v>
      </c>
      <c r="D889" t="inlineStr">
        <is>
          <t>KALMAR LÄN</t>
        </is>
      </c>
      <c r="E889" t="inlineStr">
        <is>
          <t>KALMAR</t>
        </is>
      </c>
      <c r="G889" t="n">
        <v>3</v>
      </c>
      <c r="H889" t="n">
        <v>0</v>
      </c>
      <c r="I889" t="n">
        <v>0</v>
      </c>
      <c r="J889" t="n">
        <v>0</v>
      </c>
      <c r="K889" t="n">
        <v>0</v>
      </c>
      <c r="L889" t="n">
        <v>0</v>
      </c>
      <c r="M889" t="n">
        <v>0</v>
      </c>
      <c r="N889" t="n">
        <v>0</v>
      </c>
      <c r="O889" t="n">
        <v>0</v>
      </c>
      <c r="P889" t="n">
        <v>0</v>
      </c>
      <c r="Q889" t="n">
        <v>0</v>
      </c>
      <c r="R889" s="2" t="inlineStr"/>
    </row>
    <row r="890" ht="15" customHeight="1">
      <c r="A890" t="inlineStr">
        <is>
          <t>A 17953-2022</t>
        </is>
      </c>
      <c r="B890" s="1" t="n">
        <v>44683.64341435185</v>
      </c>
      <c r="C890" s="1" t="n">
        <v>45884</v>
      </c>
      <c r="D890" t="inlineStr">
        <is>
          <t>KALMAR LÄN</t>
        </is>
      </c>
      <c r="E890" t="inlineStr">
        <is>
          <t>VÄSTERVIK</t>
        </is>
      </c>
      <c r="F890" t="inlineStr">
        <is>
          <t>Sveaskog</t>
        </is>
      </c>
      <c r="G890" t="n">
        <v>0.6</v>
      </c>
      <c r="H890" t="n">
        <v>0</v>
      </c>
      <c r="I890" t="n">
        <v>0</v>
      </c>
      <c r="J890" t="n">
        <v>0</v>
      </c>
      <c r="K890" t="n">
        <v>0</v>
      </c>
      <c r="L890" t="n">
        <v>0</v>
      </c>
      <c r="M890" t="n">
        <v>0</v>
      </c>
      <c r="N890" t="n">
        <v>0</v>
      </c>
      <c r="O890" t="n">
        <v>0</v>
      </c>
      <c r="P890" t="n">
        <v>0</v>
      </c>
      <c r="Q890" t="n">
        <v>0</v>
      </c>
      <c r="R890" s="2" t="inlineStr"/>
    </row>
    <row r="891" ht="15" customHeight="1">
      <c r="A891" t="inlineStr">
        <is>
          <t>A 3016-2021</t>
        </is>
      </c>
      <c r="B891" s="1" t="n">
        <v>44216</v>
      </c>
      <c r="C891" s="1" t="n">
        <v>45884</v>
      </c>
      <c r="D891" t="inlineStr">
        <is>
          <t>KALMAR LÄN</t>
        </is>
      </c>
      <c r="E891" t="inlineStr">
        <is>
          <t>MÖNSTERÅS</t>
        </is>
      </c>
      <c r="G891" t="n">
        <v>11</v>
      </c>
      <c r="H891" t="n">
        <v>0</v>
      </c>
      <c r="I891" t="n">
        <v>0</v>
      </c>
      <c r="J891" t="n">
        <v>0</v>
      </c>
      <c r="K891" t="n">
        <v>0</v>
      </c>
      <c r="L891" t="n">
        <v>0</v>
      </c>
      <c r="M891" t="n">
        <v>0</v>
      </c>
      <c r="N891" t="n">
        <v>0</v>
      </c>
      <c r="O891" t="n">
        <v>0</v>
      </c>
      <c r="P891" t="n">
        <v>0</v>
      </c>
      <c r="Q891" t="n">
        <v>0</v>
      </c>
      <c r="R891" s="2" t="inlineStr"/>
    </row>
    <row r="892" ht="15" customHeight="1">
      <c r="A892" t="inlineStr">
        <is>
          <t>A 53222-2020</t>
        </is>
      </c>
      <c r="B892" s="1" t="n">
        <v>44123</v>
      </c>
      <c r="C892" s="1" t="n">
        <v>45884</v>
      </c>
      <c r="D892" t="inlineStr">
        <is>
          <t>KALMAR LÄN</t>
        </is>
      </c>
      <c r="E892" t="inlineStr">
        <is>
          <t>NYBRO</t>
        </is>
      </c>
      <c r="G892" t="n">
        <v>2</v>
      </c>
      <c r="H892" t="n">
        <v>0</v>
      </c>
      <c r="I892" t="n">
        <v>0</v>
      </c>
      <c r="J892" t="n">
        <v>0</v>
      </c>
      <c r="K892" t="n">
        <v>0</v>
      </c>
      <c r="L892" t="n">
        <v>0</v>
      </c>
      <c r="M892" t="n">
        <v>0</v>
      </c>
      <c r="N892" t="n">
        <v>0</v>
      </c>
      <c r="O892" t="n">
        <v>0</v>
      </c>
      <c r="P892" t="n">
        <v>0</v>
      </c>
      <c r="Q892" t="n">
        <v>0</v>
      </c>
      <c r="R892" s="2" t="inlineStr"/>
    </row>
    <row r="893" ht="15" customHeight="1">
      <c r="A893" t="inlineStr">
        <is>
          <t>A 57018-2021</t>
        </is>
      </c>
      <c r="B893" s="1" t="n">
        <v>44482.49607638889</v>
      </c>
      <c r="C893" s="1" t="n">
        <v>45884</v>
      </c>
      <c r="D893" t="inlineStr">
        <is>
          <t>KALMAR LÄN</t>
        </is>
      </c>
      <c r="E893" t="inlineStr">
        <is>
          <t>KALMAR</t>
        </is>
      </c>
      <c r="G893" t="n">
        <v>2.2</v>
      </c>
      <c r="H893" t="n">
        <v>0</v>
      </c>
      <c r="I893" t="n">
        <v>0</v>
      </c>
      <c r="J893" t="n">
        <v>0</v>
      </c>
      <c r="K893" t="n">
        <v>0</v>
      </c>
      <c r="L893" t="n">
        <v>0</v>
      </c>
      <c r="M893" t="n">
        <v>0</v>
      </c>
      <c r="N893" t="n">
        <v>0</v>
      </c>
      <c r="O893" t="n">
        <v>0</v>
      </c>
      <c r="P893" t="n">
        <v>0</v>
      </c>
      <c r="Q893" t="n">
        <v>0</v>
      </c>
      <c r="R893" s="2" t="inlineStr"/>
    </row>
    <row r="894" ht="15" customHeight="1">
      <c r="A894" t="inlineStr">
        <is>
          <t>A 43187-2021</t>
        </is>
      </c>
      <c r="B894" s="1" t="n">
        <v>44431.84994212963</v>
      </c>
      <c r="C894" s="1" t="n">
        <v>45884</v>
      </c>
      <c r="D894" t="inlineStr">
        <is>
          <t>KALMAR LÄN</t>
        </is>
      </c>
      <c r="E894" t="inlineStr">
        <is>
          <t>OSKARSHAMN</t>
        </is>
      </c>
      <c r="G894" t="n">
        <v>0.4</v>
      </c>
      <c r="H894" t="n">
        <v>0</v>
      </c>
      <c r="I894" t="n">
        <v>0</v>
      </c>
      <c r="J894" t="n">
        <v>0</v>
      </c>
      <c r="K894" t="n">
        <v>0</v>
      </c>
      <c r="L894" t="n">
        <v>0</v>
      </c>
      <c r="M894" t="n">
        <v>0</v>
      </c>
      <c r="N894" t="n">
        <v>0</v>
      </c>
      <c r="O894" t="n">
        <v>0</v>
      </c>
      <c r="P894" t="n">
        <v>0</v>
      </c>
      <c r="Q894" t="n">
        <v>0</v>
      </c>
      <c r="R894" s="2" t="inlineStr"/>
    </row>
    <row r="895" ht="15" customHeight="1">
      <c r="A895" t="inlineStr">
        <is>
          <t>A 61022-2020</t>
        </is>
      </c>
      <c r="B895" s="1" t="n">
        <v>44154</v>
      </c>
      <c r="C895" s="1" t="n">
        <v>45884</v>
      </c>
      <c r="D895" t="inlineStr">
        <is>
          <t>KALMAR LÄN</t>
        </is>
      </c>
      <c r="E895" t="inlineStr">
        <is>
          <t>OSKARSHAMN</t>
        </is>
      </c>
      <c r="G895" t="n">
        <v>0.7</v>
      </c>
      <c r="H895" t="n">
        <v>0</v>
      </c>
      <c r="I895" t="n">
        <v>0</v>
      </c>
      <c r="J895" t="n">
        <v>0</v>
      </c>
      <c r="K895" t="n">
        <v>0</v>
      </c>
      <c r="L895" t="n">
        <v>0</v>
      </c>
      <c r="M895" t="n">
        <v>0</v>
      </c>
      <c r="N895" t="n">
        <v>0</v>
      </c>
      <c r="O895" t="n">
        <v>0</v>
      </c>
      <c r="P895" t="n">
        <v>0</v>
      </c>
      <c r="Q895" t="n">
        <v>0</v>
      </c>
      <c r="R895" s="2" t="inlineStr"/>
    </row>
    <row r="896" ht="15" customHeight="1">
      <c r="A896" t="inlineStr">
        <is>
          <t>A 27100-2021</t>
        </is>
      </c>
      <c r="B896" s="1" t="n">
        <v>44350</v>
      </c>
      <c r="C896" s="1" t="n">
        <v>45884</v>
      </c>
      <c r="D896" t="inlineStr">
        <is>
          <t>KALMAR LÄN</t>
        </is>
      </c>
      <c r="E896" t="inlineStr">
        <is>
          <t>VIMMERBY</t>
        </is>
      </c>
      <c r="G896" t="n">
        <v>9.6</v>
      </c>
      <c r="H896" t="n">
        <v>0</v>
      </c>
      <c r="I896" t="n">
        <v>0</v>
      </c>
      <c r="J896" t="n">
        <v>0</v>
      </c>
      <c r="K896" t="n">
        <v>0</v>
      </c>
      <c r="L896" t="n">
        <v>0</v>
      </c>
      <c r="M896" t="n">
        <v>0</v>
      </c>
      <c r="N896" t="n">
        <v>0</v>
      </c>
      <c r="O896" t="n">
        <v>0</v>
      </c>
      <c r="P896" t="n">
        <v>0</v>
      </c>
      <c r="Q896" t="n">
        <v>0</v>
      </c>
      <c r="R896" s="2" t="inlineStr"/>
    </row>
    <row r="897" ht="15" customHeight="1">
      <c r="A897" t="inlineStr">
        <is>
          <t>A 42131-2021</t>
        </is>
      </c>
      <c r="B897" s="1" t="n">
        <v>44426</v>
      </c>
      <c r="C897" s="1" t="n">
        <v>45884</v>
      </c>
      <c r="D897" t="inlineStr">
        <is>
          <t>KALMAR LÄN</t>
        </is>
      </c>
      <c r="E897" t="inlineStr">
        <is>
          <t>VÄSTERVIK</t>
        </is>
      </c>
      <c r="G897" t="n">
        <v>2.3</v>
      </c>
      <c r="H897" t="n">
        <v>0</v>
      </c>
      <c r="I897" t="n">
        <v>0</v>
      </c>
      <c r="J897" t="n">
        <v>0</v>
      </c>
      <c r="K897" t="n">
        <v>0</v>
      </c>
      <c r="L897" t="n">
        <v>0</v>
      </c>
      <c r="M897" t="n">
        <v>0</v>
      </c>
      <c r="N897" t="n">
        <v>0</v>
      </c>
      <c r="O897" t="n">
        <v>0</v>
      </c>
      <c r="P897" t="n">
        <v>0</v>
      </c>
      <c r="Q897" t="n">
        <v>0</v>
      </c>
      <c r="R897" s="2" t="inlineStr"/>
    </row>
    <row r="898" ht="15" customHeight="1">
      <c r="A898" t="inlineStr">
        <is>
          <t>A 42139-2021</t>
        </is>
      </c>
      <c r="B898" s="1" t="n">
        <v>44426</v>
      </c>
      <c r="C898" s="1" t="n">
        <v>45884</v>
      </c>
      <c r="D898" t="inlineStr">
        <is>
          <t>KALMAR LÄN</t>
        </is>
      </c>
      <c r="E898" t="inlineStr">
        <is>
          <t>MÖNSTERÅS</t>
        </is>
      </c>
      <c r="G898" t="n">
        <v>2.7</v>
      </c>
      <c r="H898" t="n">
        <v>0</v>
      </c>
      <c r="I898" t="n">
        <v>0</v>
      </c>
      <c r="J898" t="n">
        <v>0</v>
      </c>
      <c r="K898" t="n">
        <v>0</v>
      </c>
      <c r="L898" t="n">
        <v>0</v>
      </c>
      <c r="M898" t="n">
        <v>0</v>
      </c>
      <c r="N898" t="n">
        <v>0</v>
      </c>
      <c r="O898" t="n">
        <v>0</v>
      </c>
      <c r="P898" t="n">
        <v>0</v>
      </c>
      <c r="Q898" t="n">
        <v>0</v>
      </c>
      <c r="R898" s="2" t="inlineStr"/>
    </row>
    <row r="899" ht="15" customHeight="1">
      <c r="A899" t="inlineStr">
        <is>
          <t>A 32607-2021</t>
        </is>
      </c>
      <c r="B899" s="1" t="n">
        <v>44375.39033564815</v>
      </c>
      <c r="C899" s="1" t="n">
        <v>45884</v>
      </c>
      <c r="D899" t="inlineStr">
        <is>
          <t>KALMAR LÄN</t>
        </is>
      </c>
      <c r="E899" t="inlineStr">
        <is>
          <t>VIMMERBY</t>
        </is>
      </c>
      <c r="G899" t="n">
        <v>0.4</v>
      </c>
      <c r="H899" t="n">
        <v>0</v>
      </c>
      <c r="I899" t="n">
        <v>0</v>
      </c>
      <c r="J899" t="n">
        <v>0</v>
      </c>
      <c r="K899" t="n">
        <v>0</v>
      </c>
      <c r="L899" t="n">
        <v>0</v>
      </c>
      <c r="M899" t="n">
        <v>0</v>
      </c>
      <c r="N899" t="n">
        <v>0</v>
      </c>
      <c r="O899" t="n">
        <v>0</v>
      </c>
      <c r="P899" t="n">
        <v>0</v>
      </c>
      <c r="Q899" t="n">
        <v>0</v>
      </c>
      <c r="R899" s="2" t="inlineStr"/>
    </row>
    <row r="900" ht="15" customHeight="1">
      <c r="A900" t="inlineStr">
        <is>
          <t>A 52964-2020</t>
        </is>
      </c>
      <c r="B900" s="1" t="n">
        <v>44120.39879629629</v>
      </c>
      <c r="C900" s="1" t="n">
        <v>45884</v>
      </c>
      <c r="D900" t="inlineStr">
        <is>
          <t>KALMAR LÄN</t>
        </is>
      </c>
      <c r="E900" t="inlineStr">
        <is>
          <t>EMMABODA</t>
        </is>
      </c>
      <c r="F900" t="inlineStr">
        <is>
          <t>Sveaskog</t>
        </is>
      </c>
      <c r="G900" t="n">
        <v>1.4</v>
      </c>
      <c r="H900" t="n">
        <v>0</v>
      </c>
      <c r="I900" t="n">
        <v>0</v>
      </c>
      <c r="J900" t="n">
        <v>0</v>
      </c>
      <c r="K900" t="n">
        <v>0</v>
      </c>
      <c r="L900" t="n">
        <v>0</v>
      </c>
      <c r="M900" t="n">
        <v>0</v>
      </c>
      <c r="N900" t="n">
        <v>0</v>
      </c>
      <c r="O900" t="n">
        <v>0</v>
      </c>
      <c r="P900" t="n">
        <v>0</v>
      </c>
      <c r="Q900" t="n">
        <v>0</v>
      </c>
      <c r="R900" s="2" t="inlineStr"/>
    </row>
    <row r="901" ht="15" customHeight="1">
      <c r="A901" t="inlineStr">
        <is>
          <t>A 38096-2021</t>
        </is>
      </c>
      <c r="B901" s="1" t="n">
        <v>44405.31638888889</v>
      </c>
      <c r="C901" s="1" t="n">
        <v>45884</v>
      </c>
      <c r="D901" t="inlineStr">
        <is>
          <t>KALMAR LÄN</t>
        </is>
      </c>
      <c r="E901" t="inlineStr">
        <is>
          <t>EMMABODA</t>
        </is>
      </c>
      <c r="G901" t="n">
        <v>2.4</v>
      </c>
      <c r="H901" t="n">
        <v>0</v>
      </c>
      <c r="I901" t="n">
        <v>0</v>
      </c>
      <c r="J901" t="n">
        <v>0</v>
      </c>
      <c r="K901" t="n">
        <v>0</v>
      </c>
      <c r="L901" t="n">
        <v>0</v>
      </c>
      <c r="M901" t="n">
        <v>0</v>
      </c>
      <c r="N901" t="n">
        <v>0</v>
      </c>
      <c r="O901" t="n">
        <v>0</v>
      </c>
      <c r="P901" t="n">
        <v>0</v>
      </c>
      <c r="Q901" t="n">
        <v>0</v>
      </c>
      <c r="R901" s="2" t="inlineStr"/>
    </row>
    <row r="902" ht="15" customHeight="1">
      <c r="A902" t="inlineStr">
        <is>
          <t>A 40062-2022</t>
        </is>
      </c>
      <c r="B902" s="1" t="n">
        <v>44820</v>
      </c>
      <c r="C902" s="1" t="n">
        <v>45884</v>
      </c>
      <c r="D902" t="inlineStr">
        <is>
          <t>KALMAR LÄN</t>
        </is>
      </c>
      <c r="E902" t="inlineStr">
        <is>
          <t>VÄSTERVIK</t>
        </is>
      </c>
      <c r="G902" t="n">
        <v>0.7</v>
      </c>
      <c r="H902" t="n">
        <v>0</v>
      </c>
      <c r="I902" t="n">
        <v>0</v>
      </c>
      <c r="J902" t="n">
        <v>0</v>
      </c>
      <c r="K902" t="n">
        <v>0</v>
      </c>
      <c r="L902" t="n">
        <v>0</v>
      </c>
      <c r="M902" t="n">
        <v>0</v>
      </c>
      <c r="N902" t="n">
        <v>0</v>
      </c>
      <c r="O902" t="n">
        <v>0</v>
      </c>
      <c r="P902" t="n">
        <v>0</v>
      </c>
      <c r="Q902" t="n">
        <v>0</v>
      </c>
      <c r="R902" s="2" t="inlineStr"/>
    </row>
    <row r="903" ht="15" customHeight="1">
      <c r="A903" t="inlineStr">
        <is>
          <t>A 30744-2022</t>
        </is>
      </c>
      <c r="B903" s="1" t="n">
        <v>44764.45645833333</v>
      </c>
      <c r="C903" s="1" t="n">
        <v>45884</v>
      </c>
      <c r="D903" t="inlineStr">
        <is>
          <t>KALMAR LÄN</t>
        </is>
      </c>
      <c r="E903" t="inlineStr">
        <is>
          <t>EMMABODA</t>
        </is>
      </c>
      <c r="G903" t="n">
        <v>0.5</v>
      </c>
      <c r="H903" t="n">
        <v>0</v>
      </c>
      <c r="I903" t="n">
        <v>0</v>
      </c>
      <c r="J903" t="n">
        <v>0</v>
      </c>
      <c r="K903" t="n">
        <v>0</v>
      </c>
      <c r="L903" t="n">
        <v>0</v>
      </c>
      <c r="M903" t="n">
        <v>0</v>
      </c>
      <c r="N903" t="n">
        <v>0</v>
      </c>
      <c r="O903" t="n">
        <v>0</v>
      </c>
      <c r="P903" t="n">
        <v>0</v>
      </c>
      <c r="Q903" t="n">
        <v>0</v>
      </c>
      <c r="R903" s="2" t="inlineStr"/>
    </row>
    <row r="904" ht="15" customHeight="1">
      <c r="A904" t="inlineStr">
        <is>
          <t>A 38097-2021</t>
        </is>
      </c>
      <c r="B904" s="1" t="n">
        <v>44405.31894675926</v>
      </c>
      <c r="C904" s="1" t="n">
        <v>45884</v>
      </c>
      <c r="D904" t="inlineStr">
        <is>
          <t>KALMAR LÄN</t>
        </is>
      </c>
      <c r="E904" t="inlineStr">
        <is>
          <t>EMMABODA</t>
        </is>
      </c>
      <c r="G904" t="n">
        <v>2</v>
      </c>
      <c r="H904" t="n">
        <v>0</v>
      </c>
      <c r="I904" t="n">
        <v>0</v>
      </c>
      <c r="J904" t="n">
        <v>0</v>
      </c>
      <c r="K904" t="n">
        <v>0</v>
      </c>
      <c r="L904" t="n">
        <v>0</v>
      </c>
      <c r="M904" t="n">
        <v>0</v>
      </c>
      <c r="N904" t="n">
        <v>0</v>
      </c>
      <c r="O904" t="n">
        <v>0</v>
      </c>
      <c r="P904" t="n">
        <v>0</v>
      </c>
      <c r="Q904" t="n">
        <v>0</v>
      </c>
      <c r="R904" s="2" t="inlineStr"/>
    </row>
    <row r="905" ht="15" customHeight="1">
      <c r="A905" t="inlineStr">
        <is>
          <t>A 38098-2021</t>
        </is>
      </c>
      <c r="B905" s="1" t="n">
        <v>44405</v>
      </c>
      <c r="C905" s="1" t="n">
        <v>45884</v>
      </c>
      <c r="D905" t="inlineStr">
        <is>
          <t>KALMAR LÄN</t>
        </is>
      </c>
      <c r="E905" t="inlineStr">
        <is>
          <t>EMMABODA</t>
        </is>
      </c>
      <c r="G905" t="n">
        <v>2.1</v>
      </c>
      <c r="H905" t="n">
        <v>0</v>
      </c>
      <c r="I905" t="n">
        <v>0</v>
      </c>
      <c r="J905" t="n">
        <v>0</v>
      </c>
      <c r="K905" t="n">
        <v>0</v>
      </c>
      <c r="L905" t="n">
        <v>0</v>
      </c>
      <c r="M905" t="n">
        <v>0</v>
      </c>
      <c r="N905" t="n">
        <v>0</v>
      </c>
      <c r="O905" t="n">
        <v>0</v>
      </c>
      <c r="P905" t="n">
        <v>0</v>
      </c>
      <c r="Q905" t="n">
        <v>0</v>
      </c>
      <c r="R905" s="2" t="inlineStr"/>
    </row>
    <row r="906" ht="15" customHeight="1">
      <c r="A906" t="inlineStr">
        <is>
          <t>A 52289-2022</t>
        </is>
      </c>
      <c r="B906" s="1" t="n">
        <v>44873.67061342593</v>
      </c>
      <c r="C906" s="1" t="n">
        <v>45884</v>
      </c>
      <c r="D906" t="inlineStr">
        <is>
          <t>KALMAR LÄN</t>
        </is>
      </c>
      <c r="E906" t="inlineStr">
        <is>
          <t>VÄSTERVIK</t>
        </is>
      </c>
      <c r="G906" t="n">
        <v>0.6</v>
      </c>
      <c r="H906" t="n">
        <v>0</v>
      </c>
      <c r="I906" t="n">
        <v>0</v>
      </c>
      <c r="J906" t="n">
        <v>0</v>
      </c>
      <c r="K906" t="n">
        <v>0</v>
      </c>
      <c r="L906" t="n">
        <v>0</v>
      </c>
      <c r="M906" t="n">
        <v>0</v>
      </c>
      <c r="N906" t="n">
        <v>0</v>
      </c>
      <c r="O906" t="n">
        <v>0</v>
      </c>
      <c r="P906" t="n">
        <v>0</v>
      </c>
      <c r="Q906" t="n">
        <v>0</v>
      </c>
      <c r="R906" s="2" t="inlineStr"/>
    </row>
    <row r="907" ht="15" customHeight="1">
      <c r="A907" t="inlineStr">
        <is>
          <t>A 60528-2021</t>
        </is>
      </c>
      <c r="B907" s="1" t="n">
        <v>44496.5110300926</v>
      </c>
      <c r="C907" s="1" t="n">
        <v>45884</v>
      </c>
      <c r="D907" t="inlineStr">
        <is>
          <t>KALMAR LÄN</t>
        </is>
      </c>
      <c r="E907" t="inlineStr">
        <is>
          <t>EMMABODA</t>
        </is>
      </c>
      <c r="G907" t="n">
        <v>1.6</v>
      </c>
      <c r="H907" t="n">
        <v>0</v>
      </c>
      <c r="I907" t="n">
        <v>0</v>
      </c>
      <c r="J907" t="n">
        <v>0</v>
      </c>
      <c r="K907" t="n">
        <v>0</v>
      </c>
      <c r="L907" t="n">
        <v>0</v>
      </c>
      <c r="M907" t="n">
        <v>0</v>
      </c>
      <c r="N907" t="n">
        <v>0</v>
      </c>
      <c r="O907" t="n">
        <v>0</v>
      </c>
      <c r="P907" t="n">
        <v>0</v>
      </c>
      <c r="Q907" t="n">
        <v>0</v>
      </c>
      <c r="R907" s="2" t="inlineStr"/>
    </row>
    <row r="908" ht="15" customHeight="1">
      <c r="A908" t="inlineStr">
        <is>
          <t>A 42761-2021</t>
        </is>
      </c>
      <c r="B908" s="1" t="n">
        <v>44428</v>
      </c>
      <c r="C908" s="1" t="n">
        <v>45884</v>
      </c>
      <c r="D908" t="inlineStr">
        <is>
          <t>KALMAR LÄN</t>
        </is>
      </c>
      <c r="E908" t="inlineStr">
        <is>
          <t>BORGHOLM</t>
        </is>
      </c>
      <c r="G908" t="n">
        <v>1.5</v>
      </c>
      <c r="H908" t="n">
        <v>0</v>
      </c>
      <c r="I908" t="n">
        <v>0</v>
      </c>
      <c r="J908" t="n">
        <v>0</v>
      </c>
      <c r="K908" t="n">
        <v>0</v>
      </c>
      <c r="L908" t="n">
        <v>0</v>
      </c>
      <c r="M908" t="n">
        <v>0</v>
      </c>
      <c r="N908" t="n">
        <v>0</v>
      </c>
      <c r="O908" t="n">
        <v>0</v>
      </c>
      <c r="P908" t="n">
        <v>0</v>
      </c>
      <c r="Q908" t="n">
        <v>0</v>
      </c>
      <c r="R908" s="2" t="inlineStr"/>
    </row>
    <row r="909" ht="15" customHeight="1">
      <c r="A909" t="inlineStr">
        <is>
          <t>A 68900-2021</t>
        </is>
      </c>
      <c r="B909" s="1" t="n">
        <v>44530.4562037037</v>
      </c>
      <c r="C909" s="1" t="n">
        <v>45884</v>
      </c>
      <c r="D909" t="inlineStr">
        <is>
          <t>KALMAR LÄN</t>
        </is>
      </c>
      <c r="E909" t="inlineStr">
        <is>
          <t>EMMABODA</t>
        </is>
      </c>
      <c r="G909" t="n">
        <v>3.9</v>
      </c>
      <c r="H909" t="n">
        <v>0</v>
      </c>
      <c r="I909" t="n">
        <v>0</v>
      </c>
      <c r="J909" t="n">
        <v>0</v>
      </c>
      <c r="K909" t="n">
        <v>0</v>
      </c>
      <c r="L909" t="n">
        <v>0</v>
      </c>
      <c r="M909" t="n">
        <v>0</v>
      </c>
      <c r="N909" t="n">
        <v>0</v>
      </c>
      <c r="O909" t="n">
        <v>0</v>
      </c>
      <c r="P909" t="n">
        <v>0</v>
      </c>
      <c r="Q909" t="n">
        <v>0</v>
      </c>
      <c r="R909" s="2" t="inlineStr"/>
    </row>
    <row r="910" ht="15" customHeight="1">
      <c r="A910" t="inlineStr">
        <is>
          <t>A 298-2022</t>
        </is>
      </c>
      <c r="B910" s="1" t="n">
        <v>44564</v>
      </c>
      <c r="C910" s="1" t="n">
        <v>45884</v>
      </c>
      <c r="D910" t="inlineStr">
        <is>
          <t>KALMAR LÄN</t>
        </is>
      </c>
      <c r="E910" t="inlineStr">
        <is>
          <t>HULTSFRED</t>
        </is>
      </c>
      <c r="G910" t="n">
        <v>1.6</v>
      </c>
      <c r="H910" t="n">
        <v>0</v>
      </c>
      <c r="I910" t="n">
        <v>0</v>
      </c>
      <c r="J910" t="n">
        <v>0</v>
      </c>
      <c r="K910" t="n">
        <v>0</v>
      </c>
      <c r="L910" t="n">
        <v>0</v>
      </c>
      <c r="M910" t="n">
        <v>0</v>
      </c>
      <c r="N910" t="n">
        <v>0</v>
      </c>
      <c r="O910" t="n">
        <v>0</v>
      </c>
      <c r="P910" t="n">
        <v>0</v>
      </c>
      <c r="Q910" t="n">
        <v>0</v>
      </c>
      <c r="R910" s="2" t="inlineStr"/>
    </row>
    <row r="911" ht="15" customHeight="1">
      <c r="A911" t="inlineStr">
        <is>
          <t>A 8908-2022</t>
        </is>
      </c>
      <c r="B911" s="1" t="n">
        <v>44614</v>
      </c>
      <c r="C911" s="1" t="n">
        <v>45884</v>
      </c>
      <c r="D911" t="inlineStr">
        <is>
          <t>KALMAR LÄN</t>
        </is>
      </c>
      <c r="E911" t="inlineStr">
        <is>
          <t>VIMMERBY</t>
        </is>
      </c>
      <c r="G911" t="n">
        <v>0.5</v>
      </c>
      <c r="H911" t="n">
        <v>0</v>
      </c>
      <c r="I911" t="n">
        <v>0</v>
      </c>
      <c r="J911" t="n">
        <v>0</v>
      </c>
      <c r="K911" t="n">
        <v>0</v>
      </c>
      <c r="L911" t="n">
        <v>0</v>
      </c>
      <c r="M911" t="n">
        <v>0</v>
      </c>
      <c r="N911" t="n">
        <v>0</v>
      </c>
      <c r="O911" t="n">
        <v>0</v>
      </c>
      <c r="P911" t="n">
        <v>0</v>
      </c>
      <c r="Q911" t="n">
        <v>0</v>
      </c>
      <c r="R911" s="2" t="inlineStr"/>
    </row>
    <row r="912" ht="15" customHeight="1">
      <c r="A912" t="inlineStr">
        <is>
          <t>A 37036-2021</t>
        </is>
      </c>
      <c r="B912" s="1" t="n">
        <v>44393</v>
      </c>
      <c r="C912" s="1" t="n">
        <v>45884</v>
      </c>
      <c r="D912" t="inlineStr">
        <is>
          <t>KALMAR LÄN</t>
        </is>
      </c>
      <c r="E912" t="inlineStr">
        <is>
          <t>VÄSTERVIK</t>
        </is>
      </c>
      <c r="G912" t="n">
        <v>16.1</v>
      </c>
      <c r="H912" t="n">
        <v>0</v>
      </c>
      <c r="I912" t="n">
        <v>0</v>
      </c>
      <c r="J912" t="n">
        <v>0</v>
      </c>
      <c r="K912" t="n">
        <v>0</v>
      </c>
      <c r="L912" t="n">
        <v>0</v>
      </c>
      <c r="M912" t="n">
        <v>0</v>
      </c>
      <c r="N912" t="n">
        <v>0</v>
      </c>
      <c r="O912" t="n">
        <v>0</v>
      </c>
      <c r="P912" t="n">
        <v>0</v>
      </c>
      <c r="Q912" t="n">
        <v>0</v>
      </c>
      <c r="R912" s="2" t="inlineStr"/>
    </row>
    <row r="913" ht="15" customHeight="1">
      <c r="A913" t="inlineStr">
        <is>
          <t>A 14038-2022</t>
        </is>
      </c>
      <c r="B913" s="1" t="n">
        <v>44650</v>
      </c>
      <c r="C913" s="1" t="n">
        <v>45884</v>
      </c>
      <c r="D913" t="inlineStr">
        <is>
          <t>KALMAR LÄN</t>
        </is>
      </c>
      <c r="E913" t="inlineStr">
        <is>
          <t>VÄSTERVIK</t>
        </is>
      </c>
      <c r="G913" t="n">
        <v>0.6</v>
      </c>
      <c r="H913" t="n">
        <v>0</v>
      </c>
      <c r="I913" t="n">
        <v>0</v>
      </c>
      <c r="J913" t="n">
        <v>0</v>
      </c>
      <c r="K913" t="n">
        <v>0</v>
      </c>
      <c r="L913" t="n">
        <v>0</v>
      </c>
      <c r="M913" t="n">
        <v>0</v>
      </c>
      <c r="N913" t="n">
        <v>0</v>
      </c>
      <c r="O913" t="n">
        <v>0</v>
      </c>
      <c r="P913" t="n">
        <v>0</v>
      </c>
      <c r="Q913" t="n">
        <v>0</v>
      </c>
      <c r="R913" s="2" t="inlineStr"/>
    </row>
    <row r="914" ht="15" customHeight="1">
      <c r="A914" t="inlineStr">
        <is>
          <t>A 1372-2021</t>
        </is>
      </c>
      <c r="B914" s="1" t="n">
        <v>44208</v>
      </c>
      <c r="C914" s="1" t="n">
        <v>45884</v>
      </c>
      <c r="D914" t="inlineStr">
        <is>
          <t>KALMAR LÄN</t>
        </is>
      </c>
      <c r="E914" t="inlineStr">
        <is>
          <t>NYBRO</t>
        </is>
      </c>
      <c r="G914" t="n">
        <v>1</v>
      </c>
      <c r="H914" t="n">
        <v>0</v>
      </c>
      <c r="I914" t="n">
        <v>0</v>
      </c>
      <c r="J914" t="n">
        <v>0</v>
      </c>
      <c r="K914" t="n">
        <v>0</v>
      </c>
      <c r="L914" t="n">
        <v>0</v>
      </c>
      <c r="M914" t="n">
        <v>0</v>
      </c>
      <c r="N914" t="n">
        <v>0</v>
      </c>
      <c r="O914" t="n">
        <v>0</v>
      </c>
      <c r="P914" t="n">
        <v>0</v>
      </c>
      <c r="Q914" t="n">
        <v>0</v>
      </c>
      <c r="R914" s="2" t="inlineStr"/>
    </row>
    <row r="915" ht="15" customHeight="1">
      <c r="A915" t="inlineStr">
        <is>
          <t>A 1378-2021</t>
        </is>
      </c>
      <c r="B915" s="1" t="n">
        <v>44208</v>
      </c>
      <c r="C915" s="1" t="n">
        <v>45884</v>
      </c>
      <c r="D915" t="inlineStr">
        <is>
          <t>KALMAR LÄN</t>
        </is>
      </c>
      <c r="E915" t="inlineStr">
        <is>
          <t>TORSÅS</t>
        </is>
      </c>
      <c r="G915" t="n">
        <v>1.8</v>
      </c>
      <c r="H915" t="n">
        <v>0</v>
      </c>
      <c r="I915" t="n">
        <v>0</v>
      </c>
      <c r="J915" t="n">
        <v>0</v>
      </c>
      <c r="K915" t="n">
        <v>0</v>
      </c>
      <c r="L915" t="n">
        <v>0</v>
      </c>
      <c r="M915" t="n">
        <v>0</v>
      </c>
      <c r="N915" t="n">
        <v>0</v>
      </c>
      <c r="O915" t="n">
        <v>0</v>
      </c>
      <c r="P915" t="n">
        <v>0</v>
      </c>
      <c r="Q915" t="n">
        <v>0</v>
      </c>
      <c r="R915" s="2" t="inlineStr"/>
    </row>
    <row r="916" ht="15" customHeight="1">
      <c r="A916" t="inlineStr">
        <is>
          <t>A 38099-2021</t>
        </is>
      </c>
      <c r="B916" s="1" t="n">
        <v>44405.32319444444</v>
      </c>
      <c r="C916" s="1" t="n">
        <v>45884</v>
      </c>
      <c r="D916" t="inlineStr">
        <is>
          <t>KALMAR LÄN</t>
        </is>
      </c>
      <c r="E916" t="inlineStr">
        <is>
          <t>EMMABODA</t>
        </is>
      </c>
      <c r="G916" t="n">
        <v>2.8</v>
      </c>
      <c r="H916" t="n">
        <v>0</v>
      </c>
      <c r="I916" t="n">
        <v>0</v>
      </c>
      <c r="J916" t="n">
        <v>0</v>
      </c>
      <c r="K916" t="n">
        <v>0</v>
      </c>
      <c r="L916" t="n">
        <v>0</v>
      </c>
      <c r="M916" t="n">
        <v>0</v>
      </c>
      <c r="N916" t="n">
        <v>0</v>
      </c>
      <c r="O916" t="n">
        <v>0</v>
      </c>
      <c r="P916" t="n">
        <v>0</v>
      </c>
      <c r="Q916" t="n">
        <v>0</v>
      </c>
      <c r="R916" s="2" t="inlineStr"/>
    </row>
    <row r="917" ht="15" customHeight="1">
      <c r="A917" t="inlineStr">
        <is>
          <t>A 64822-2021</t>
        </is>
      </c>
      <c r="B917" s="1" t="n">
        <v>44512</v>
      </c>
      <c r="C917" s="1" t="n">
        <v>45884</v>
      </c>
      <c r="D917" t="inlineStr">
        <is>
          <t>KALMAR LÄN</t>
        </is>
      </c>
      <c r="E917" t="inlineStr">
        <is>
          <t>VÄSTERVIK</t>
        </is>
      </c>
      <c r="G917" t="n">
        <v>0.6</v>
      </c>
      <c r="H917" t="n">
        <v>0</v>
      </c>
      <c r="I917" t="n">
        <v>0</v>
      </c>
      <c r="J917" t="n">
        <v>0</v>
      </c>
      <c r="K917" t="n">
        <v>0</v>
      </c>
      <c r="L917" t="n">
        <v>0</v>
      </c>
      <c r="M917" t="n">
        <v>0</v>
      </c>
      <c r="N917" t="n">
        <v>0</v>
      </c>
      <c r="O917" t="n">
        <v>0</v>
      </c>
      <c r="P917" t="n">
        <v>0</v>
      </c>
      <c r="Q917" t="n">
        <v>0</v>
      </c>
      <c r="R917" s="2" t="inlineStr"/>
    </row>
    <row r="918" ht="15" customHeight="1">
      <c r="A918" t="inlineStr">
        <is>
          <t>A 40346-2022</t>
        </is>
      </c>
      <c r="B918" s="1" t="n">
        <v>44823</v>
      </c>
      <c r="C918" s="1" t="n">
        <v>45884</v>
      </c>
      <c r="D918" t="inlineStr">
        <is>
          <t>KALMAR LÄN</t>
        </is>
      </c>
      <c r="E918" t="inlineStr">
        <is>
          <t>KALMAR</t>
        </is>
      </c>
      <c r="G918" t="n">
        <v>0.6</v>
      </c>
      <c r="H918" t="n">
        <v>0</v>
      </c>
      <c r="I918" t="n">
        <v>0</v>
      </c>
      <c r="J918" t="n">
        <v>0</v>
      </c>
      <c r="K918" t="n">
        <v>0</v>
      </c>
      <c r="L918" t="n">
        <v>0</v>
      </c>
      <c r="M918" t="n">
        <v>0</v>
      </c>
      <c r="N918" t="n">
        <v>0</v>
      </c>
      <c r="O918" t="n">
        <v>0</v>
      </c>
      <c r="P918" t="n">
        <v>0</v>
      </c>
      <c r="Q918" t="n">
        <v>0</v>
      </c>
      <c r="R918" s="2" t="inlineStr"/>
    </row>
    <row r="919" ht="15" customHeight="1">
      <c r="A919" t="inlineStr">
        <is>
          <t>A 42719-2022</t>
        </is>
      </c>
      <c r="B919" s="1" t="n">
        <v>44831</v>
      </c>
      <c r="C919" s="1" t="n">
        <v>45884</v>
      </c>
      <c r="D919" t="inlineStr">
        <is>
          <t>KALMAR LÄN</t>
        </is>
      </c>
      <c r="E919" t="inlineStr">
        <is>
          <t>HÖGSBY</t>
        </is>
      </c>
      <c r="G919" t="n">
        <v>4</v>
      </c>
      <c r="H919" t="n">
        <v>0</v>
      </c>
      <c r="I919" t="n">
        <v>0</v>
      </c>
      <c r="J919" t="n">
        <v>0</v>
      </c>
      <c r="K919" t="n">
        <v>0</v>
      </c>
      <c r="L919" t="n">
        <v>0</v>
      </c>
      <c r="M919" t="n">
        <v>0</v>
      </c>
      <c r="N919" t="n">
        <v>0</v>
      </c>
      <c r="O919" t="n">
        <v>0</v>
      </c>
      <c r="P919" t="n">
        <v>0</v>
      </c>
      <c r="Q919" t="n">
        <v>0</v>
      </c>
      <c r="R919" s="2" t="inlineStr"/>
    </row>
    <row r="920" ht="15" customHeight="1">
      <c r="A920" t="inlineStr">
        <is>
          <t>A 35715-2022</t>
        </is>
      </c>
      <c r="B920" s="1" t="n">
        <v>44799</v>
      </c>
      <c r="C920" s="1" t="n">
        <v>45884</v>
      </c>
      <c r="D920" t="inlineStr">
        <is>
          <t>KALMAR LÄN</t>
        </is>
      </c>
      <c r="E920" t="inlineStr">
        <is>
          <t>MÖNSTERÅS</t>
        </is>
      </c>
      <c r="G920" t="n">
        <v>0.8</v>
      </c>
      <c r="H920" t="n">
        <v>0</v>
      </c>
      <c r="I920" t="n">
        <v>0</v>
      </c>
      <c r="J920" t="n">
        <v>0</v>
      </c>
      <c r="K920" t="n">
        <v>0</v>
      </c>
      <c r="L920" t="n">
        <v>0</v>
      </c>
      <c r="M920" t="n">
        <v>0</v>
      </c>
      <c r="N920" t="n">
        <v>0</v>
      </c>
      <c r="O920" t="n">
        <v>0</v>
      </c>
      <c r="P920" t="n">
        <v>0</v>
      </c>
      <c r="Q920" t="n">
        <v>0</v>
      </c>
      <c r="R920" s="2" t="inlineStr"/>
    </row>
    <row r="921" ht="15" customHeight="1">
      <c r="A921" t="inlineStr">
        <is>
          <t>A 41728-2022</t>
        </is>
      </c>
      <c r="B921" s="1" t="n">
        <v>44827</v>
      </c>
      <c r="C921" s="1" t="n">
        <v>45884</v>
      </c>
      <c r="D921" t="inlineStr">
        <is>
          <t>KALMAR LÄN</t>
        </is>
      </c>
      <c r="E921" t="inlineStr">
        <is>
          <t>HULTSFRED</t>
        </is>
      </c>
      <c r="G921" t="n">
        <v>3.4</v>
      </c>
      <c r="H921" t="n">
        <v>0</v>
      </c>
      <c r="I921" t="n">
        <v>0</v>
      </c>
      <c r="J921" t="n">
        <v>0</v>
      </c>
      <c r="K921" t="n">
        <v>0</v>
      </c>
      <c r="L921" t="n">
        <v>0</v>
      </c>
      <c r="M921" t="n">
        <v>0</v>
      </c>
      <c r="N921" t="n">
        <v>0</v>
      </c>
      <c r="O921" t="n">
        <v>0</v>
      </c>
      <c r="P921" t="n">
        <v>0</v>
      </c>
      <c r="Q921" t="n">
        <v>0</v>
      </c>
      <c r="R921" s="2" t="inlineStr"/>
    </row>
    <row r="922" ht="15" customHeight="1">
      <c r="A922" t="inlineStr">
        <is>
          <t>A 41729-2022</t>
        </is>
      </c>
      <c r="B922" s="1" t="n">
        <v>44827.63002314815</v>
      </c>
      <c r="C922" s="1" t="n">
        <v>45884</v>
      </c>
      <c r="D922" t="inlineStr">
        <is>
          <t>KALMAR LÄN</t>
        </is>
      </c>
      <c r="E922" t="inlineStr">
        <is>
          <t>HULTSFRED</t>
        </is>
      </c>
      <c r="G922" t="n">
        <v>0.5</v>
      </c>
      <c r="H922" t="n">
        <v>0</v>
      </c>
      <c r="I922" t="n">
        <v>0</v>
      </c>
      <c r="J922" t="n">
        <v>0</v>
      </c>
      <c r="K922" t="n">
        <v>0</v>
      </c>
      <c r="L922" t="n">
        <v>0</v>
      </c>
      <c r="M922" t="n">
        <v>0</v>
      </c>
      <c r="N922" t="n">
        <v>0</v>
      </c>
      <c r="O922" t="n">
        <v>0</v>
      </c>
      <c r="P922" t="n">
        <v>0</v>
      </c>
      <c r="Q922" t="n">
        <v>0</v>
      </c>
      <c r="R922" s="2" t="inlineStr"/>
    </row>
    <row r="923" ht="15" customHeight="1">
      <c r="A923" t="inlineStr">
        <is>
          <t>A 2654-2021</t>
        </is>
      </c>
      <c r="B923" s="1" t="n">
        <v>44215</v>
      </c>
      <c r="C923" s="1" t="n">
        <v>45884</v>
      </c>
      <c r="D923" t="inlineStr">
        <is>
          <t>KALMAR LÄN</t>
        </is>
      </c>
      <c r="E923" t="inlineStr">
        <is>
          <t>VIMMERBY</t>
        </is>
      </c>
      <c r="G923" t="n">
        <v>1.2</v>
      </c>
      <c r="H923" t="n">
        <v>0</v>
      </c>
      <c r="I923" t="n">
        <v>0</v>
      </c>
      <c r="J923" t="n">
        <v>0</v>
      </c>
      <c r="K923" t="n">
        <v>0</v>
      </c>
      <c r="L923" t="n">
        <v>0</v>
      </c>
      <c r="M923" t="n">
        <v>0</v>
      </c>
      <c r="N923" t="n">
        <v>0</v>
      </c>
      <c r="O923" t="n">
        <v>0</v>
      </c>
      <c r="P923" t="n">
        <v>0</v>
      </c>
      <c r="Q923" t="n">
        <v>0</v>
      </c>
      <c r="R923" s="2" t="inlineStr"/>
    </row>
    <row r="924" ht="15" customHeight="1">
      <c r="A924" t="inlineStr">
        <is>
          <t>A 44213-2021</t>
        </is>
      </c>
      <c r="B924" s="1" t="n">
        <v>44434</v>
      </c>
      <c r="C924" s="1" t="n">
        <v>45884</v>
      </c>
      <c r="D924" t="inlineStr">
        <is>
          <t>KALMAR LÄN</t>
        </is>
      </c>
      <c r="E924" t="inlineStr">
        <is>
          <t>TORSÅS</t>
        </is>
      </c>
      <c r="F924" t="inlineStr">
        <is>
          <t>Övriga Aktiebolag</t>
        </is>
      </c>
      <c r="G924" t="n">
        <v>0.5</v>
      </c>
      <c r="H924" t="n">
        <v>0</v>
      </c>
      <c r="I924" t="n">
        <v>0</v>
      </c>
      <c r="J924" t="n">
        <v>0</v>
      </c>
      <c r="K924" t="n">
        <v>0</v>
      </c>
      <c r="L924" t="n">
        <v>0</v>
      </c>
      <c r="M924" t="n">
        <v>0</v>
      </c>
      <c r="N924" t="n">
        <v>0</v>
      </c>
      <c r="O924" t="n">
        <v>0</v>
      </c>
      <c r="P924" t="n">
        <v>0</v>
      </c>
      <c r="Q924" t="n">
        <v>0</v>
      </c>
      <c r="R924" s="2" t="inlineStr"/>
    </row>
    <row r="925" ht="15" customHeight="1">
      <c r="A925" t="inlineStr">
        <is>
          <t>A 64399-2020</t>
        </is>
      </c>
      <c r="B925" s="1" t="n">
        <v>44168.64150462963</v>
      </c>
      <c r="C925" s="1" t="n">
        <v>45884</v>
      </c>
      <c r="D925" t="inlineStr">
        <is>
          <t>KALMAR LÄN</t>
        </is>
      </c>
      <c r="E925" t="inlineStr">
        <is>
          <t>VÄSTERVIK</t>
        </is>
      </c>
      <c r="G925" t="n">
        <v>1.1</v>
      </c>
      <c r="H925" t="n">
        <v>0</v>
      </c>
      <c r="I925" t="n">
        <v>0</v>
      </c>
      <c r="J925" t="n">
        <v>0</v>
      </c>
      <c r="K925" t="n">
        <v>0</v>
      </c>
      <c r="L925" t="n">
        <v>0</v>
      </c>
      <c r="M925" t="n">
        <v>0</v>
      </c>
      <c r="N925" t="n">
        <v>0</v>
      </c>
      <c r="O925" t="n">
        <v>0</v>
      </c>
      <c r="P925" t="n">
        <v>0</v>
      </c>
      <c r="Q925" t="n">
        <v>0</v>
      </c>
      <c r="R925" s="2" t="inlineStr"/>
    </row>
    <row r="926" ht="15" customHeight="1">
      <c r="A926" t="inlineStr">
        <is>
          <t>A 46893-2022</t>
        </is>
      </c>
      <c r="B926" s="1" t="n">
        <v>44851.64049768518</v>
      </c>
      <c r="C926" s="1" t="n">
        <v>45884</v>
      </c>
      <c r="D926" t="inlineStr">
        <is>
          <t>KALMAR LÄN</t>
        </is>
      </c>
      <c r="E926" t="inlineStr">
        <is>
          <t>HÖGSBY</t>
        </is>
      </c>
      <c r="F926" t="inlineStr">
        <is>
          <t>Sveaskog</t>
        </is>
      </c>
      <c r="G926" t="n">
        <v>1.4</v>
      </c>
      <c r="H926" t="n">
        <v>0</v>
      </c>
      <c r="I926" t="n">
        <v>0</v>
      </c>
      <c r="J926" t="n">
        <v>0</v>
      </c>
      <c r="K926" t="n">
        <v>0</v>
      </c>
      <c r="L926" t="n">
        <v>0</v>
      </c>
      <c r="M926" t="n">
        <v>0</v>
      </c>
      <c r="N926" t="n">
        <v>0</v>
      </c>
      <c r="O926" t="n">
        <v>0</v>
      </c>
      <c r="P926" t="n">
        <v>0</v>
      </c>
      <c r="Q926" t="n">
        <v>0</v>
      </c>
      <c r="R926" s="2" t="inlineStr"/>
    </row>
    <row r="927" ht="15" customHeight="1">
      <c r="A927" t="inlineStr">
        <is>
          <t>A 16283-2022</t>
        </is>
      </c>
      <c r="B927" s="1" t="n">
        <v>44670</v>
      </c>
      <c r="C927" s="1" t="n">
        <v>45884</v>
      </c>
      <c r="D927" t="inlineStr">
        <is>
          <t>KALMAR LÄN</t>
        </is>
      </c>
      <c r="E927" t="inlineStr">
        <is>
          <t>VIMMERBY</t>
        </is>
      </c>
      <c r="G927" t="n">
        <v>1.4</v>
      </c>
      <c r="H927" t="n">
        <v>0</v>
      </c>
      <c r="I927" t="n">
        <v>0</v>
      </c>
      <c r="J927" t="n">
        <v>0</v>
      </c>
      <c r="K927" t="n">
        <v>0</v>
      </c>
      <c r="L927" t="n">
        <v>0</v>
      </c>
      <c r="M927" t="n">
        <v>0</v>
      </c>
      <c r="N927" t="n">
        <v>0</v>
      </c>
      <c r="O927" t="n">
        <v>0</v>
      </c>
      <c r="P927" t="n">
        <v>0</v>
      </c>
      <c r="Q927" t="n">
        <v>0</v>
      </c>
      <c r="R927" s="2" t="inlineStr"/>
    </row>
    <row r="928" ht="15" customHeight="1">
      <c r="A928" t="inlineStr">
        <is>
          <t>A 16288-2022</t>
        </is>
      </c>
      <c r="B928" s="1" t="n">
        <v>44670</v>
      </c>
      <c r="C928" s="1" t="n">
        <v>45884</v>
      </c>
      <c r="D928" t="inlineStr">
        <is>
          <t>KALMAR LÄN</t>
        </is>
      </c>
      <c r="E928" t="inlineStr">
        <is>
          <t>VIMMERBY</t>
        </is>
      </c>
      <c r="G928" t="n">
        <v>1.7</v>
      </c>
      <c r="H928" t="n">
        <v>0</v>
      </c>
      <c r="I928" t="n">
        <v>0</v>
      </c>
      <c r="J928" t="n">
        <v>0</v>
      </c>
      <c r="K928" t="n">
        <v>0</v>
      </c>
      <c r="L928" t="n">
        <v>0</v>
      </c>
      <c r="M928" t="n">
        <v>0</v>
      </c>
      <c r="N928" t="n">
        <v>0</v>
      </c>
      <c r="O928" t="n">
        <v>0</v>
      </c>
      <c r="P928" t="n">
        <v>0</v>
      </c>
      <c r="Q928" t="n">
        <v>0</v>
      </c>
      <c r="R928" s="2" t="inlineStr"/>
    </row>
    <row r="929" ht="15" customHeight="1">
      <c r="A929" t="inlineStr">
        <is>
          <t>A 2629-2021</t>
        </is>
      </c>
      <c r="B929" s="1" t="n">
        <v>44215</v>
      </c>
      <c r="C929" s="1" t="n">
        <v>45884</v>
      </c>
      <c r="D929" t="inlineStr">
        <is>
          <t>KALMAR LÄN</t>
        </is>
      </c>
      <c r="E929" t="inlineStr">
        <is>
          <t>HULTSFRED</t>
        </is>
      </c>
      <c r="G929" t="n">
        <v>2.1</v>
      </c>
      <c r="H929" t="n">
        <v>0</v>
      </c>
      <c r="I929" t="n">
        <v>0</v>
      </c>
      <c r="J929" t="n">
        <v>0</v>
      </c>
      <c r="K929" t="n">
        <v>0</v>
      </c>
      <c r="L929" t="n">
        <v>0</v>
      </c>
      <c r="M929" t="n">
        <v>0</v>
      </c>
      <c r="N929" t="n">
        <v>0</v>
      </c>
      <c r="O929" t="n">
        <v>0</v>
      </c>
      <c r="P929" t="n">
        <v>0</v>
      </c>
      <c r="Q929" t="n">
        <v>0</v>
      </c>
      <c r="R929" s="2" t="inlineStr"/>
    </row>
    <row r="930" ht="15" customHeight="1">
      <c r="A930" t="inlineStr">
        <is>
          <t>A 4963-2021</t>
        </is>
      </c>
      <c r="B930" s="1" t="n">
        <v>44228</v>
      </c>
      <c r="C930" s="1" t="n">
        <v>45884</v>
      </c>
      <c r="D930" t="inlineStr">
        <is>
          <t>KALMAR LÄN</t>
        </is>
      </c>
      <c r="E930" t="inlineStr">
        <is>
          <t>EMMABODA</t>
        </is>
      </c>
      <c r="G930" t="n">
        <v>1.8</v>
      </c>
      <c r="H930" t="n">
        <v>0</v>
      </c>
      <c r="I930" t="n">
        <v>0</v>
      </c>
      <c r="J930" t="n">
        <v>0</v>
      </c>
      <c r="K930" t="n">
        <v>0</v>
      </c>
      <c r="L930" t="n">
        <v>0</v>
      </c>
      <c r="M930" t="n">
        <v>0</v>
      </c>
      <c r="N930" t="n">
        <v>0</v>
      </c>
      <c r="O930" t="n">
        <v>0</v>
      </c>
      <c r="P930" t="n">
        <v>0</v>
      </c>
      <c r="Q930" t="n">
        <v>0</v>
      </c>
      <c r="R930" s="2" t="inlineStr"/>
    </row>
    <row r="931" ht="15" customHeight="1">
      <c r="A931" t="inlineStr">
        <is>
          <t>A 69363-2020</t>
        </is>
      </c>
      <c r="B931" s="1" t="n">
        <v>44193</v>
      </c>
      <c r="C931" s="1" t="n">
        <v>45884</v>
      </c>
      <c r="D931" t="inlineStr">
        <is>
          <t>KALMAR LÄN</t>
        </is>
      </c>
      <c r="E931" t="inlineStr">
        <is>
          <t>HULTSFRED</t>
        </is>
      </c>
      <c r="G931" t="n">
        <v>2.8</v>
      </c>
      <c r="H931" t="n">
        <v>0</v>
      </c>
      <c r="I931" t="n">
        <v>0</v>
      </c>
      <c r="J931" t="n">
        <v>0</v>
      </c>
      <c r="K931" t="n">
        <v>0</v>
      </c>
      <c r="L931" t="n">
        <v>0</v>
      </c>
      <c r="M931" t="n">
        <v>0</v>
      </c>
      <c r="N931" t="n">
        <v>0</v>
      </c>
      <c r="O931" t="n">
        <v>0</v>
      </c>
      <c r="P931" t="n">
        <v>0</v>
      </c>
      <c r="Q931" t="n">
        <v>0</v>
      </c>
      <c r="R931" s="2" t="inlineStr"/>
    </row>
    <row r="932" ht="15" customHeight="1">
      <c r="A932" t="inlineStr">
        <is>
          <t>A 29347-2022</t>
        </is>
      </c>
      <c r="B932" s="1" t="n">
        <v>44753.34430555555</v>
      </c>
      <c r="C932" s="1" t="n">
        <v>45884</v>
      </c>
      <c r="D932" t="inlineStr">
        <is>
          <t>KALMAR LÄN</t>
        </is>
      </c>
      <c r="E932" t="inlineStr">
        <is>
          <t>MÖNSTERÅS</t>
        </is>
      </c>
      <c r="G932" t="n">
        <v>0</v>
      </c>
      <c r="H932" t="n">
        <v>0</v>
      </c>
      <c r="I932" t="n">
        <v>0</v>
      </c>
      <c r="J932" t="n">
        <v>0</v>
      </c>
      <c r="K932" t="n">
        <v>0</v>
      </c>
      <c r="L932" t="n">
        <v>0</v>
      </c>
      <c r="M932" t="n">
        <v>0</v>
      </c>
      <c r="N932" t="n">
        <v>0</v>
      </c>
      <c r="O932" t="n">
        <v>0</v>
      </c>
      <c r="P932" t="n">
        <v>0</v>
      </c>
      <c r="Q932" t="n">
        <v>0</v>
      </c>
      <c r="R932" s="2" t="inlineStr"/>
    </row>
    <row r="933" ht="15" customHeight="1">
      <c r="A933" t="inlineStr">
        <is>
          <t>A 43108-2022</t>
        </is>
      </c>
      <c r="B933" s="1" t="n">
        <v>44833</v>
      </c>
      <c r="C933" s="1" t="n">
        <v>45884</v>
      </c>
      <c r="D933" t="inlineStr">
        <is>
          <t>KALMAR LÄN</t>
        </is>
      </c>
      <c r="E933" t="inlineStr">
        <is>
          <t>HULTSFRED</t>
        </is>
      </c>
      <c r="G933" t="n">
        <v>1</v>
      </c>
      <c r="H933" t="n">
        <v>0</v>
      </c>
      <c r="I933" t="n">
        <v>0</v>
      </c>
      <c r="J933" t="n">
        <v>0</v>
      </c>
      <c r="K933" t="n">
        <v>0</v>
      </c>
      <c r="L933" t="n">
        <v>0</v>
      </c>
      <c r="M933" t="n">
        <v>0</v>
      </c>
      <c r="N933" t="n">
        <v>0</v>
      </c>
      <c r="O933" t="n">
        <v>0</v>
      </c>
      <c r="P933" t="n">
        <v>0</v>
      </c>
      <c r="Q933" t="n">
        <v>0</v>
      </c>
      <c r="R933" s="2" t="inlineStr"/>
    </row>
    <row r="934" ht="15" customHeight="1">
      <c r="A934" t="inlineStr">
        <is>
          <t>A 49471-2021</t>
        </is>
      </c>
      <c r="B934" s="1" t="n">
        <v>44454.86018518519</v>
      </c>
      <c r="C934" s="1" t="n">
        <v>45884</v>
      </c>
      <c r="D934" t="inlineStr">
        <is>
          <t>KALMAR LÄN</t>
        </is>
      </c>
      <c r="E934" t="inlineStr">
        <is>
          <t>EMMABODA</t>
        </is>
      </c>
      <c r="G934" t="n">
        <v>2.9</v>
      </c>
      <c r="H934" t="n">
        <v>0</v>
      </c>
      <c r="I934" t="n">
        <v>0</v>
      </c>
      <c r="J934" t="n">
        <v>0</v>
      </c>
      <c r="K934" t="n">
        <v>0</v>
      </c>
      <c r="L934" t="n">
        <v>0</v>
      </c>
      <c r="M934" t="n">
        <v>0</v>
      </c>
      <c r="N934" t="n">
        <v>0</v>
      </c>
      <c r="O934" t="n">
        <v>0</v>
      </c>
      <c r="P934" t="n">
        <v>0</v>
      </c>
      <c r="Q934" t="n">
        <v>0</v>
      </c>
      <c r="R934" s="2" t="inlineStr"/>
    </row>
    <row r="935" ht="15" customHeight="1">
      <c r="A935" t="inlineStr">
        <is>
          <t>A 40808-2020</t>
        </is>
      </c>
      <c r="B935" s="1" t="n">
        <v>44070.39203703704</v>
      </c>
      <c r="C935" s="1" t="n">
        <v>45884</v>
      </c>
      <c r="D935" t="inlineStr">
        <is>
          <t>KALMAR LÄN</t>
        </is>
      </c>
      <c r="E935" t="inlineStr">
        <is>
          <t>VIMMERBY</t>
        </is>
      </c>
      <c r="G935" t="n">
        <v>2.8</v>
      </c>
      <c r="H935" t="n">
        <v>0</v>
      </c>
      <c r="I935" t="n">
        <v>0</v>
      </c>
      <c r="J935" t="n">
        <v>0</v>
      </c>
      <c r="K935" t="n">
        <v>0</v>
      </c>
      <c r="L935" t="n">
        <v>0</v>
      </c>
      <c r="M935" t="n">
        <v>0</v>
      </c>
      <c r="N935" t="n">
        <v>0</v>
      </c>
      <c r="O935" t="n">
        <v>0</v>
      </c>
      <c r="P935" t="n">
        <v>0</v>
      </c>
      <c r="Q935" t="n">
        <v>0</v>
      </c>
      <c r="R935" s="2" t="inlineStr"/>
    </row>
    <row r="936" ht="15" customHeight="1">
      <c r="A936" t="inlineStr">
        <is>
          <t>A 46665-2020</t>
        </is>
      </c>
      <c r="B936" s="1" t="n">
        <v>44089</v>
      </c>
      <c r="C936" s="1" t="n">
        <v>45884</v>
      </c>
      <c r="D936" t="inlineStr">
        <is>
          <t>KALMAR LÄN</t>
        </is>
      </c>
      <c r="E936" t="inlineStr">
        <is>
          <t>KALMAR</t>
        </is>
      </c>
      <c r="G936" t="n">
        <v>1.1</v>
      </c>
      <c r="H936" t="n">
        <v>0</v>
      </c>
      <c r="I936" t="n">
        <v>0</v>
      </c>
      <c r="J936" t="n">
        <v>0</v>
      </c>
      <c r="K936" t="n">
        <v>0</v>
      </c>
      <c r="L936" t="n">
        <v>0</v>
      </c>
      <c r="M936" t="n">
        <v>0</v>
      </c>
      <c r="N936" t="n">
        <v>0</v>
      </c>
      <c r="O936" t="n">
        <v>0</v>
      </c>
      <c r="P936" t="n">
        <v>0</v>
      </c>
      <c r="Q936" t="n">
        <v>0</v>
      </c>
      <c r="R936" s="2" t="inlineStr"/>
    </row>
    <row r="937" ht="15" customHeight="1">
      <c r="A937" t="inlineStr">
        <is>
          <t>A 39255-2020</t>
        </is>
      </c>
      <c r="B937" s="1" t="n">
        <v>44063</v>
      </c>
      <c r="C937" s="1" t="n">
        <v>45884</v>
      </c>
      <c r="D937" t="inlineStr">
        <is>
          <t>KALMAR LÄN</t>
        </is>
      </c>
      <c r="E937" t="inlineStr">
        <is>
          <t>HÖGSBY</t>
        </is>
      </c>
      <c r="G937" t="n">
        <v>1.7</v>
      </c>
      <c r="H937" t="n">
        <v>0</v>
      </c>
      <c r="I937" t="n">
        <v>0</v>
      </c>
      <c r="J937" t="n">
        <v>0</v>
      </c>
      <c r="K937" t="n">
        <v>0</v>
      </c>
      <c r="L937" t="n">
        <v>0</v>
      </c>
      <c r="M937" t="n">
        <v>0</v>
      </c>
      <c r="N937" t="n">
        <v>0</v>
      </c>
      <c r="O937" t="n">
        <v>0</v>
      </c>
      <c r="P937" t="n">
        <v>0</v>
      </c>
      <c r="Q937" t="n">
        <v>0</v>
      </c>
      <c r="R937" s="2" t="inlineStr"/>
    </row>
    <row r="938" ht="15" customHeight="1">
      <c r="A938" t="inlineStr">
        <is>
          <t>A 39288-2020</t>
        </is>
      </c>
      <c r="B938" s="1" t="n">
        <v>44063</v>
      </c>
      <c r="C938" s="1" t="n">
        <v>45884</v>
      </c>
      <c r="D938" t="inlineStr">
        <is>
          <t>KALMAR LÄN</t>
        </is>
      </c>
      <c r="E938" t="inlineStr">
        <is>
          <t>VIMMERBY</t>
        </is>
      </c>
      <c r="G938" t="n">
        <v>0.8</v>
      </c>
      <c r="H938" t="n">
        <v>0</v>
      </c>
      <c r="I938" t="n">
        <v>0</v>
      </c>
      <c r="J938" t="n">
        <v>0</v>
      </c>
      <c r="K938" t="n">
        <v>0</v>
      </c>
      <c r="L938" t="n">
        <v>0</v>
      </c>
      <c r="M938" t="n">
        <v>0</v>
      </c>
      <c r="N938" t="n">
        <v>0</v>
      </c>
      <c r="O938" t="n">
        <v>0</v>
      </c>
      <c r="P938" t="n">
        <v>0</v>
      </c>
      <c r="Q938" t="n">
        <v>0</v>
      </c>
      <c r="R938" s="2" t="inlineStr"/>
    </row>
    <row r="939" ht="15" customHeight="1">
      <c r="A939" t="inlineStr">
        <is>
          <t>A 2728-2021</t>
        </is>
      </c>
      <c r="B939" s="1" t="n">
        <v>44215</v>
      </c>
      <c r="C939" s="1" t="n">
        <v>45884</v>
      </c>
      <c r="D939" t="inlineStr">
        <is>
          <t>KALMAR LÄN</t>
        </is>
      </c>
      <c r="E939" t="inlineStr">
        <is>
          <t>KALMAR</t>
        </is>
      </c>
      <c r="G939" t="n">
        <v>1.6</v>
      </c>
      <c r="H939" t="n">
        <v>0</v>
      </c>
      <c r="I939" t="n">
        <v>0</v>
      </c>
      <c r="J939" t="n">
        <v>0</v>
      </c>
      <c r="K939" t="n">
        <v>0</v>
      </c>
      <c r="L939" t="n">
        <v>0</v>
      </c>
      <c r="M939" t="n">
        <v>0</v>
      </c>
      <c r="N939" t="n">
        <v>0</v>
      </c>
      <c r="O939" t="n">
        <v>0</v>
      </c>
      <c r="P939" t="n">
        <v>0</v>
      </c>
      <c r="Q939" t="n">
        <v>0</v>
      </c>
      <c r="R939" s="2" t="inlineStr"/>
    </row>
    <row r="940" ht="15" customHeight="1">
      <c r="A940" t="inlineStr">
        <is>
          <t>A 48018-2021</t>
        </is>
      </c>
      <c r="B940" s="1" t="n">
        <v>44449.37518518518</v>
      </c>
      <c r="C940" s="1" t="n">
        <v>45884</v>
      </c>
      <c r="D940" t="inlineStr">
        <is>
          <t>KALMAR LÄN</t>
        </is>
      </c>
      <c r="E940" t="inlineStr">
        <is>
          <t>VÄSTERVIK</t>
        </is>
      </c>
      <c r="G940" t="n">
        <v>1.3</v>
      </c>
      <c r="H940" t="n">
        <v>0</v>
      </c>
      <c r="I940" t="n">
        <v>0</v>
      </c>
      <c r="J940" t="n">
        <v>0</v>
      </c>
      <c r="K940" t="n">
        <v>0</v>
      </c>
      <c r="L940" t="n">
        <v>0</v>
      </c>
      <c r="M940" t="n">
        <v>0</v>
      </c>
      <c r="N940" t="n">
        <v>0</v>
      </c>
      <c r="O940" t="n">
        <v>0</v>
      </c>
      <c r="P940" t="n">
        <v>0</v>
      </c>
      <c r="Q940" t="n">
        <v>0</v>
      </c>
      <c r="R940" s="2" t="inlineStr"/>
    </row>
    <row r="941" ht="15" customHeight="1">
      <c r="A941" t="inlineStr">
        <is>
          <t>A 57808-2021</t>
        </is>
      </c>
      <c r="B941" s="1" t="n">
        <v>44484</v>
      </c>
      <c r="C941" s="1" t="n">
        <v>45884</v>
      </c>
      <c r="D941" t="inlineStr">
        <is>
          <t>KALMAR LÄN</t>
        </is>
      </c>
      <c r="E941" t="inlineStr">
        <is>
          <t>VÄSTERVIK</t>
        </is>
      </c>
      <c r="G941" t="n">
        <v>1</v>
      </c>
      <c r="H941" t="n">
        <v>0</v>
      </c>
      <c r="I941" t="n">
        <v>0</v>
      </c>
      <c r="J941" t="n">
        <v>0</v>
      </c>
      <c r="K941" t="n">
        <v>0</v>
      </c>
      <c r="L941" t="n">
        <v>0</v>
      </c>
      <c r="M941" t="n">
        <v>0</v>
      </c>
      <c r="N941" t="n">
        <v>0</v>
      </c>
      <c r="O941" t="n">
        <v>0</v>
      </c>
      <c r="P941" t="n">
        <v>0</v>
      </c>
      <c r="Q941" t="n">
        <v>0</v>
      </c>
      <c r="R941" s="2" t="inlineStr"/>
    </row>
    <row r="942" ht="15" customHeight="1">
      <c r="A942" t="inlineStr">
        <is>
          <t>A 54449-2021</t>
        </is>
      </c>
      <c r="B942" s="1" t="n">
        <v>44473</v>
      </c>
      <c r="C942" s="1" t="n">
        <v>45884</v>
      </c>
      <c r="D942" t="inlineStr">
        <is>
          <t>KALMAR LÄN</t>
        </is>
      </c>
      <c r="E942" t="inlineStr">
        <is>
          <t>TORSÅS</t>
        </is>
      </c>
      <c r="G942" t="n">
        <v>0.5</v>
      </c>
      <c r="H942" t="n">
        <v>0</v>
      </c>
      <c r="I942" t="n">
        <v>0</v>
      </c>
      <c r="J942" t="n">
        <v>0</v>
      </c>
      <c r="K942" t="n">
        <v>0</v>
      </c>
      <c r="L942" t="n">
        <v>0</v>
      </c>
      <c r="M942" t="n">
        <v>0</v>
      </c>
      <c r="N942" t="n">
        <v>0</v>
      </c>
      <c r="O942" t="n">
        <v>0</v>
      </c>
      <c r="P942" t="n">
        <v>0</v>
      </c>
      <c r="Q942" t="n">
        <v>0</v>
      </c>
      <c r="R942" s="2" t="inlineStr"/>
    </row>
    <row r="943" ht="15" customHeight="1">
      <c r="A943" t="inlineStr">
        <is>
          <t>A 69229-2020</t>
        </is>
      </c>
      <c r="B943" s="1" t="n">
        <v>44192</v>
      </c>
      <c r="C943" s="1" t="n">
        <v>45884</v>
      </c>
      <c r="D943" t="inlineStr">
        <is>
          <t>KALMAR LÄN</t>
        </is>
      </c>
      <c r="E943" t="inlineStr">
        <is>
          <t>KALMAR</t>
        </is>
      </c>
      <c r="G943" t="n">
        <v>4</v>
      </c>
      <c r="H943" t="n">
        <v>0</v>
      </c>
      <c r="I943" t="n">
        <v>0</v>
      </c>
      <c r="J943" t="n">
        <v>0</v>
      </c>
      <c r="K943" t="n">
        <v>0</v>
      </c>
      <c r="L943" t="n">
        <v>0</v>
      </c>
      <c r="M943" t="n">
        <v>0</v>
      </c>
      <c r="N943" t="n">
        <v>0</v>
      </c>
      <c r="O943" t="n">
        <v>0</v>
      </c>
      <c r="P943" t="n">
        <v>0</v>
      </c>
      <c r="Q943" t="n">
        <v>0</v>
      </c>
      <c r="R943" s="2" t="inlineStr"/>
    </row>
    <row r="944" ht="15" customHeight="1">
      <c r="A944" t="inlineStr">
        <is>
          <t>A 18756-2021</t>
        </is>
      </c>
      <c r="B944" s="1" t="n">
        <v>44307</v>
      </c>
      <c r="C944" s="1" t="n">
        <v>45884</v>
      </c>
      <c r="D944" t="inlineStr">
        <is>
          <t>KALMAR LÄN</t>
        </is>
      </c>
      <c r="E944" t="inlineStr">
        <is>
          <t>VIMMERBY</t>
        </is>
      </c>
      <c r="G944" t="n">
        <v>7.4</v>
      </c>
      <c r="H944" t="n">
        <v>0</v>
      </c>
      <c r="I944" t="n">
        <v>0</v>
      </c>
      <c r="J944" t="n">
        <v>0</v>
      </c>
      <c r="K944" t="n">
        <v>0</v>
      </c>
      <c r="L944" t="n">
        <v>0</v>
      </c>
      <c r="M944" t="n">
        <v>0</v>
      </c>
      <c r="N944" t="n">
        <v>0</v>
      </c>
      <c r="O944" t="n">
        <v>0</v>
      </c>
      <c r="P944" t="n">
        <v>0</v>
      </c>
      <c r="Q944" t="n">
        <v>0</v>
      </c>
      <c r="R944" s="2" t="inlineStr"/>
    </row>
    <row r="945" ht="15" customHeight="1">
      <c r="A945" t="inlineStr">
        <is>
          <t>A 13626-2021</t>
        </is>
      </c>
      <c r="B945" s="1" t="n">
        <v>44274.39513888889</v>
      </c>
      <c r="C945" s="1" t="n">
        <v>45884</v>
      </c>
      <c r="D945" t="inlineStr">
        <is>
          <t>KALMAR LÄN</t>
        </is>
      </c>
      <c r="E945" t="inlineStr">
        <is>
          <t>VÄSTERVIK</t>
        </is>
      </c>
      <c r="G945" t="n">
        <v>0.7</v>
      </c>
      <c r="H945" t="n">
        <v>0</v>
      </c>
      <c r="I945" t="n">
        <v>0</v>
      </c>
      <c r="J945" t="n">
        <v>0</v>
      </c>
      <c r="K945" t="n">
        <v>0</v>
      </c>
      <c r="L945" t="n">
        <v>0</v>
      </c>
      <c r="M945" t="n">
        <v>0</v>
      </c>
      <c r="N945" t="n">
        <v>0</v>
      </c>
      <c r="O945" t="n">
        <v>0</v>
      </c>
      <c r="P945" t="n">
        <v>0</v>
      </c>
      <c r="Q945" t="n">
        <v>0</v>
      </c>
      <c r="R945" s="2" t="inlineStr"/>
    </row>
    <row r="946" ht="15" customHeight="1">
      <c r="A946" t="inlineStr">
        <is>
          <t>A 52297-2020</t>
        </is>
      </c>
      <c r="B946" s="1" t="n">
        <v>44117.6835300926</v>
      </c>
      <c r="C946" s="1" t="n">
        <v>45884</v>
      </c>
      <c r="D946" t="inlineStr">
        <is>
          <t>KALMAR LÄN</t>
        </is>
      </c>
      <c r="E946" t="inlineStr">
        <is>
          <t>EMMABODA</t>
        </is>
      </c>
      <c r="G946" t="n">
        <v>2.6</v>
      </c>
      <c r="H946" t="n">
        <v>0</v>
      </c>
      <c r="I946" t="n">
        <v>0</v>
      </c>
      <c r="J946" t="n">
        <v>0</v>
      </c>
      <c r="K946" t="n">
        <v>0</v>
      </c>
      <c r="L946" t="n">
        <v>0</v>
      </c>
      <c r="M946" t="n">
        <v>0</v>
      </c>
      <c r="N946" t="n">
        <v>0</v>
      </c>
      <c r="O946" t="n">
        <v>0</v>
      </c>
      <c r="P946" t="n">
        <v>0</v>
      </c>
      <c r="Q946" t="n">
        <v>0</v>
      </c>
      <c r="R946" s="2" t="inlineStr"/>
    </row>
    <row r="947" ht="15" customHeight="1">
      <c r="A947" t="inlineStr">
        <is>
          <t>A 11451-2021</t>
        </is>
      </c>
      <c r="B947" s="1" t="n">
        <v>44264.30541666667</v>
      </c>
      <c r="C947" s="1" t="n">
        <v>45884</v>
      </c>
      <c r="D947" t="inlineStr">
        <is>
          <t>KALMAR LÄN</t>
        </is>
      </c>
      <c r="E947" t="inlineStr">
        <is>
          <t>MÖNSTERÅS</t>
        </is>
      </c>
      <c r="G947" t="n">
        <v>5.4</v>
      </c>
      <c r="H947" t="n">
        <v>0</v>
      </c>
      <c r="I947" t="n">
        <v>0</v>
      </c>
      <c r="J947" t="n">
        <v>0</v>
      </c>
      <c r="K947" t="n">
        <v>0</v>
      </c>
      <c r="L947" t="n">
        <v>0</v>
      </c>
      <c r="M947" t="n">
        <v>0</v>
      </c>
      <c r="N947" t="n">
        <v>0</v>
      </c>
      <c r="O947" t="n">
        <v>0</v>
      </c>
      <c r="P947" t="n">
        <v>0</v>
      </c>
      <c r="Q947" t="n">
        <v>0</v>
      </c>
      <c r="R947" s="2" t="inlineStr"/>
    </row>
    <row r="948" ht="15" customHeight="1">
      <c r="A948" t="inlineStr">
        <is>
          <t>A 11493-2021</t>
        </is>
      </c>
      <c r="B948" s="1" t="n">
        <v>44264.36884259259</v>
      </c>
      <c r="C948" s="1" t="n">
        <v>45884</v>
      </c>
      <c r="D948" t="inlineStr">
        <is>
          <t>KALMAR LÄN</t>
        </is>
      </c>
      <c r="E948" t="inlineStr">
        <is>
          <t>EMMABODA</t>
        </is>
      </c>
      <c r="G948" t="n">
        <v>1.3</v>
      </c>
      <c r="H948" t="n">
        <v>0</v>
      </c>
      <c r="I948" t="n">
        <v>0</v>
      </c>
      <c r="J948" t="n">
        <v>0</v>
      </c>
      <c r="K948" t="n">
        <v>0</v>
      </c>
      <c r="L948" t="n">
        <v>0</v>
      </c>
      <c r="M948" t="n">
        <v>0</v>
      </c>
      <c r="N948" t="n">
        <v>0</v>
      </c>
      <c r="O948" t="n">
        <v>0</v>
      </c>
      <c r="P948" t="n">
        <v>0</v>
      </c>
      <c r="Q948" t="n">
        <v>0</v>
      </c>
      <c r="R948" s="2" t="inlineStr"/>
    </row>
    <row r="949" ht="15" customHeight="1">
      <c r="A949" t="inlineStr">
        <is>
          <t>A 69311-2020</t>
        </is>
      </c>
      <c r="B949" s="1" t="n">
        <v>44193</v>
      </c>
      <c r="C949" s="1" t="n">
        <v>45884</v>
      </c>
      <c r="D949" t="inlineStr">
        <is>
          <t>KALMAR LÄN</t>
        </is>
      </c>
      <c r="E949" t="inlineStr">
        <is>
          <t>HULTSFRED</t>
        </is>
      </c>
      <c r="F949" t="inlineStr">
        <is>
          <t>Sveaskog</t>
        </is>
      </c>
      <c r="G949" t="n">
        <v>2.7</v>
      </c>
      <c r="H949" t="n">
        <v>0</v>
      </c>
      <c r="I949" t="n">
        <v>0</v>
      </c>
      <c r="J949" t="n">
        <v>0</v>
      </c>
      <c r="K949" t="n">
        <v>0</v>
      </c>
      <c r="L949" t="n">
        <v>0</v>
      </c>
      <c r="M949" t="n">
        <v>0</v>
      </c>
      <c r="N949" t="n">
        <v>0</v>
      </c>
      <c r="O949" t="n">
        <v>0</v>
      </c>
      <c r="P949" t="n">
        <v>0</v>
      </c>
      <c r="Q949" t="n">
        <v>0</v>
      </c>
      <c r="R949" s="2" t="inlineStr"/>
    </row>
    <row r="950" ht="15" customHeight="1">
      <c r="A950" t="inlineStr">
        <is>
          <t>A 11600-2021</t>
        </is>
      </c>
      <c r="B950" s="1" t="n">
        <v>44264</v>
      </c>
      <c r="C950" s="1" t="n">
        <v>45884</v>
      </c>
      <c r="D950" t="inlineStr">
        <is>
          <t>KALMAR LÄN</t>
        </is>
      </c>
      <c r="E950" t="inlineStr">
        <is>
          <t>KALMAR</t>
        </is>
      </c>
      <c r="G950" t="n">
        <v>1.1</v>
      </c>
      <c r="H950" t="n">
        <v>0</v>
      </c>
      <c r="I950" t="n">
        <v>0</v>
      </c>
      <c r="J950" t="n">
        <v>0</v>
      </c>
      <c r="K950" t="n">
        <v>0</v>
      </c>
      <c r="L950" t="n">
        <v>0</v>
      </c>
      <c r="M950" t="n">
        <v>0</v>
      </c>
      <c r="N950" t="n">
        <v>0</v>
      </c>
      <c r="O950" t="n">
        <v>0</v>
      </c>
      <c r="P950" t="n">
        <v>0</v>
      </c>
      <c r="Q950" t="n">
        <v>0</v>
      </c>
      <c r="R950" s="2" t="inlineStr"/>
    </row>
    <row r="951" ht="15" customHeight="1">
      <c r="A951" t="inlineStr">
        <is>
          <t>A 60928-2021</t>
        </is>
      </c>
      <c r="B951" s="1" t="n">
        <v>44497.4675462963</v>
      </c>
      <c r="C951" s="1" t="n">
        <v>45884</v>
      </c>
      <c r="D951" t="inlineStr">
        <is>
          <t>KALMAR LÄN</t>
        </is>
      </c>
      <c r="E951" t="inlineStr">
        <is>
          <t>KALMAR</t>
        </is>
      </c>
      <c r="G951" t="n">
        <v>3</v>
      </c>
      <c r="H951" t="n">
        <v>0</v>
      </c>
      <c r="I951" t="n">
        <v>0</v>
      </c>
      <c r="J951" t="n">
        <v>0</v>
      </c>
      <c r="K951" t="n">
        <v>0</v>
      </c>
      <c r="L951" t="n">
        <v>0</v>
      </c>
      <c r="M951" t="n">
        <v>0</v>
      </c>
      <c r="N951" t="n">
        <v>0</v>
      </c>
      <c r="O951" t="n">
        <v>0</v>
      </c>
      <c r="P951" t="n">
        <v>0</v>
      </c>
      <c r="Q951" t="n">
        <v>0</v>
      </c>
      <c r="R951" s="2" t="inlineStr"/>
    </row>
    <row r="952" ht="15" customHeight="1">
      <c r="A952" t="inlineStr">
        <is>
          <t>A 10945-2021</t>
        </is>
      </c>
      <c r="B952" s="1" t="n">
        <v>44260</v>
      </c>
      <c r="C952" s="1" t="n">
        <v>45884</v>
      </c>
      <c r="D952" t="inlineStr">
        <is>
          <t>KALMAR LÄN</t>
        </is>
      </c>
      <c r="E952" t="inlineStr">
        <is>
          <t>TORSÅS</t>
        </is>
      </c>
      <c r="G952" t="n">
        <v>1.6</v>
      </c>
      <c r="H952" t="n">
        <v>0</v>
      </c>
      <c r="I952" t="n">
        <v>0</v>
      </c>
      <c r="J952" t="n">
        <v>0</v>
      </c>
      <c r="K952" t="n">
        <v>0</v>
      </c>
      <c r="L952" t="n">
        <v>0</v>
      </c>
      <c r="M952" t="n">
        <v>0</v>
      </c>
      <c r="N952" t="n">
        <v>0</v>
      </c>
      <c r="O952" t="n">
        <v>0</v>
      </c>
      <c r="P952" t="n">
        <v>0</v>
      </c>
      <c r="Q952" t="n">
        <v>0</v>
      </c>
      <c r="R952" s="2" t="inlineStr"/>
    </row>
    <row r="953" ht="15" customHeight="1">
      <c r="A953" t="inlineStr">
        <is>
          <t>A 50871-2021</t>
        </is>
      </c>
      <c r="B953" s="1" t="n">
        <v>44460.55954861111</v>
      </c>
      <c r="C953" s="1" t="n">
        <v>45884</v>
      </c>
      <c r="D953" t="inlineStr">
        <is>
          <t>KALMAR LÄN</t>
        </is>
      </c>
      <c r="E953" t="inlineStr">
        <is>
          <t>KALMAR</t>
        </is>
      </c>
      <c r="G953" t="n">
        <v>5.8</v>
      </c>
      <c r="H953" t="n">
        <v>0</v>
      </c>
      <c r="I953" t="n">
        <v>0</v>
      </c>
      <c r="J953" t="n">
        <v>0</v>
      </c>
      <c r="K953" t="n">
        <v>0</v>
      </c>
      <c r="L953" t="n">
        <v>0</v>
      </c>
      <c r="M953" t="n">
        <v>0</v>
      </c>
      <c r="N953" t="n">
        <v>0</v>
      </c>
      <c r="O953" t="n">
        <v>0</v>
      </c>
      <c r="P953" t="n">
        <v>0</v>
      </c>
      <c r="Q953" t="n">
        <v>0</v>
      </c>
      <c r="R953" s="2" t="inlineStr"/>
    </row>
    <row r="954" ht="15" customHeight="1">
      <c r="A954" t="inlineStr">
        <is>
          <t>A 2009-2021</t>
        </is>
      </c>
      <c r="B954" s="1" t="n">
        <v>44210</v>
      </c>
      <c r="C954" s="1" t="n">
        <v>45884</v>
      </c>
      <c r="D954" t="inlineStr">
        <is>
          <t>KALMAR LÄN</t>
        </is>
      </c>
      <c r="E954" t="inlineStr">
        <is>
          <t>KALMAR</t>
        </is>
      </c>
      <c r="G954" t="n">
        <v>1.6</v>
      </c>
      <c r="H954" t="n">
        <v>0</v>
      </c>
      <c r="I954" t="n">
        <v>0</v>
      </c>
      <c r="J954" t="n">
        <v>0</v>
      </c>
      <c r="K954" t="n">
        <v>0</v>
      </c>
      <c r="L954" t="n">
        <v>0</v>
      </c>
      <c r="M954" t="n">
        <v>0</v>
      </c>
      <c r="N954" t="n">
        <v>0</v>
      </c>
      <c r="O954" t="n">
        <v>0</v>
      </c>
      <c r="P954" t="n">
        <v>0</v>
      </c>
      <c r="Q954" t="n">
        <v>0</v>
      </c>
      <c r="R954" s="2" t="inlineStr"/>
    </row>
    <row r="955" ht="15" customHeight="1">
      <c r="A955" t="inlineStr">
        <is>
          <t>A 15445-2021</t>
        </is>
      </c>
      <c r="B955" s="1" t="n">
        <v>44285</v>
      </c>
      <c r="C955" s="1" t="n">
        <v>45884</v>
      </c>
      <c r="D955" t="inlineStr">
        <is>
          <t>KALMAR LÄN</t>
        </is>
      </c>
      <c r="E955" t="inlineStr">
        <is>
          <t>KALMAR</t>
        </is>
      </c>
      <c r="G955" t="n">
        <v>4.1</v>
      </c>
      <c r="H955" t="n">
        <v>0</v>
      </c>
      <c r="I955" t="n">
        <v>0</v>
      </c>
      <c r="J955" t="n">
        <v>0</v>
      </c>
      <c r="K955" t="n">
        <v>0</v>
      </c>
      <c r="L955" t="n">
        <v>0</v>
      </c>
      <c r="M955" t="n">
        <v>0</v>
      </c>
      <c r="N955" t="n">
        <v>0</v>
      </c>
      <c r="O955" t="n">
        <v>0</v>
      </c>
      <c r="P955" t="n">
        <v>0</v>
      </c>
      <c r="Q955" t="n">
        <v>0</v>
      </c>
      <c r="R955" s="2" t="inlineStr"/>
    </row>
    <row r="956" ht="15" customHeight="1">
      <c r="A956" t="inlineStr">
        <is>
          <t>A 59567-2021</t>
        </is>
      </c>
      <c r="B956" s="1" t="n">
        <v>44491</v>
      </c>
      <c r="C956" s="1" t="n">
        <v>45884</v>
      </c>
      <c r="D956" t="inlineStr">
        <is>
          <t>KALMAR LÄN</t>
        </is>
      </c>
      <c r="E956" t="inlineStr">
        <is>
          <t>NYBRO</t>
        </is>
      </c>
      <c r="G956" t="n">
        <v>0.6</v>
      </c>
      <c r="H956" t="n">
        <v>0</v>
      </c>
      <c r="I956" t="n">
        <v>0</v>
      </c>
      <c r="J956" t="n">
        <v>0</v>
      </c>
      <c r="K956" t="n">
        <v>0</v>
      </c>
      <c r="L956" t="n">
        <v>0</v>
      </c>
      <c r="M956" t="n">
        <v>0</v>
      </c>
      <c r="N956" t="n">
        <v>0</v>
      </c>
      <c r="O956" t="n">
        <v>0</v>
      </c>
      <c r="P956" t="n">
        <v>0</v>
      </c>
      <c r="Q956" t="n">
        <v>0</v>
      </c>
      <c r="R956" s="2" t="inlineStr"/>
    </row>
    <row r="957" ht="15" customHeight="1">
      <c r="A957" t="inlineStr">
        <is>
          <t>A 49304-2021</t>
        </is>
      </c>
      <c r="B957" s="1" t="n">
        <v>44454</v>
      </c>
      <c r="C957" s="1" t="n">
        <v>45884</v>
      </c>
      <c r="D957" t="inlineStr">
        <is>
          <t>KALMAR LÄN</t>
        </is>
      </c>
      <c r="E957" t="inlineStr">
        <is>
          <t>EMMABODA</t>
        </is>
      </c>
      <c r="G957" t="n">
        <v>0.5</v>
      </c>
      <c r="H957" t="n">
        <v>0</v>
      </c>
      <c r="I957" t="n">
        <v>0</v>
      </c>
      <c r="J957" t="n">
        <v>0</v>
      </c>
      <c r="K957" t="n">
        <v>0</v>
      </c>
      <c r="L957" t="n">
        <v>0</v>
      </c>
      <c r="M957" t="n">
        <v>0</v>
      </c>
      <c r="N957" t="n">
        <v>0</v>
      </c>
      <c r="O957" t="n">
        <v>0</v>
      </c>
      <c r="P957" t="n">
        <v>0</v>
      </c>
      <c r="Q957" t="n">
        <v>0</v>
      </c>
      <c r="R957" s="2" t="inlineStr"/>
    </row>
    <row r="958" ht="15" customHeight="1">
      <c r="A958" t="inlineStr">
        <is>
          <t>A 27077-2021</t>
        </is>
      </c>
      <c r="B958" s="1" t="n">
        <v>44350</v>
      </c>
      <c r="C958" s="1" t="n">
        <v>45884</v>
      </c>
      <c r="D958" t="inlineStr">
        <is>
          <t>KALMAR LÄN</t>
        </is>
      </c>
      <c r="E958" t="inlineStr">
        <is>
          <t>OSKARSHAMN</t>
        </is>
      </c>
      <c r="G958" t="n">
        <v>3</v>
      </c>
      <c r="H958" t="n">
        <v>0</v>
      </c>
      <c r="I958" t="n">
        <v>0</v>
      </c>
      <c r="J958" t="n">
        <v>0</v>
      </c>
      <c r="K958" t="n">
        <v>0</v>
      </c>
      <c r="L958" t="n">
        <v>0</v>
      </c>
      <c r="M958" t="n">
        <v>0</v>
      </c>
      <c r="N958" t="n">
        <v>0</v>
      </c>
      <c r="O958" t="n">
        <v>0</v>
      </c>
      <c r="P958" t="n">
        <v>0</v>
      </c>
      <c r="Q958" t="n">
        <v>0</v>
      </c>
      <c r="R958" s="2" t="inlineStr"/>
    </row>
    <row r="959" ht="15" customHeight="1">
      <c r="A959" t="inlineStr">
        <is>
          <t>A 27086-2021</t>
        </is>
      </c>
      <c r="B959" s="1" t="n">
        <v>44350</v>
      </c>
      <c r="C959" s="1" t="n">
        <v>45884</v>
      </c>
      <c r="D959" t="inlineStr">
        <is>
          <t>KALMAR LÄN</t>
        </is>
      </c>
      <c r="E959" t="inlineStr">
        <is>
          <t>VIMMERBY</t>
        </is>
      </c>
      <c r="G959" t="n">
        <v>0.6</v>
      </c>
      <c r="H959" t="n">
        <v>0</v>
      </c>
      <c r="I959" t="n">
        <v>0</v>
      </c>
      <c r="J959" t="n">
        <v>0</v>
      </c>
      <c r="K959" t="n">
        <v>0</v>
      </c>
      <c r="L959" t="n">
        <v>0</v>
      </c>
      <c r="M959" t="n">
        <v>0</v>
      </c>
      <c r="N959" t="n">
        <v>0</v>
      </c>
      <c r="O959" t="n">
        <v>0</v>
      </c>
      <c r="P959" t="n">
        <v>0</v>
      </c>
      <c r="Q959" t="n">
        <v>0</v>
      </c>
      <c r="R959" s="2" t="inlineStr"/>
    </row>
    <row r="960" ht="15" customHeight="1">
      <c r="A960" t="inlineStr">
        <is>
          <t>A 68509-2021</t>
        </is>
      </c>
      <c r="B960" s="1" t="n">
        <v>44529</v>
      </c>
      <c r="C960" s="1" t="n">
        <v>45884</v>
      </c>
      <c r="D960" t="inlineStr">
        <is>
          <t>KALMAR LÄN</t>
        </is>
      </c>
      <c r="E960" t="inlineStr">
        <is>
          <t>EMMABODA</t>
        </is>
      </c>
      <c r="G960" t="n">
        <v>0.6</v>
      </c>
      <c r="H960" t="n">
        <v>0</v>
      </c>
      <c r="I960" t="n">
        <v>0</v>
      </c>
      <c r="J960" t="n">
        <v>0</v>
      </c>
      <c r="K960" t="n">
        <v>0</v>
      </c>
      <c r="L960" t="n">
        <v>0</v>
      </c>
      <c r="M960" t="n">
        <v>0</v>
      </c>
      <c r="N960" t="n">
        <v>0</v>
      </c>
      <c r="O960" t="n">
        <v>0</v>
      </c>
      <c r="P960" t="n">
        <v>0</v>
      </c>
      <c r="Q960" t="n">
        <v>0</v>
      </c>
      <c r="R960" s="2" t="inlineStr"/>
    </row>
    <row r="961" ht="15" customHeight="1">
      <c r="A961" t="inlineStr">
        <is>
          <t>A 66729-2021</t>
        </is>
      </c>
      <c r="B961" s="1" t="n">
        <v>44520.0127662037</v>
      </c>
      <c r="C961" s="1" t="n">
        <v>45884</v>
      </c>
      <c r="D961" t="inlineStr">
        <is>
          <t>KALMAR LÄN</t>
        </is>
      </c>
      <c r="E961" t="inlineStr">
        <is>
          <t>HULTSFRED</t>
        </is>
      </c>
      <c r="G961" t="n">
        <v>2.2</v>
      </c>
      <c r="H961" t="n">
        <v>0</v>
      </c>
      <c r="I961" t="n">
        <v>0</v>
      </c>
      <c r="J961" t="n">
        <v>0</v>
      </c>
      <c r="K961" t="n">
        <v>0</v>
      </c>
      <c r="L961" t="n">
        <v>0</v>
      </c>
      <c r="M961" t="n">
        <v>0</v>
      </c>
      <c r="N961" t="n">
        <v>0</v>
      </c>
      <c r="O961" t="n">
        <v>0</v>
      </c>
      <c r="P961" t="n">
        <v>0</v>
      </c>
      <c r="Q961" t="n">
        <v>0</v>
      </c>
      <c r="R961" s="2" t="inlineStr"/>
    </row>
    <row r="962" ht="15" customHeight="1">
      <c r="A962" t="inlineStr">
        <is>
          <t>A 9614-2021</t>
        </is>
      </c>
      <c r="B962" s="1" t="n">
        <v>44251</v>
      </c>
      <c r="C962" s="1" t="n">
        <v>45884</v>
      </c>
      <c r="D962" t="inlineStr">
        <is>
          <t>KALMAR LÄN</t>
        </is>
      </c>
      <c r="E962" t="inlineStr">
        <is>
          <t>EMMABODA</t>
        </is>
      </c>
      <c r="G962" t="n">
        <v>1</v>
      </c>
      <c r="H962" t="n">
        <v>0</v>
      </c>
      <c r="I962" t="n">
        <v>0</v>
      </c>
      <c r="J962" t="n">
        <v>0</v>
      </c>
      <c r="K962" t="n">
        <v>0</v>
      </c>
      <c r="L962" t="n">
        <v>0</v>
      </c>
      <c r="M962" t="n">
        <v>0</v>
      </c>
      <c r="N962" t="n">
        <v>0</v>
      </c>
      <c r="O962" t="n">
        <v>0</v>
      </c>
      <c r="P962" t="n">
        <v>0</v>
      </c>
      <c r="Q962" t="n">
        <v>0</v>
      </c>
      <c r="R962" s="2" t="inlineStr"/>
    </row>
    <row r="963" ht="15" customHeight="1">
      <c r="A963" t="inlineStr">
        <is>
          <t>A 49186-2020</t>
        </is>
      </c>
      <c r="B963" s="1" t="n">
        <v>44105</v>
      </c>
      <c r="C963" s="1" t="n">
        <v>45884</v>
      </c>
      <c r="D963" t="inlineStr">
        <is>
          <t>KALMAR LÄN</t>
        </is>
      </c>
      <c r="E963" t="inlineStr">
        <is>
          <t>VIMMERBY</t>
        </is>
      </c>
      <c r="F963" t="inlineStr">
        <is>
          <t>Sveaskog</t>
        </is>
      </c>
      <c r="G963" t="n">
        <v>3.8</v>
      </c>
      <c r="H963" t="n">
        <v>0</v>
      </c>
      <c r="I963" t="n">
        <v>0</v>
      </c>
      <c r="J963" t="n">
        <v>0</v>
      </c>
      <c r="K963" t="n">
        <v>0</v>
      </c>
      <c r="L963" t="n">
        <v>0</v>
      </c>
      <c r="M963" t="n">
        <v>0</v>
      </c>
      <c r="N963" t="n">
        <v>0</v>
      </c>
      <c r="O963" t="n">
        <v>0</v>
      </c>
      <c r="P963" t="n">
        <v>0</v>
      </c>
      <c r="Q963" t="n">
        <v>0</v>
      </c>
      <c r="R963" s="2" t="inlineStr"/>
    </row>
    <row r="964" ht="15" customHeight="1">
      <c r="A964" t="inlineStr">
        <is>
          <t>A 59648-2020</t>
        </is>
      </c>
      <c r="B964" s="1" t="n">
        <v>44150</v>
      </c>
      <c r="C964" s="1" t="n">
        <v>45884</v>
      </c>
      <c r="D964" t="inlineStr">
        <is>
          <t>KALMAR LÄN</t>
        </is>
      </c>
      <c r="E964" t="inlineStr">
        <is>
          <t>TORSÅS</t>
        </is>
      </c>
      <c r="G964" t="n">
        <v>0.7</v>
      </c>
      <c r="H964" t="n">
        <v>0</v>
      </c>
      <c r="I964" t="n">
        <v>0</v>
      </c>
      <c r="J964" t="n">
        <v>0</v>
      </c>
      <c r="K964" t="n">
        <v>0</v>
      </c>
      <c r="L964" t="n">
        <v>0</v>
      </c>
      <c r="M964" t="n">
        <v>0</v>
      </c>
      <c r="N964" t="n">
        <v>0</v>
      </c>
      <c r="O964" t="n">
        <v>0</v>
      </c>
      <c r="P964" t="n">
        <v>0</v>
      </c>
      <c r="Q964" t="n">
        <v>0</v>
      </c>
      <c r="R964" s="2" t="inlineStr"/>
    </row>
    <row r="965" ht="15" customHeight="1">
      <c r="A965" t="inlineStr">
        <is>
          <t>A 55590-2020</t>
        </is>
      </c>
      <c r="B965" s="1" t="n">
        <v>44131</v>
      </c>
      <c r="C965" s="1" t="n">
        <v>45884</v>
      </c>
      <c r="D965" t="inlineStr">
        <is>
          <t>KALMAR LÄN</t>
        </is>
      </c>
      <c r="E965" t="inlineStr">
        <is>
          <t>MÖNSTERÅS</t>
        </is>
      </c>
      <c r="G965" t="n">
        <v>2.8</v>
      </c>
      <c r="H965" t="n">
        <v>0</v>
      </c>
      <c r="I965" t="n">
        <v>0</v>
      </c>
      <c r="J965" t="n">
        <v>0</v>
      </c>
      <c r="K965" t="n">
        <v>0</v>
      </c>
      <c r="L965" t="n">
        <v>0</v>
      </c>
      <c r="M965" t="n">
        <v>0</v>
      </c>
      <c r="N965" t="n">
        <v>0</v>
      </c>
      <c r="O965" t="n">
        <v>0</v>
      </c>
      <c r="P965" t="n">
        <v>0</v>
      </c>
      <c r="Q965" t="n">
        <v>0</v>
      </c>
      <c r="R965" s="2" t="inlineStr"/>
    </row>
    <row r="966" ht="15" customHeight="1">
      <c r="A966" t="inlineStr">
        <is>
          <t>A 59757-2020</t>
        </is>
      </c>
      <c r="B966" s="1" t="n">
        <v>44151</v>
      </c>
      <c r="C966" s="1" t="n">
        <v>45884</v>
      </c>
      <c r="D966" t="inlineStr">
        <is>
          <t>KALMAR LÄN</t>
        </is>
      </c>
      <c r="E966" t="inlineStr">
        <is>
          <t>HULTSFRED</t>
        </is>
      </c>
      <c r="G966" t="n">
        <v>1.8</v>
      </c>
      <c r="H966" t="n">
        <v>0</v>
      </c>
      <c r="I966" t="n">
        <v>0</v>
      </c>
      <c r="J966" t="n">
        <v>0</v>
      </c>
      <c r="K966" t="n">
        <v>0</v>
      </c>
      <c r="L966" t="n">
        <v>0</v>
      </c>
      <c r="M966" t="n">
        <v>0</v>
      </c>
      <c r="N966" t="n">
        <v>0</v>
      </c>
      <c r="O966" t="n">
        <v>0</v>
      </c>
      <c r="P966" t="n">
        <v>0</v>
      </c>
      <c r="Q966" t="n">
        <v>0</v>
      </c>
      <c r="R966" s="2" t="inlineStr"/>
    </row>
    <row r="967" ht="15" customHeight="1">
      <c r="A967" t="inlineStr">
        <is>
          <t>A 28399-2021</t>
        </is>
      </c>
      <c r="B967" s="1" t="n">
        <v>44356.47372685185</v>
      </c>
      <c r="C967" s="1" t="n">
        <v>45884</v>
      </c>
      <c r="D967" t="inlineStr">
        <is>
          <t>KALMAR LÄN</t>
        </is>
      </c>
      <c r="E967" t="inlineStr">
        <is>
          <t>HULTSFRED</t>
        </is>
      </c>
      <c r="G967" t="n">
        <v>7.3</v>
      </c>
      <c r="H967" t="n">
        <v>0</v>
      </c>
      <c r="I967" t="n">
        <v>0</v>
      </c>
      <c r="J967" t="n">
        <v>0</v>
      </c>
      <c r="K967" t="n">
        <v>0</v>
      </c>
      <c r="L967" t="n">
        <v>0</v>
      </c>
      <c r="M967" t="n">
        <v>0</v>
      </c>
      <c r="N967" t="n">
        <v>0</v>
      </c>
      <c r="O967" t="n">
        <v>0</v>
      </c>
      <c r="P967" t="n">
        <v>0</v>
      </c>
      <c r="Q967" t="n">
        <v>0</v>
      </c>
      <c r="R967" s="2" t="inlineStr"/>
    </row>
    <row r="968" ht="15" customHeight="1">
      <c r="A968" t="inlineStr">
        <is>
          <t>A 20470-2021</t>
        </is>
      </c>
      <c r="B968" s="1" t="n">
        <v>44315</v>
      </c>
      <c r="C968" s="1" t="n">
        <v>45884</v>
      </c>
      <c r="D968" t="inlineStr">
        <is>
          <t>KALMAR LÄN</t>
        </is>
      </c>
      <c r="E968" t="inlineStr">
        <is>
          <t>TORSÅS</t>
        </is>
      </c>
      <c r="G968" t="n">
        <v>1.4</v>
      </c>
      <c r="H968" t="n">
        <v>0</v>
      </c>
      <c r="I968" t="n">
        <v>0</v>
      </c>
      <c r="J968" t="n">
        <v>0</v>
      </c>
      <c r="K968" t="n">
        <v>0</v>
      </c>
      <c r="L968" t="n">
        <v>0</v>
      </c>
      <c r="M968" t="n">
        <v>0</v>
      </c>
      <c r="N968" t="n">
        <v>0</v>
      </c>
      <c r="O968" t="n">
        <v>0</v>
      </c>
      <c r="P968" t="n">
        <v>0</v>
      </c>
      <c r="Q968" t="n">
        <v>0</v>
      </c>
      <c r="R968" s="2" t="inlineStr"/>
    </row>
    <row r="969" ht="15" customHeight="1">
      <c r="A969" t="inlineStr">
        <is>
          <t>A 70650-2021</t>
        </is>
      </c>
      <c r="B969" s="1" t="n">
        <v>44537</v>
      </c>
      <c r="C969" s="1" t="n">
        <v>45884</v>
      </c>
      <c r="D969" t="inlineStr">
        <is>
          <t>KALMAR LÄN</t>
        </is>
      </c>
      <c r="E969" t="inlineStr">
        <is>
          <t>MÖNSTERÅS</t>
        </is>
      </c>
      <c r="G969" t="n">
        <v>0.7</v>
      </c>
      <c r="H969" t="n">
        <v>0</v>
      </c>
      <c r="I969" t="n">
        <v>0</v>
      </c>
      <c r="J969" t="n">
        <v>0</v>
      </c>
      <c r="K969" t="n">
        <v>0</v>
      </c>
      <c r="L969" t="n">
        <v>0</v>
      </c>
      <c r="M969" t="n">
        <v>0</v>
      </c>
      <c r="N969" t="n">
        <v>0</v>
      </c>
      <c r="O969" t="n">
        <v>0</v>
      </c>
      <c r="P969" t="n">
        <v>0</v>
      </c>
      <c r="Q969" t="n">
        <v>0</v>
      </c>
      <c r="R969" s="2" t="inlineStr"/>
    </row>
    <row r="970" ht="15" customHeight="1">
      <c r="A970" t="inlineStr">
        <is>
          <t>A 59012-2021</t>
        </is>
      </c>
      <c r="B970" s="1" t="n">
        <v>44490</v>
      </c>
      <c r="C970" s="1" t="n">
        <v>45884</v>
      </c>
      <c r="D970" t="inlineStr">
        <is>
          <t>KALMAR LÄN</t>
        </is>
      </c>
      <c r="E970" t="inlineStr">
        <is>
          <t>EMMABODA</t>
        </is>
      </c>
      <c r="G970" t="n">
        <v>2.3</v>
      </c>
      <c r="H970" t="n">
        <v>0</v>
      </c>
      <c r="I970" t="n">
        <v>0</v>
      </c>
      <c r="J970" t="n">
        <v>0</v>
      </c>
      <c r="K970" t="n">
        <v>0</v>
      </c>
      <c r="L970" t="n">
        <v>0</v>
      </c>
      <c r="M970" t="n">
        <v>0</v>
      </c>
      <c r="N970" t="n">
        <v>0</v>
      </c>
      <c r="O970" t="n">
        <v>0</v>
      </c>
      <c r="P970" t="n">
        <v>0</v>
      </c>
      <c r="Q970" t="n">
        <v>0</v>
      </c>
      <c r="R970" s="2" t="inlineStr"/>
    </row>
    <row r="971" ht="15" customHeight="1">
      <c r="A971" t="inlineStr">
        <is>
          <t>A 43730-2020</t>
        </is>
      </c>
      <c r="B971" s="1" t="n">
        <v>44082.63233796296</v>
      </c>
      <c r="C971" s="1" t="n">
        <v>45884</v>
      </c>
      <c r="D971" t="inlineStr">
        <is>
          <t>KALMAR LÄN</t>
        </is>
      </c>
      <c r="E971" t="inlineStr">
        <is>
          <t>VÄSTERVIK</t>
        </is>
      </c>
      <c r="G971" t="n">
        <v>0.1</v>
      </c>
      <c r="H971" t="n">
        <v>0</v>
      </c>
      <c r="I971" t="n">
        <v>0</v>
      </c>
      <c r="J971" t="n">
        <v>0</v>
      </c>
      <c r="K971" t="n">
        <v>0</v>
      </c>
      <c r="L971" t="n">
        <v>0</v>
      </c>
      <c r="M971" t="n">
        <v>0</v>
      </c>
      <c r="N971" t="n">
        <v>0</v>
      </c>
      <c r="O971" t="n">
        <v>0</v>
      </c>
      <c r="P971" t="n">
        <v>0</v>
      </c>
      <c r="Q971" t="n">
        <v>0</v>
      </c>
      <c r="R971" s="2" t="inlineStr"/>
    </row>
    <row r="972" ht="15" customHeight="1">
      <c r="A972" t="inlineStr">
        <is>
          <t>A 44084-2020</t>
        </is>
      </c>
      <c r="B972" s="1" t="n">
        <v>44083</v>
      </c>
      <c r="C972" s="1" t="n">
        <v>45884</v>
      </c>
      <c r="D972" t="inlineStr">
        <is>
          <t>KALMAR LÄN</t>
        </is>
      </c>
      <c r="E972" t="inlineStr">
        <is>
          <t>HÖGSBY</t>
        </is>
      </c>
      <c r="G972" t="n">
        <v>3.3</v>
      </c>
      <c r="H972" t="n">
        <v>0</v>
      </c>
      <c r="I972" t="n">
        <v>0</v>
      </c>
      <c r="J972" t="n">
        <v>0</v>
      </c>
      <c r="K972" t="n">
        <v>0</v>
      </c>
      <c r="L972" t="n">
        <v>0</v>
      </c>
      <c r="M972" t="n">
        <v>0</v>
      </c>
      <c r="N972" t="n">
        <v>0</v>
      </c>
      <c r="O972" t="n">
        <v>0</v>
      </c>
      <c r="P972" t="n">
        <v>0</v>
      </c>
      <c r="Q972" t="n">
        <v>0</v>
      </c>
      <c r="R972" s="2" t="inlineStr"/>
    </row>
    <row r="973" ht="15" customHeight="1">
      <c r="A973" t="inlineStr">
        <is>
          <t>A 56571-2020</t>
        </is>
      </c>
      <c r="B973" s="1" t="n">
        <v>44137</v>
      </c>
      <c r="C973" s="1" t="n">
        <v>45884</v>
      </c>
      <c r="D973" t="inlineStr">
        <is>
          <t>KALMAR LÄN</t>
        </is>
      </c>
      <c r="E973" t="inlineStr">
        <is>
          <t>HULTSFRED</t>
        </is>
      </c>
      <c r="F973" t="inlineStr">
        <is>
          <t>Sveaskog</t>
        </is>
      </c>
      <c r="G973" t="n">
        <v>0.6</v>
      </c>
      <c r="H973" t="n">
        <v>0</v>
      </c>
      <c r="I973" t="n">
        <v>0</v>
      </c>
      <c r="J973" t="n">
        <v>0</v>
      </c>
      <c r="K973" t="n">
        <v>0</v>
      </c>
      <c r="L973" t="n">
        <v>0</v>
      </c>
      <c r="M973" t="n">
        <v>0</v>
      </c>
      <c r="N973" t="n">
        <v>0</v>
      </c>
      <c r="O973" t="n">
        <v>0</v>
      </c>
      <c r="P973" t="n">
        <v>0</v>
      </c>
      <c r="Q973" t="n">
        <v>0</v>
      </c>
      <c r="R973" s="2" t="inlineStr"/>
    </row>
    <row r="974" ht="15" customHeight="1">
      <c r="A974" t="inlineStr">
        <is>
          <t>A 57335-2020</t>
        </is>
      </c>
      <c r="B974" s="1" t="n">
        <v>44139.74001157407</v>
      </c>
      <c r="C974" s="1" t="n">
        <v>45884</v>
      </c>
      <c r="D974" t="inlineStr">
        <is>
          <t>KALMAR LÄN</t>
        </is>
      </c>
      <c r="E974" t="inlineStr">
        <is>
          <t>MÖNSTERÅS</t>
        </is>
      </c>
      <c r="G974" t="n">
        <v>0.6</v>
      </c>
      <c r="H974" t="n">
        <v>0</v>
      </c>
      <c r="I974" t="n">
        <v>0</v>
      </c>
      <c r="J974" t="n">
        <v>0</v>
      </c>
      <c r="K974" t="n">
        <v>0</v>
      </c>
      <c r="L974" t="n">
        <v>0</v>
      </c>
      <c r="M974" t="n">
        <v>0</v>
      </c>
      <c r="N974" t="n">
        <v>0</v>
      </c>
      <c r="O974" t="n">
        <v>0</v>
      </c>
      <c r="P974" t="n">
        <v>0</v>
      </c>
      <c r="Q974" t="n">
        <v>0</v>
      </c>
      <c r="R974" s="2" t="inlineStr"/>
    </row>
    <row r="975" ht="15" customHeight="1">
      <c r="A975" t="inlineStr">
        <is>
          <t>A 68463-2020</t>
        </is>
      </c>
      <c r="B975" s="1" t="n">
        <v>44183</v>
      </c>
      <c r="C975" s="1" t="n">
        <v>45884</v>
      </c>
      <c r="D975" t="inlineStr">
        <is>
          <t>KALMAR LÄN</t>
        </is>
      </c>
      <c r="E975" t="inlineStr">
        <is>
          <t>NYBRO</t>
        </is>
      </c>
      <c r="G975" t="n">
        <v>0.6</v>
      </c>
      <c r="H975" t="n">
        <v>0</v>
      </c>
      <c r="I975" t="n">
        <v>0</v>
      </c>
      <c r="J975" t="n">
        <v>0</v>
      </c>
      <c r="K975" t="n">
        <v>0</v>
      </c>
      <c r="L975" t="n">
        <v>0</v>
      </c>
      <c r="M975" t="n">
        <v>0</v>
      </c>
      <c r="N975" t="n">
        <v>0</v>
      </c>
      <c r="O975" t="n">
        <v>0</v>
      </c>
      <c r="P975" t="n">
        <v>0</v>
      </c>
      <c r="Q975" t="n">
        <v>0</v>
      </c>
      <c r="R975" s="2" t="inlineStr"/>
    </row>
    <row r="976" ht="15" customHeight="1">
      <c r="A976" t="inlineStr">
        <is>
          <t>A 4762-2021</t>
        </is>
      </c>
      <c r="B976" s="1" t="n">
        <v>44225</v>
      </c>
      <c r="C976" s="1" t="n">
        <v>45884</v>
      </c>
      <c r="D976" t="inlineStr">
        <is>
          <t>KALMAR LÄN</t>
        </is>
      </c>
      <c r="E976" t="inlineStr">
        <is>
          <t>VIMMERBY</t>
        </is>
      </c>
      <c r="G976" t="n">
        <v>5.3</v>
      </c>
      <c r="H976" t="n">
        <v>0</v>
      </c>
      <c r="I976" t="n">
        <v>0</v>
      </c>
      <c r="J976" t="n">
        <v>0</v>
      </c>
      <c r="K976" t="n">
        <v>0</v>
      </c>
      <c r="L976" t="n">
        <v>0</v>
      </c>
      <c r="M976" t="n">
        <v>0</v>
      </c>
      <c r="N976" t="n">
        <v>0</v>
      </c>
      <c r="O976" t="n">
        <v>0</v>
      </c>
      <c r="P976" t="n">
        <v>0</v>
      </c>
      <c r="Q976" t="n">
        <v>0</v>
      </c>
      <c r="R976" s="2" t="inlineStr"/>
    </row>
    <row r="977" ht="15" customHeight="1">
      <c r="A977" t="inlineStr">
        <is>
          <t>A 3398-2022</t>
        </is>
      </c>
      <c r="B977" s="1" t="n">
        <v>44585</v>
      </c>
      <c r="C977" s="1" t="n">
        <v>45884</v>
      </c>
      <c r="D977" t="inlineStr">
        <is>
          <t>KALMAR LÄN</t>
        </is>
      </c>
      <c r="E977" t="inlineStr">
        <is>
          <t>HÖGSBY</t>
        </is>
      </c>
      <c r="G977" t="n">
        <v>1.1</v>
      </c>
      <c r="H977" t="n">
        <v>0</v>
      </c>
      <c r="I977" t="n">
        <v>0</v>
      </c>
      <c r="J977" t="n">
        <v>0</v>
      </c>
      <c r="K977" t="n">
        <v>0</v>
      </c>
      <c r="L977" t="n">
        <v>0</v>
      </c>
      <c r="M977" t="n">
        <v>0</v>
      </c>
      <c r="N977" t="n">
        <v>0</v>
      </c>
      <c r="O977" t="n">
        <v>0</v>
      </c>
      <c r="P977" t="n">
        <v>0</v>
      </c>
      <c r="Q977" t="n">
        <v>0</v>
      </c>
      <c r="R977" s="2" t="inlineStr"/>
    </row>
    <row r="978" ht="15" customHeight="1">
      <c r="A978" t="inlineStr">
        <is>
          <t>A 18646-2021</t>
        </is>
      </c>
      <c r="B978" s="1" t="n">
        <v>44306.69969907407</v>
      </c>
      <c r="C978" s="1" t="n">
        <v>45884</v>
      </c>
      <c r="D978" t="inlineStr">
        <is>
          <t>KALMAR LÄN</t>
        </is>
      </c>
      <c r="E978" t="inlineStr">
        <is>
          <t>TORSÅS</t>
        </is>
      </c>
      <c r="G978" t="n">
        <v>3.1</v>
      </c>
      <c r="H978" t="n">
        <v>0</v>
      </c>
      <c r="I978" t="n">
        <v>0</v>
      </c>
      <c r="J978" t="n">
        <v>0</v>
      </c>
      <c r="K978" t="n">
        <v>0</v>
      </c>
      <c r="L978" t="n">
        <v>0</v>
      </c>
      <c r="M978" t="n">
        <v>0</v>
      </c>
      <c r="N978" t="n">
        <v>0</v>
      </c>
      <c r="O978" t="n">
        <v>0</v>
      </c>
      <c r="P978" t="n">
        <v>0</v>
      </c>
      <c r="Q978" t="n">
        <v>0</v>
      </c>
      <c r="R978" s="2" t="inlineStr"/>
    </row>
    <row r="979" ht="15" customHeight="1">
      <c r="A979" t="inlineStr">
        <is>
          <t>A 2131-2021</t>
        </is>
      </c>
      <c r="B979" s="1" t="n">
        <v>44211</v>
      </c>
      <c r="C979" s="1" t="n">
        <v>45884</v>
      </c>
      <c r="D979" t="inlineStr">
        <is>
          <t>KALMAR LÄN</t>
        </is>
      </c>
      <c r="E979" t="inlineStr">
        <is>
          <t>EMMABODA</t>
        </is>
      </c>
      <c r="G979" t="n">
        <v>0.6</v>
      </c>
      <c r="H979" t="n">
        <v>0</v>
      </c>
      <c r="I979" t="n">
        <v>0</v>
      </c>
      <c r="J979" t="n">
        <v>0</v>
      </c>
      <c r="K979" t="n">
        <v>0</v>
      </c>
      <c r="L979" t="n">
        <v>0</v>
      </c>
      <c r="M979" t="n">
        <v>0</v>
      </c>
      <c r="N979" t="n">
        <v>0</v>
      </c>
      <c r="O979" t="n">
        <v>0</v>
      </c>
      <c r="P979" t="n">
        <v>0</v>
      </c>
      <c r="Q979" t="n">
        <v>0</v>
      </c>
      <c r="R979" s="2" t="inlineStr"/>
    </row>
    <row r="980" ht="15" customHeight="1">
      <c r="A980" t="inlineStr">
        <is>
          <t>A 56309-2020</t>
        </is>
      </c>
      <c r="B980" s="1" t="n">
        <v>44134</v>
      </c>
      <c r="C980" s="1" t="n">
        <v>45884</v>
      </c>
      <c r="D980" t="inlineStr">
        <is>
          <t>KALMAR LÄN</t>
        </is>
      </c>
      <c r="E980" t="inlineStr">
        <is>
          <t>TORSÅS</t>
        </is>
      </c>
      <c r="G980" t="n">
        <v>10.3</v>
      </c>
      <c r="H980" t="n">
        <v>0</v>
      </c>
      <c r="I980" t="n">
        <v>0</v>
      </c>
      <c r="J980" t="n">
        <v>0</v>
      </c>
      <c r="K980" t="n">
        <v>0</v>
      </c>
      <c r="L980" t="n">
        <v>0</v>
      </c>
      <c r="M980" t="n">
        <v>0</v>
      </c>
      <c r="N980" t="n">
        <v>0</v>
      </c>
      <c r="O980" t="n">
        <v>0</v>
      </c>
      <c r="P980" t="n">
        <v>0</v>
      </c>
      <c r="Q980" t="n">
        <v>0</v>
      </c>
      <c r="R980" s="2" t="inlineStr"/>
    </row>
    <row r="981" ht="15" customHeight="1">
      <c r="A981" t="inlineStr">
        <is>
          <t>A 7754-2021</t>
        </is>
      </c>
      <c r="B981" s="1" t="n">
        <v>44239</v>
      </c>
      <c r="C981" s="1" t="n">
        <v>45884</v>
      </c>
      <c r="D981" t="inlineStr">
        <is>
          <t>KALMAR LÄN</t>
        </is>
      </c>
      <c r="E981" t="inlineStr">
        <is>
          <t>VÄSTERVIK</t>
        </is>
      </c>
      <c r="G981" t="n">
        <v>3.6</v>
      </c>
      <c r="H981" t="n">
        <v>0</v>
      </c>
      <c r="I981" t="n">
        <v>0</v>
      </c>
      <c r="J981" t="n">
        <v>0</v>
      </c>
      <c r="K981" t="n">
        <v>0</v>
      </c>
      <c r="L981" t="n">
        <v>0</v>
      </c>
      <c r="M981" t="n">
        <v>0</v>
      </c>
      <c r="N981" t="n">
        <v>0</v>
      </c>
      <c r="O981" t="n">
        <v>0</v>
      </c>
      <c r="P981" t="n">
        <v>0</v>
      </c>
      <c r="Q981" t="n">
        <v>0</v>
      </c>
      <c r="R981" s="2" t="inlineStr"/>
    </row>
    <row r="982" ht="15" customHeight="1">
      <c r="A982" t="inlineStr">
        <is>
          <t>A 401-2021</t>
        </is>
      </c>
      <c r="B982" s="1" t="n">
        <v>44201.62629629629</v>
      </c>
      <c r="C982" s="1" t="n">
        <v>45884</v>
      </c>
      <c r="D982" t="inlineStr">
        <is>
          <t>KALMAR LÄN</t>
        </is>
      </c>
      <c r="E982" t="inlineStr">
        <is>
          <t>VÄSTERVIK</t>
        </is>
      </c>
      <c r="G982" t="n">
        <v>0.8</v>
      </c>
      <c r="H982" t="n">
        <v>0</v>
      </c>
      <c r="I982" t="n">
        <v>0</v>
      </c>
      <c r="J982" t="n">
        <v>0</v>
      </c>
      <c r="K982" t="n">
        <v>0</v>
      </c>
      <c r="L982" t="n">
        <v>0</v>
      </c>
      <c r="M982" t="n">
        <v>0</v>
      </c>
      <c r="N982" t="n">
        <v>0</v>
      </c>
      <c r="O982" t="n">
        <v>0</v>
      </c>
      <c r="P982" t="n">
        <v>0</v>
      </c>
      <c r="Q982" t="n">
        <v>0</v>
      </c>
      <c r="R982" s="2" t="inlineStr"/>
    </row>
    <row r="983" ht="15" customHeight="1">
      <c r="A983" t="inlineStr">
        <is>
          <t>A 50538-2020</t>
        </is>
      </c>
      <c r="B983" s="1" t="n">
        <v>44110</v>
      </c>
      <c r="C983" s="1" t="n">
        <v>45884</v>
      </c>
      <c r="D983" t="inlineStr">
        <is>
          <t>KALMAR LÄN</t>
        </is>
      </c>
      <c r="E983" t="inlineStr">
        <is>
          <t>EMMABODA</t>
        </is>
      </c>
      <c r="G983" t="n">
        <v>4.1</v>
      </c>
      <c r="H983" t="n">
        <v>0</v>
      </c>
      <c r="I983" t="n">
        <v>0</v>
      </c>
      <c r="J983" t="n">
        <v>0</v>
      </c>
      <c r="K983" t="n">
        <v>0</v>
      </c>
      <c r="L983" t="n">
        <v>0</v>
      </c>
      <c r="M983" t="n">
        <v>0</v>
      </c>
      <c r="N983" t="n">
        <v>0</v>
      </c>
      <c r="O983" t="n">
        <v>0</v>
      </c>
      <c r="P983" t="n">
        <v>0</v>
      </c>
      <c r="Q983" t="n">
        <v>0</v>
      </c>
      <c r="R983" s="2" t="inlineStr"/>
    </row>
    <row r="984" ht="15" customHeight="1">
      <c r="A984" t="inlineStr">
        <is>
          <t>A 4505-2021</t>
        </is>
      </c>
      <c r="B984" s="1" t="n">
        <v>44224</v>
      </c>
      <c r="C984" s="1" t="n">
        <v>45884</v>
      </c>
      <c r="D984" t="inlineStr">
        <is>
          <t>KALMAR LÄN</t>
        </is>
      </c>
      <c r="E984" t="inlineStr">
        <is>
          <t>HÖGSBY</t>
        </is>
      </c>
      <c r="G984" t="n">
        <v>12.1</v>
      </c>
      <c r="H984" t="n">
        <v>0</v>
      </c>
      <c r="I984" t="n">
        <v>0</v>
      </c>
      <c r="J984" t="n">
        <v>0</v>
      </c>
      <c r="K984" t="n">
        <v>0</v>
      </c>
      <c r="L984" t="n">
        <v>0</v>
      </c>
      <c r="M984" t="n">
        <v>0</v>
      </c>
      <c r="N984" t="n">
        <v>0</v>
      </c>
      <c r="O984" t="n">
        <v>0</v>
      </c>
      <c r="P984" t="n">
        <v>0</v>
      </c>
      <c r="Q984" t="n">
        <v>0</v>
      </c>
      <c r="R984" s="2" t="inlineStr"/>
    </row>
    <row r="985" ht="15" customHeight="1">
      <c r="A985" t="inlineStr">
        <is>
          <t>A 42891-2021</t>
        </is>
      </c>
      <c r="B985" s="1" t="n">
        <v>44431</v>
      </c>
      <c r="C985" s="1" t="n">
        <v>45884</v>
      </c>
      <c r="D985" t="inlineStr">
        <is>
          <t>KALMAR LÄN</t>
        </is>
      </c>
      <c r="E985" t="inlineStr">
        <is>
          <t>EMMABODA</t>
        </is>
      </c>
      <c r="G985" t="n">
        <v>0.7</v>
      </c>
      <c r="H985" t="n">
        <v>0</v>
      </c>
      <c r="I985" t="n">
        <v>0</v>
      </c>
      <c r="J985" t="n">
        <v>0</v>
      </c>
      <c r="K985" t="n">
        <v>0</v>
      </c>
      <c r="L985" t="n">
        <v>0</v>
      </c>
      <c r="M985" t="n">
        <v>0</v>
      </c>
      <c r="N985" t="n">
        <v>0</v>
      </c>
      <c r="O985" t="n">
        <v>0</v>
      </c>
      <c r="P985" t="n">
        <v>0</v>
      </c>
      <c r="Q985" t="n">
        <v>0</v>
      </c>
      <c r="R985" s="2" t="inlineStr"/>
    </row>
    <row r="986" ht="15" customHeight="1">
      <c r="A986" t="inlineStr">
        <is>
          <t>A 40812-2020</t>
        </is>
      </c>
      <c r="B986" s="1" t="n">
        <v>44070</v>
      </c>
      <c r="C986" s="1" t="n">
        <v>45884</v>
      </c>
      <c r="D986" t="inlineStr">
        <is>
          <t>KALMAR LÄN</t>
        </is>
      </c>
      <c r="E986" t="inlineStr">
        <is>
          <t>VIMMERBY</t>
        </is>
      </c>
      <c r="G986" t="n">
        <v>4.9</v>
      </c>
      <c r="H986" t="n">
        <v>0</v>
      </c>
      <c r="I986" t="n">
        <v>0</v>
      </c>
      <c r="J986" t="n">
        <v>0</v>
      </c>
      <c r="K986" t="n">
        <v>0</v>
      </c>
      <c r="L986" t="n">
        <v>0</v>
      </c>
      <c r="M986" t="n">
        <v>0</v>
      </c>
      <c r="N986" t="n">
        <v>0</v>
      </c>
      <c r="O986" t="n">
        <v>0</v>
      </c>
      <c r="P986" t="n">
        <v>0</v>
      </c>
      <c r="Q986" t="n">
        <v>0</v>
      </c>
      <c r="R986" s="2" t="inlineStr"/>
    </row>
    <row r="987" ht="15" customHeight="1">
      <c r="A987" t="inlineStr">
        <is>
          <t>A 23097-2021</t>
        </is>
      </c>
      <c r="B987" s="1" t="n">
        <v>44330</v>
      </c>
      <c r="C987" s="1" t="n">
        <v>45884</v>
      </c>
      <c r="D987" t="inlineStr">
        <is>
          <t>KALMAR LÄN</t>
        </is>
      </c>
      <c r="E987" t="inlineStr">
        <is>
          <t>VÄSTERVIK</t>
        </is>
      </c>
      <c r="F987" t="inlineStr">
        <is>
          <t>Holmen skog AB</t>
        </is>
      </c>
      <c r="G987" t="n">
        <v>0.4</v>
      </c>
      <c r="H987" t="n">
        <v>0</v>
      </c>
      <c r="I987" t="n">
        <v>0</v>
      </c>
      <c r="J987" t="n">
        <v>0</v>
      </c>
      <c r="K987" t="n">
        <v>0</v>
      </c>
      <c r="L987" t="n">
        <v>0</v>
      </c>
      <c r="M987" t="n">
        <v>0</v>
      </c>
      <c r="N987" t="n">
        <v>0</v>
      </c>
      <c r="O987" t="n">
        <v>0</v>
      </c>
      <c r="P987" t="n">
        <v>0</v>
      </c>
      <c r="Q987" t="n">
        <v>0</v>
      </c>
      <c r="R987" s="2" t="inlineStr"/>
    </row>
    <row r="988" ht="15" customHeight="1">
      <c r="A988" t="inlineStr">
        <is>
          <t>A 33119-2021</t>
        </is>
      </c>
      <c r="B988" s="1" t="n">
        <v>44376.64215277778</v>
      </c>
      <c r="C988" s="1" t="n">
        <v>45884</v>
      </c>
      <c r="D988" t="inlineStr">
        <is>
          <t>KALMAR LÄN</t>
        </is>
      </c>
      <c r="E988" t="inlineStr">
        <is>
          <t>TORSÅS</t>
        </is>
      </c>
      <c r="G988" t="n">
        <v>3.6</v>
      </c>
      <c r="H988" t="n">
        <v>0</v>
      </c>
      <c r="I988" t="n">
        <v>0</v>
      </c>
      <c r="J988" t="n">
        <v>0</v>
      </c>
      <c r="K988" t="n">
        <v>0</v>
      </c>
      <c r="L988" t="n">
        <v>0</v>
      </c>
      <c r="M988" t="n">
        <v>0</v>
      </c>
      <c r="N988" t="n">
        <v>0</v>
      </c>
      <c r="O988" t="n">
        <v>0</v>
      </c>
      <c r="P988" t="n">
        <v>0</v>
      </c>
      <c r="Q988" t="n">
        <v>0</v>
      </c>
      <c r="R988" s="2" t="inlineStr"/>
    </row>
    <row r="989" ht="15" customHeight="1">
      <c r="A989" t="inlineStr">
        <is>
          <t>A 22637-2021</t>
        </is>
      </c>
      <c r="B989" s="1" t="n">
        <v>44327.47658564815</v>
      </c>
      <c r="C989" s="1" t="n">
        <v>45884</v>
      </c>
      <c r="D989" t="inlineStr">
        <is>
          <t>KALMAR LÄN</t>
        </is>
      </c>
      <c r="E989" t="inlineStr">
        <is>
          <t>VIMMERBY</t>
        </is>
      </c>
      <c r="G989" t="n">
        <v>0.5</v>
      </c>
      <c r="H989" t="n">
        <v>0</v>
      </c>
      <c r="I989" t="n">
        <v>0</v>
      </c>
      <c r="J989" t="n">
        <v>0</v>
      </c>
      <c r="K989" t="n">
        <v>0</v>
      </c>
      <c r="L989" t="n">
        <v>0</v>
      </c>
      <c r="M989" t="n">
        <v>0</v>
      </c>
      <c r="N989" t="n">
        <v>0</v>
      </c>
      <c r="O989" t="n">
        <v>0</v>
      </c>
      <c r="P989" t="n">
        <v>0</v>
      </c>
      <c r="Q989" t="n">
        <v>0</v>
      </c>
      <c r="R989" s="2" t="inlineStr"/>
    </row>
    <row r="990" ht="15" customHeight="1">
      <c r="A990" t="inlineStr">
        <is>
          <t>A 20392-2021</t>
        </is>
      </c>
      <c r="B990" s="1" t="n">
        <v>44315</v>
      </c>
      <c r="C990" s="1" t="n">
        <v>45884</v>
      </c>
      <c r="D990" t="inlineStr">
        <is>
          <t>KALMAR LÄN</t>
        </is>
      </c>
      <c r="E990" t="inlineStr">
        <is>
          <t>OSKARSHAMN</t>
        </is>
      </c>
      <c r="G990" t="n">
        <v>3.5</v>
      </c>
      <c r="H990" t="n">
        <v>0</v>
      </c>
      <c r="I990" t="n">
        <v>0</v>
      </c>
      <c r="J990" t="n">
        <v>0</v>
      </c>
      <c r="K990" t="n">
        <v>0</v>
      </c>
      <c r="L990" t="n">
        <v>0</v>
      </c>
      <c r="M990" t="n">
        <v>0</v>
      </c>
      <c r="N990" t="n">
        <v>0</v>
      </c>
      <c r="O990" t="n">
        <v>0</v>
      </c>
      <c r="P990" t="n">
        <v>0</v>
      </c>
      <c r="Q990" t="n">
        <v>0</v>
      </c>
      <c r="R990" s="2" t="inlineStr"/>
    </row>
    <row r="991" ht="15" customHeight="1">
      <c r="A991" t="inlineStr">
        <is>
          <t>A 1604-2021</t>
        </is>
      </c>
      <c r="B991" s="1" t="n">
        <v>44209</v>
      </c>
      <c r="C991" s="1" t="n">
        <v>45884</v>
      </c>
      <c r="D991" t="inlineStr">
        <is>
          <t>KALMAR LÄN</t>
        </is>
      </c>
      <c r="E991" t="inlineStr">
        <is>
          <t>KALMAR</t>
        </is>
      </c>
      <c r="G991" t="n">
        <v>1.9</v>
      </c>
      <c r="H991" t="n">
        <v>0</v>
      </c>
      <c r="I991" t="n">
        <v>0</v>
      </c>
      <c r="J991" t="n">
        <v>0</v>
      </c>
      <c r="K991" t="n">
        <v>0</v>
      </c>
      <c r="L991" t="n">
        <v>0</v>
      </c>
      <c r="M991" t="n">
        <v>0</v>
      </c>
      <c r="N991" t="n">
        <v>0</v>
      </c>
      <c r="O991" t="n">
        <v>0</v>
      </c>
      <c r="P991" t="n">
        <v>0</v>
      </c>
      <c r="Q991" t="n">
        <v>0</v>
      </c>
      <c r="R991" s="2" t="inlineStr"/>
    </row>
    <row r="992" ht="15" customHeight="1">
      <c r="A992" t="inlineStr">
        <is>
          <t>A 18928-2021</t>
        </is>
      </c>
      <c r="B992" s="1" t="n">
        <v>44308.39359953703</v>
      </c>
      <c r="C992" s="1" t="n">
        <v>45884</v>
      </c>
      <c r="D992" t="inlineStr">
        <is>
          <t>KALMAR LÄN</t>
        </is>
      </c>
      <c r="E992" t="inlineStr">
        <is>
          <t>OSKARSHAMN</t>
        </is>
      </c>
      <c r="G992" t="n">
        <v>3.6</v>
      </c>
      <c r="H992" t="n">
        <v>0</v>
      </c>
      <c r="I992" t="n">
        <v>0</v>
      </c>
      <c r="J992" t="n">
        <v>0</v>
      </c>
      <c r="K992" t="n">
        <v>0</v>
      </c>
      <c r="L992" t="n">
        <v>0</v>
      </c>
      <c r="M992" t="n">
        <v>0</v>
      </c>
      <c r="N992" t="n">
        <v>0</v>
      </c>
      <c r="O992" t="n">
        <v>0</v>
      </c>
      <c r="P992" t="n">
        <v>0</v>
      </c>
      <c r="Q992" t="n">
        <v>0</v>
      </c>
      <c r="R992" s="2" t="inlineStr"/>
    </row>
    <row r="993" ht="15" customHeight="1">
      <c r="A993" t="inlineStr">
        <is>
          <t>A 30243-2021</t>
        </is>
      </c>
      <c r="B993" s="1" t="n">
        <v>44363.76037037037</v>
      </c>
      <c r="C993" s="1" t="n">
        <v>45884</v>
      </c>
      <c r="D993" t="inlineStr">
        <is>
          <t>KALMAR LÄN</t>
        </is>
      </c>
      <c r="E993" t="inlineStr">
        <is>
          <t>NYBRO</t>
        </is>
      </c>
      <c r="G993" t="n">
        <v>0.9</v>
      </c>
      <c r="H993" t="n">
        <v>0</v>
      </c>
      <c r="I993" t="n">
        <v>0</v>
      </c>
      <c r="J993" t="n">
        <v>0</v>
      </c>
      <c r="K993" t="n">
        <v>0</v>
      </c>
      <c r="L993" t="n">
        <v>0</v>
      </c>
      <c r="M993" t="n">
        <v>0</v>
      </c>
      <c r="N993" t="n">
        <v>0</v>
      </c>
      <c r="O993" t="n">
        <v>0</v>
      </c>
      <c r="P993" t="n">
        <v>0</v>
      </c>
      <c r="Q993" t="n">
        <v>0</v>
      </c>
      <c r="R993" s="2" t="inlineStr"/>
    </row>
    <row r="994" ht="15" customHeight="1">
      <c r="A994" t="inlineStr">
        <is>
          <t>A 12288-2021</t>
        </is>
      </c>
      <c r="B994" s="1" t="n">
        <v>44267.32773148148</v>
      </c>
      <c r="C994" s="1" t="n">
        <v>45884</v>
      </c>
      <c r="D994" t="inlineStr">
        <is>
          <t>KALMAR LÄN</t>
        </is>
      </c>
      <c r="E994" t="inlineStr">
        <is>
          <t>NYBRO</t>
        </is>
      </c>
      <c r="G994" t="n">
        <v>1.3</v>
      </c>
      <c r="H994" t="n">
        <v>0</v>
      </c>
      <c r="I994" t="n">
        <v>0</v>
      </c>
      <c r="J994" t="n">
        <v>0</v>
      </c>
      <c r="K994" t="n">
        <v>0</v>
      </c>
      <c r="L994" t="n">
        <v>0</v>
      </c>
      <c r="M994" t="n">
        <v>0</v>
      </c>
      <c r="N994" t="n">
        <v>0</v>
      </c>
      <c r="O994" t="n">
        <v>0</v>
      </c>
      <c r="P994" t="n">
        <v>0</v>
      </c>
      <c r="Q994" t="n">
        <v>0</v>
      </c>
      <c r="R994" s="2" t="inlineStr"/>
    </row>
    <row r="995" ht="15" customHeight="1">
      <c r="A995" t="inlineStr">
        <is>
          <t>A 23995-2021</t>
        </is>
      </c>
      <c r="B995" s="1" t="n">
        <v>44335.88846064815</v>
      </c>
      <c r="C995" s="1" t="n">
        <v>45884</v>
      </c>
      <c r="D995" t="inlineStr">
        <is>
          <t>KALMAR LÄN</t>
        </is>
      </c>
      <c r="E995" t="inlineStr">
        <is>
          <t>VÄSTERVIK</t>
        </is>
      </c>
      <c r="F995" t="inlineStr">
        <is>
          <t>Sveaskog</t>
        </is>
      </c>
      <c r="G995" t="n">
        <v>1.2</v>
      </c>
      <c r="H995" t="n">
        <v>0</v>
      </c>
      <c r="I995" t="n">
        <v>0</v>
      </c>
      <c r="J995" t="n">
        <v>0</v>
      </c>
      <c r="K995" t="n">
        <v>0</v>
      </c>
      <c r="L995" t="n">
        <v>0</v>
      </c>
      <c r="M995" t="n">
        <v>0</v>
      </c>
      <c r="N995" t="n">
        <v>0</v>
      </c>
      <c r="O995" t="n">
        <v>0</v>
      </c>
      <c r="P995" t="n">
        <v>0</v>
      </c>
      <c r="Q995" t="n">
        <v>0</v>
      </c>
      <c r="R995" s="2" t="inlineStr"/>
    </row>
    <row r="996" ht="15" customHeight="1">
      <c r="A996" t="inlineStr">
        <is>
          <t>A 38446-2021</t>
        </is>
      </c>
      <c r="B996" s="1" t="n">
        <v>44407.34103009259</v>
      </c>
      <c r="C996" s="1" t="n">
        <v>45884</v>
      </c>
      <c r="D996" t="inlineStr">
        <is>
          <t>KALMAR LÄN</t>
        </is>
      </c>
      <c r="E996" t="inlineStr">
        <is>
          <t>NYBRO</t>
        </is>
      </c>
      <c r="G996" t="n">
        <v>1.7</v>
      </c>
      <c r="H996" t="n">
        <v>0</v>
      </c>
      <c r="I996" t="n">
        <v>0</v>
      </c>
      <c r="J996" t="n">
        <v>0</v>
      </c>
      <c r="K996" t="n">
        <v>0</v>
      </c>
      <c r="L996" t="n">
        <v>0</v>
      </c>
      <c r="M996" t="n">
        <v>0</v>
      </c>
      <c r="N996" t="n">
        <v>0</v>
      </c>
      <c r="O996" t="n">
        <v>0</v>
      </c>
      <c r="P996" t="n">
        <v>0</v>
      </c>
      <c r="Q996" t="n">
        <v>0</v>
      </c>
      <c r="R996" s="2" t="inlineStr"/>
    </row>
    <row r="997" ht="15" customHeight="1">
      <c r="A997" t="inlineStr">
        <is>
          <t>A 6445-2022</t>
        </is>
      </c>
      <c r="B997" s="1" t="n">
        <v>44601.34255787037</v>
      </c>
      <c r="C997" s="1" t="n">
        <v>45884</v>
      </c>
      <c r="D997" t="inlineStr">
        <is>
          <t>KALMAR LÄN</t>
        </is>
      </c>
      <c r="E997" t="inlineStr">
        <is>
          <t>EMMABODA</t>
        </is>
      </c>
      <c r="G997" t="n">
        <v>0.5</v>
      </c>
      <c r="H997" t="n">
        <v>0</v>
      </c>
      <c r="I997" t="n">
        <v>0</v>
      </c>
      <c r="J997" t="n">
        <v>0</v>
      </c>
      <c r="K997" t="n">
        <v>0</v>
      </c>
      <c r="L997" t="n">
        <v>0</v>
      </c>
      <c r="M997" t="n">
        <v>0</v>
      </c>
      <c r="N997" t="n">
        <v>0</v>
      </c>
      <c r="O997" t="n">
        <v>0</v>
      </c>
      <c r="P997" t="n">
        <v>0</v>
      </c>
      <c r="Q997" t="n">
        <v>0</v>
      </c>
      <c r="R997" s="2" t="inlineStr"/>
    </row>
    <row r="998" ht="15" customHeight="1">
      <c r="A998" t="inlineStr">
        <is>
          <t>A 53132-2020</t>
        </is>
      </c>
      <c r="B998" s="1" t="n">
        <v>44120</v>
      </c>
      <c r="C998" s="1" t="n">
        <v>45884</v>
      </c>
      <c r="D998" t="inlineStr">
        <is>
          <t>KALMAR LÄN</t>
        </is>
      </c>
      <c r="E998" t="inlineStr">
        <is>
          <t>MÖNSTERÅS</t>
        </is>
      </c>
      <c r="G998" t="n">
        <v>0.5</v>
      </c>
      <c r="H998" t="n">
        <v>0</v>
      </c>
      <c r="I998" t="n">
        <v>0</v>
      </c>
      <c r="J998" t="n">
        <v>0</v>
      </c>
      <c r="K998" t="n">
        <v>0</v>
      </c>
      <c r="L998" t="n">
        <v>0</v>
      </c>
      <c r="M998" t="n">
        <v>0</v>
      </c>
      <c r="N998" t="n">
        <v>0</v>
      </c>
      <c r="O998" t="n">
        <v>0</v>
      </c>
      <c r="P998" t="n">
        <v>0</v>
      </c>
      <c r="Q998" t="n">
        <v>0</v>
      </c>
      <c r="R998" s="2" t="inlineStr"/>
    </row>
    <row r="999" ht="15" customHeight="1">
      <c r="A999" t="inlineStr">
        <is>
          <t>A 53160-2020</t>
        </is>
      </c>
      <c r="B999" s="1" t="n">
        <v>44120</v>
      </c>
      <c r="C999" s="1" t="n">
        <v>45884</v>
      </c>
      <c r="D999" t="inlineStr">
        <is>
          <t>KALMAR LÄN</t>
        </is>
      </c>
      <c r="E999" t="inlineStr">
        <is>
          <t>NYBRO</t>
        </is>
      </c>
      <c r="G999" t="n">
        <v>0.8</v>
      </c>
      <c r="H999" t="n">
        <v>0</v>
      </c>
      <c r="I999" t="n">
        <v>0</v>
      </c>
      <c r="J999" t="n">
        <v>0</v>
      </c>
      <c r="K999" t="n">
        <v>0</v>
      </c>
      <c r="L999" t="n">
        <v>0</v>
      </c>
      <c r="M999" t="n">
        <v>0</v>
      </c>
      <c r="N999" t="n">
        <v>0</v>
      </c>
      <c r="O999" t="n">
        <v>0</v>
      </c>
      <c r="P999" t="n">
        <v>0</v>
      </c>
      <c r="Q999" t="n">
        <v>0</v>
      </c>
      <c r="R999" s="2" t="inlineStr"/>
    </row>
    <row r="1000" ht="15" customHeight="1">
      <c r="A1000" t="inlineStr">
        <is>
          <t>A 63045-2021</t>
        </is>
      </c>
      <c r="B1000" s="1" t="n">
        <v>44505.47354166667</v>
      </c>
      <c r="C1000" s="1" t="n">
        <v>45884</v>
      </c>
      <c r="D1000" t="inlineStr">
        <is>
          <t>KALMAR LÄN</t>
        </is>
      </c>
      <c r="E1000" t="inlineStr">
        <is>
          <t>KALMAR</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22665-2021</t>
        </is>
      </c>
      <c r="B1001" s="1" t="n">
        <v>44327</v>
      </c>
      <c r="C1001" s="1" t="n">
        <v>45884</v>
      </c>
      <c r="D1001" t="inlineStr">
        <is>
          <t>KALMAR LÄN</t>
        </is>
      </c>
      <c r="E1001" t="inlineStr">
        <is>
          <t>KALMAR</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48732-2021</t>
        </is>
      </c>
      <c r="B1002" s="1" t="n">
        <v>44452.60662037037</v>
      </c>
      <c r="C1002" s="1" t="n">
        <v>45884</v>
      </c>
      <c r="D1002" t="inlineStr">
        <is>
          <t>KALMAR LÄN</t>
        </is>
      </c>
      <c r="E1002" t="inlineStr">
        <is>
          <t>HULTSFRED</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14245-2021</t>
        </is>
      </c>
      <c r="B1003" s="1" t="n">
        <v>44278</v>
      </c>
      <c r="C1003" s="1" t="n">
        <v>45884</v>
      </c>
      <c r="D1003" t="inlineStr">
        <is>
          <t>KALMAR LÄN</t>
        </is>
      </c>
      <c r="E1003" t="inlineStr">
        <is>
          <t>NYBRO</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6298-2022</t>
        </is>
      </c>
      <c r="B1004" s="1" t="n">
        <v>44600</v>
      </c>
      <c r="C1004" s="1" t="n">
        <v>45884</v>
      </c>
      <c r="D1004" t="inlineStr">
        <is>
          <t>KALMAR LÄN</t>
        </is>
      </c>
      <c r="E1004" t="inlineStr">
        <is>
          <t>EMMABODA</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311-2021</t>
        </is>
      </c>
      <c r="B1005" s="1" t="n">
        <v>44201</v>
      </c>
      <c r="C1005" s="1" t="n">
        <v>45884</v>
      </c>
      <c r="D1005" t="inlineStr">
        <is>
          <t>KALMAR LÄN</t>
        </is>
      </c>
      <c r="E1005" t="inlineStr">
        <is>
          <t>NYBRO</t>
        </is>
      </c>
      <c r="G1005" t="n">
        <v>3.8</v>
      </c>
      <c r="H1005" t="n">
        <v>0</v>
      </c>
      <c r="I1005" t="n">
        <v>0</v>
      </c>
      <c r="J1005" t="n">
        <v>0</v>
      </c>
      <c r="K1005" t="n">
        <v>0</v>
      </c>
      <c r="L1005" t="n">
        <v>0</v>
      </c>
      <c r="M1005" t="n">
        <v>0</v>
      </c>
      <c r="N1005" t="n">
        <v>0</v>
      </c>
      <c r="O1005" t="n">
        <v>0</v>
      </c>
      <c r="P1005" t="n">
        <v>0</v>
      </c>
      <c r="Q1005" t="n">
        <v>0</v>
      </c>
      <c r="R1005" s="2" t="inlineStr"/>
    </row>
    <row r="1006" ht="15" customHeight="1">
      <c r="A1006" t="inlineStr">
        <is>
          <t>A 45954-2021</t>
        </is>
      </c>
      <c r="B1006" s="1" t="n">
        <v>44441</v>
      </c>
      <c r="C1006" s="1" t="n">
        <v>45884</v>
      </c>
      <c r="D1006" t="inlineStr">
        <is>
          <t>KALMAR LÄN</t>
        </is>
      </c>
      <c r="E1006" t="inlineStr">
        <is>
          <t>HÖGSBY</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63580-2020</t>
        </is>
      </c>
      <c r="B1007" s="1" t="n">
        <v>44165</v>
      </c>
      <c r="C1007" s="1" t="n">
        <v>45884</v>
      </c>
      <c r="D1007" t="inlineStr">
        <is>
          <t>KALMAR LÄN</t>
        </is>
      </c>
      <c r="E1007" t="inlineStr">
        <is>
          <t>OSKARSHAMN</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63688-2020</t>
        </is>
      </c>
      <c r="B1008" s="1" t="n">
        <v>44166.41269675926</v>
      </c>
      <c r="C1008" s="1" t="n">
        <v>45884</v>
      </c>
      <c r="D1008" t="inlineStr">
        <is>
          <t>KALMAR LÄN</t>
        </is>
      </c>
      <c r="E1008" t="inlineStr">
        <is>
          <t>OSKARSHAMN</t>
        </is>
      </c>
      <c r="G1008" t="n">
        <v>4.1</v>
      </c>
      <c r="H1008" t="n">
        <v>0</v>
      </c>
      <c r="I1008" t="n">
        <v>0</v>
      </c>
      <c r="J1008" t="n">
        <v>0</v>
      </c>
      <c r="K1008" t="n">
        <v>0</v>
      </c>
      <c r="L1008" t="n">
        <v>0</v>
      </c>
      <c r="M1008" t="n">
        <v>0</v>
      </c>
      <c r="N1008" t="n">
        <v>0</v>
      </c>
      <c r="O1008" t="n">
        <v>0</v>
      </c>
      <c r="P1008" t="n">
        <v>0</v>
      </c>
      <c r="Q1008" t="n">
        <v>0</v>
      </c>
      <c r="R1008" s="2" t="inlineStr"/>
    </row>
    <row r="1009" ht="15" customHeight="1">
      <c r="A1009" t="inlineStr">
        <is>
          <t>A 51471-2021</t>
        </is>
      </c>
      <c r="B1009" s="1" t="n">
        <v>44462</v>
      </c>
      <c r="C1009" s="1" t="n">
        <v>45884</v>
      </c>
      <c r="D1009" t="inlineStr">
        <is>
          <t>KALMAR LÄN</t>
        </is>
      </c>
      <c r="E1009" t="inlineStr">
        <is>
          <t>NYBRO</t>
        </is>
      </c>
      <c r="G1009" t="n">
        <v>4.2</v>
      </c>
      <c r="H1009" t="n">
        <v>0</v>
      </c>
      <c r="I1009" t="n">
        <v>0</v>
      </c>
      <c r="J1009" t="n">
        <v>0</v>
      </c>
      <c r="K1009" t="n">
        <v>0</v>
      </c>
      <c r="L1009" t="n">
        <v>0</v>
      </c>
      <c r="M1009" t="n">
        <v>0</v>
      </c>
      <c r="N1009" t="n">
        <v>0</v>
      </c>
      <c r="O1009" t="n">
        <v>0</v>
      </c>
      <c r="P1009" t="n">
        <v>0</v>
      </c>
      <c r="Q1009" t="n">
        <v>0</v>
      </c>
      <c r="R1009" s="2" t="inlineStr"/>
    </row>
    <row r="1010" ht="15" customHeight="1">
      <c r="A1010" t="inlineStr">
        <is>
          <t>A 55531-2021</t>
        </is>
      </c>
      <c r="B1010" s="1" t="n">
        <v>44475</v>
      </c>
      <c r="C1010" s="1" t="n">
        <v>45884</v>
      </c>
      <c r="D1010" t="inlineStr">
        <is>
          <t>KALMAR LÄN</t>
        </is>
      </c>
      <c r="E1010" t="inlineStr">
        <is>
          <t>KALMAR</t>
        </is>
      </c>
      <c r="F1010" t="inlineStr">
        <is>
          <t>Kommuner</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74475-2021</t>
        </is>
      </c>
      <c r="B1011" s="1" t="n">
        <v>44559</v>
      </c>
      <c r="C1011" s="1" t="n">
        <v>45884</v>
      </c>
      <c r="D1011" t="inlineStr">
        <is>
          <t>KALMAR LÄN</t>
        </is>
      </c>
      <c r="E1011" t="inlineStr">
        <is>
          <t>HÖGSBY</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38967-2020</t>
        </is>
      </c>
      <c r="B1012" s="1" t="n">
        <v>44062</v>
      </c>
      <c r="C1012" s="1" t="n">
        <v>45884</v>
      </c>
      <c r="D1012" t="inlineStr">
        <is>
          <t>KALMAR LÄN</t>
        </is>
      </c>
      <c r="E1012" t="inlineStr">
        <is>
          <t>MÖNSTERÅS</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38460-2021</t>
        </is>
      </c>
      <c r="B1013" s="1" t="n">
        <v>44407.35815972222</v>
      </c>
      <c r="C1013" s="1" t="n">
        <v>45884</v>
      </c>
      <c r="D1013" t="inlineStr">
        <is>
          <t>KALMAR LÄN</t>
        </is>
      </c>
      <c r="E1013" t="inlineStr">
        <is>
          <t>NYBRO</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13323-2021</t>
        </is>
      </c>
      <c r="B1014" s="1" t="n">
        <v>44273</v>
      </c>
      <c r="C1014" s="1" t="n">
        <v>45884</v>
      </c>
      <c r="D1014" t="inlineStr">
        <is>
          <t>KALMAR LÄN</t>
        </is>
      </c>
      <c r="E1014" t="inlineStr">
        <is>
          <t>KALMAR</t>
        </is>
      </c>
      <c r="G1014" t="n">
        <v>5</v>
      </c>
      <c r="H1014" t="n">
        <v>0</v>
      </c>
      <c r="I1014" t="n">
        <v>0</v>
      </c>
      <c r="J1014" t="n">
        <v>0</v>
      </c>
      <c r="K1014" t="n">
        <v>0</v>
      </c>
      <c r="L1014" t="n">
        <v>0</v>
      </c>
      <c r="M1014" t="n">
        <v>0</v>
      </c>
      <c r="N1014" t="n">
        <v>0</v>
      </c>
      <c r="O1014" t="n">
        <v>0</v>
      </c>
      <c r="P1014" t="n">
        <v>0</v>
      </c>
      <c r="Q1014" t="n">
        <v>0</v>
      </c>
      <c r="R1014" s="2" t="inlineStr"/>
    </row>
    <row r="1015" ht="15" customHeight="1">
      <c r="A1015" t="inlineStr">
        <is>
          <t>A 13325-2021</t>
        </is>
      </c>
      <c r="B1015" s="1" t="n">
        <v>44273</v>
      </c>
      <c r="C1015" s="1" t="n">
        <v>45884</v>
      </c>
      <c r="D1015" t="inlineStr">
        <is>
          <t>KALMAR LÄN</t>
        </is>
      </c>
      <c r="E1015" t="inlineStr">
        <is>
          <t>BORGHOLM</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1996-2021</t>
        </is>
      </c>
      <c r="B1016" s="1" t="n">
        <v>44210</v>
      </c>
      <c r="C1016" s="1" t="n">
        <v>45884</v>
      </c>
      <c r="D1016" t="inlineStr">
        <is>
          <t>KALMAR LÄN</t>
        </is>
      </c>
      <c r="E1016" t="inlineStr">
        <is>
          <t>TORSÅS</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47158-2022</t>
        </is>
      </c>
      <c r="B1017" s="1" t="n">
        <v>44852</v>
      </c>
      <c r="C1017" s="1" t="n">
        <v>45884</v>
      </c>
      <c r="D1017" t="inlineStr">
        <is>
          <t>KALMAR LÄN</t>
        </is>
      </c>
      <c r="E1017" t="inlineStr">
        <is>
          <t>KALMAR</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34154-2021</t>
        </is>
      </c>
      <c r="B1018" s="1" t="n">
        <v>44379</v>
      </c>
      <c r="C1018" s="1" t="n">
        <v>45884</v>
      </c>
      <c r="D1018" t="inlineStr">
        <is>
          <t>KALMAR LÄN</t>
        </is>
      </c>
      <c r="E1018" t="inlineStr">
        <is>
          <t>NYBRO</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50361-2021</t>
        </is>
      </c>
      <c r="B1019" s="1" t="n">
        <v>44459.44981481481</v>
      </c>
      <c r="C1019" s="1" t="n">
        <v>45884</v>
      </c>
      <c r="D1019" t="inlineStr">
        <is>
          <t>KALMAR LÄN</t>
        </is>
      </c>
      <c r="E1019" t="inlineStr">
        <is>
          <t>HÖGSBY</t>
        </is>
      </c>
      <c r="F1019" t="inlineStr">
        <is>
          <t>Sveaskog</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9654-2021</t>
        </is>
      </c>
      <c r="B1020" s="1" t="n">
        <v>44252</v>
      </c>
      <c r="C1020" s="1" t="n">
        <v>45884</v>
      </c>
      <c r="D1020" t="inlineStr">
        <is>
          <t>KALMAR LÄN</t>
        </is>
      </c>
      <c r="E1020" t="inlineStr">
        <is>
          <t>HULTSFRED</t>
        </is>
      </c>
      <c r="F1020" t="inlineStr">
        <is>
          <t>Sveaskog</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299-2022</t>
        </is>
      </c>
      <c r="B1021" s="1" t="n">
        <v>44564</v>
      </c>
      <c r="C1021" s="1" t="n">
        <v>45884</v>
      </c>
      <c r="D1021" t="inlineStr">
        <is>
          <t>KALMAR LÄN</t>
        </is>
      </c>
      <c r="E1021" t="inlineStr">
        <is>
          <t>HULTSFRED</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63926-2021</t>
        </is>
      </c>
      <c r="B1022" s="1" t="n">
        <v>44509</v>
      </c>
      <c r="C1022" s="1" t="n">
        <v>45884</v>
      </c>
      <c r="D1022" t="inlineStr">
        <is>
          <t>KALMAR LÄN</t>
        </is>
      </c>
      <c r="E1022" t="inlineStr">
        <is>
          <t>VIMMERBY</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37550-2021</t>
        </is>
      </c>
      <c r="B1023" s="1" t="n">
        <v>44399.49815972222</v>
      </c>
      <c r="C1023" s="1" t="n">
        <v>45884</v>
      </c>
      <c r="D1023" t="inlineStr">
        <is>
          <t>KALMAR LÄN</t>
        </is>
      </c>
      <c r="E1023" t="inlineStr">
        <is>
          <t>VÄSTERVIK</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47273-2020</t>
        </is>
      </c>
      <c r="B1024" s="1" t="n">
        <v>44092</v>
      </c>
      <c r="C1024" s="1" t="n">
        <v>45884</v>
      </c>
      <c r="D1024" t="inlineStr">
        <is>
          <t>KALMAR LÄN</t>
        </is>
      </c>
      <c r="E1024" t="inlineStr">
        <is>
          <t>HULTSFRED</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47352-2020</t>
        </is>
      </c>
      <c r="B1025" s="1" t="n">
        <v>44097</v>
      </c>
      <c r="C1025" s="1" t="n">
        <v>45884</v>
      </c>
      <c r="D1025" t="inlineStr">
        <is>
          <t>KALMAR LÄN</t>
        </is>
      </c>
      <c r="E1025" t="inlineStr">
        <is>
          <t>EMMABODA</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4567-2021</t>
        </is>
      </c>
      <c r="B1026" s="1" t="n">
        <v>44224</v>
      </c>
      <c r="C1026" s="1" t="n">
        <v>45884</v>
      </c>
      <c r="D1026" t="inlineStr">
        <is>
          <t>KALMAR LÄN</t>
        </is>
      </c>
      <c r="E1026" t="inlineStr">
        <is>
          <t>MÖNSTERÅS</t>
        </is>
      </c>
      <c r="G1026" t="n">
        <v>7.5</v>
      </c>
      <c r="H1026" t="n">
        <v>0</v>
      </c>
      <c r="I1026" t="n">
        <v>0</v>
      </c>
      <c r="J1026" t="n">
        <v>0</v>
      </c>
      <c r="K1026" t="n">
        <v>0</v>
      </c>
      <c r="L1026" t="n">
        <v>0</v>
      </c>
      <c r="M1026" t="n">
        <v>0</v>
      </c>
      <c r="N1026" t="n">
        <v>0</v>
      </c>
      <c r="O1026" t="n">
        <v>0</v>
      </c>
      <c r="P1026" t="n">
        <v>0</v>
      </c>
      <c r="Q1026" t="n">
        <v>0</v>
      </c>
      <c r="R1026" s="2" t="inlineStr"/>
    </row>
    <row r="1027" ht="15" customHeight="1">
      <c r="A1027" t="inlineStr">
        <is>
          <t>A 7843-2022</t>
        </is>
      </c>
      <c r="B1027" s="1" t="n">
        <v>44608</v>
      </c>
      <c r="C1027" s="1" t="n">
        <v>45884</v>
      </c>
      <c r="D1027" t="inlineStr">
        <is>
          <t>KALMAR LÄN</t>
        </is>
      </c>
      <c r="E1027" t="inlineStr">
        <is>
          <t>HULTSFRED</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38348-2021</t>
        </is>
      </c>
      <c r="B1028" s="1" t="n">
        <v>44406</v>
      </c>
      <c r="C1028" s="1" t="n">
        <v>45884</v>
      </c>
      <c r="D1028" t="inlineStr">
        <is>
          <t>KALMAR LÄN</t>
        </is>
      </c>
      <c r="E1028" t="inlineStr">
        <is>
          <t>VIMMERBY</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11396-2022</t>
        </is>
      </c>
      <c r="B1029" s="1" t="n">
        <v>44630</v>
      </c>
      <c r="C1029" s="1" t="n">
        <v>45884</v>
      </c>
      <c r="D1029" t="inlineStr">
        <is>
          <t>KALMAR LÄN</t>
        </is>
      </c>
      <c r="E1029" t="inlineStr">
        <is>
          <t>NYBRO</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18113-2022</t>
        </is>
      </c>
      <c r="B1030" s="1" t="n">
        <v>44684</v>
      </c>
      <c r="C1030" s="1" t="n">
        <v>45884</v>
      </c>
      <c r="D1030" t="inlineStr">
        <is>
          <t>KALMAR LÄN</t>
        </is>
      </c>
      <c r="E1030" t="inlineStr">
        <is>
          <t>KALMAR</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7173-2022</t>
        </is>
      </c>
      <c r="B1031" s="1" t="n">
        <v>44604.7769212963</v>
      </c>
      <c r="C1031" s="1" t="n">
        <v>45884</v>
      </c>
      <c r="D1031" t="inlineStr">
        <is>
          <t>KALMAR LÄN</t>
        </is>
      </c>
      <c r="E1031" t="inlineStr">
        <is>
          <t>MÖNSTERÅS</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34927-2021</t>
        </is>
      </c>
      <c r="B1032" s="1" t="n">
        <v>44383.5654050926</v>
      </c>
      <c r="C1032" s="1" t="n">
        <v>45884</v>
      </c>
      <c r="D1032" t="inlineStr">
        <is>
          <t>KALMAR LÄN</t>
        </is>
      </c>
      <c r="E1032" t="inlineStr">
        <is>
          <t>EMMABODA</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8997-2021</t>
        </is>
      </c>
      <c r="B1033" s="1" t="n">
        <v>44249</v>
      </c>
      <c r="C1033" s="1" t="n">
        <v>45884</v>
      </c>
      <c r="D1033" t="inlineStr">
        <is>
          <t>KALMAR LÄN</t>
        </is>
      </c>
      <c r="E1033" t="inlineStr">
        <is>
          <t>HULTSFRED</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8184-2021</t>
        </is>
      </c>
      <c r="B1034" s="1" t="n">
        <v>44244.43886574074</v>
      </c>
      <c r="C1034" s="1" t="n">
        <v>45884</v>
      </c>
      <c r="D1034" t="inlineStr">
        <is>
          <t>KALMAR LÄN</t>
        </is>
      </c>
      <c r="E1034" t="inlineStr">
        <is>
          <t>TORSÅS</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20688-2021</t>
        </is>
      </c>
      <c r="B1035" s="1" t="n">
        <v>44316.47613425926</v>
      </c>
      <c r="C1035" s="1" t="n">
        <v>45884</v>
      </c>
      <c r="D1035" t="inlineStr">
        <is>
          <t>KALMAR LÄN</t>
        </is>
      </c>
      <c r="E1035" t="inlineStr">
        <is>
          <t>TORSÅS</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9615-2021</t>
        </is>
      </c>
      <c r="B1036" s="1" t="n">
        <v>44251</v>
      </c>
      <c r="C1036" s="1" t="n">
        <v>45884</v>
      </c>
      <c r="D1036" t="inlineStr">
        <is>
          <t>KALMAR LÄN</t>
        </is>
      </c>
      <c r="E1036" t="inlineStr">
        <is>
          <t>EMMABODA</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40086-2021</t>
        </is>
      </c>
      <c r="B1037" s="1" t="n">
        <v>44418.56681712963</v>
      </c>
      <c r="C1037" s="1" t="n">
        <v>45884</v>
      </c>
      <c r="D1037" t="inlineStr">
        <is>
          <t>KALMAR LÄN</t>
        </is>
      </c>
      <c r="E1037" t="inlineStr">
        <is>
          <t>NYBRO</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14791-2021</t>
        </is>
      </c>
      <c r="B1038" s="1" t="n">
        <v>44280.65521990741</v>
      </c>
      <c r="C1038" s="1" t="n">
        <v>45884</v>
      </c>
      <c r="D1038" t="inlineStr">
        <is>
          <t>KALMAR LÄN</t>
        </is>
      </c>
      <c r="E1038" t="inlineStr">
        <is>
          <t>EMMABODA</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8578-2021</t>
        </is>
      </c>
      <c r="B1039" s="1" t="n">
        <v>44245</v>
      </c>
      <c r="C1039" s="1" t="n">
        <v>45884</v>
      </c>
      <c r="D1039" t="inlineStr">
        <is>
          <t>KALMAR LÄN</t>
        </is>
      </c>
      <c r="E1039" t="inlineStr">
        <is>
          <t>OSKARSHAMN</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12096-2021</t>
        </is>
      </c>
      <c r="B1040" s="1" t="n">
        <v>44266.51686342592</v>
      </c>
      <c r="C1040" s="1" t="n">
        <v>45884</v>
      </c>
      <c r="D1040" t="inlineStr">
        <is>
          <t>KALMAR LÄN</t>
        </is>
      </c>
      <c r="E1040" t="inlineStr">
        <is>
          <t>TORSÅS</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45253-2020</t>
        </is>
      </c>
      <c r="B1041" s="1" t="n">
        <v>44089</v>
      </c>
      <c r="C1041" s="1" t="n">
        <v>45884</v>
      </c>
      <c r="D1041" t="inlineStr">
        <is>
          <t>KALMAR LÄN</t>
        </is>
      </c>
      <c r="E1041" t="inlineStr">
        <is>
          <t>HÖGSBY</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45276-2020</t>
        </is>
      </c>
      <c r="B1042" s="1" t="n">
        <v>44089</v>
      </c>
      <c r="C1042" s="1" t="n">
        <v>45884</v>
      </c>
      <c r="D1042" t="inlineStr">
        <is>
          <t>KALMAR LÄN</t>
        </is>
      </c>
      <c r="E1042" t="inlineStr">
        <is>
          <t>NYBRO</t>
        </is>
      </c>
      <c r="G1042" t="n">
        <v>5.4</v>
      </c>
      <c r="H1042" t="n">
        <v>0</v>
      </c>
      <c r="I1042" t="n">
        <v>0</v>
      </c>
      <c r="J1042" t="n">
        <v>0</v>
      </c>
      <c r="K1042" t="n">
        <v>0</v>
      </c>
      <c r="L1042" t="n">
        <v>0</v>
      </c>
      <c r="M1042" t="n">
        <v>0</v>
      </c>
      <c r="N1042" t="n">
        <v>0</v>
      </c>
      <c r="O1042" t="n">
        <v>0</v>
      </c>
      <c r="P1042" t="n">
        <v>0</v>
      </c>
      <c r="Q1042" t="n">
        <v>0</v>
      </c>
      <c r="R1042" s="2" t="inlineStr"/>
    </row>
    <row r="1043" ht="15" customHeight="1">
      <c r="A1043" t="inlineStr">
        <is>
          <t>A 63187-2021</t>
        </is>
      </c>
      <c r="B1043" s="1" t="n">
        <v>44507</v>
      </c>
      <c r="C1043" s="1" t="n">
        <v>45884</v>
      </c>
      <c r="D1043" t="inlineStr">
        <is>
          <t>KALMAR LÄN</t>
        </is>
      </c>
      <c r="E1043" t="inlineStr">
        <is>
          <t>EMMABODA</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63189-2021</t>
        </is>
      </c>
      <c r="B1044" s="1" t="n">
        <v>44507.56921296296</v>
      </c>
      <c r="C1044" s="1" t="n">
        <v>45884</v>
      </c>
      <c r="D1044" t="inlineStr">
        <is>
          <t>KALMAR LÄN</t>
        </is>
      </c>
      <c r="E1044" t="inlineStr">
        <is>
          <t>EMMABODA</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63193-2021</t>
        </is>
      </c>
      <c r="B1045" s="1" t="n">
        <v>44507</v>
      </c>
      <c r="C1045" s="1" t="n">
        <v>45884</v>
      </c>
      <c r="D1045" t="inlineStr">
        <is>
          <t>KALMAR LÄN</t>
        </is>
      </c>
      <c r="E1045" t="inlineStr">
        <is>
          <t>EMMABODA</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63194-2021</t>
        </is>
      </c>
      <c r="B1046" s="1" t="n">
        <v>44507</v>
      </c>
      <c r="C1046" s="1" t="n">
        <v>45884</v>
      </c>
      <c r="D1046" t="inlineStr">
        <is>
          <t>KALMAR LÄN</t>
        </is>
      </c>
      <c r="E1046" t="inlineStr">
        <is>
          <t>EMMABODA</t>
        </is>
      </c>
      <c r="G1046" t="n">
        <v>5.2</v>
      </c>
      <c r="H1046" t="n">
        <v>0</v>
      </c>
      <c r="I1046" t="n">
        <v>0</v>
      </c>
      <c r="J1046" t="n">
        <v>0</v>
      </c>
      <c r="K1046" t="n">
        <v>0</v>
      </c>
      <c r="L1046" t="n">
        <v>0</v>
      </c>
      <c r="M1046" t="n">
        <v>0</v>
      </c>
      <c r="N1046" t="n">
        <v>0</v>
      </c>
      <c r="O1046" t="n">
        <v>0</v>
      </c>
      <c r="P1046" t="n">
        <v>0</v>
      </c>
      <c r="Q1046" t="n">
        <v>0</v>
      </c>
      <c r="R1046" s="2" t="inlineStr"/>
    </row>
    <row r="1047" ht="15" customHeight="1">
      <c r="A1047" t="inlineStr">
        <is>
          <t>A 5689-2021</t>
        </is>
      </c>
      <c r="B1047" s="1" t="n">
        <v>44230.58883101852</v>
      </c>
      <c r="C1047" s="1" t="n">
        <v>45884</v>
      </c>
      <c r="D1047" t="inlineStr">
        <is>
          <t>KALMAR LÄN</t>
        </is>
      </c>
      <c r="E1047" t="inlineStr">
        <is>
          <t>VIMMERBY</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6672-2021</t>
        </is>
      </c>
      <c r="B1048" s="1" t="n">
        <v>44236</v>
      </c>
      <c r="C1048" s="1" t="n">
        <v>45884</v>
      </c>
      <c r="D1048" t="inlineStr">
        <is>
          <t>KALMAR LÄN</t>
        </is>
      </c>
      <c r="E1048" t="inlineStr">
        <is>
          <t>NYBRO</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21109-2021</t>
        </is>
      </c>
      <c r="B1049" s="1" t="n">
        <v>44320</v>
      </c>
      <c r="C1049" s="1" t="n">
        <v>45884</v>
      </c>
      <c r="D1049" t="inlineStr">
        <is>
          <t>KALMAR LÄN</t>
        </is>
      </c>
      <c r="E1049" t="inlineStr">
        <is>
          <t>NYBRO</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16902-2022</t>
        </is>
      </c>
      <c r="B1050" s="1" t="n">
        <v>44676</v>
      </c>
      <c r="C1050" s="1" t="n">
        <v>45884</v>
      </c>
      <c r="D1050" t="inlineStr">
        <is>
          <t>KALMAR LÄN</t>
        </is>
      </c>
      <c r="E1050" t="inlineStr">
        <is>
          <t>HULTSFRED</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13123-2021</t>
        </is>
      </c>
      <c r="B1051" s="1" t="n">
        <v>44272.44626157408</v>
      </c>
      <c r="C1051" s="1" t="n">
        <v>45884</v>
      </c>
      <c r="D1051" t="inlineStr">
        <is>
          <t>KALMAR LÄN</t>
        </is>
      </c>
      <c r="E1051" t="inlineStr">
        <is>
          <t>OSKARSHAMN</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17085-2021</t>
        </is>
      </c>
      <c r="B1052" s="1" t="n">
        <v>44297</v>
      </c>
      <c r="C1052" s="1" t="n">
        <v>45884</v>
      </c>
      <c r="D1052" t="inlineStr">
        <is>
          <t>KALMAR LÄN</t>
        </is>
      </c>
      <c r="E1052" t="inlineStr">
        <is>
          <t>EMMABODA</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35392-2021</t>
        </is>
      </c>
      <c r="B1053" s="1" t="n">
        <v>44385.36721064815</v>
      </c>
      <c r="C1053" s="1" t="n">
        <v>45884</v>
      </c>
      <c r="D1053" t="inlineStr">
        <is>
          <t>KALMAR LÄN</t>
        </is>
      </c>
      <c r="E1053" t="inlineStr">
        <is>
          <t>HULTSFRED</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39565-2021</t>
        </is>
      </c>
      <c r="B1054" s="1" t="n">
        <v>44416</v>
      </c>
      <c r="C1054" s="1" t="n">
        <v>45884</v>
      </c>
      <c r="D1054" t="inlineStr">
        <is>
          <t>KALMAR LÄN</t>
        </is>
      </c>
      <c r="E1054" t="inlineStr">
        <is>
          <t>EMMABODA</t>
        </is>
      </c>
      <c r="G1054" t="n">
        <v>6</v>
      </c>
      <c r="H1054" t="n">
        <v>0</v>
      </c>
      <c r="I1054" t="n">
        <v>0</v>
      </c>
      <c r="J1054" t="n">
        <v>0</v>
      </c>
      <c r="K1054" t="n">
        <v>0</v>
      </c>
      <c r="L1054" t="n">
        <v>0</v>
      </c>
      <c r="M1054" t="n">
        <v>0</v>
      </c>
      <c r="N1054" t="n">
        <v>0</v>
      </c>
      <c r="O1054" t="n">
        <v>0</v>
      </c>
      <c r="P1054" t="n">
        <v>0</v>
      </c>
      <c r="Q1054" t="n">
        <v>0</v>
      </c>
      <c r="R1054" s="2" t="inlineStr"/>
    </row>
    <row r="1055" ht="15" customHeight="1">
      <c r="A1055" t="inlineStr">
        <is>
          <t>A 39567-2021</t>
        </is>
      </c>
      <c r="B1055" s="1" t="n">
        <v>44416</v>
      </c>
      <c r="C1055" s="1" t="n">
        <v>45884</v>
      </c>
      <c r="D1055" t="inlineStr">
        <is>
          <t>KALMAR LÄN</t>
        </is>
      </c>
      <c r="E1055" t="inlineStr">
        <is>
          <t>EMMABODA</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25426-2021</t>
        </is>
      </c>
      <c r="B1056" s="1" t="n">
        <v>44342.65030092592</v>
      </c>
      <c r="C1056" s="1" t="n">
        <v>45884</v>
      </c>
      <c r="D1056" t="inlineStr">
        <is>
          <t>KALMAR LÄN</t>
        </is>
      </c>
      <c r="E1056" t="inlineStr">
        <is>
          <t>NYBRO</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56368-2021</t>
        </is>
      </c>
      <c r="B1057" s="1" t="n">
        <v>44480</v>
      </c>
      <c r="C1057" s="1" t="n">
        <v>45884</v>
      </c>
      <c r="D1057" t="inlineStr">
        <is>
          <t>KALMAR LÄN</t>
        </is>
      </c>
      <c r="E1057" t="inlineStr">
        <is>
          <t>HULTSFRED</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56378-2021</t>
        </is>
      </c>
      <c r="B1058" s="1" t="n">
        <v>44480</v>
      </c>
      <c r="C1058" s="1" t="n">
        <v>45884</v>
      </c>
      <c r="D1058" t="inlineStr">
        <is>
          <t>KALMAR LÄN</t>
        </is>
      </c>
      <c r="E1058" t="inlineStr">
        <is>
          <t>VIMMERBY</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18981-2021</t>
        </is>
      </c>
      <c r="B1059" s="1" t="n">
        <v>44308</v>
      </c>
      <c r="C1059" s="1" t="n">
        <v>45884</v>
      </c>
      <c r="D1059" t="inlineStr">
        <is>
          <t>KALMAR LÄN</t>
        </is>
      </c>
      <c r="E1059" t="inlineStr">
        <is>
          <t>TORSÅS</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50447-2020</t>
        </is>
      </c>
      <c r="B1060" s="1" t="n">
        <v>44110</v>
      </c>
      <c r="C1060" s="1" t="n">
        <v>45884</v>
      </c>
      <c r="D1060" t="inlineStr">
        <is>
          <t>KALMAR LÄN</t>
        </is>
      </c>
      <c r="E1060" t="inlineStr">
        <is>
          <t>TORSÅS</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50451-2020</t>
        </is>
      </c>
      <c r="B1061" s="1" t="n">
        <v>44110</v>
      </c>
      <c r="C1061" s="1" t="n">
        <v>45884</v>
      </c>
      <c r="D1061" t="inlineStr">
        <is>
          <t>KALMAR LÄN</t>
        </is>
      </c>
      <c r="E1061" t="inlineStr">
        <is>
          <t>HULTSFRED</t>
        </is>
      </c>
      <c r="F1061" t="inlineStr">
        <is>
          <t>Sveaskog</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4714-2021</t>
        </is>
      </c>
      <c r="B1062" s="1" t="n">
        <v>44225</v>
      </c>
      <c r="C1062" s="1" t="n">
        <v>45884</v>
      </c>
      <c r="D1062" t="inlineStr">
        <is>
          <t>KALMAR LÄN</t>
        </is>
      </c>
      <c r="E1062" t="inlineStr">
        <is>
          <t>NYBRO</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9801-2022</t>
        </is>
      </c>
      <c r="B1063" s="1" t="n">
        <v>44620</v>
      </c>
      <c r="C1063" s="1" t="n">
        <v>45884</v>
      </c>
      <c r="D1063" t="inlineStr">
        <is>
          <t>KALMAR LÄN</t>
        </is>
      </c>
      <c r="E1063" t="inlineStr">
        <is>
          <t>OSKARSHAMN</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2348-2021</t>
        </is>
      </c>
      <c r="B1064" s="1" t="n">
        <v>44214</v>
      </c>
      <c r="C1064" s="1" t="n">
        <v>45884</v>
      </c>
      <c r="D1064" t="inlineStr">
        <is>
          <t>KALMAR LÄN</t>
        </is>
      </c>
      <c r="E1064" t="inlineStr">
        <is>
          <t>MÖNSTERÅS</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43774-2021</t>
        </is>
      </c>
      <c r="B1065" s="1" t="n">
        <v>44433</v>
      </c>
      <c r="C1065" s="1" t="n">
        <v>45884</v>
      </c>
      <c r="D1065" t="inlineStr">
        <is>
          <t>KALMAR LÄN</t>
        </is>
      </c>
      <c r="E1065" t="inlineStr">
        <is>
          <t>MÖNSTERÅS</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56421-2020</t>
        </is>
      </c>
      <c r="B1066" s="1" t="n">
        <v>44137</v>
      </c>
      <c r="C1066" s="1" t="n">
        <v>45884</v>
      </c>
      <c r="D1066" t="inlineStr">
        <is>
          <t>KALMAR LÄN</t>
        </is>
      </c>
      <c r="E1066" t="inlineStr">
        <is>
          <t>BORGHOLM</t>
        </is>
      </c>
      <c r="F1066" t="inlineStr">
        <is>
          <t>Sveaskog</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38639-2020</t>
        </is>
      </c>
      <c r="B1067" s="1" t="n">
        <v>44061</v>
      </c>
      <c r="C1067" s="1" t="n">
        <v>45884</v>
      </c>
      <c r="D1067" t="inlineStr">
        <is>
          <t>KALMAR LÄN</t>
        </is>
      </c>
      <c r="E1067" t="inlineStr">
        <is>
          <t>HULTSFRED</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39300-2020</t>
        </is>
      </c>
      <c r="B1068" s="1" t="n">
        <v>44063</v>
      </c>
      <c r="C1068" s="1" t="n">
        <v>45884</v>
      </c>
      <c r="D1068" t="inlineStr">
        <is>
          <t>KALMAR LÄN</t>
        </is>
      </c>
      <c r="E1068" t="inlineStr">
        <is>
          <t>VIMMERBY</t>
        </is>
      </c>
      <c r="G1068" t="n">
        <v>5.1</v>
      </c>
      <c r="H1068" t="n">
        <v>0</v>
      </c>
      <c r="I1068" t="n">
        <v>0</v>
      </c>
      <c r="J1068" t="n">
        <v>0</v>
      </c>
      <c r="K1068" t="n">
        <v>0</v>
      </c>
      <c r="L1068" t="n">
        <v>0</v>
      </c>
      <c r="M1068" t="n">
        <v>0</v>
      </c>
      <c r="N1068" t="n">
        <v>0</v>
      </c>
      <c r="O1068" t="n">
        <v>0</v>
      </c>
      <c r="P1068" t="n">
        <v>0</v>
      </c>
      <c r="Q1068" t="n">
        <v>0</v>
      </c>
      <c r="R1068" s="2" t="inlineStr"/>
    </row>
    <row r="1069" ht="15" customHeight="1">
      <c r="A1069" t="inlineStr">
        <is>
          <t>A 17065-2021</t>
        </is>
      </c>
      <c r="B1069" s="1" t="n">
        <v>44297</v>
      </c>
      <c r="C1069" s="1" t="n">
        <v>45884</v>
      </c>
      <c r="D1069" t="inlineStr">
        <is>
          <t>KALMAR LÄN</t>
        </is>
      </c>
      <c r="E1069" t="inlineStr">
        <is>
          <t>NYBRO</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40095-2020</t>
        </is>
      </c>
      <c r="B1070" s="1" t="n">
        <v>44068</v>
      </c>
      <c r="C1070" s="1" t="n">
        <v>45884</v>
      </c>
      <c r="D1070" t="inlineStr">
        <is>
          <t>KALMAR LÄN</t>
        </is>
      </c>
      <c r="E1070" t="inlineStr">
        <is>
          <t>HULTSFRED</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46312-2021</t>
        </is>
      </c>
      <c r="B1071" s="1" t="n">
        <v>44442</v>
      </c>
      <c r="C1071" s="1" t="n">
        <v>45884</v>
      </c>
      <c r="D1071" t="inlineStr">
        <is>
          <t>KALMAR LÄN</t>
        </is>
      </c>
      <c r="E1071" t="inlineStr">
        <is>
          <t>EMMABODA</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32777-2021</t>
        </is>
      </c>
      <c r="B1072" s="1" t="n">
        <v>44375</v>
      </c>
      <c r="C1072" s="1" t="n">
        <v>45884</v>
      </c>
      <c r="D1072" t="inlineStr">
        <is>
          <t>KALMAR LÄN</t>
        </is>
      </c>
      <c r="E1072" t="inlineStr">
        <is>
          <t>HULTSFRED</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39865-2020</t>
        </is>
      </c>
      <c r="B1073" s="1" t="n">
        <v>44063</v>
      </c>
      <c r="C1073" s="1" t="n">
        <v>45884</v>
      </c>
      <c r="D1073" t="inlineStr">
        <is>
          <t>KALMAR LÄN</t>
        </is>
      </c>
      <c r="E1073" t="inlineStr">
        <is>
          <t>HULTSFRED</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7515-2021</t>
        </is>
      </c>
      <c r="B1074" s="1" t="n">
        <v>44238</v>
      </c>
      <c r="C1074" s="1" t="n">
        <v>45884</v>
      </c>
      <c r="D1074" t="inlineStr">
        <is>
          <t>KALMAR LÄN</t>
        </is>
      </c>
      <c r="E1074" t="inlineStr">
        <is>
          <t>VIMMERBY</t>
        </is>
      </c>
      <c r="G1074" t="n">
        <v>20.9</v>
      </c>
      <c r="H1074" t="n">
        <v>0</v>
      </c>
      <c r="I1074" t="n">
        <v>0</v>
      </c>
      <c r="J1074" t="n">
        <v>0</v>
      </c>
      <c r="K1074" t="n">
        <v>0</v>
      </c>
      <c r="L1074" t="n">
        <v>0</v>
      </c>
      <c r="M1074" t="n">
        <v>0</v>
      </c>
      <c r="N1074" t="n">
        <v>0</v>
      </c>
      <c r="O1074" t="n">
        <v>0</v>
      </c>
      <c r="P1074" t="n">
        <v>0</v>
      </c>
      <c r="Q1074" t="n">
        <v>0</v>
      </c>
      <c r="R1074" s="2" t="inlineStr"/>
    </row>
    <row r="1075" ht="15" customHeight="1">
      <c r="A1075" t="inlineStr">
        <is>
          <t>A 56321-2020</t>
        </is>
      </c>
      <c r="B1075" s="1" t="n">
        <v>44134</v>
      </c>
      <c r="C1075" s="1" t="n">
        <v>45884</v>
      </c>
      <c r="D1075" t="inlineStr">
        <is>
          <t>KALMAR LÄN</t>
        </is>
      </c>
      <c r="E1075" t="inlineStr">
        <is>
          <t>HULTSFRED</t>
        </is>
      </c>
      <c r="G1075" t="n">
        <v>4.4</v>
      </c>
      <c r="H1075" t="n">
        <v>0</v>
      </c>
      <c r="I1075" t="n">
        <v>0</v>
      </c>
      <c r="J1075" t="n">
        <v>0</v>
      </c>
      <c r="K1075" t="n">
        <v>0</v>
      </c>
      <c r="L1075" t="n">
        <v>0</v>
      </c>
      <c r="M1075" t="n">
        <v>0</v>
      </c>
      <c r="N1075" t="n">
        <v>0</v>
      </c>
      <c r="O1075" t="n">
        <v>0</v>
      </c>
      <c r="P1075" t="n">
        <v>0</v>
      </c>
      <c r="Q1075" t="n">
        <v>0</v>
      </c>
      <c r="R1075" s="2" t="inlineStr"/>
    </row>
    <row r="1076" ht="15" customHeight="1">
      <c r="A1076" t="inlineStr">
        <is>
          <t>A 7581-2021</t>
        </is>
      </c>
      <c r="B1076" s="1" t="n">
        <v>44240</v>
      </c>
      <c r="C1076" s="1" t="n">
        <v>45884</v>
      </c>
      <c r="D1076" t="inlineStr">
        <is>
          <t>KALMAR LÄN</t>
        </is>
      </c>
      <c r="E1076" t="inlineStr">
        <is>
          <t>EMMABODA</t>
        </is>
      </c>
      <c r="G1076" t="n">
        <v>0.3</v>
      </c>
      <c r="H1076" t="n">
        <v>0</v>
      </c>
      <c r="I1076" t="n">
        <v>0</v>
      </c>
      <c r="J1076" t="n">
        <v>0</v>
      </c>
      <c r="K1076" t="n">
        <v>0</v>
      </c>
      <c r="L1076" t="n">
        <v>0</v>
      </c>
      <c r="M1076" t="n">
        <v>0</v>
      </c>
      <c r="N1076" t="n">
        <v>0</v>
      </c>
      <c r="O1076" t="n">
        <v>0</v>
      </c>
      <c r="P1076" t="n">
        <v>0</v>
      </c>
      <c r="Q1076" t="n">
        <v>0</v>
      </c>
      <c r="R1076" s="2" t="inlineStr"/>
    </row>
    <row r="1077" ht="15" customHeight="1">
      <c r="A1077" t="inlineStr">
        <is>
          <t>A 69544-2020</t>
        </is>
      </c>
      <c r="B1077" s="1" t="n">
        <v>44194</v>
      </c>
      <c r="C1077" s="1" t="n">
        <v>45884</v>
      </c>
      <c r="D1077" t="inlineStr">
        <is>
          <t>KALMAR LÄN</t>
        </is>
      </c>
      <c r="E1077" t="inlineStr">
        <is>
          <t>NYBRO</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10037-2022</t>
        </is>
      </c>
      <c r="B1078" s="1" t="n">
        <v>44621</v>
      </c>
      <c r="C1078" s="1" t="n">
        <v>45884</v>
      </c>
      <c r="D1078" t="inlineStr">
        <is>
          <t>KALMAR LÄN</t>
        </is>
      </c>
      <c r="E1078" t="inlineStr">
        <is>
          <t>TORSÅS</t>
        </is>
      </c>
      <c r="G1078" t="n">
        <v>27.2</v>
      </c>
      <c r="H1078" t="n">
        <v>0</v>
      </c>
      <c r="I1078" t="n">
        <v>0</v>
      </c>
      <c r="J1078" t="n">
        <v>0</v>
      </c>
      <c r="K1078" t="n">
        <v>0</v>
      </c>
      <c r="L1078" t="n">
        <v>0</v>
      </c>
      <c r="M1078" t="n">
        <v>0</v>
      </c>
      <c r="N1078" t="n">
        <v>0</v>
      </c>
      <c r="O1078" t="n">
        <v>0</v>
      </c>
      <c r="P1078" t="n">
        <v>0</v>
      </c>
      <c r="Q1078" t="n">
        <v>0</v>
      </c>
      <c r="R1078" s="2" t="inlineStr"/>
    </row>
    <row r="1079" ht="15" customHeight="1">
      <c r="A1079" t="inlineStr">
        <is>
          <t>A 40557-2021</t>
        </is>
      </c>
      <c r="B1079" s="1" t="n">
        <v>44420</v>
      </c>
      <c r="C1079" s="1" t="n">
        <v>45884</v>
      </c>
      <c r="D1079" t="inlineStr">
        <is>
          <t>KALMAR LÄN</t>
        </is>
      </c>
      <c r="E1079" t="inlineStr">
        <is>
          <t>HÖGSBY</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30736-2021</t>
        </is>
      </c>
      <c r="B1080" s="1" t="n">
        <v>44365</v>
      </c>
      <c r="C1080" s="1" t="n">
        <v>45884</v>
      </c>
      <c r="D1080" t="inlineStr">
        <is>
          <t>KALMAR LÄN</t>
        </is>
      </c>
      <c r="E1080" t="inlineStr">
        <is>
          <t>NYBRO</t>
        </is>
      </c>
      <c r="G1080" t="n">
        <v>3.3</v>
      </c>
      <c r="H1080" t="n">
        <v>0</v>
      </c>
      <c r="I1080" t="n">
        <v>0</v>
      </c>
      <c r="J1080" t="n">
        <v>0</v>
      </c>
      <c r="K1080" t="n">
        <v>0</v>
      </c>
      <c r="L1080" t="n">
        <v>0</v>
      </c>
      <c r="M1080" t="n">
        <v>0</v>
      </c>
      <c r="N1080" t="n">
        <v>0</v>
      </c>
      <c r="O1080" t="n">
        <v>0</v>
      </c>
      <c r="P1080" t="n">
        <v>0</v>
      </c>
      <c r="Q1080" t="n">
        <v>0</v>
      </c>
      <c r="R1080" s="2" t="inlineStr"/>
    </row>
    <row r="1081" ht="15" customHeight="1">
      <c r="A1081" t="inlineStr">
        <is>
          <t>A 7489-2021</t>
        </is>
      </c>
      <c r="B1081" s="1" t="n">
        <v>44238</v>
      </c>
      <c r="C1081" s="1" t="n">
        <v>45884</v>
      </c>
      <c r="D1081" t="inlineStr">
        <is>
          <t>KALMAR LÄN</t>
        </is>
      </c>
      <c r="E1081" t="inlineStr">
        <is>
          <t>EMMABODA</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58231-2021</t>
        </is>
      </c>
      <c r="B1082" s="1" t="n">
        <v>44487.86196759259</v>
      </c>
      <c r="C1082" s="1" t="n">
        <v>45884</v>
      </c>
      <c r="D1082" t="inlineStr">
        <is>
          <t>KALMAR LÄN</t>
        </is>
      </c>
      <c r="E1082" t="inlineStr">
        <is>
          <t>OSKARSHAMN</t>
        </is>
      </c>
      <c r="F1082" t="inlineStr">
        <is>
          <t>Sveaskog</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41379-2020</t>
        </is>
      </c>
      <c r="B1083" s="1" t="n">
        <v>44072</v>
      </c>
      <c r="C1083" s="1" t="n">
        <v>45884</v>
      </c>
      <c r="D1083" t="inlineStr">
        <is>
          <t>KALMAR LÄN</t>
        </is>
      </c>
      <c r="E1083" t="inlineStr">
        <is>
          <t>HÖGSBY</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3426-2022</t>
        </is>
      </c>
      <c r="B1084" s="1" t="n">
        <v>44585.51829861111</v>
      </c>
      <c r="C1084" s="1" t="n">
        <v>45884</v>
      </c>
      <c r="D1084" t="inlineStr">
        <is>
          <t>KALMAR LÄN</t>
        </is>
      </c>
      <c r="E1084" t="inlineStr">
        <is>
          <t>VIMMERBY</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631-2022</t>
        </is>
      </c>
      <c r="B1085" s="1" t="n">
        <v>44568</v>
      </c>
      <c r="C1085" s="1" t="n">
        <v>45884</v>
      </c>
      <c r="D1085" t="inlineStr">
        <is>
          <t>KALMAR LÄN</t>
        </is>
      </c>
      <c r="E1085" t="inlineStr">
        <is>
          <t>HÖGSBY</t>
        </is>
      </c>
      <c r="G1085" t="n">
        <v>4.1</v>
      </c>
      <c r="H1085" t="n">
        <v>0</v>
      </c>
      <c r="I1085" t="n">
        <v>0</v>
      </c>
      <c r="J1085" t="n">
        <v>0</v>
      </c>
      <c r="K1085" t="n">
        <v>0</v>
      </c>
      <c r="L1085" t="n">
        <v>0</v>
      </c>
      <c r="M1085" t="n">
        <v>0</v>
      </c>
      <c r="N1085" t="n">
        <v>0</v>
      </c>
      <c r="O1085" t="n">
        <v>0</v>
      </c>
      <c r="P1085" t="n">
        <v>0</v>
      </c>
      <c r="Q1085" t="n">
        <v>0</v>
      </c>
      <c r="R1085" s="2" t="inlineStr"/>
    </row>
    <row r="1086" ht="15" customHeight="1">
      <c r="A1086" t="inlineStr">
        <is>
          <t>A 6135-2022</t>
        </is>
      </c>
      <c r="B1086" s="1" t="n">
        <v>44599.69461805555</v>
      </c>
      <c r="C1086" s="1" t="n">
        <v>45884</v>
      </c>
      <c r="D1086" t="inlineStr">
        <is>
          <t>KALMAR LÄN</t>
        </is>
      </c>
      <c r="E1086" t="inlineStr">
        <is>
          <t>EMMABODA</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2047-2021</t>
        </is>
      </c>
      <c r="B1087" s="1" t="n">
        <v>44211</v>
      </c>
      <c r="C1087" s="1" t="n">
        <v>45884</v>
      </c>
      <c r="D1087" t="inlineStr">
        <is>
          <t>KALMAR LÄN</t>
        </is>
      </c>
      <c r="E1087" t="inlineStr">
        <is>
          <t>EMMABODA</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24984-2022</t>
        </is>
      </c>
      <c r="B1088" s="1" t="n">
        <v>44728.83878472223</v>
      </c>
      <c r="C1088" s="1" t="n">
        <v>45884</v>
      </c>
      <c r="D1088" t="inlineStr">
        <is>
          <t>KALMAR LÄN</t>
        </is>
      </c>
      <c r="E1088" t="inlineStr">
        <is>
          <t>EMMABODA</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58244-2021</t>
        </is>
      </c>
      <c r="B1089" s="1" t="n">
        <v>44487</v>
      </c>
      <c r="C1089" s="1" t="n">
        <v>45884</v>
      </c>
      <c r="D1089" t="inlineStr">
        <is>
          <t>KALMAR LÄN</t>
        </is>
      </c>
      <c r="E1089" t="inlineStr">
        <is>
          <t>MÖNSTERÅS</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40728-2022</t>
        </is>
      </c>
      <c r="B1090" s="1" t="n">
        <v>44824.53434027778</v>
      </c>
      <c r="C1090" s="1" t="n">
        <v>45884</v>
      </c>
      <c r="D1090" t="inlineStr">
        <is>
          <t>KALMAR LÄN</t>
        </is>
      </c>
      <c r="E1090" t="inlineStr">
        <is>
          <t>VIMMERBY</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40817-2022</t>
        </is>
      </c>
      <c r="B1091" s="1" t="n">
        <v>44824.69974537037</v>
      </c>
      <c r="C1091" s="1" t="n">
        <v>45884</v>
      </c>
      <c r="D1091" t="inlineStr">
        <is>
          <t>KALMAR LÄN</t>
        </is>
      </c>
      <c r="E1091" t="inlineStr">
        <is>
          <t>MÖNSTERÅS</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48661-2021</t>
        </is>
      </c>
      <c r="B1092" s="1" t="n">
        <v>44449</v>
      </c>
      <c r="C1092" s="1" t="n">
        <v>45884</v>
      </c>
      <c r="D1092" t="inlineStr">
        <is>
          <t>KALMAR LÄN</t>
        </is>
      </c>
      <c r="E1092" t="inlineStr">
        <is>
          <t>VÄSTERVIK</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55754-2021</t>
        </is>
      </c>
      <c r="B1093" s="1" t="n">
        <v>44476</v>
      </c>
      <c r="C1093" s="1" t="n">
        <v>45884</v>
      </c>
      <c r="D1093" t="inlineStr">
        <is>
          <t>KALMAR LÄN</t>
        </is>
      </c>
      <c r="E1093" t="inlineStr">
        <is>
          <t>TORSÅS</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19526-2021</t>
        </is>
      </c>
      <c r="B1094" s="1" t="n">
        <v>44312</v>
      </c>
      <c r="C1094" s="1" t="n">
        <v>45884</v>
      </c>
      <c r="D1094" t="inlineStr">
        <is>
          <t>KALMAR LÄN</t>
        </is>
      </c>
      <c r="E1094" t="inlineStr">
        <is>
          <t>KALMAR</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32034-2022</t>
        </is>
      </c>
      <c r="B1095" s="1" t="n">
        <v>44778</v>
      </c>
      <c r="C1095" s="1" t="n">
        <v>45884</v>
      </c>
      <c r="D1095" t="inlineStr">
        <is>
          <t>KALMAR LÄN</t>
        </is>
      </c>
      <c r="E1095" t="inlineStr">
        <is>
          <t>OSKARSHAMN</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19163-2022</t>
        </is>
      </c>
      <c r="B1096" s="1" t="n">
        <v>44691</v>
      </c>
      <c r="C1096" s="1" t="n">
        <v>45884</v>
      </c>
      <c r="D1096" t="inlineStr">
        <is>
          <t>KALMAR LÄN</t>
        </is>
      </c>
      <c r="E1096" t="inlineStr">
        <is>
          <t>EMMABODA</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22233-2022</t>
        </is>
      </c>
      <c r="B1097" s="1" t="n">
        <v>44712.57193287037</v>
      </c>
      <c r="C1097" s="1" t="n">
        <v>45884</v>
      </c>
      <c r="D1097" t="inlineStr">
        <is>
          <t>KALMAR LÄN</t>
        </is>
      </c>
      <c r="E1097" t="inlineStr">
        <is>
          <t>HULTSFRED</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10954-2022</t>
        </is>
      </c>
      <c r="B1098" s="1" t="n">
        <v>44628.35012731481</v>
      </c>
      <c r="C1098" s="1" t="n">
        <v>45884</v>
      </c>
      <c r="D1098" t="inlineStr">
        <is>
          <t>KALMAR LÄN</t>
        </is>
      </c>
      <c r="E1098" t="inlineStr">
        <is>
          <t>EMMABODA</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29816-2022</t>
        </is>
      </c>
      <c r="B1099" s="1" t="n">
        <v>44755</v>
      </c>
      <c r="C1099" s="1" t="n">
        <v>45884</v>
      </c>
      <c r="D1099" t="inlineStr">
        <is>
          <t>KALMAR LÄN</t>
        </is>
      </c>
      <c r="E1099" t="inlineStr">
        <is>
          <t>VÄSTERVIK</t>
        </is>
      </c>
      <c r="F1099" t="inlineStr">
        <is>
          <t>Holmen skog AB</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39952-2021</t>
        </is>
      </c>
      <c r="B1100" s="1" t="n">
        <v>44418</v>
      </c>
      <c r="C1100" s="1" t="n">
        <v>45884</v>
      </c>
      <c r="D1100" t="inlineStr">
        <is>
          <t>KALMAR LÄN</t>
        </is>
      </c>
      <c r="E1100" t="inlineStr">
        <is>
          <t>OSKARSHAMN</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50105-2021</t>
        </is>
      </c>
      <c r="B1101" s="1" t="n">
        <v>44456</v>
      </c>
      <c r="C1101" s="1" t="n">
        <v>45884</v>
      </c>
      <c r="D1101" t="inlineStr">
        <is>
          <t>KALMAR LÄN</t>
        </is>
      </c>
      <c r="E1101" t="inlineStr">
        <is>
          <t>KALMAR</t>
        </is>
      </c>
      <c r="G1101" t="n">
        <v>5.6</v>
      </c>
      <c r="H1101" t="n">
        <v>0</v>
      </c>
      <c r="I1101" t="n">
        <v>0</v>
      </c>
      <c r="J1101" t="n">
        <v>0</v>
      </c>
      <c r="K1101" t="n">
        <v>0</v>
      </c>
      <c r="L1101" t="n">
        <v>0</v>
      </c>
      <c r="M1101" t="n">
        <v>0</v>
      </c>
      <c r="N1101" t="n">
        <v>0</v>
      </c>
      <c r="O1101" t="n">
        <v>0</v>
      </c>
      <c r="P1101" t="n">
        <v>0</v>
      </c>
      <c r="Q1101" t="n">
        <v>0</v>
      </c>
      <c r="R1101" s="2" t="inlineStr"/>
    </row>
    <row r="1102" ht="15" customHeight="1">
      <c r="A1102" t="inlineStr">
        <is>
          <t>A 40073-2021</t>
        </is>
      </c>
      <c r="B1102" s="1" t="n">
        <v>44418</v>
      </c>
      <c r="C1102" s="1" t="n">
        <v>45884</v>
      </c>
      <c r="D1102" t="inlineStr">
        <is>
          <t>KALMAR LÄN</t>
        </is>
      </c>
      <c r="E1102" t="inlineStr">
        <is>
          <t>VIMMERBY</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22281-2021</t>
        </is>
      </c>
      <c r="B1103" s="1" t="n">
        <v>44326.44194444444</v>
      </c>
      <c r="C1103" s="1" t="n">
        <v>45884</v>
      </c>
      <c r="D1103" t="inlineStr">
        <is>
          <t>KALMAR LÄN</t>
        </is>
      </c>
      <c r="E1103" t="inlineStr">
        <is>
          <t>EMMABODA</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4407-2021</t>
        </is>
      </c>
      <c r="B1104" s="1" t="n">
        <v>44223</v>
      </c>
      <c r="C1104" s="1" t="n">
        <v>45884</v>
      </c>
      <c r="D1104" t="inlineStr">
        <is>
          <t>KALMAR LÄN</t>
        </is>
      </c>
      <c r="E1104" t="inlineStr">
        <is>
          <t>HULTSFRED</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50211-2021</t>
        </is>
      </c>
      <c r="B1105" s="1" t="n">
        <v>44457</v>
      </c>
      <c r="C1105" s="1" t="n">
        <v>45884</v>
      </c>
      <c r="D1105" t="inlineStr">
        <is>
          <t>KALMAR LÄN</t>
        </is>
      </c>
      <c r="E1105" t="inlineStr">
        <is>
          <t>TORSÅS</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44455-2021</t>
        </is>
      </c>
      <c r="B1106" s="1" t="n">
        <v>44435</v>
      </c>
      <c r="C1106" s="1" t="n">
        <v>45884</v>
      </c>
      <c r="D1106" t="inlineStr">
        <is>
          <t>KALMAR LÄN</t>
        </is>
      </c>
      <c r="E1106" t="inlineStr">
        <is>
          <t>KALMAR</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41062-2020</t>
        </is>
      </c>
      <c r="B1107" s="1" t="n">
        <v>44071</v>
      </c>
      <c r="C1107" s="1" t="n">
        <v>45884</v>
      </c>
      <c r="D1107" t="inlineStr">
        <is>
          <t>KALMAR LÄN</t>
        </is>
      </c>
      <c r="E1107" t="inlineStr">
        <is>
          <t>NYBRO</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3553-2021</t>
        </is>
      </c>
      <c r="B1108" s="1" t="n">
        <v>44218</v>
      </c>
      <c r="C1108" s="1" t="n">
        <v>45884</v>
      </c>
      <c r="D1108" t="inlineStr">
        <is>
          <t>KALMAR LÄN</t>
        </is>
      </c>
      <c r="E1108" t="inlineStr">
        <is>
          <t>VÄSTERVIK</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45417-2021</t>
        </is>
      </c>
      <c r="B1109" s="1" t="n">
        <v>44440</v>
      </c>
      <c r="C1109" s="1" t="n">
        <v>45884</v>
      </c>
      <c r="D1109" t="inlineStr">
        <is>
          <t>KALMAR LÄN</t>
        </is>
      </c>
      <c r="E1109" t="inlineStr">
        <is>
          <t>MÖNSTERÅS</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62735-2021</t>
        </is>
      </c>
      <c r="B1110" s="1" t="n">
        <v>44504.38268518518</v>
      </c>
      <c r="C1110" s="1" t="n">
        <v>45884</v>
      </c>
      <c r="D1110" t="inlineStr">
        <is>
          <t>KALMAR LÄN</t>
        </is>
      </c>
      <c r="E1110" t="inlineStr">
        <is>
          <t>EMMABODA</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37377-2022</t>
        </is>
      </c>
      <c r="B1111" s="1" t="n">
        <v>44809.4018287037</v>
      </c>
      <c r="C1111" s="1" t="n">
        <v>45884</v>
      </c>
      <c r="D1111" t="inlineStr">
        <is>
          <t>KALMAR LÄN</t>
        </is>
      </c>
      <c r="E1111" t="inlineStr">
        <is>
          <t>HULTSFRED</t>
        </is>
      </c>
      <c r="F1111" t="inlineStr">
        <is>
          <t>Sveaskog</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35380-2021</t>
        </is>
      </c>
      <c r="B1112" s="1" t="n">
        <v>44385.31377314815</v>
      </c>
      <c r="C1112" s="1" t="n">
        <v>45884</v>
      </c>
      <c r="D1112" t="inlineStr">
        <is>
          <t>KALMAR LÄN</t>
        </is>
      </c>
      <c r="E1112" t="inlineStr">
        <is>
          <t>HULTSFRED</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34267-2021</t>
        </is>
      </c>
      <c r="B1113" s="1" t="n">
        <v>44379</v>
      </c>
      <c r="C1113" s="1" t="n">
        <v>45884</v>
      </c>
      <c r="D1113" t="inlineStr">
        <is>
          <t>KALMAR LÄN</t>
        </is>
      </c>
      <c r="E1113" t="inlineStr">
        <is>
          <t>EMMABODA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34269-2021</t>
        </is>
      </c>
      <c r="B1114" s="1" t="n">
        <v>44379</v>
      </c>
      <c r="C1114" s="1" t="n">
        <v>45884</v>
      </c>
      <c r="D1114" t="inlineStr">
        <is>
          <t>KALMAR LÄN</t>
        </is>
      </c>
      <c r="E1114" t="inlineStr">
        <is>
          <t>TORSÅS</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36206-2021</t>
        </is>
      </c>
      <c r="B1115" s="1" t="n">
        <v>44387</v>
      </c>
      <c r="C1115" s="1" t="n">
        <v>45884</v>
      </c>
      <c r="D1115" t="inlineStr">
        <is>
          <t>KALMAR LÄN</t>
        </is>
      </c>
      <c r="E1115" t="inlineStr">
        <is>
          <t>EMMABODA</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50212-2021</t>
        </is>
      </c>
      <c r="B1116" s="1" t="n">
        <v>44457</v>
      </c>
      <c r="C1116" s="1" t="n">
        <v>45884</v>
      </c>
      <c r="D1116" t="inlineStr">
        <is>
          <t>KALMAR LÄN</t>
        </is>
      </c>
      <c r="E1116" t="inlineStr">
        <is>
          <t>KALMAR</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30240-2021</t>
        </is>
      </c>
      <c r="B1117" s="1" t="n">
        <v>44363.75403935185</v>
      </c>
      <c r="C1117" s="1" t="n">
        <v>45884</v>
      </c>
      <c r="D1117" t="inlineStr">
        <is>
          <t>KALMAR LÄN</t>
        </is>
      </c>
      <c r="E1117" t="inlineStr">
        <is>
          <t>NYBRO</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8355-2022</t>
        </is>
      </c>
      <c r="B1118" s="1" t="n">
        <v>44610</v>
      </c>
      <c r="C1118" s="1" t="n">
        <v>45884</v>
      </c>
      <c r="D1118" t="inlineStr">
        <is>
          <t>KALMAR LÄN</t>
        </is>
      </c>
      <c r="E1118" t="inlineStr">
        <is>
          <t>VÄSTERVIK</t>
        </is>
      </c>
      <c r="F1118" t="inlineStr">
        <is>
          <t>Holmen skog AB</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33051-2022</t>
        </is>
      </c>
      <c r="B1119" s="1" t="n">
        <v>44785.40800925926</v>
      </c>
      <c r="C1119" s="1" t="n">
        <v>45884</v>
      </c>
      <c r="D1119" t="inlineStr">
        <is>
          <t>KALMAR LÄN</t>
        </is>
      </c>
      <c r="E1119" t="inlineStr">
        <is>
          <t>VIMMERBY</t>
        </is>
      </c>
      <c r="G1119" t="n">
        <v>0.3</v>
      </c>
      <c r="H1119" t="n">
        <v>0</v>
      </c>
      <c r="I1119" t="n">
        <v>0</v>
      </c>
      <c r="J1119" t="n">
        <v>0</v>
      </c>
      <c r="K1119" t="n">
        <v>0</v>
      </c>
      <c r="L1119" t="n">
        <v>0</v>
      </c>
      <c r="M1119" t="n">
        <v>0</v>
      </c>
      <c r="N1119" t="n">
        <v>0</v>
      </c>
      <c r="O1119" t="n">
        <v>0</v>
      </c>
      <c r="P1119" t="n">
        <v>0</v>
      </c>
      <c r="Q1119" t="n">
        <v>0</v>
      </c>
      <c r="R1119" s="2" t="inlineStr"/>
    </row>
    <row r="1120" ht="15" customHeight="1">
      <c r="A1120" t="inlineStr">
        <is>
          <t>A 65141-2021</t>
        </is>
      </c>
      <c r="B1120" s="1" t="n">
        <v>44515.44268518518</v>
      </c>
      <c r="C1120" s="1" t="n">
        <v>45884</v>
      </c>
      <c r="D1120" t="inlineStr">
        <is>
          <t>KALMAR LÄN</t>
        </is>
      </c>
      <c r="E1120" t="inlineStr">
        <is>
          <t>EMMABODA</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34973-2021</t>
        </is>
      </c>
      <c r="B1121" s="1" t="n">
        <v>44383.6131712963</v>
      </c>
      <c r="C1121" s="1" t="n">
        <v>45884</v>
      </c>
      <c r="D1121" t="inlineStr">
        <is>
          <t>KALMAR LÄN</t>
        </is>
      </c>
      <c r="E1121" t="inlineStr">
        <is>
          <t>EMMABODA</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59055-2021</t>
        </is>
      </c>
      <c r="B1122" s="1" t="n">
        <v>44489</v>
      </c>
      <c r="C1122" s="1" t="n">
        <v>45884</v>
      </c>
      <c r="D1122" t="inlineStr">
        <is>
          <t>KALMAR LÄN</t>
        </is>
      </c>
      <c r="E1122" t="inlineStr">
        <is>
          <t>OSKARSHAMN</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58555-2021</t>
        </is>
      </c>
      <c r="B1123" s="1" t="n">
        <v>44488</v>
      </c>
      <c r="C1123" s="1" t="n">
        <v>45884</v>
      </c>
      <c r="D1123" t="inlineStr">
        <is>
          <t>KALMAR LÄN</t>
        </is>
      </c>
      <c r="E1123" t="inlineStr">
        <is>
          <t>VÄSTERVIK</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17954-2022</t>
        </is>
      </c>
      <c r="B1124" s="1" t="n">
        <v>44683</v>
      </c>
      <c r="C1124" s="1" t="n">
        <v>45884</v>
      </c>
      <c r="D1124" t="inlineStr">
        <is>
          <t>KALMAR LÄN</t>
        </is>
      </c>
      <c r="E1124" t="inlineStr">
        <is>
          <t>VÄSTERVIK</t>
        </is>
      </c>
      <c r="F1124" t="inlineStr">
        <is>
          <t>Sveaskog</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71104-2021</t>
        </is>
      </c>
      <c r="B1125" s="1" t="n">
        <v>44539.35644675926</v>
      </c>
      <c r="C1125" s="1" t="n">
        <v>45884</v>
      </c>
      <c r="D1125" t="inlineStr">
        <is>
          <t>KALMAR LÄN</t>
        </is>
      </c>
      <c r="E1125" t="inlineStr">
        <is>
          <t>KALMAR</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41936-2021</t>
        </is>
      </c>
      <c r="B1126" s="1" t="n">
        <v>44426</v>
      </c>
      <c r="C1126" s="1" t="n">
        <v>45884</v>
      </c>
      <c r="D1126" t="inlineStr">
        <is>
          <t>KALMAR LÄN</t>
        </is>
      </c>
      <c r="E1126" t="inlineStr">
        <is>
          <t>OSKARSHAMN</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41937-2021</t>
        </is>
      </c>
      <c r="B1127" s="1" t="n">
        <v>44426</v>
      </c>
      <c r="C1127" s="1" t="n">
        <v>45884</v>
      </c>
      <c r="D1127" t="inlineStr">
        <is>
          <t>KALMAR LÄN</t>
        </is>
      </c>
      <c r="E1127" t="inlineStr">
        <is>
          <t>OSKARSHAMN</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43382-2020</t>
        </is>
      </c>
      <c r="B1128" s="1" t="n">
        <v>44081</v>
      </c>
      <c r="C1128" s="1" t="n">
        <v>45884</v>
      </c>
      <c r="D1128" t="inlineStr">
        <is>
          <t>KALMAR LÄN</t>
        </is>
      </c>
      <c r="E1128" t="inlineStr">
        <is>
          <t>HULTSFRED</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30647-2022</t>
        </is>
      </c>
      <c r="B1129" s="1" t="n">
        <v>44763</v>
      </c>
      <c r="C1129" s="1" t="n">
        <v>45884</v>
      </c>
      <c r="D1129" t="inlineStr">
        <is>
          <t>KALMAR LÄN</t>
        </is>
      </c>
      <c r="E1129" t="inlineStr">
        <is>
          <t>TORSÅS</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46721-2022</t>
        </is>
      </c>
      <c r="B1130" s="1" t="n">
        <v>44851.40596064815</v>
      </c>
      <c r="C1130" s="1" t="n">
        <v>45884</v>
      </c>
      <c r="D1130" t="inlineStr">
        <is>
          <t>KALMAR LÄN</t>
        </is>
      </c>
      <c r="E1130" t="inlineStr">
        <is>
          <t>EMMABODA</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42436-2022</t>
        </is>
      </c>
      <c r="B1131" s="1" t="n">
        <v>44831</v>
      </c>
      <c r="C1131" s="1" t="n">
        <v>45884</v>
      </c>
      <c r="D1131" t="inlineStr">
        <is>
          <t>KALMAR LÄN</t>
        </is>
      </c>
      <c r="E1131" t="inlineStr">
        <is>
          <t>HULTSFRED</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37545-2021</t>
        </is>
      </c>
      <c r="B1132" s="1" t="n">
        <v>44399</v>
      </c>
      <c r="C1132" s="1" t="n">
        <v>45884</v>
      </c>
      <c r="D1132" t="inlineStr">
        <is>
          <t>KALMAR LÄN</t>
        </is>
      </c>
      <c r="E1132" t="inlineStr">
        <is>
          <t>VÄSTERVIK</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2183-2022</t>
        </is>
      </c>
      <c r="B1133" s="1" t="n">
        <v>44578.47597222222</v>
      </c>
      <c r="C1133" s="1" t="n">
        <v>45884</v>
      </c>
      <c r="D1133" t="inlineStr">
        <is>
          <t>KALMAR LÄN</t>
        </is>
      </c>
      <c r="E1133" t="inlineStr">
        <is>
          <t>VIMMERBY</t>
        </is>
      </c>
      <c r="G1133" t="n">
        <v>4.8</v>
      </c>
      <c r="H1133" t="n">
        <v>0</v>
      </c>
      <c r="I1133" t="n">
        <v>0</v>
      </c>
      <c r="J1133" t="n">
        <v>0</v>
      </c>
      <c r="K1133" t="n">
        <v>0</v>
      </c>
      <c r="L1133" t="n">
        <v>0</v>
      </c>
      <c r="M1133" t="n">
        <v>0</v>
      </c>
      <c r="N1133" t="n">
        <v>0</v>
      </c>
      <c r="O1133" t="n">
        <v>0</v>
      </c>
      <c r="P1133" t="n">
        <v>0</v>
      </c>
      <c r="Q1133" t="n">
        <v>0</v>
      </c>
      <c r="R1133" s="2" t="inlineStr"/>
    </row>
    <row r="1134" ht="15" customHeight="1">
      <c r="A1134" t="inlineStr">
        <is>
          <t>A 65670-2021</t>
        </is>
      </c>
      <c r="B1134" s="1" t="n">
        <v>44516.59703703703</v>
      </c>
      <c r="C1134" s="1" t="n">
        <v>45884</v>
      </c>
      <c r="D1134" t="inlineStr">
        <is>
          <t>KALMAR LÄN</t>
        </is>
      </c>
      <c r="E1134" t="inlineStr">
        <is>
          <t>VIMMERBY</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56015-2022</t>
        </is>
      </c>
      <c r="B1135" s="1" t="n">
        <v>44889.52459490741</v>
      </c>
      <c r="C1135" s="1" t="n">
        <v>45884</v>
      </c>
      <c r="D1135" t="inlineStr">
        <is>
          <t>KALMAR LÄN</t>
        </is>
      </c>
      <c r="E1135" t="inlineStr">
        <is>
          <t>NYBRO</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50809-2022</t>
        </is>
      </c>
      <c r="B1136" s="1" t="n">
        <v>44862</v>
      </c>
      <c r="C1136" s="1" t="n">
        <v>45884</v>
      </c>
      <c r="D1136" t="inlineStr">
        <is>
          <t>KALMAR LÄN</t>
        </is>
      </c>
      <c r="E1136" t="inlineStr">
        <is>
          <t>VIMMERBY</t>
        </is>
      </c>
      <c r="G1136" t="n">
        <v>3.7</v>
      </c>
      <c r="H1136" t="n">
        <v>0</v>
      </c>
      <c r="I1136" t="n">
        <v>0</v>
      </c>
      <c r="J1136" t="n">
        <v>0</v>
      </c>
      <c r="K1136" t="n">
        <v>0</v>
      </c>
      <c r="L1136" t="n">
        <v>0</v>
      </c>
      <c r="M1136" t="n">
        <v>0</v>
      </c>
      <c r="N1136" t="n">
        <v>0</v>
      </c>
      <c r="O1136" t="n">
        <v>0</v>
      </c>
      <c r="P1136" t="n">
        <v>0</v>
      </c>
      <c r="Q1136" t="n">
        <v>0</v>
      </c>
      <c r="R1136" s="2" t="inlineStr"/>
    </row>
    <row r="1137" ht="15" customHeight="1">
      <c r="A1137" t="inlineStr">
        <is>
          <t>A 41438-2022</t>
        </is>
      </c>
      <c r="B1137" s="1" t="n">
        <v>44826.68010416667</v>
      </c>
      <c r="C1137" s="1" t="n">
        <v>45884</v>
      </c>
      <c r="D1137" t="inlineStr">
        <is>
          <t>KALMAR LÄN</t>
        </is>
      </c>
      <c r="E1137" t="inlineStr">
        <is>
          <t>VIMMERBY</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69830-2021</t>
        </is>
      </c>
      <c r="B1138" s="1" t="n">
        <v>44532.64408564815</v>
      </c>
      <c r="C1138" s="1" t="n">
        <v>45884</v>
      </c>
      <c r="D1138" t="inlineStr">
        <is>
          <t>KALMAR LÄN</t>
        </is>
      </c>
      <c r="E1138" t="inlineStr">
        <is>
          <t>HULTSFRED</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7035-2022</t>
        </is>
      </c>
      <c r="B1139" s="1" t="n">
        <v>44603</v>
      </c>
      <c r="C1139" s="1" t="n">
        <v>45884</v>
      </c>
      <c r="D1139" t="inlineStr">
        <is>
          <t>KALMAR LÄN</t>
        </is>
      </c>
      <c r="E1139" t="inlineStr">
        <is>
          <t>HÖGSBY</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7049-2022</t>
        </is>
      </c>
      <c r="B1140" s="1" t="n">
        <v>44603</v>
      </c>
      <c r="C1140" s="1" t="n">
        <v>45884</v>
      </c>
      <c r="D1140" t="inlineStr">
        <is>
          <t>KALMAR LÄN</t>
        </is>
      </c>
      <c r="E1140" t="inlineStr">
        <is>
          <t>VIMMERBY</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4296-2022</t>
        </is>
      </c>
      <c r="B1141" s="1" t="n">
        <v>44588</v>
      </c>
      <c r="C1141" s="1" t="n">
        <v>45884</v>
      </c>
      <c r="D1141" t="inlineStr">
        <is>
          <t>KALMAR LÄN</t>
        </is>
      </c>
      <c r="E1141" t="inlineStr">
        <is>
          <t>VIMMERBY</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41099-2020</t>
        </is>
      </c>
      <c r="B1142" s="1" t="n">
        <v>44071</v>
      </c>
      <c r="C1142" s="1" t="n">
        <v>45884</v>
      </c>
      <c r="D1142" t="inlineStr">
        <is>
          <t>KALMAR LÄN</t>
        </is>
      </c>
      <c r="E1142" t="inlineStr">
        <is>
          <t>EMMABODA</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70376-2021</t>
        </is>
      </c>
      <c r="B1143" s="1" t="n">
        <v>44536</v>
      </c>
      <c r="C1143" s="1" t="n">
        <v>45884</v>
      </c>
      <c r="D1143" t="inlineStr">
        <is>
          <t>KALMAR LÄN</t>
        </is>
      </c>
      <c r="E1143" t="inlineStr">
        <is>
          <t>HULTSFRED</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30136-2021</t>
        </is>
      </c>
      <c r="B1144" s="1" t="n">
        <v>44363</v>
      </c>
      <c r="C1144" s="1" t="n">
        <v>45884</v>
      </c>
      <c r="D1144" t="inlineStr">
        <is>
          <t>KALMAR LÄN</t>
        </is>
      </c>
      <c r="E1144" t="inlineStr">
        <is>
          <t>TORSÅS</t>
        </is>
      </c>
      <c r="G1144" t="n">
        <v>12.2</v>
      </c>
      <c r="H1144" t="n">
        <v>0</v>
      </c>
      <c r="I1144" t="n">
        <v>0</v>
      </c>
      <c r="J1144" t="n">
        <v>0</v>
      </c>
      <c r="K1144" t="n">
        <v>0</v>
      </c>
      <c r="L1144" t="n">
        <v>0</v>
      </c>
      <c r="M1144" t="n">
        <v>0</v>
      </c>
      <c r="N1144" t="n">
        <v>0</v>
      </c>
      <c r="O1144" t="n">
        <v>0</v>
      </c>
      <c r="P1144" t="n">
        <v>0</v>
      </c>
      <c r="Q1144" t="n">
        <v>0</v>
      </c>
      <c r="R1144" s="2" t="inlineStr"/>
    </row>
    <row r="1145" ht="15" customHeight="1">
      <c r="A1145" t="inlineStr">
        <is>
          <t>A 56841-2020</t>
        </is>
      </c>
      <c r="B1145" s="1" t="n">
        <v>44138</v>
      </c>
      <c r="C1145" s="1" t="n">
        <v>45884</v>
      </c>
      <c r="D1145" t="inlineStr">
        <is>
          <t>KALMAR LÄN</t>
        </is>
      </c>
      <c r="E1145" t="inlineStr">
        <is>
          <t>NYBRO</t>
        </is>
      </c>
      <c r="G1145" t="n">
        <v>7.9</v>
      </c>
      <c r="H1145" t="n">
        <v>0</v>
      </c>
      <c r="I1145" t="n">
        <v>0</v>
      </c>
      <c r="J1145" t="n">
        <v>0</v>
      </c>
      <c r="K1145" t="n">
        <v>0</v>
      </c>
      <c r="L1145" t="n">
        <v>0</v>
      </c>
      <c r="M1145" t="n">
        <v>0</v>
      </c>
      <c r="N1145" t="n">
        <v>0</v>
      </c>
      <c r="O1145" t="n">
        <v>0</v>
      </c>
      <c r="P1145" t="n">
        <v>0</v>
      </c>
      <c r="Q1145" t="n">
        <v>0</v>
      </c>
      <c r="R1145" s="2" t="inlineStr"/>
    </row>
    <row r="1146" ht="15" customHeight="1">
      <c r="A1146" t="inlineStr">
        <is>
          <t>A 18241-2021</t>
        </is>
      </c>
      <c r="B1146" s="1" t="n">
        <v>44302</v>
      </c>
      <c r="C1146" s="1" t="n">
        <v>45884</v>
      </c>
      <c r="D1146" t="inlineStr">
        <is>
          <t>KALMAR LÄN</t>
        </is>
      </c>
      <c r="E1146" t="inlineStr">
        <is>
          <t>NYBRO</t>
        </is>
      </c>
      <c r="G1146" t="n">
        <v>5.9</v>
      </c>
      <c r="H1146" t="n">
        <v>0</v>
      </c>
      <c r="I1146" t="n">
        <v>0</v>
      </c>
      <c r="J1146" t="n">
        <v>0</v>
      </c>
      <c r="K1146" t="n">
        <v>0</v>
      </c>
      <c r="L1146" t="n">
        <v>0</v>
      </c>
      <c r="M1146" t="n">
        <v>0</v>
      </c>
      <c r="N1146" t="n">
        <v>0</v>
      </c>
      <c r="O1146" t="n">
        <v>0</v>
      </c>
      <c r="P1146" t="n">
        <v>0</v>
      </c>
      <c r="Q1146" t="n">
        <v>0</v>
      </c>
      <c r="R1146" s="2" t="inlineStr"/>
    </row>
    <row r="1147" ht="15" customHeight="1">
      <c r="A1147" t="inlineStr">
        <is>
          <t>A 56714-2020</t>
        </is>
      </c>
      <c r="B1147" s="1" t="n">
        <v>44137.79510416667</v>
      </c>
      <c r="C1147" s="1" t="n">
        <v>45884</v>
      </c>
      <c r="D1147" t="inlineStr">
        <is>
          <t>KALMAR LÄN</t>
        </is>
      </c>
      <c r="E1147" t="inlineStr">
        <is>
          <t>NYBRO</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65124-2020</t>
        </is>
      </c>
      <c r="B1148" s="1" t="n">
        <v>44168</v>
      </c>
      <c r="C1148" s="1" t="n">
        <v>45884</v>
      </c>
      <c r="D1148" t="inlineStr">
        <is>
          <t>KALMAR LÄN</t>
        </is>
      </c>
      <c r="E1148" t="inlineStr">
        <is>
          <t>MÖNSTERÅS</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49159-2022</t>
        </is>
      </c>
      <c r="B1149" s="1" t="n">
        <v>44860.88715277778</v>
      </c>
      <c r="C1149" s="1" t="n">
        <v>45884</v>
      </c>
      <c r="D1149" t="inlineStr">
        <is>
          <t>KALMAR LÄN</t>
        </is>
      </c>
      <c r="E1149" t="inlineStr">
        <is>
          <t>EMMABODA</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38455-2021</t>
        </is>
      </c>
      <c r="B1150" s="1" t="n">
        <v>44407.35048611111</v>
      </c>
      <c r="C1150" s="1" t="n">
        <v>45884</v>
      </c>
      <c r="D1150" t="inlineStr">
        <is>
          <t>KALMAR LÄN</t>
        </is>
      </c>
      <c r="E1150" t="inlineStr">
        <is>
          <t>KALMAR</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65666-2020</t>
        </is>
      </c>
      <c r="B1151" s="1" t="n">
        <v>44173</v>
      </c>
      <c r="C1151" s="1" t="n">
        <v>45884</v>
      </c>
      <c r="D1151" t="inlineStr">
        <is>
          <t>KALMAR LÄN</t>
        </is>
      </c>
      <c r="E1151" t="inlineStr">
        <is>
          <t>TORSÅS</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19102-2022</t>
        </is>
      </c>
      <c r="B1152" s="1" t="n">
        <v>44691</v>
      </c>
      <c r="C1152" s="1" t="n">
        <v>45884</v>
      </c>
      <c r="D1152" t="inlineStr">
        <is>
          <t>KALMAR LÄN</t>
        </is>
      </c>
      <c r="E1152" t="inlineStr">
        <is>
          <t>NYBRO</t>
        </is>
      </c>
      <c r="G1152" t="n">
        <v>7.5</v>
      </c>
      <c r="H1152" t="n">
        <v>0</v>
      </c>
      <c r="I1152" t="n">
        <v>0</v>
      </c>
      <c r="J1152" t="n">
        <v>0</v>
      </c>
      <c r="K1152" t="n">
        <v>0</v>
      </c>
      <c r="L1152" t="n">
        <v>0</v>
      </c>
      <c r="M1152" t="n">
        <v>0</v>
      </c>
      <c r="N1152" t="n">
        <v>0</v>
      </c>
      <c r="O1152" t="n">
        <v>0</v>
      </c>
      <c r="P1152" t="n">
        <v>0</v>
      </c>
      <c r="Q1152" t="n">
        <v>0</v>
      </c>
      <c r="R1152" s="2" t="inlineStr"/>
    </row>
    <row r="1153" ht="15" customHeight="1">
      <c r="A1153" t="inlineStr">
        <is>
          <t>A 55103-2021</t>
        </is>
      </c>
      <c r="B1153" s="1" t="n">
        <v>44474</v>
      </c>
      <c r="C1153" s="1" t="n">
        <v>45884</v>
      </c>
      <c r="D1153" t="inlineStr">
        <is>
          <t>KALMAR LÄN</t>
        </is>
      </c>
      <c r="E1153" t="inlineStr">
        <is>
          <t>NYBRO</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40802-2020</t>
        </is>
      </c>
      <c r="B1154" s="1" t="n">
        <v>44070</v>
      </c>
      <c r="C1154" s="1" t="n">
        <v>45884</v>
      </c>
      <c r="D1154" t="inlineStr">
        <is>
          <t>KALMAR LÄN</t>
        </is>
      </c>
      <c r="E1154" t="inlineStr">
        <is>
          <t>EMMABODA</t>
        </is>
      </c>
      <c r="F1154" t="inlineStr">
        <is>
          <t>Övriga Aktiebolag</t>
        </is>
      </c>
      <c r="G1154" t="n">
        <v>11.9</v>
      </c>
      <c r="H1154" t="n">
        <v>0</v>
      </c>
      <c r="I1154" t="n">
        <v>0</v>
      </c>
      <c r="J1154" t="n">
        <v>0</v>
      </c>
      <c r="K1154" t="n">
        <v>0</v>
      </c>
      <c r="L1154" t="n">
        <v>0</v>
      </c>
      <c r="M1154" t="n">
        <v>0</v>
      </c>
      <c r="N1154" t="n">
        <v>0</v>
      </c>
      <c r="O1154" t="n">
        <v>0</v>
      </c>
      <c r="P1154" t="n">
        <v>0</v>
      </c>
      <c r="Q1154" t="n">
        <v>0</v>
      </c>
      <c r="R1154" s="2" t="inlineStr"/>
    </row>
    <row r="1155" ht="15" customHeight="1">
      <c r="A1155" t="inlineStr">
        <is>
          <t>A 66764-2020</t>
        </is>
      </c>
      <c r="B1155" s="1" t="n">
        <v>44179</v>
      </c>
      <c r="C1155" s="1" t="n">
        <v>45884</v>
      </c>
      <c r="D1155" t="inlineStr">
        <is>
          <t>KALMAR LÄN</t>
        </is>
      </c>
      <c r="E1155" t="inlineStr">
        <is>
          <t>HÖGSBY</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11269-2021</t>
        </is>
      </c>
      <c r="B1156" s="1" t="n">
        <v>44263.45048611111</v>
      </c>
      <c r="C1156" s="1" t="n">
        <v>45884</v>
      </c>
      <c r="D1156" t="inlineStr">
        <is>
          <t>KALMAR LÄN</t>
        </is>
      </c>
      <c r="E1156" t="inlineStr">
        <is>
          <t>TORSÅS</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38086-2021</t>
        </is>
      </c>
      <c r="B1157" s="1" t="n">
        <v>44404.87505787037</v>
      </c>
      <c r="C1157" s="1" t="n">
        <v>45884</v>
      </c>
      <c r="D1157" t="inlineStr">
        <is>
          <t>KALMAR LÄN</t>
        </is>
      </c>
      <c r="E1157" t="inlineStr">
        <is>
          <t>VIMMERBY</t>
        </is>
      </c>
      <c r="G1157" t="n">
        <v>4.4</v>
      </c>
      <c r="H1157" t="n">
        <v>0</v>
      </c>
      <c r="I1157" t="n">
        <v>0</v>
      </c>
      <c r="J1157" t="n">
        <v>0</v>
      </c>
      <c r="K1157" t="n">
        <v>0</v>
      </c>
      <c r="L1157" t="n">
        <v>0</v>
      </c>
      <c r="M1157" t="n">
        <v>0</v>
      </c>
      <c r="N1157" t="n">
        <v>0</v>
      </c>
      <c r="O1157" t="n">
        <v>0</v>
      </c>
      <c r="P1157" t="n">
        <v>0</v>
      </c>
      <c r="Q1157" t="n">
        <v>0</v>
      </c>
      <c r="R1157" s="2" t="inlineStr"/>
    </row>
    <row r="1158" ht="15" customHeight="1">
      <c r="A1158" t="inlineStr">
        <is>
          <t>A 43808-2021</t>
        </is>
      </c>
      <c r="B1158" s="1" t="n">
        <v>44433</v>
      </c>
      <c r="C1158" s="1" t="n">
        <v>45884</v>
      </c>
      <c r="D1158" t="inlineStr">
        <is>
          <t>KALMAR LÄN</t>
        </is>
      </c>
      <c r="E1158" t="inlineStr">
        <is>
          <t>VÄSTERVIK</t>
        </is>
      </c>
      <c r="G1158" t="n">
        <v>3.1</v>
      </c>
      <c r="H1158" t="n">
        <v>0</v>
      </c>
      <c r="I1158" t="n">
        <v>0</v>
      </c>
      <c r="J1158" t="n">
        <v>0</v>
      </c>
      <c r="K1158" t="n">
        <v>0</v>
      </c>
      <c r="L1158" t="n">
        <v>0</v>
      </c>
      <c r="M1158" t="n">
        <v>0</v>
      </c>
      <c r="N1158" t="n">
        <v>0</v>
      </c>
      <c r="O1158" t="n">
        <v>0</v>
      </c>
      <c r="P1158" t="n">
        <v>0</v>
      </c>
      <c r="Q1158" t="n">
        <v>0</v>
      </c>
      <c r="R1158" s="2" t="inlineStr"/>
    </row>
    <row r="1159" ht="15" customHeight="1">
      <c r="A1159" t="inlineStr">
        <is>
          <t>A 42137-2021</t>
        </is>
      </c>
      <c r="B1159" s="1" t="n">
        <v>44426</v>
      </c>
      <c r="C1159" s="1" t="n">
        <v>45884</v>
      </c>
      <c r="D1159" t="inlineStr">
        <is>
          <t>KALMAR LÄN</t>
        </is>
      </c>
      <c r="E1159" t="inlineStr">
        <is>
          <t>VÄSTERVIK</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45798-2022</t>
        </is>
      </c>
      <c r="B1160" s="1" t="n">
        <v>44846.45591435185</v>
      </c>
      <c r="C1160" s="1" t="n">
        <v>45884</v>
      </c>
      <c r="D1160" t="inlineStr">
        <is>
          <t>KALMAR LÄN</t>
        </is>
      </c>
      <c r="E1160" t="inlineStr">
        <is>
          <t>TORSÅS</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38976-2021</t>
        </is>
      </c>
      <c r="B1161" s="1" t="n">
        <v>44412</v>
      </c>
      <c r="C1161" s="1" t="n">
        <v>45884</v>
      </c>
      <c r="D1161" t="inlineStr">
        <is>
          <t>KALMAR LÄN</t>
        </is>
      </c>
      <c r="E1161" t="inlineStr">
        <is>
          <t>NYBRO</t>
        </is>
      </c>
      <c r="G1161" t="n">
        <v>3.5</v>
      </c>
      <c r="H1161" t="n">
        <v>0</v>
      </c>
      <c r="I1161" t="n">
        <v>0</v>
      </c>
      <c r="J1161" t="n">
        <v>0</v>
      </c>
      <c r="K1161" t="n">
        <v>0</v>
      </c>
      <c r="L1161" t="n">
        <v>0</v>
      </c>
      <c r="M1161" t="n">
        <v>0</v>
      </c>
      <c r="N1161" t="n">
        <v>0</v>
      </c>
      <c r="O1161" t="n">
        <v>0</v>
      </c>
      <c r="P1161" t="n">
        <v>0</v>
      </c>
      <c r="Q1161" t="n">
        <v>0</v>
      </c>
      <c r="R1161" s="2" t="inlineStr"/>
    </row>
    <row r="1162" ht="15" customHeight="1">
      <c r="A1162" t="inlineStr">
        <is>
          <t>A 61085-2021</t>
        </is>
      </c>
      <c r="B1162" s="1" t="n">
        <v>44498</v>
      </c>
      <c r="C1162" s="1" t="n">
        <v>45884</v>
      </c>
      <c r="D1162" t="inlineStr">
        <is>
          <t>KALMAR LÄN</t>
        </is>
      </c>
      <c r="E1162" t="inlineStr">
        <is>
          <t>KALMAR</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61086-2021</t>
        </is>
      </c>
      <c r="B1163" s="1" t="n">
        <v>44498</v>
      </c>
      <c r="C1163" s="1" t="n">
        <v>45884</v>
      </c>
      <c r="D1163" t="inlineStr">
        <is>
          <t>KALMAR LÄN</t>
        </is>
      </c>
      <c r="E1163" t="inlineStr">
        <is>
          <t>KALMAR</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44200-2022</t>
        </is>
      </c>
      <c r="B1164" s="1" t="n">
        <v>44839.48378472222</v>
      </c>
      <c r="C1164" s="1" t="n">
        <v>45884</v>
      </c>
      <c r="D1164" t="inlineStr">
        <is>
          <t>KALMAR LÄN</t>
        </is>
      </c>
      <c r="E1164" t="inlineStr">
        <is>
          <t>HULTSFRED</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57416-2021</t>
        </is>
      </c>
      <c r="B1165" s="1" t="n">
        <v>44483.58295138889</v>
      </c>
      <c r="C1165" s="1" t="n">
        <v>45884</v>
      </c>
      <c r="D1165" t="inlineStr">
        <is>
          <t>KALMAR LÄN</t>
        </is>
      </c>
      <c r="E1165" t="inlineStr">
        <is>
          <t>VIMMERBY</t>
        </is>
      </c>
      <c r="G1165" t="n">
        <v>2.9</v>
      </c>
      <c r="H1165" t="n">
        <v>0</v>
      </c>
      <c r="I1165" t="n">
        <v>0</v>
      </c>
      <c r="J1165" t="n">
        <v>0</v>
      </c>
      <c r="K1165" t="n">
        <v>0</v>
      </c>
      <c r="L1165" t="n">
        <v>0</v>
      </c>
      <c r="M1165" t="n">
        <v>0</v>
      </c>
      <c r="N1165" t="n">
        <v>0</v>
      </c>
      <c r="O1165" t="n">
        <v>0</v>
      </c>
      <c r="P1165" t="n">
        <v>0</v>
      </c>
      <c r="Q1165" t="n">
        <v>0</v>
      </c>
      <c r="R1165" s="2" t="inlineStr"/>
    </row>
    <row r="1166" ht="15" customHeight="1">
      <c r="A1166" t="inlineStr">
        <is>
          <t>A 7426-2021</t>
        </is>
      </c>
      <c r="B1166" s="1" t="n">
        <v>44239</v>
      </c>
      <c r="C1166" s="1" t="n">
        <v>45884</v>
      </c>
      <c r="D1166" t="inlineStr">
        <is>
          <t>KALMAR LÄN</t>
        </is>
      </c>
      <c r="E1166" t="inlineStr">
        <is>
          <t>EMMABODA</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59791-2021</t>
        </is>
      </c>
      <c r="B1167" s="1" t="n">
        <v>44494</v>
      </c>
      <c r="C1167" s="1" t="n">
        <v>45884</v>
      </c>
      <c r="D1167" t="inlineStr">
        <is>
          <t>KALMAR LÄN</t>
        </is>
      </c>
      <c r="E1167" t="inlineStr">
        <is>
          <t>VIMMERBY</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48873-2022</t>
        </is>
      </c>
      <c r="B1168" s="1" t="n">
        <v>44859</v>
      </c>
      <c r="C1168" s="1" t="n">
        <v>45884</v>
      </c>
      <c r="D1168" t="inlineStr">
        <is>
          <t>KALMAR LÄN</t>
        </is>
      </c>
      <c r="E1168" t="inlineStr">
        <is>
          <t>NYBRO</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58845-2021</t>
        </is>
      </c>
      <c r="B1169" s="1" t="n">
        <v>44489</v>
      </c>
      <c r="C1169" s="1" t="n">
        <v>45884</v>
      </c>
      <c r="D1169" t="inlineStr">
        <is>
          <t>KALMAR LÄN</t>
        </is>
      </c>
      <c r="E1169" t="inlineStr">
        <is>
          <t>KALMAR</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34489-2021</t>
        </is>
      </c>
      <c r="B1170" s="1" t="n">
        <v>44382</v>
      </c>
      <c r="C1170" s="1" t="n">
        <v>45884</v>
      </c>
      <c r="D1170" t="inlineStr">
        <is>
          <t>KALMAR LÄN</t>
        </is>
      </c>
      <c r="E1170" t="inlineStr">
        <is>
          <t>KALMAR</t>
        </is>
      </c>
      <c r="G1170" t="n">
        <v>4</v>
      </c>
      <c r="H1170" t="n">
        <v>0</v>
      </c>
      <c r="I1170" t="n">
        <v>0</v>
      </c>
      <c r="J1170" t="n">
        <v>0</v>
      </c>
      <c r="K1170" t="n">
        <v>0</v>
      </c>
      <c r="L1170" t="n">
        <v>0</v>
      </c>
      <c r="M1170" t="n">
        <v>0</v>
      </c>
      <c r="N1170" t="n">
        <v>0</v>
      </c>
      <c r="O1170" t="n">
        <v>0</v>
      </c>
      <c r="P1170" t="n">
        <v>0</v>
      </c>
      <c r="Q1170" t="n">
        <v>0</v>
      </c>
      <c r="R1170" s="2" t="inlineStr"/>
    </row>
    <row r="1171" ht="15" customHeight="1">
      <c r="A1171" t="inlineStr">
        <is>
          <t>A 48021-2021</t>
        </is>
      </c>
      <c r="B1171" s="1" t="n">
        <v>44449</v>
      </c>
      <c r="C1171" s="1" t="n">
        <v>45884</v>
      </c>
      <c r="D1171" t="inlineStr">
        <is>
          <t>KALMAR LÄN</t>
        </is>
      </c>
      <c r="E1171" t="inlineStr">
        <is>
          <t>VÄSTERVIK</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27762-2021</t>
        </is>
      </c>
      <c r="B1172" s="1" t="n">
        <v>44354</v>
      </c>
      <c r="C1172" s="1" t="n">
        <v>45884</v>
      </c>
      <c r="D1172" t="inlineStr">
        <is>
          <t>KALMAR LÄN</t>
        </is>
      </c>
      <c r="E1172" t="inlineStr">
        <is>
          <t>VIMMERBY</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59150-2021</t>
        </is>
      </c>
      <c r="B1173" s="1" t="n">
        <v>44490.51148148148</v>
      </c>
      <c r="C1173" s="1" t="n">
        <v>45884</v>
      </c>
      <c r="D1173" t="inlineStr">
        <is>
          <t>KALMAR LÄN</t>
        </is>
      </c>
      <c r="E1173" t="inlineStr">
        <is>
          <t>HULTSFRED</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53296-2021</t>
        </is>
      </c>
      <c r="B1174" s="1" t="n">
        <v>44468</v>
      </c>
      <c r="C1174" s="1" t="n">
        <v>45884</v>
      </c>
      <c r="D1174" t="inlineStr">
        <is>
          <t>KALMAR LÄN</t>
        </is>
      </c>
      <c r="E1174" t="inlineStr">
        <is>
          <t>HULTSFRED</t>
        </is>
      </c>
      <c r="F1174" t="inlineStr">
        <is>
          <t>Sveaskog</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61372-2020</t>
        </is>
      </c>
      <c r="B1175" s="1" t="n">
        <v>44155</v>
      </c>
      <c r="C1175" s="1" t="n">
        <v>45884</v>
      </c>
      <c r="D1175" t="inlineStr">
        <is>
          <t>KALMAR LÄN</t>
        </is>
      </c>
      <c r="E1175" t="inlineStr">
        <is>
          <t>TORSÅS</t>
        </is>
      </c>
      <c r="F1175" t="inlineStr">
        <is>
          <t>Övriga Aktiebolag</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71626-2021</t>
        </is>
      </c>
      <c r="B1176" s="1" t="n">
        <v>44542.8859375</v>
      </c>
      <c r="C1176" s="1" t="n">
        <v>45884</v>
      </c>
      <c r="D1176" t="inlineStr">
        <is>
          <t>KALMAR LÄN</t>
        </is>
      </c>
      <c r="E1176" t="inlineStr">
        <is>
          <t>VIMMERBY</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43684-2020</t>
        </is>
      </c>
      <c r="B1177" s="1" t="n">
        <v>44078</v>
      </c>
      <c r="C1177" s="1" t="n">
        <v>45884</v>
      </c>
      <c r="D1177" t="inlineStr">
        <is>
          <t>KALMAR LÄN</t>
        </is>
      </c>
      <c r="E1177" t="inlineStr">
        <is>
          <t>HÖGSBY</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64923-2021</t>
        </is>
      </c>
      <c r="B1178" s="1" t="n">
        <v>44512.70245370371</v>
      </c>
      <c r="C1178" s="1" t="n">
        <v>45884</v>
      </c>
      <c r="D1178" t="inlineStr">
        <is>
          <t>KALMAR LÄN</t>
        </is>
      </c>
      <c r="E1178" t="inlineStr">
        <is>
          <t>VIMMERBY</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43805-2021</t>
        </is>
      </c>
      <c r="B1179" s="1" t="n">
        <v>44433</v>
      </c>
      <c r="C1179" s="1" t="n">
        <v>45884</v>
      </c>
      <c r="D1179" t="inlineStr">
        <is>
          <t>KALMAR LÄN</t>
        </is>
      </c>
      <c r="E1179" t="inlineStr">
        <is>
          <t>VÄSTERVIK</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43810-2021</t>
        </is>
      </c>
      <c r="B1180" s="1" t="n">
        <v>44433</v>
      </c>
      <c r="C1180" s="1" t="n">
        <v>45884</v>
      </c>
      <c r="D1180" t="inlineStr">
        <is>
          <t>KALMAR LÄN</t>
        </is>
      </c>
      <c r="E1180" t="inlineStr">
        <is>
          <t>VÄSTERVIK</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8667-2022</t>
        </is>
      </c>
      <c r="B1181" s="1" t="n">
        <v>44613</v>
      </c>
      <c r="C1181" s="1" t="n">
        <v>45884</v>
      </c>
      <c r="D1181" t="inlineStr">
        <is>
          <t>KALMAR LÄN</t>
        </is>
      </c>
      <c r="E1181" t="inlineStr">
        <is>
          <t>OSKARSHAMN</t>
        </is>
      </c>
      <c r="G1181" t="n">
        <v>4.2</v>
      </c>
      <c r="H1181" t="n">
        <v>0</v>
      </c>
      <c r="I1181" t="n">
        <v>0</v>
      </c>
      <c r="J1181" t="n">
        <v>0</v>
      </c>
      <c r="K1181" t="n">
        <v>0</v>
      </c>
      <c r="L1181" t="n">
        <v>0</v>
      </c>
      <c r="M1181" t="n">
        <v>0</v>
      </c>
      <c r="N1181" t="n">
        <v>0</v>
      </c>
      <c r="O1181" t="n">
        <v>0</v>
      </c>
      <c r="P1181" t="n">
        <v>0</v>
      </c>
      <c r="Q1181" t="n">
        <v>0</v>
      </c>
      <c r="R1181" s="2" t="inlineStr"/>
    </row>
    <row r="1182" ht="15" customHeight="1">
      <c r="A1182" t="inlineStr">
        <is>
          <t>A 50977-2021</t>
        </is>
      </c>
      <c r="B1182" s="1" t="n">
        <v>44460.68069444445</v>
      </c>
      <c r="C1182" s="1" t="n">
        <v>45884</v>
      </c>
      <c r="D1182" t="inlineStr">
        <is>
          <t>KALMAR LÄN</t>
        </is>
      </c>
      <c r="E1182" t="inlineStr">
        <is>
          <t>VÄSTERVIK</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48119-2020</t>
        </is>
      </c>
      <c r="B1183" s="1" t="n">
        <v>44102</v>
      </c>
      <c r="C1183" s="1" t="n">
        <v>45884</v>
      </c>
      <c r="D1183" t="inlineStr">
        <is>
          <t>KALMAR LÄN</t>
        </is>
      </c>
      <c r="E1183" t="inlineStr">
        <is>
          <t>NYBRO</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63257-2020</t>
        </is>
      </c>
      <c r="B1184" s="1" t="n">
        <v>44164</v>
      </c>
      <c r="C1184" s="1" t="n">
        <v>45884</v>
      </c>
      <c r="D1184" t="inlineStr">
        <is>
          <t>KALMAR LÄN</t>
        </is>
      </c>
      <c r="E1184" t="inlineStr">
        <is>
          <t>NYBRO</t>
        </is>
      </c>
      <c r="G1184" t="n">
        <v>10.2</v>
      </c>
      <c r="H1184" t="n">
        <v>0</v>
      </c>
      <c r="I1184" t="n">
        <v>0</v>
      </c>
      <c r="J1184" t="n">
        <v>0</v>
      </c>
      <c r="K1184" t="n">
        <v>0</v>
      </c>
      <c r="L1184" t="n">
        <v>0</v>
      </c>
      <c r="M1184" t="n">
        <v>0</v>
      </c>
      <c r="N1184" t="n">
        <v>0</v>
      </c>
      <c r="O1184" t="n">
        <v>0</v>
      </c>
      <c r="P1184" t="n">
        <v>0</v>
      </c>
      <c r="Q1184" t="n">
        <v>0</v>
      </c>
      <c r="R1184" s="2" t="inlineStr"/>
    </row>
    <row r="1185" ht="15" customHeight="1">
      <c r="A1185" t="inlineStr">
        <is>
          <t>A 67721-2021</t>
        </is>
      </c>
      <c r="B1185" s="1" t="n">
        <v>44525.32100694445</v>
      </c>
      <c r="C1185" s="1" t="n">
        <v>45884</v>
      </c>
      <c r="D1185" t="inlineStr">
        <is>
          <t>KALMAR LÄN</t>
        </is>
      </c>
      <c r="E1185" t="inlineStr">
        <is>
          <t>KALMAR</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32665-2022</t>
        </is>
      </c>
      <c r="B1186" s="1" t="n">
        <v>44783</v>
      </c>
      <c r="C1186" s="1" t="n">
        <v>45884</v>
      </c>
      <c r="D1186" t="inlineStr">
        <is>
          <t>KALMAR LÄN</t>
        </is>
      </c>
      <c r="E1186" t="inlineStr">
        <is>
          <t>BORGHOLM</t>
        </is>
      </c>
      <c r="F1186" t="inlineStr">
        <is>
          <t>Sveaskog</t>
        </is>
      </c>
      <c r="G1186" t="n">
        <v>4.2</v>
      </c>
      <c r="H1186" t="n">
        <v>0</v>
      </c>
      <c r="I1186" t="n">
        <v>0</v>
      </c>
      <c r="J1186" t="n">
        <v>0</v>
      </c>
      <c r="K1186" t="n">
        <v>0</v>
      </c>
      <c r="L1186" t="n">
        <v>0</v>
      </c>
      <c r="M1186" t="n">
        <v>0</v>
      </c>
      <c r="N1186" t="n">
        <v>0</v>
      </c>
      <c r="O1186" t="n">
        <v>0</v>
      </c>
      <c r="P1186" t="n">
        <v>0</v>
      </c>
      <c r="Q1186" t="n">
        <v>0</v>
      </c>
      <c r="R1186" s="2" t="inlineStr"/>
    </row>
    <row r="1187" ht="15" customHeight="1">
      <c r="A1187" t="inlineStr">
        <is>
          <t>A 4646-2022</t>
        </is>
      </c>
      <c r="B1187" s="1" t="n">
        <v>44592.43043981482</v>
      </c>
      <c r="C1187" s="1" t="n">
        <v>45884</v>
      </c>
      <c r="D1187" t="inlineStr">
        <is>
          <t>KALMAR LÄN</t>
        </is>
      </c>
      <c r="E1187" t="inlineStr">
        <is>
          <t>TORSÅS</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14165-2022</t>
        </is>
      </c>
      <c r="B1188" s="1" t="n">
        <v>44651</v>
      </c>
      <c r="C1188" s="1" t="n">
        <v>45884</v>
      </c>
      <c r="D1188" t="inlineStr">
        <is>
          <t>KALMAR LÄN</t>
        </is>
      </c>
      <c r="E1188" t="inlineStr">
        <is>
          <t>MÖNSTERÅS</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57186-2021</t>
        </is>
      </c>
      <c r="B1189" s="1" t="n">
        <v>44482</v>
      </c>
      <c r="C1189" s="1" t="n">
        <v>45884</v>
      </c>
      <c r="D1189" t="inlineStr">
        <is>
          <t>KALMAR LÄN</t>
        </is>
      </c>
      <c r="E1189" t="inlineStr">
        <is>
          <t>HULTSFRED</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43598-2020</t>
        </is>
      </c>
      <c r="B1190" s="1" t="n">
        <v>44082</v>
      </c>
      <c r="C1190" s="1" t="n">
        <v>45884</v>
      </c>
      <c r="D1190" t="inlineStr">
        <is>
          <t>KALMAR LÄN</t>
        </is>
      </c>
      <c r="E1190" t="inlineStr">
        <is>
          <t>EMMABODA</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52615-2020</t>
        </is>
      </c>
      <c r="B1191" s="1" t="n">
        <v>44118</v>
      </c>
      <c r="C1191" s="1" t="n">
        <v>45884</v>
      </c>
      <c r="D1191" t="inlineStr">
        <is>
          <t>KALMAR LÄN</t>
        </is>
      </c>
      <c r="E1191" t="inlineStr">
        <is>
          <t>EMMABODA</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50310-2020</t>
        </is>
      </c>
      <c r="B1192" s="1" t="n">
        <v>44110</v>
      </c>
      <c r="C1192" s="1" t="n">
        <v>45884</v>
      </c>
      <c r="D1192" t="inlineStr">
        <is>
          <t>KALMAR LÄN</t>
        </is>
      </c>
      <c r="E1192" t="inlineStr">
        <is>
          <t>TORSÅS</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16813-2022</t>
        </is>
      </c>
      <c r="B1193" s="1" t="n">
        <v>44673</v>
      </c>
      <c r="C1193" s="1" t="n">
        <v>45884</v>
      </c>
      <c r="D1193" t="inlineStr">
        <is>
          <t>KALMAR LÄN</t>
        </is>
      </c>
      <c r="E1193" t="inlineStr">
        <is>
          <t>HULTSFRED</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50470-2022</t>
        </is>
      </c>
      <c r="B1194" s="1" t="n">
        <v>44861</v>
      </c>
      <c r="C1194" s="1" t="n">
        <v>45884</v>
      </c>
      <c r="D1194" t="inlineStr">
        <is>
          <t>KALMAR LÄN</t>
        </is>
      </c>
      <c r="E1194" t="inlineStr">
        <is>
          <t>NYBRO</t>
        </is>
      </c>
      <c r="F1194" t="inlineStr">
        <is>
          <t>Kyrkan</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20566-2022</t>
        </is>
      </c>
      <c r="B1195" s="1" t="n">
        <v>44700.38892361111</v>
      </c>
      <c r="C1195" s="1" t="n">
        <v>45884</v>
      </c>
      <c r="D1195" t="inlineStr">
        <is>
          <t>KALMAR LÄN</t>
        </is>
      </c>
      <c r="E1195" t="inlineStr">
        <is>
          <t>HULTSFRED</t>
        </is>
      </c>
      <c r="F1195" t="inlineStr">
        <is>
          <t>Sveaskog</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40364-2022</t>
        </is>
      </c>
      <c r="B1196" s="1" t="n">
        <v>44823</v>
      </c>
      <c r="C1196" s="1" t="n">
        <v>45884</v>
      </c>
      <c r="D1196" t="inlineStr">
        <is>
          <t>KALMAR LÄN</t>
        </is>
      </c>
      <c r="E1196" t="inlineStr">
        <is>
          <t>KALMAR</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33829-2022</t>
        </is>
      </c>
      <c r="B1197" s="1" t="n">
        <v>44790</v>
      </c>
      <c r="C1197" s="1" t="n">
        <v>45884</v>
      </c>
      <c r="D1197" t="inlineStr">
        <is>
          <t>KALMAR LÄN</t>
        </is>
      </c>
      <c r="E1197" t="inlineStr">
        <is>
          <t>VIMMERBY</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33830-2022</t>
        </is>
      </c>
      <c r="B1198" s="1" t="n">
        <v>44790</v>
      </c>
      <c r="C1198" s="1" t="n">
        <v>45884</v>
      </c>
      <c r="D1198" t="inlineStr">
        <is>
          <t>KALMAR LÄN</t>
        </is>
      </c>
      <c r="E1198" t="inlineStr">
        <is>
          <t>KALMAR</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38803-2020</t>
        </is>
      </c>
      <c r="B1199" s="1" t="n">
        <v>44062</v>
      </c>
      <c r="C1199" s="1" t="n">
        <v>45884</v>
      </c>
      <c r="D1199" t="inlineStr">
        <is>
          <t>KALMAR LÄN</t>
        </is>
      </c>
      <c r="E1199" t="inlineStr">
        <is>
          <t>KALMAR</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13557-2021</t>
        </is>
      </c>
      <c r="B1200" s="1" t="n">
        <v>44273.86541666667</v>
      </c>
      <c r="C1200" s="1" t="n">
        <v>45884</v>
      </c>
      <c r="D1200" t="inlineStr">
        <is>
          <t>KALMAR LÄN</t>
        </is>
      </c>
      <c r="E1200" t="inlineStr">
        <is>
          <t>KALMAR</t>
        </is>
      </c>
      <c r="G1200" t="n">
        <v>6</v>
      </c>
      <c r="H1200" t="n">
        <v>0</v>
      </c>
      <c r="I1200" t="n">
        <v>0</v>
      </c>
      <c r="J1200" t="n">
        <v>0</v>
      </c>
      <c r="K1200" t="n">
        <v>0</v>
      </c>
      <c r="L1200" t="n">
        <v>0</v>
      </c>
      <c r="M1200" t="n">
        <v>0</v>
      </c>
      <c r="N1200" t="n">
        <v>0</v>
      </c>
      <c r="O1200" t="n">
        <v>0</v>
      </c>
      <c r="P1200" t="n">
        <v>0</v>
      </c>
      <c r="Q1200" t="n">
        <v>0</v>
      </c>
      <c r="R1200" s="2" t="inlineStr"/>
    </row>
    <row r="1201" ht="15" customHeight="1">
      <c r="A1201" t="inlineStr">
        <is>
          <t>A 45678-2020</t>
        </is>
      </c>
      <c r="B1201" s="1" t="n">
        <v>44090</v>
      </c>
      <c r="C1201" s="1" t="n">
        <v>45884</v>
      </c>
      <c r="D1201" t="inlineStr">
        <is>
          <t>KALMAR LÄN</t>
        </is>
      </c>
      <c r="E1201" t="inlineStr">
        <is>
          <t>VIMMERBY</t>
        </is>
      </c>
      <c r="G1201" t="n">
        <v>4.3</v>
      </c>
      <c r="H1201" t="n">
        <v>0</v>
      </c>
      <c r="I1201" t="n">
        <v>0</v>
      </c>
      <c r="J1201" t="n">
        <v>0</v>
      </c>
      <c r="K1201" t="n">
        <v>0</v>
      </c>
      <c r="L1201" t="n">
        <v>0</v>
      </c>
      <c r="M1201" t="n">
        <v>0</v>
      </c>
      <c r="N1201" t="n">
        <v>0</v>
      </c>
      <c r="O1201" t="n">
        <v>0</v>
      </c>
      <c r="P1201" t="n">
        <v>0</v>
      </c>
      <c r="Q1201" t="n">
        <v>0</v>
      </c>
      <c r="R1201" s="2" t="inlineStr"/>
    </row>
    <row r="1202" ht="15" customHeight="1">
      <c r="A1202" t="inlineStr">
        <is>
          <t>A 51853-2021</t>
        </is>
      </c>
      <c r="B1202" s="1" t="n">
        <v>44462.69965277778</v>
      </c>
      <c r="C1202" s="1" t="n">
        <v>45884</v>
      </c>
      <c r="D1202" t="inlineStr">
        <is>
          <t>KALMAR LÄN</t>
        </is>
      </c>
      <c r="E1202" t="inlineStr">
        <is>
          <t>EMMABODA</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21337-2022</t>
        </is>
      </c>
      <c r="B1203" s="1" t="n">
        <v>44705</v>
      </c>
      <c r="C1203" s="1" t="n">
        <v>45884</v>
      </c>
      <c r="D1203" t="inlineStr">
        <is>
          <t>KALMAR LÄN</t>
        </is>
      </c>
      <c r="E1203" t="inlineStr">
        <is>
          <t>HULTSFRED</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7614-2021</t>
        </is>
      </c>
      <c r="B1204" s="1" t="n">
        <v>44240.59631944444</v>
      </c>
      <c r="C1204" s="1" t="n">
        <v>45884</v>
      </c>
      <c r="D1204" t="inlineStr">
        <is>
          <t>KALMAR LÄN</t>
        </is>
      </c>
      <c r="E1204" t="inlineStr">
        <is>
          <t>EMMABODA</t>
        </is>
      </c>
      <c r="G1204" t="n">
        <v>0.3</v>
      </c>
      <c r="H1204" t="n">
        <v>0</v>
      </c>
      <c r="I1204" t="n">
        <v>0</v>
      </c>
      <c r="J1204" t="n">
        <v>0</v>
      </c>
      <c r="K1204" t="n">
        <v>0</v>
      </c>
      <c r="L1204" t="n">
        <v>0</v>
      </c>
      <c r="M1204" t="n">
        <v>0</v>
      </c>
      <c r="N1204" t="n">
        <v>0</v>
      </c>
      <c r="O1204" t="n">
        <v>0</v>
      </c>
      <c r="P1204" t="n">
        <v>0</v>
      </c>
      <c r="Q1204" t="n">
        <v>0</v>
      </c>
      <c r="R1204" s="2" t="inlineStr"/>
    </row>
    <row r="1205" ht="15" customHeight="1">
      <c r="A1205" t="inlineStr">
        <is>
          <t>A 3621-2021</t>
        </is>
      </c>
      <c r="B1205" s="1" t="n">
        <v>44221.39408564815</v>
      </c>
      <c r="C1205" s="1" t="n">
        <v>45884</v>
      </c>
      <c r="D1205" t="inlineStr">
        <is>
          <t>KALMAR LÄN</t>
        </is>
      </c>
      <c r="E1205" t="inlineStr">
        <is>
          <t>VIMMERBY</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55685-2021</t>
        </is>
      </c>
      <c r="B1206" s="1" t="n">
        <v>44475</v>
      </c>
      <c r="C1206" s="1" t="n">
        <v>45884</v>
      </c>
      <c r="D1206" t="inlineStr">
        <is>
          <t>KALMAR LÄN</t>
        </is>
      </c>
      <c r="E1206" t="inlineStr">
        <is>
          <t>NYBRO</t>
        </is>
      </c>
      <c r="G1206" t="n">
        <v>4</v>
      </c>
      <c r="H1206" t="n">
        <v>0</v>
      </c>
      <c r="I1206" t="n">
        <v>0</v>
      </c>
      <c r="J1206" t="n">
        <v>0</v>
      </c>
      <c r="K1206" t="n">
        <v>0</v>
      </c>
      <c r="L1206" t="n">
        <v>0</v>
      </c>
      <c r="M1206" t="n">
        <v>0</v>
      </c>
      <c r="N1206" t="n">
        <v>0</v>
      </c>
      <c r="O1206" t="n">
        <v>0</v>
      </c>
      <c r="P1206" t="n">
        <v>0</v>
      </c>
      <c r="Q1206" t="n">
        <v>0</v>
      </c>
      <c r="R1206" s="2" t="inlineStr"/>
    </row>
    <row r="1207" ht="15" customHeight="1">
      <c r="A1207" t="inlineStr">
        <is>
          <t>A 13518-2022</t>
        </is>
      </c>
      <c r="B1207" s="1" t="n">
        <v>44648.3578587963</v>
      </c>
      <c r="C1207" s="1" t="n">
        <v>45884</v>
      </c>
      <c r="D1207" t="inlineStr">
        <is>
          <t>KALMAR LÄN</t>
        </is>
      </c>
      <c r="E1207" t="inlineStr">
        <is>
          <t>EMMABODA</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67184-2021</t>
        </is>
      </c>
      <c r="B1208" s="1" t="n">
        <v>44523</v>
      </c>
      <c r="C1208" s="1" t="n">
        <v>45884</v>
      </c>
      <c r="D1208" t="inlineStr">
        <is>
          <t>KALMAR LÄN</t>
        </is>
      </c>
      <c r="E1208" t="inlineStr">
        <is>
          <t>EMMABODA</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8788-2021</t>
        </is>
      </c>
      <c r="B1209" s="1" t="n">
        <v>44246</v>
      </c>
      <c r="C1209" s="1" t="n">
        <v>45884</v>
      </c>
      <c r="D1209" t="inlineStr">
        <is>
          <t>KALMAR LÄN</t>
        </is>
      </c>
      <c r="E1209" t="inlineStr">
        <is>
          <t>VÄSTERVIK</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8816-2021</t>
        </is>
      </c>
      <c r="B1210" s="1" t="n">
        <v>44246</v>
      </c>
      <c r="C1210" s="1" t="n">
        <v>45884</v>
      </c>
      <c r="D1210" t="inlineStr">
        <is>
          <t>KALMAR LÄN</t>
        </is>
      </c>
      <c r="E1210" t="inlineStr">
        <is>
          <t>NYBRO</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20419-2021</t>
        </is>
      </c>
      <c r="B1211" s="1" t="n">
        <v>44314</v>
      </c>
      <c r="C1211" s="1" t="n">
        <v>45884</v>
      </c>
      <c r="D1211" t="inlineStr">
        <is>
          <t>KALMAR LÄN</t>
        </is>
      </c>
      <c r="E1211" t="inlineStr">
        <is>
          <t>TORSÅS</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11566-2022</t>
        </is>
      </c>
      <c r="B1212" s="1" t="n">
        <v>44631.46762731481</v>
      </c>
      <c r="C1212" s="1" t="n">
        <v>45884</v>
      </c>
      <c r="D1212" t="inlineStr">
        <is>
          <t>KALMAR LÄN</t>
        </is>
      </c>
      <c r="E1212" t="inlineStr">
        <is>
          <t>HULTSFRED</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59839-2020</t>
        </is>
      </c>
      <c r="B1213" s="1" t="n">
        <v>44151.51568287037</v>
      </c>
      <c r="C1213" s="1" t="n">
        <v>45884</v>
      </c>
      <c r="D1213" t="inlineStr">
        <is>
          <t>KALMAR LÄN</t>
        </is>
      </c>
      <c r="E1213" t="inlineStr">
        <is>
          <t>KALMAR</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18825-2022</t>
        </is>
      </c>
      <c r="B1214" s="1" t="n">
        <v>44690</v>
      </c>
      <c r="C1214" s="1" t="n">
        <v>45884</v>
      </c>
      <c r="D1214" t="inlineStr">
        <is>
          <t>KALMAR LÄN</t>
        </is>
      </c>
      <c r="E1214" t="inlineStr">
        <is>
          <t>MÖNSTERÅS</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11145-2021</t>
        </is>
      </c>
      <c r="B1215" s="1" t="n">
        <v>44261</v>
      </c>
      <c r="C1215" s="1" t="n">
        <v>45884</v>
      </c>
      <c r="D1215" t="inlineStr">
        <is>
          <t>KALMAR LÄN</t>
        </is>
      </c>
      <c r="E1215" t="inlineStr">
        <is>
          <t>VIMMERBY</t>
        </is>
      </c>
      <c r="G1215" t="n">
        <v>3.5</v>
      </c>
      <c r="H1215" t="n">
        <v>0</v>
      </c>
      <c r="I1215" t="n">
        <v>0</v>
      </c>
      <c r="J1215" t="n">
        <v>0</v>
      </c>
      <c r="K1215" t="n">
        <v>0</v>
      </c>
      <c r="L1215" t="n">
        <v>0</v>
      </c>
      <c r="M1215" t="n">
        <v>0</v>
      </c>
      <c r="N1215" t="n">
        <v>0</v>
      </c>
      <c r="O1215" t="n">
        <v>0</v>
      </c>
      <c r="P1215" t="n">
        <v>0</v>
      </c>
      <c r="Q1215" t="n">
        <v>0</v>
      </c>
      <c r="R1215" s="2" t="inlineStr"/>
    </row>
    <row r="1216" ht="15" customHeight="1">
      <c r="A1216" t="inlineStr">
        <is>
          <t>A 42150-2021</t>
        </is>
      </c>
      <c r="B1216" s="1" t="n">
        <v>44426</v>
      </c>
      <c r="C1216" s="1" t="n">
        <v>45884</v>
      </c>
      <c r="D1216" t="inlineStr">
        <is>
          <t>KALMAR LÄN</t>
        </is>
      </c>
      <c r="E1216" t="inlineStr">
        <is>
          <t>VÄSTERVIK</t>
        </is>
      </c>
      <c r="G1216" t="n">
        <v>0.3</v>
      </c>
      <c r="H1216" t="n">
        <v>0</v>
      </c>
      <c r="I1216" t="n">
        <v>0</v>
      </c>
      <c r="J1216" t="n">
        <v>0</v>
      </c>
      <c r="K1216" t="n">
        <v>0</v>
      </c>
      <c r="L1216" t="n">
        <v>0</v>
      </c>
      <c r="M1216" t="n">
        <v>0</v>
      </c>
      <c r="N1216" t="n">
        <v>0</v>
      </c>
      <c r="O1216" t="n">
        <v>0</v>
      </c>
      <c r="P1216" t="n">
        <v>0</v>
      </c>
      <c r="Q1216" t="n">
        <v>0</v>
      </c>
      <c r="R1216" s="2" t="inlineStr"/>
    </row>
    <row r="1217" ht="15" customHeight="1">
      <c r="A1217" t="inlineStr">
        <is>
          <t>A 31790-2021</t>
        </is>
      </c>
      <c r="B1217" s="1" t="n">
        <v>44370</v>
      </c>
      <c r="C1217" s="1" t="n">
        <v>45884</v>
      </c>
      <c r="D1217" t="inlineStr">
        <is>
          <t>KALMAR LÄN</t>
        </is>
      </c>
      <c r="E1217" t="inlineStr">
        <is>
          <t>BORGHOLM</t>
        </is>
      </c>
      <c r="F1217" t="inlineStr">
        <is>
          <t>Sveaskog</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50533-2022</t>
        </is>
      </c>
      <c r="B1218" s="1" t="n">
        <v>44866.57854166667</v>
      </c>
      <c r="C1218" s="1" t="n">
        <v>45884</v>
      </c>
      <c r="D1218" t="inlineStr">
        <is>
          <t>KALMAR LÄN</t>
        </is>
      </c>
      <c r="E1218" t="inlineStr">
        <is>
          <t>OSKARSHAMN</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59134-2021</t>
        </is>
      </c>
      <c r="B1219" s="1" t="n">
        <v>44490</v>
      </c>
      <c r="C1219" s="1" t="n">
        <v>45884</v>
      </c>
      <c r="D1219" t="inlineStr">
        <is>
          <t>KALMAR LÄN</t>
        </is>
      </c>
      <c r="E1219" t="inlineStr">
        <is>
          <t>HULTSFRED</t>
        </is>
      </c>
      <c r="G1219" t="n">
        <v>4</v>
      </c>
      <c r="H1219" t="n">
        <v>0</v>
      </c>
      <c r="I1219" t="n">
        <v>0</v>
      </c>
      <c r="J1219" t="n">
        <v>0</v>
      </c>
      <c r="K1219" t="n">
        <v>0</v>
      </c>
      <c r="L1219" t="n">
        <v>0</v>
      </c>
      <c r="M1219" t="n">
        <v>0</v>
      </c>
      <c r="N1219" t="n">
        <v>0</v>
      </c>
      <c r="O1219" t="n">
        <v>0</v>
      </c>
      <c r="P1219" t="n">
        <v>0</v>
      </c>
      <c r="Q1219" t="n">
        <v>0</v>
      </c>
      <c r="R1219" s="2" t="inlineStr"/>
    </row>
    <row r="1220" ht="15" customHeight="1">
      <c r="A1220" t="inlineStr">
        <is>
          <t>A 30600-2021</t>
        </is>
      </c>
      <c r="B1220" s="1" t="n">
        <v>44365</v>
      </c>
      <c r="C1220" s="1" t="n">
        <v>45884</v>
      </c>
      <c r="D1220" t="inlineStr">
        <is>
          <t>KALMAR LÄN</t>
        </is>
      </c>
      <c r="E1220" t="inlineStr">
        <is>
          <t>NYBRO</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68840-2021</t>
        </is>
      </c>
      <c r="B1221" s="1" t="n">
        <v>44530.38055555556</v>
      </c>
      <c r="C1221" s="1" t="n">
        <v>45884</v>
      </c>
      <c r="D1221" t="inlineStr">
        <is>
          <t>KALMAR LÄN</t>
        </is>
      </c>
      <c r="E1221" t="inlineStr">
        <is>
          <t>VIMMERBY</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68873-2021</t>
        </is>
      </c>
      <c r="B1222" s="1" t="n">
        <v>44530</v>
      </c>
      <c r="C1222" s="1" t="n">
        <v>45884</v>
      </c>
      <c r="D1222" t="inlineStr">
        <is>
          <t>KALMAR LÄN</t>
        </is>
      </c>
      <c r="E1222" t="inlineStr">
        <is>
          <t>TORSÅS</t>
        </is>
      </c>
      <c r="G1222" t="n">
        <v>4.7</v>
      </c>
      <c r="H1222" t="n">
        <v>0</v>
      </c>
      <c r="I1222" t="n">
        <v>0</v>
      </c>
      <c r="J1222" t="n">
        <v>0</v>
      </c>
      <c r="K1222" t="n">
        <v>0</v>
      </c>
      <c r="L1222" t="n">
        <v>0</v>
      </c>
      <c r="M1222" t="n">
        <v>0</v>
      </c>
      <c r="N1222" t="n">
        <v>0</v>
      </c>
      <c r="O1222" t="n">
        <v>0</v>
      </c>
      <c r="P1222" t="n">
        <v>0</v>
      </c>
      <c r="Q1222" t="n">
        <v>0</v>
      </c>
      <c r="R1222" s="2" t="inlineStr"/>
    </row>
    <row r="1223" ht="15" customHeight="1">
      <c r="A1223" t="inlineStr">
        <is>
          <t>A 14294-2021</t>
        </is>
      </c>
      <c r="B1223" s="1" t="n">
        <v>44278</v>
      </c>
      <c r="C1223" s="1" t="n">
        <v>45884</v>
      </c>
      <c r="D1223" t="inlineStr">
        <is>
          <t>KALMAR LÄN</t>
        </is>
      </c>
      <c r="E1223" t="inlineStr">
        <is>
          <t>EMMABODA</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65320-2021</t>
        </is>
      </c>
      <c r="B1224" s="1" t="n">
        <v>44515.62953703704</v>
      </c>
      <c r="C1224" s="1" t="n">
        <v>45884</v>
      </c>
      <c r="D1224" t="inlineStr">
        <is>
          <t>KALMAR LÄN</t>
        </is>
      </c>
      <c r="E1224" t="inlineStr">
        <is>
          <t>OSKARSHAMN</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10117-2022</t>
        </is>
      </c>
      <c r="B1225" s="1" t="n">
        <v>44621.90621527778</v>
      </c>
      <c r="C1225" s="1" t="n">
        <v>45884</v>
      </c>
      <c r="D1225" t="inlineStr">
        <is>
          <t>KALMAR LÄN</t>
        </is>
      </c>
      <c r="E1225" t="inlineStr">
        <is>
          <t>VÄSTERVIK</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32783-2021</t>
        </is>
      </c>
      <c r="B1226" s="1" t="n">
        <v>44375</v>
      </c>
      <c r="C1226" s="1" t="n">
        <v>45884</v>
      </c>
      <c r="D1226" t="inlineStr">
        <is>
          <t>KALMAR LÄN</t>
        </is>
      </c>
      <c r="E1226" t="inlineStr">
        <is>
          <t>HULTSFRED</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54509-2021</t>
        </is>
      </c>
      <c r="B1227" s="1" t="n">
        <v>44473.51576388889</v>
      </c>
      <c r="C1227" s="1" t="n">
        <v>45884</v>
      </c>
      <c r="D1227" t="inlineStr">
        <is>
          <t>KALMAR LÄN</t>
        </is>
      </c>
      <c r="E1227" t="inlineStr">
        <is>
          <t>NYBRO</t>
        </is>
      </c>
      <c r="F1227" t="inlineStr">
        <is>
          <t>Sveaskog</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69410-2021</t>
        </is>
      </c>
      <c r="B1228" s="1" t="n">
        <v>44531</v>
      </c>
      <c r="C1228" s="1" t="n">
        <v>45884</v>
      </c>
      <c r="D1228" t="inlineStr">
        <is>
          <t>KALMAR LÄN</t>
        </is>
      </c>
      <c r="E1228" t="inlineStr">
        <is>
          <t>KALMAR</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8460-2021</t>
        </is>
      </c>
      <c r="B1229" s="1" t="n">
        <v>44245</v>
      </c>
      <c r="C1229" s="1" t="n">
        <v>45884</v>
      </c>
      <c r="D1229" t="inlineStr">
        <is>
          <t>KALMAR LÄN</t>
        </is>
      </c>
      <c r="E1229" t="inlineStr">
        <is>
          <t>NYBRO</t>
        </is>
      </c>
      <c r="G1229" t="n">
        <v>7</v>
      </c>
      <c r="H1229" t="n">
        <v>0</v>
      </c>
      <c r="I1229" t="n">
        <v>0</v>
      </c>
      <c r="J1229" t="n">
        <v>0</v>
      </c>
      <c r="K1229" t="n">
        <v>0</v>
      </c>
      <c r="L1229" t="n">
        <v>0</v>
      </c>
      <c r="M1229" t="n">
        <v>0</v>
      </c>
      <c r="N1229" t="n">
        <v>0</v>
      </c>
      <c r="O1229" t="n">
        <v>0</v>
      </c>
      <c r="P1229" t="n">
        <v>0</v>
      </c>
      <c r="Q1229" t="n">
        <v>0</v>
      </c>
      <c r="R1229" s="2" t="inlineStr"/>
    </row>
    <row r="1230" ht="15" customHeight="1">
      <c r="A1230" t="inlineStr">
        <is>
          <t>A 40630-2020</t>
        </is>
      </c>
      <c r="B1230" s="1" t="n">
        <v>44069</v>
      </c>
      <c r="C1230" s="1" t="n">
        <v>45884</v>
      </c>
      <c r="D1230" t="inlineStr">
        <is>
          <t>KALMAR LÄN</t>
        </is>
      </c>
      <c r="E1230" t="inlineStr">
        <is>
          <t>HULTSFRED</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66092-2021</t>
        </is>
      </c>
      <c r="B1231" s="1" t="n">
        <v>44517.67465277778</v>
      </c>
      <c r="C1231" s="1" t="n">
        <v>45884</v>
      </c>
      <c r="D1231" t="inlineStr">
        <is>
          <t>KALMAR LÄN</t>
        </is>
      </c>
      <c r="E1231" t="inlineStr">
        <is>
          <t>KALMAR</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34958-2021</t>
        </is>
      </c>
      <c r="B1232" s="1" t="n">
        <v>44383</v>
      </c>
      <c r="C1232" s="1" t="n">
        <v>45884</v>
      </c>
      <c r="D1232" t="inlineStr">
        <is>
          <t>KALMAR LÄN</t>
        </is>
      </c>
      <c r="E1232" t="inlineStr">
        <is>
          <t>VÄSTERVIK</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29747-2021</t>
        </is>
      </c>
      <c r="B1233" s="1" t="n">
        <v>44362</v>
      </c>
      <c r="C1233" s="1" t="n">
        <v>45884</v>
      </c>
      <c r="D1233" t="inlineStr">
        <is>
          <t>KALMAR LÄN</t>
        </is>
      </c>
      <c r="E1233" t="inlineStr">
        <is>
          <t>NYBRO</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30560-2021</t>
        </is>
      </c>
      <c r="B1234" s="1" t="n">
        <v>44364.74199074074</v>
      </c>
      <c r="C1234" s="1" t="n">
        <v>45884</v>
      </c>
      <c r="D1234" t="inlineStr">
        <is>
          <t>KALMAR LÄN</t>
        </is>
      </c>
      <c r="E1234" t="inlineStr">
        <is>
          <t>KALMAR</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10962-2022</t>
        </is>
      </c>
      <c r="B1235" s="1" t="n">
        <v>44628</v>
      </c>
      <c r="C1235" s="1" t="n">
        <v>45884</v>
      </c>
      <c r="D1235" t="inlineStr">
        <is>
          <t>KALMAR LÄN</t>
        </is>
      </c>
      <c r="E1235" t="inlineStr">
        <is>
          <t>EMMABODA</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2921-2022</t>
        </is>
      </c>
      <c r="B1236" s="1" t="n">
        <v>44581</v>
      </c>
      <c r="C1236" s="1" t="n">
        <v>45884</v>
      </c>
      <c r="D1236" t="inlineStr">
        <is>
          <t>KALMAR LÄN</t>
        </is>
      </c>
      <c r="E1236" t="inlineStr">
        <is>
          <t>NYBRO</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44117-2022</t>
        </is>
      </c>
      <c r="B1237" s="1" t="n">
        <v>44839.38984953704</v>
      </c>
      <c r="C1237" s="1" t="n">
        <v>45884</v>
      </c>
      <c r="D1237" t="inlineStr">
        <is>
          <t>KALMAR LÄN</t>
        </is>
      </c>
      <c r="E1237" t="inlineStr">
        <is>
          <t>TORSÅS</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4118-2022</t>
        </is>
      </c>
      <c r="B1238" s="1" t="n">
        <v>44588</v>
      </c>
      <c r="C1238" s="1" t="n">
        <v>45884</v>
      </c>
      <c r="D1238" t="inlineStr">
        <is>
          <t>KALMAR LÄN</t>
        </is>
      </c>
      <c r="E1238" t="inlineStr">
        <is>
          <t>VIMMERBY</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4125-2022</t>
        </is>
      </c>
      <c r="B1239" s="1" t="n">
        <v>44587</v>
      </c>
      <c r="C1239" s="1" t="n">
        <v>45884</v>
      </c>
      <c r="D1239" t="inlineStr">
        <is>
          <t>KALMAR LÄN</t>
        </is>
      </c>
      <c r="E1239" t="inlineStr">
        <is>
          <t>NYBRO</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72733-2021</t>
        </is>
      </c>
      <c r="B1240" s="1" t="n">
        <v>44546</v>
      </c>
      <c r="C1240" s="1" t="n">
        <v>45884</v>
      </c>
      <c r="D1240" t="inlineStr">
        <is>
          <t>KALMAR LÄN</t>
        </is>
      </c>
      <c r="E1240" t="inlineStr">
        <is>
          <t>VÄSTERVIK</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72735-2021</t>
        </is>
      </c>
      <c r="B1241" s="1" t="n">
        <v>44546.80212962963</v>
      </c>
      <c r="C1241" s="1" t="n">
        <v>45884</v>
      </c>
      <c r="D1241" t="inlineStr">
        <is>
          <t>KALMAR LÄN</t>
        </is>
      </c>
      <c r="E1241" t="inlineStr">
        <is>
          <t>OSKARSHAMN</t>
        </is>
      </c>
      <c r="F1241" t="inlineStr">
        <is>
          <t>Sveaskog</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4126-2022</t>
        </is>
      </c>
      <c r="B1242" s="1" t="n">
        <v>44588</v>
      </c>
      <c r="C1242" s="1" t="n">
        <v>45884</v>
      </c>
      <c r="D1242" t="inlineStr">
        <is>
          <t>KALMAR LÄN</t>
        </is>
      </c>
      <c r="E1242" t="inlineStr">
        <is>
          <t>VIMMERBY</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51979-2022</t>
        </is>
      </c>
      <c r="B1243" s="1" t="n">
        <v>44872.77071759259</v>
      </c>
      <c r="C1243" s="1" t="n">
        <v>45884</v>
      </c>
      <c r="D1243" t="inlineStr">
        <is>
          <t>KALMAR LÄN</t>
        </is>
      </c>
      <c r="E1243" t="inlineStr">
        <is>
          <t>KALMAR</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33452-2022</t>
        </is>
      </c>
      <c r="B1244" s="1" t="n">
        <v>44788.65715277778</v>
      </c>
      <c r="C1244" s="1" t="n">
        <v>45884</v>
      </c>
      <c r="D1244" t="inlineStr">
        <is>
          <t>KALMAR LÄN</t>
        </is>
      </c>
      <c r="E1244" t="inlineStr">
        <is>
          <t>EMMABODA</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14864-2022</t>
        </is>
      </c>
      <c r="B1245" s="1" t="n">
        <v>44656</v>
      </c>
      <c r="C1245" s="1" t="n">
        <v>45884</v>
      </c>
      <c r="D1245" t="inlineStr">
        <is>
          <t>KALMAR LÄN</t>
        </is>
      </c>
      <c r="E1245" t="inlineStr">
        <is>
          <t>NYBRO</t>
        </is>
      </c>
      <c r="F1245" t="inlineStr">
        <is>
          <t>Kommuner</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14976-2022</t>
        </is>
      </c>
      <c r="B1246" s="1" t="n">
        <v>44657</v>
      </c>
      <c r="C1246" s="1" t="n">
        <v>45884</v>
      </c>
      <c r="D1246" t="inlineStr">
        <is>
          <t>KALMAR LÄN</t>
        </is>
      </c>
      <c r="E1246" t="inlineStr">
        <is>
          <t>TORSÅS</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48194-2021</t>
        </is>
      </c>
      <c r="B1247" s="1" t="n">
        <v>44449.57666666667</v>
      </c>
      <c r="C1247" s="1" t="n">
        <v>45884</v>
      </c>
      <c r="D1247" t="inlineStr">
        <is>
          <t>KALMAR LÄN</t>
        </is>
      </c>
      <c r="E1247" t="inlineStr">
        <is>
          <t>NYBRO</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26217-2021</t>
        </is>
      </c>
      <c r="B1248" s="1" t="n">
        <v>44347.43119212963</v>
      </c>
      <c r="C1248" s="1" t="n">
        <v>45884</v>
      </c>
      <c r="D1248" t="inlineStr">
        <is>
          <t>KALMAR LÄN</t>
        </is>
      </c>
      <c r="E1248" t="inlineStr">
        <is>
          <t>EMMABODA</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45413-2022</t>
        </is>
      </c>
      <c r="B1249" s="1" t="n">
        <v>44844</v>
      </c>
      <c r="C1249" s="1" t="n">
        <v>45884</v>
      </c>
      <c r="D1249" t="inlineStr">
        <is>
          <t>KALMAR LÄN</t>
        </is>
      </c>
      <c r="E1249" t="inlineStr">
        <is>
          <t>NYBRO</t>
        </is>
      </c>
      <c r="G1249" t="n">
        <v>5.2</v>
      </c>
      <c r="H1249" t="n">
        <v>0</v>
      </c>
      <c r="I1249" t="n">
        <v>0</v>
      </c>
      <c r="J1249" t="n">
        <v>0</v>
      </c>
      <c r="K1249" t="n">
        <v>0</v>
      </c>
      <c r="L1249" t="n">
        <v>0</v>
      </c>
      <c r="M1249" t="n">
        <v>0</v>
      </c>
      <c r="N1249" t="n">
        <v>0</v>
      </c>
      <c r="O1249" t="n">
        <v>0</v>
      </c>
      <c r="P1249" t="n">
        <v>0</v>
      </c>
      <c r="Q1249" t="n">
        <v>0</v>
      </c>
      <c r="R1249" s="2" t="inlineStr"/>
    </row>
    <row r="1250" ht="15" customHeight="1">
      <c r="A1250" t="inlineStr">
        <is>
          <t>A 48899-2020</t>
        </is>
      </c>
      <c r="B1250" s="1" t="n">
        <v>44102</v>
      </c>
      <c r="C1250" s="1" t="n">
        <v>45884</v>
      </c>
      <c r="D1250" t="inlineStr">
        <is>
          <t>KALMAR LÄN</t>
        </is>
      </c>
      <c r="E1250" t="inlineStr">
        <is>
          <t>OSKARSHAMN</t>
        </is>
      </c>
      <c r="G1250" t="n">
        <v>4.6</v>
      </c>
      <c r="H1250" t="n">
        <v>0</v>
      </c>
      <c r="I1250" t="n">
        <v>0</v>
      </c>
      <c r="J1250" t="n">
        <v>0</v>
      </c>
      <c r="K1250" t="n">
        <v>0</v>
      </c>
      <c r="L1250" t="n">
        <v>0</v>
      </c>
      <c r="M1250" t="n">
        <v>0</v>
      </c>
      <c r="N1250" t="n">
        <v>0</v>
      </c>
      <c r="O1250" t="n">
        <v>0</v>
      </c>
      <c r="P1250" t="n">
        <v>0</v>
      </c>
      <c r="Q1250" t="n">
        <v>0</v>
      </c>
      <c r="R1250" s="2" t="inlineStr"/>
    </row>
    <row r="1251" ht="15" customHeight="1">
      <c r="A1251" t="inlineStr">
        <is>
          <t>A 34735-2021</t>
        </is>
      </c>
      <c r="B1251" s="1" t="n">
        <v>44382.6675925926</v>
      </c>
      <c r="C1251" s="1" t="n">
        <v>45884</v>
      </c>
      <c r="D1251" t="inlineStr">
        <is>
          <t>KALMAR LÄN</t>
        </is>
      </c>
      <c r="E1251" t="inlineStr">
        <is>
          <t>EMMABODA</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7143-2022</t>
        </is>
      </c>
      <c r="B1252" s="1" t="n">
        <v>44603</v>
      </c>
      <c r="C1252" s="1" t="n">
        <v>45884</v>
      </c>
      <c r="D1252" t="inlineStr">
        <is>
          <t>KALMAR LÄN</t>
        </is>
      </c>
      <c r="E1252" t="inlineStr">
        <is>
          <t>OSKARSHAMN</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39557-2021</t>
        </is>
      </c>
      <c r="B1253" s="1" t="n">
        <v>44416</v>
      </c>
      <c r="C1253" s="1" t="n">
        <v>45884</v>
      </c>
      <c r="D1253" t="inlineStr">
        <is>
          <t>KALMAR LÄN</t>
        </is>
      </c>
      <c r="E1253" t="inlineStr">
        <is>
          <t>EMMABODA</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38772-2022</t>
        </is>
      </c>
      <c r="B1254" s="1" t="n">
        <v>44816</v>
      </c>
      <c r="C1254" s="1" t="n">
        <v>45884</v>
      </c>
      <c r="D1254" t="inlineStr">
        <is>
          <t>KALMAR LÄN</t>
        </is>
      </c>
      <c r="E1254" t="inlineStr">
        <is>
          <t>NYBRO</t>
        </is>
      </c>
      <c r="G1254" t="n">
        <v>0.3</v>
      </c>
      <c r="H1254" t="n">
        <v>0</v>
      </c>
      <c r="I1254" t="n">
        <v>0</v>
      </c>
      <c r="J1254" t="n">
        <v>0</v>
      </c>
      <c r="K1254" t="n">
        <v>0</v>
      </c>
      <c r="L1254" t="n">
        <v>0</v>
      </c>
      <c r="M1254" t="n">
        <v>0</v>
      </c>
      <c r="N1254" t="n">
        <v>0</v>
      </c>
      <c r="O1254" t="n">
        <v>0</v>
      </c>
      <c r="P1254" t="n">
        <v>0</v>
      </c>
      <c r="Q1254" t="n">
        <v>0</v>
      </c>
      <c r="R1254" s="2" t="inlineStr"/>
    </row>
    <row r="1255" ht="15" customHeight="1">
      <c r="A1255" t="inlineStr">
        <is>
          <t>A 38789-2022</t>
        </is>
      </c>
      <c r="B1255" s="1" t="n">
        <v>44816</v>
      </c>
      <c r="C1255" s="1" t="n">
        <v>45884</v>
      </c>
      <c r="D1255" t="inlineStr">
        <is>
          <t>KALMAR LÄN</t>
        </is>
      </c>
      <c r="E1255" t="inlineStr">
        <is>
          <t>TORSÅS</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38901-2022</t>
        </is>
      </c>
      <c r="B1256" s="1" t="n">
        <v>44816.59976851852</v>
      </c>
      <c r="C1256" s="1" t="n">
        <v>45884</v>
      </c>
      <c r="D1256" t="inlineStr">
        <is>
          <t>KALMAR LÄN</t>
        </is>
      </c>
      <c r="E1256" t="inlineStr">
        <is>
          <t>HÖGSBY</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914-2022</t>
        </is>
      </c>
      <c r="B1257" s="1" t="n">
        <v>44571.48392361111</v>
      </c>
      <c r="C1257" s="1" t="n">
        <v>45884</v>
      </c>
      <c r="D1257" t="inlineStr">
        <is>
          <t>KALMAR LÄN</t>
        </is>
      </c>
      <c r="E1257" t="inlineStr">
        <is>
          <t>NYBRO</t>
        </is>
      </c>
      <c r="F1257" t="inlineStr">
        <is>
          <t>Sveaskog</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8444-2022</t>
        </is>
      </c>
      <c r="B1258" s="1" t="n">
        <v>44612</v>
      </c>
      <c r="C1258" s="1" t="n">
        <v>45884</v>
      </c>
      <c r="D1258" t="inlineStr">
        <is>
          <t>KALMAR LÄN</t>
        </is>
      </c>
      <c r="E1258" t="inlineStr">
        <is>
          <t>NYBRO</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2721-2022</t>
        </is>
      </c>
      <c r="B1259" s="1" t="n">
        <v>44580</v>
      </c>
      <c r="C1259" s="1" t="n">
        <v>45884</v>
      </c>
      <c r="D1259" t="inlineStr">
        <is>
          <t>KALMAR LÄN</t>
        </is>
      </c>
      <c r="E1259" t="inlineStr">
        <is>
          <t>OSKARSHAMN</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6794-2022</t>
        </is>
      </c>
      <c r="B1260" s="1" t="n">
        <v>44602</v>
      </c>
      <c r="C1260" s="1" t="n">
        <v>45884</v>
      </c>
      <c r="D1260" t="inlineStr">
        <is>
          <t>KALMAR LÄN</t>
        </is>
      </c>
      <c r="E1260" t="inlineStr">
        <is>
          <t>KALMAR</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10392-2022</t>
        </is>
      </c>
      <c r="B1261" s="1" t="n">
        <v>44623.42868055555</v>
      </c>
      <c r="C1261" s="1" t="n">
        <v>45884</v>
      </c>
      <c r="D1261" t="inlineStr">
        <is>
          <t>KALMAR LÄN</t>
        </is>
      </c>
      <c r="E1261" t="inlineStr">
        <is>
          <t>KALMAR</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3664-2022</t>
        </is>
      </c>
      <c r="B1262" s="1" t="n">
        <v>44586</v>
      </c>
      <c r="C1262" s="1" t="n">
        <v>45884</v>
      </c>
      <c r="D1262" t="inlineStr">
        <is>
          <t>KALMAR LÄN</t>
        </is>
      </c>
      <c r="E1262" t="inlineStr">
        <is>
          <t>TORSÅS</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29293-2021</t>
        </is>
      </c>
      <c r="B1263" s="1" t="n">
        <v>44361.39021990741</v>
      </c>
      <c r="C1263" s="1" t="n">
        <v>45884</v>
      </c>
      <c r="D1263" t="inlineStr">
        <is>
          <t>KALMAR LÄN</t>
        </is>
      </c>
      <c r="E1263" t="inlineStr">
        <is>
          <t>EMMABODA</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38333-2020</t>
        </is>
      </c>
      <c r="B1264" s="1" t="n">
        <v>44060</v>
      </c>
      <c r="C1264" s="1" t="n">
        <v>45884</v>
      </c>
      <c r="D1264" t="inlineStr">
        <is>
          <t>KALMAR LÄN</t>
        </is>
      </c>
      <c r="E1264" t="inlineStr">
        <is>
          <t>MÖNSTERÅS</t>
        </is>
      </c>
      <c r="G1264" t="n">
        <v>9.699999999999999</v>
      </c>
      <c r="H1264" t="n">
        <v>0</v>
      </c>
      <c r="I1264" t="n">
        <v>0</v>
      </c>
      <c r="J1264" t="n">
        <v>0</v>
      </c>
      <c r="K1264" t="n">
        <v>0</v>
      </c>
      <c r="L1264" t="n">
        <v>0</v>
      </c>
      <c r="M1264" t="n">
        <v>0</v>
      </c>
      <c r="N1264" t="n">
        <v>0</v>
      </c>
      <c r="O1264" t="n">
        <v>0</v>
      </c>
      <c r="P1264" t="n">
        <v>0</v>
      </c>
      <c r="Q1264" t="n">
        <v>0</v>
      </c>
      <c r="R1264" s="2" t="inlineStr"/>
    </row>
    <row r="1265" ht="15" customHeight="1">
      <c r="A1265" t="inlineStr">
        <is>
          <t>A 39624-2021</t>
        </is>
      </c>
      <c r="B1265" s="1" t="n">
        <v>44417</v>
      </c>
      <c r="C1265" s="1" t="n">
        <v>45884</v>
      </c>
      <c r="D1265" t="inlineStr">
        <is>
          <t>KALMAR LÄN</t>
        </is>
      </c>
      <c r="E1265" t="inlineStr">
        <is>
          <t>KALMAR</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33820-2022</t>
        </is>
      </c>
      <c r="B1266" s="1" t="n">
        <v>44790</v>
      </c>
      <c r="C1266" s="1" t="n">
        <v>45884</v>
      </c>
      <c r="D1266" t="inlineStr">
        <is>
          <t>KALMAR LÄN</t>
        </is>
      </c>
      <c r="E1266" t="inlineStr">
        <is>
          <t>VIMMERBY</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33824-2022</t>
        </is>
      </c>
      <c r="B1267" s="1" t="n">
        <v>44790.47628472222</v>
      </c>
      <c r="C1267" s="1" t="n">
        <v>45884</v>
      </c>
      <c r="D1267" t="inlineStr">
        <is>
          <t>KALMAR LÄN</t>
        </is>
      </c>
      <c r="E1267" t="inlineStr">
        <is>
          <t>VIMMERBY</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46781-2022</t>
        </is>
      </c>
      <c r="B1268" s="1" t="n">
        <v>44851.49836805555</v>
      </c>
      <c r="C1268" s="1" t="n">
        <v>45884</v>
      </c>
      <c r="D1268" t="inlineStr">
        <is>
          <t>KALMAR LÄN</t>
        </is>
      </c>
      <c r="E1268" t="inlineStr">
        <is>
          <t>VÄSTERVIK</t>
        </is>
      </c>
      <c r="G1268" t="n">
        <v>13.2</v>
      </c>
      <c r="H1268" t="n">
        <v>0</v>
      </c>
      <c r="I1268" t="n">
        <v>0</v>
      </c>
      <c r="J1268" t="n">
        <v>0</v>
      </c>
      <c r="K1268" t="n">
        <v>0</v>
      </c>
      <c r="L1268" t="n">
        <v>0</v>
      </c>
      <c r="M1268" t="n">
        <v>0</v>
      </c>
      <c r="N1268" t="n">
        <v>0</v>
      </c>
      <c r="O1268" t="n">
        <v>0</v>
      </c>
      <c r="P1268" t="n">
        <v>0</v>
      </c>
      <c r="Q1268" t="n">
        <v>0</v>
      </c>
      <c r="R1268" s="2" t="inlineStr"/>
    </row>
    <row r="1269" ht="15" customHeight="1">
      <c r="A1269" t="inlineStr">
        <is>
          <t>A 46794-2022</t>
        </is>
      </c>
      <c r="B1269" s="1" t="n">
        <v>44851.52685185185</v>
      </c>
      <c r="C1269" s="1" t="n">
        <v>45884</v>
      </c>
      <c r="D1269" t="inlineStr">
        <is>
          <t>KALMAR LÄN</t>
        </is>
      </c>
      <c r="E1269" t="inlineStr">
        <is>
          <t>OSKARSHAMN</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59831-2020</t>
        </is>
      </c>
      <c r="B1270" s="1" t="n">
        <v>44151</v>
      </c>
      <c r="C1270" s="1" t="n">
        <v>45884</v>
      </c>
      <c r="D1270" t="inlineStr">
        <is>
          <t>KALMAR LÄN</t>
        </is>
      </c>
      <c r="E1270" t="inlineStr">
        <is>
          <t>KALMAR</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26232-2021</t>
        </is>
      </c>
      <c r="B1271" s="1" t="n">
        <v>44347.44501157408</v>
      </c>
      <c r="C1271" s="1" t="n">
        <v>45884</v>
      </c>
      <c r="D1271" t="inlineStr">
        <is>
          <t>KALMAR LÄN</t>
        </is>
      </c>
      <c r="E1271" t="inlineStr">
        <is>
          <t>EMMABODA</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10348-2022</t>
        </is>
      </c>
      <c r="B1272" s="1" t="n">
        <v>44623</v>
      </c>
      <c r="C1272" s="1" t="n">
        <v>45884</v>
      </c>
      <c r="D1272" t="inlineStr">
        <is>
          <t>KALMAR LÄN</t>
        </is>
      </c>
      <c r="E1272" t="inlineStr">
        <is>
          <t>BORGHOLM</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65952-2020</t>
        </is>
      </c>
      <c r="B1273" s="1" t="n">
        <v>44175.3815625</v>
      </c>
      <c r="C1273" s="1" t="n">
        <v>45884</v>
      </c>
      <c r="D1273" t="inlineStr">
        <is>
          <t>KALMAR LÄN</t>
        </is>
      </c>
      <c r="E1273" t="inlineStr">
        <is>
          <t>VIMMERBY</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60381-2020</t>
        </is>
      </c>
      <c r="B1274" s="1" t="n">
        <v>44152</v>
      </c>
      <c r="C1274" s="1" t="n">
        <v>45884</v>
      </c>
      <c r="D1274" t="inlineStr">
        <is>
          <t>KALMAR LÄN</t>
        </is>
      </c>
      <c r="E1274" t="inlineStr">
        <is>
          <t>NYBRO</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65973-2020</t>
        </is>
      </c>
      <c r="B1275" s="1" t="n">
        <v>44175.40881944444</v>
      </c>
      <c r="C1275" s="1" t="n">
        <v>45884</v>
      </c>
      <c r="D1275" t="inlineStr">
        <is>
          <t>KALMAR LÄN</t>
        </is>
      </c>
      <c r="E1275" t="inlineStr">
        <is>
          <t>VIMMERBY</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38103-2021</t>
        </is>
      </c>
      <c r="B1276" s="1" t="n">
        <v>44405</v>
      </c>
      <c r="C1276" s="1" t="n">
        <v>45884</v>
      </c>
      <c r="D1276" t="inlineStr">
        <is>
          <t>KALMAR LÄN</t>
        </is>
      </c>
      <c r="E1276" t="inlineStr">
        <is>
          <t>EMMABODA</t>
        </is>
      </c>
      <c r="G1276" t="n">
        <v>4.9</v>
      </c>
      <c r="H1276" t="n">
        <v>0</v>
      </c>
      <c r="I1276" t="n">
        <v>0</v>
      </c>
      <c r="J1276" t="n">
        <v>0</v>
      </c>
      <c r="K1276" t="n">
        <v>0</v>
      </c>
      <c r="L1276" t="n">
        <v>0</v>
      </c>
      <c r="M1276" t="n">
        <v>0</v>
      </c>
      <c r="N1276" t="n">
        <v>0</v>
      </c>
      <c r="O1276" t="n">
        <v>0</v>
      </c>
      <c r="P1276" t="n">
        <v>0</v>
      </c>
      <c r="Q1276" t="n">
        <v>0</v>
      </c>
      <c r="R1276" s="2" t="inlineStr"/>
    </row>
    <row r="1277" ht="15" customHeight="1">
      <c r="A1277" t="inlineStr">
        <is>
          <t>A 64919-2020</t>
        </is>
      </c>
      <c r="B1277" s="1" t="n">
        <v>44172</v>
      </c>
      <c r="C1277" s="1" t="n">
        <v>45884</v>
      </c>
      <c r="D1277" t="inlineStr">
        <is>
          <t>KALMAR LÄN</t>
        </is>
      </c>
      <c r="E1277" t="inlineStr">
        <is>
          <t>TORSÅS</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38872-2020</t>
        </is>
      </c>
      <c r="B1278" s="1" t="n">
        <v>44062</v>
      </c>
      <c r="C1278" s="1" t="n">
        <v>45884</v>
      </c>
      <c r="D1278" t="inlineStr">
        <is>
          <t>KALMAR LÄN</t>
        </is>
      </c>
      <c r="E1278" t="inlineStr">
        <is>
          <t>EMMABODA</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42597-2022</t>
        </is>
      </c>
      <c r="B1279" s="1" t="n">
        <v>44831</v>
      </c>
      <c r="C1279" s="1" t="n">
        <v>45884</v>
      </c>
      <c r="D1279" t="inlineStr">
        <is>
          <t>KALMAR LÄN</t>
        </is>
      </c>
      <c r="E1279" t="inlineStr">
        <is>
          <t>HULTSFRED</t>
        </is>
      </c>
      <c r="G1279" t="n">
        <v>4.6</v>
      </c>
      <c r="H1279" t="n">
        <v>0</v>
      </c>
      <c r="I1279" t="n">
        <v>0</v>
      </c>
      <c r="J1279" t="n">
        <v>0</v>
      </c>
      <c r="K1279" t="n">
        <v>0</v>
      </c>
      <c r="L1279" t="n">
        <v>0</v>
      </c>
      <c r="M1279" t="n">
        <v>0</v>
      </c>
      <c r="N1279" t="n">
        <v>0</v>
      </c>
      <c r="O1279" t="n">
        <v>0</v>
      </c>
      <c r="P1279" t="n">
        <v>0</v>
      </c>
      <c r="Q1279" t="n">
        <v>0</v>
      </c>
      <c r="R1279" s="2" t="inlineStr"/>
    </row>
    <row r="1280" ht="15" customHeight="1">
      <c r="A1280" t="inlineStr">
        <is>
          <t>A 42598-2022</t>
        </is>
      </c>
      <c r="B1280" s="1" t="n">
        <v>44831.75778935185</v>
      </c>
      <c r="C1280" s="1" t="n">
        <v>45884</v>
      </c>
      <c r="D1280" t="inlineStr">
        <is>
          <t>KALMAR LÄN</t>
        </is>
      </c>
      <c r="E1280" t="inlineStr">
        <is>
          <t>HULTSFRED</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10736-2022</t>
        </is>
      </c>
      <c r="B1281" s="1" t="n">
        <v>44627.34532407407</v>
      </c>
      <c r="C1281" s="1" t="n">
        <v>45884</v>
      </c>
      <c r="D1281" t="inlineStr">
        <is>
          <t>KALMAR LÄN</t>
        </is>
      </c>
      <c r="E1281" t="inlineStr">
        <is>
          <t>EMMABODA</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44300-2020</t>
        </is>
      </c>
      <c r="B1282" s="1" t="n">
        <v>44084</v>
      </c>
      <c r="C1282" s="1" t="n">
        <v>45884</v>
      </c>
      <c r="D1282" t="inlineStr">
        <is>
          <t>KALMAR LÄN</t>
        </is>
      </c>
      <c r="E1282" t="inlineStr">
        <is>
          <t>KALMAR</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38844-2020</t>
        </is>
      </c>
      <c r="B1283" s="1" t="n">
        <v>44062</v>
      </c>
      <c r="C1283" s="1" t="n">
        <v>45884</v>
      </c>
      <c r="D1283" t="inlineStr">
        <is>
          <t>KALMAR LÄN</t>
        </is>
      </c>
      <c r="E1283" t="inlineStr">
        <is>
          <t>VIMMERBY</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28345-2022</t>
        </is>
      </c>
      <c r="B1284" s="1" t="n">
        <v>44747</v>
      </c>
      <c r="C1284" s="1" t="n">
        <v>45884</v>
      </c>
      <c r="D1284" t="inlineStr">
        <is>
          <t>KALMAR LÄN</t>
        </is>
      </c>
      <c r="E1284" t="inlineStr">
        <is>
          <t>BORGHOLM</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38540-2020</t>
        </is>
      </c>
      <c r="B1285" s="1" t="n">
        <v>44061</v>
      </c>
      <c r="C1285" s="1" t="n">
        <v>45884</v>
      </c>
      <c r="D1285" t="inlineStr">
        <is>
          <t>KALMAR LÄN</t>
        </is>
      </c>
      <c r="E1285" t="inlineStr">
        <is>
          <t>HÖGSBY</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36670-2021</t>
        </is>
      </c>
      <c r="B1286" s="1" t="n">
        <v>44392.4420949074</v>
      </c>
      <c r="C1286" s="1" t="n">
        <v>45884</v>
      </c>
      <c r="D1286" t="inlineStr">
        <is>
          <t>KALMAR LÄN</t>
        </is>
      </c>
      <c r="E1286" t="inlineStr">
        <is>
          <t>EMMABODA</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48355-2022</t>
        </is>
      </c>
      <c r="B1287" s="1" t="n">
        <v>44858.57224537037</v>
      </c>
      <c r="C1287" s="1" t="n">
        <v>45884</v>
      </c>
      <c r="D1287" t="inlineStr">
        <is>
          <t>KALMAR LÄN</t>
        </is>
      </c>
      <c r="E1287" t="inlineStr">
        <is>
          <t>KALMAR</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66559-2020</t>
        </is>
      </c>
      <c r="B1288" s="1" t="n">
        <v>44179</v>
      </c>
      <c r="C1288" s="1" t="n">
        <v>45884</v>
      </c>
      <c r="D1288" t="inlineStr">
        <is>
          <t>KALMAR LÄN</t>
        </is>
      </c>
      <c r="E1288" t="inlineStr">
        <is>
          <t>HULTSFRED</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235-2021</t>
        </is>
      </c>
      <c r="B1289" s="1" t="n">
        <v>44200</v>
      </c>
      <c r="C1289" s="1" t="n">
        <v>45884</v>
      </c>
      <c r="D1289" t="inlineStr">
        <is>
          <t>KALMAR LÄN</t>
        </is>
      </c>
      <c r="E1289" t="inlineStr">
        <is>
          <t>HÖGSBY</t>
        </is>
      </c>
      <c r="G1289" t="n">
        <v>9.300000000000001</v>
      </c>
      <c r="H1289" t="n">
        <v>0</v>
      </c>
      <c r="I1289" t="n">
        <v>0</v>
      </c>
      <c r="J1289" t="n">
        <v>0</v>
      </c>
      <c r="K1289" t="n">
        <v>0</v>
      </c>
      <c r="L1289" t="n">
        <v>0</v>
      </c>
      <c r="M1289" t="n">
        <v>0</v>
      </c>
      <c r="N1289" t="n">
        <v>0</v>
      </c>
      <c r="O1289" t="n">
        <v>0</v>
      </c>
      <c r="P1289" t="n">
        <v>0</v>
      </c>
      <c r="Q1289" t="n">
        <v>0</v>
      </c>
      <c r="R1289" s="2" t="inlineStr"/>
    </row>
    <row r="1290" ht="15" customHeight="1">
      <c r="A1290" t="inlineStr">
        <is>
          <t>A 13448-2022</t>
        </is>
      </c>
      <c r="B1290" s="1" t="n">
        <v>44645.61962962963</v>
      </c>
      <c r="C1290" s="1" t="n">
        <v>45884</v>
      </c>
      <c r="D1290" t="inlineStr">
        <is>
          <t>KALMAR LÄN</t>
        </is>
      </c>
      <c r="E1290" t="inlineStr">
        <is>
          <t>NYBRO</t>
        </is>
      </c>
      <c r="G1290" t="n">
        <v>3.1</v>
      </c>
      <c r="H1290" t="n">
        <v>0</v>
      </c>
      <c r="I1290" t="n">
        <v>0</v>
      </c>
      <c r="J1290" t="n">
        <v>0</v>
      </c>
      <c r="K1290" t="n">
        <v>0</v>
      </c>
      <c r="L1290" t="n">
        <v>0</v>
      </c>
      <c r="M1290" t="n">
        <v>0</v>
      </c>
      <c r="N1290" t="n">
        <v>0</v>
      </c>
      <c r="O1290" t="n">
        <v>0</v>
      </c>
      <c r="P1290" t="n">
        <v>0</v>
      </c>
      <c r="Q1290" t="n">
        <v>0</v>
      </c>
      <c r="R1290" s="2" t="inlineStr"/>
    </row>
    <row r="1291" ht="15" customHeight="1">
      <c r="A1291" t="inlineStr">
        <is>
          <t>A 49989-2021</t>
        </is>
      </c>
      <c r="B1291" s="1" t="n">
        <v>44456</v>
      </c>
      <c r="C1291" s="1" t="n">
        <v>45884</v>
      </c>
      <c r="D1291" t="inlineStr">
        <is>
          <t>KALMAR LÄN</t>
        </is>
      </c>
      <c r="E1291" t="inlineStr">
        <is>
          <t>HULTSFRED</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30887-2021</t>
        </is>
      </c>
      <c r="B1292" s="1" t="n">
        <v>44365</v>
      </c>
      <c r="C1292" s="1" t="n">
        <v>45884</v>
      </c>
      <c r="D1292" t="inlineStr">
        <is>
          <t>KALMAR LÄN</t>
        </is>
      </c>
      <c r="E1292" t="inlineStr">
        <is>
          <t>MÖNSTERÅS</t>
        </is>
      </c>
      <c r="G1292" t="n">
        <v>7.2</v>
      </c>
      <c r="H1292" t="n">
        <v>0</v>
      </c>
      <c r="I1292" t="n">
        <v>0</v>
      </c>
      <c r="J1292" t="n">
        <v>0</v>
      </c>
      <c r="K1292" t="n">
        <v>0</v>
      </c>
      <c r="L1292" t="n">
        <v>0</v>
      </c>
      <c r="M1292" t="n">
        <v>0</v>
      </c>
      <c r="N1292" t="n">
        <v>0</v>
      </c>
      <c r="O1292" t="n">
        <v>0</v>
      </c>
      <c r="P1292" t="n">
        <v>0</v>
      </c>
      <c r="Q1292" t="n">
        <v>0</v>
      </c>
      <c r="R1292" s="2" t="inlineStr"/>
    </row>
    <row r="1293" ht="15" customHeight="1">
      <c r="A1293" t="inlineStr">
        <is>
          <t>A 68932-2020</t>
        </is>
      </c>
      <c r="B1293" s="1" t="n">
        <v>44187</v>
      </c>
      <c r="C1293" s="1" t="n">
        <v>45884</v>
      </c>
      <c r="D1293" t="inlineStr">
        <is>
          <t>KALMAR LÄN</t>
        </is>
      </c>
      <c r="E1293" t="inlineStr">
        <is>
          <t>NYBRO</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38613-2021</t>
        </is>
      </c>
      <c r="B1294" s="1" t="n">
        <v>44409</v>
      </c>
      <c r="C1294" s="1" t="n">
        <v>45884</v>
      </c>
      <c r="D1294" t="inlineStr">
        <is>
          <t>KALMAR LÄN</t>
        </is>
      </c>
      <c r="E1294" t="inlineStr">
        <is>
          <t>VÄSTERVIK</t>
        </is>
      </c>
      <c r="G1294" t="n">
        <v>7</v>
      </c>
      <c r="H1294" t="n">
        <v>0</v>
      </c>
      <c r="I1294" t="n">
        <v>0</v>
      </c>
      <c r="J1294" t="n">
        <v>0</v>
      </c>
      <c r="K1294" t="n">
        <v>0</v>
      </c>
      <c r="L1294" t="n">
        <v>0</v>
      </c>
      <c r="M1294" t="n">
        <v>0</v>
      </c>
      <c r="N1294" t="n">
        <v>0</v>
      </c>
      <c r="O1294" t="n">
        <v>0</v>
      </c>
      <c r="P1294" t="n">
        <v>0</v>
      </c>
      <c r="Q1294" t="n">
        <v>0</v>
      </c>
      <c r="R1294" s="2" t="inlineStr"/>
    </row>
    <row r="1295" ht="15" customHeight="1">
      <c r="A1295" t="inlineStr">
        <is>
          <t>A 46553-2020</t>
        </is>
      </c>
      <c r="B1295" s="1" t="n">
        <v>44095.47431712963</v>
      </c>
      <c r="C1295" s="1" t="n">
        <v>45884</v>
      </c>
      <c r="D1295" t="inlineStr">
        <is>
          <t>KALMAR LÄN</t>
        </is>
      </c>
      <c r="E1295" t="inlineStr">
        <is>
          <t>TORSÅS</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68164-2020</t>
        </is>
      </c>
      <c r="B1296" s="1" t="n">
        <v>44183</v>
      </c>
      <c r="C1296" s="1" t="n">
        <v>45884</v>
      </c>
      <c r="D1296" t="inlineStr">
        <is>
          <t>KALMAR LÄN</t>
        </is>
      </c>
      <c r="E1296" t="inlineStr">
        <is>
          <t>MÖNSTERÅS</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41942-2020</t>
        </is>
      </c>
      <c r="B1297" s="1" t="n">
        <v>44075</v>
      </c>
      <c r="C1297" s="1" t="n">
        <v>45884</v>
      </c>
      <c r="D1297" t="inlineStr">
        <is>
          <t>KALMAR LÄN</t>
        </is>
      </c>
      <c r="E1297" t="inlineStr">
        <is>
          <t>EMMABODA</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40218-2021</t>
        </is>
      </c>
      <c r="B1298" s="1" t="n">
        <v>44419</v>
      </c>
      <c r="C1298" s="1" t="n">
        <v>45884</v>
      </c>
      <c r="D1298" t="inlineStr">
        <is>
          <t>KALMAR LÄN</t>
        </is>
      </c>
      <c r="E1298" t="inlineStr">
        <is>
          <t>KALMAR</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49683-2022</t>
        </is>
      </c>
      <c r="B1299" s="1" t="n">
        <v>44862</v>
      </c>
      <c r="C1299" s="1" t="n">
        <v>45884</v>
      </c>
      <c r="D1299" t="inlineStr">
        <is>
          <t>KALMAR LÄN</t>
        </is>
      </c>
      <c r="E1299" t="inlineStr">
        <is>
          <t>TORSÅS</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26876-2022</t>
        </is>
      </c>
      <c r="B1300" s="1" t="n">
        <v>44740</v>
      </c>
      <c r="C1300" s="1" t="n">
        <v>45884</v>
      </c>
      <c r="D1300" t="inlineStr">
        <is>
          <t>KALMAR LÄN</t>
        </is>
      </c>
      <c r="E1300" t="inlineStr">
        <is>
          <t>MÖRBYLÅNGA</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15834-2021</t>
        </is>
      </c>
      <c r="B1301" s="1" t="n">
        <v>44286</v>
      </c>
      <c r="C1301" s="1" t="n">
        <v>45884</v>
      </c>
      <c r="D1301" t="inlineStr">
        <is>
          <t>KALMAR LÄN</t>
        </is>
      </c>
      <c r="E1301" t="inlineStr">
        <is>
          <t>VÄSTERVIK</t>
        </is>
      </c>
      <c r="F1301" t="inlineStr">
        <is>
          <t>Holmen skog AB</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19863-2021</t>
        </is>
      </c>
      <c r="B1302" s="1" t="n">
        <v>44312</v>
      </c>
      <c r="C1302" s="1" t="n">
        <v>45884</v>
      </c>
      <c r="D1302" t="inlineStr">
        <is>
          <t>KALMAR LÄN</t>
        </is>
      </c>
      <c r="E1302" t="inlineStr">
        <is>
          <t>VIMMERBY</t>
        </is>
      </c>
      <c r="G1302" t="n">
        <v>3.7</v>
      </c>
      <c r="H1302" t="n">
        <v>0</v>
      </c>
      <c r="I1302" t="n">
        <v>0</v>
      </c>
      <c r="J1302" t="n">
        <v>0</v>
      </c>
      <c r="K1302" t="n">
        <v>0</v>
      </c>
      <c r="L1302" t="n">
        <v>0</v>
      </c>
      <c r="M1302" t="n">
        <v>0</v>
      </c>
      <c r="N1302" t="n">
        <v>0</v>
      </c>
      <c r="O1302" t="n">
        <v>0</v>
      </c>
      <c r="P1302" t="n">
        <v>0</v>
      </c>
      <c r="Q1302" t="n">
        <v>0</v>
      </c>
      <c r="R1302" s="2" t="inlineStr"/>
    </row>
    <row r="1303" ht="15" customHeight="1">
      <c r="A1303" t="inlineStr">
        <is>
          <t>A 46106-2020</t>
        </is>
      </c>
      <c r="B1303" s="1" t="n">
        <v>44088</v>
      </c>
      <c r="C1303" s="1" t="n">
        <v>45884</v>
      </c>
      <c r="D1303" t="inlineStr">
        <is>
          <t>KALMAR LÄN</t>
        </is>
      </c>
      <c r="E1303" t="inlineStr">
        <is>
          <t>NYBRO</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65774-2020</t>
        </is>
      </c>
      <c r="B1304" s="1" t="n">
        <v>44174</v>
      </c>
      <c r="C1304" s="1" t="n">
        <v>45884</v>
      </c>
      <c r="D1304" t="inlineStr">
        <is>
          <t>KALMAR LÄN</t>
        </is>
      </c>
      <c r="E1304" t="inlineStr">
        <is>
          <t>MÖNSTERÅS</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42725-2020</t>
        </is>
      </c>
      <c r="B1305" s="1" t="n">
        <v>44077</v>
      </c>
      <c r="C1305" s="1" t="n">
        <v>45884</v>
      </c>
      <c r="D1305" t="inlineStr">
        <is>
          <t>KALMAR LÄN</t>
        </is>
      </c>
      <c r="E1305" t="inlineStr">
        <is>
          <t>KALMAR</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47486-2020</t>
        </is>
      </c>
      <c r="B1306" s="1" t="n">
        <v>44098</v>
      </c>
      <c r="C1306" s="1" t="n">
        <v>45884</v>
      </c>
      <c r="D1306" t="inlineStr">
        <is>
          <t>KALMAR LÄN</t>
        </is>
      </c>
      <c r="E1306" t="inlineStr">
        <is>
          <t>MÖNSTERÅS</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40733-2020</t>
        </is>
      </c>
      <c r="B1307" s="1" t="n">
        <v>44069</v>
      </c>
      <c r="C1307" s="1" t="n">
        <v>45884</v>
      </c>
      <c r="D1307" t="inlineStr">
        <is>
          <t>KALMAR LÄN</t>
        </is>
      </c>
      <c r="E1307" t="inlineStr">
        <is>
          <t>OSKARSHAMN</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45537-2020</t>
        </is>
      </c>
      <c r="B1308" s="1" t="n">
        <v>44089</v>
      </c>
      <c r="C1308" s="1" t="n">
        <v>45884</v>
      </c>
      <c r="D1308" t="inlineStr">
        <is>
          <t>KALMAR LÄN</t>
        </is>
      </c>
      <c r="E1308" t="inlineStr">
        <is>
          <t>VÄSTERVIK</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49766-2020</t>
        </is>
      </c>
      <c r="B1309" s="1" t="n">
        <v>44106</v>
      </c>
      <c r="C1309" s="1" t="n">
        <v>45884</v>
      </c>
      <c r="D1309" t="inlineStr">
        <is>
          <t>KALMAR LÄN</t>
        </is>
      </c>
      <c r="E1309" t="inlineStr">
        <is>
          <t>HULTSFRED</t>
        </is>
      </c>
      <c r="F1309" t="inlineStr">
        <is>
          <t>Övriga Aktiebolag</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39779-2020</t>
        </is>
      </c>
      <c r="B1310" s="1" t="n">
        <v>44064</v>
      </c>
      <c r="C1310" s="1" t="n">
        <v>45884</v>
      </c>
      <c r="D1310" t="inlineStr">
        <is>
          <t>KALMAR LÄN</t>
        </is>
      </c>
      <c r="E1310" t="inlineStr">
        <is>
          <t>VÄSTERVIK</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23997-2021</t>
        </is>
      </c>
      <c r="B1311" s="1" t="n">
        <v>44335</v>
      </c>
      <c r="C1311" s="1" t="n">
        <v>45884</v>
      </c>
      <c r="D1311" t="inlineStr">
        <is>
          <t>KALMAR LÄN</t>
        </is>
      </c>
      <c r="E1311" t="inlineStr">
        <is>
          <t>VÄSTERVIK</t>
        </is>
      </c>
      <c r="F1311" t="inlineStr">
        <is>
          <t>Sveaskog</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59750-2020</t>
        </is>
      </c>
      <c r="B1312" s="1" t="n">
        <v>44151</v>
      </c>
      <c r="C1312" s="1" t="n">
        <v>45884</v>
      </c>
      <c r="D1312" t="inlineStr">
        <is>
          <t>KALMAR LÄN</t>
        </is>
      </c>
      <c r="E1312" t="inlineStr">
        <is>
          <t>KALMAR</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41082-2020</t>
        </is>
      </c>
      <c r="B1313" s="1" t="n">
        <v>44071</v>
      </c>
      <c r="C1313" s="1" t="n">
        <v>45884</v>
      </c>
      <c r="D1313" t="inlineStr">
        <is>
          <t>KALMAR LÄN</t>
        </is>
      </c>
      <c r="E1313" t="inlineStr">
        <is>
          <t>EMMABODA</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45077-2020</t>
        </is>
      </c>
      <c r="B1314" s="1" t="n">
        <v>44088</v>
      </c>
      <c r="C1314" s="1" t="n">
        <v>45884</v>
      </c>
      <c r="D1314" t="inlineStr">
        <is>
          <t>KALMAR LÄN</t>
        </is>
      </c>
      <c r="E1314" t="inlineStr">
        <is>
          <t>NYBRO</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16865-2021</t>
        </is>
      </c>
      <c r="B1315" s="1" t="n">
        <v>44295</v>
      </c>
      <c r="C1315" s="1" t="n">
        <v>45884</v>
      </c>
      <c r="D1315" t="inlineStr">
        <is>
          <t>KALMAR LÄN</t>
        </is>
      </c>
      <c r="E1315" t="inlineStr">
        <is>
          <t>HULTSFRED</t>
        </is>
      </c>
      <c r="F1315" t="inlineStr">
        <is>
          <t>Sveaskog</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67289-2020</t>
        </is>
      </c>
      <c r="B1316" s="1" t="n">
        <v>44181</v>
      </c>
      <c r="C1316" s="1" t="n">
        <v>45884</v>
      </c>
      <c r="D1316" t="inlineStr">
        <is>
          <t>KALMAR LÄN</t>
        </is>
      </c>
      <c r="E1316" t="inlineStr">
        <is>
          <t>OSKARSHAMN</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50056-2020</t>
        </is>
      </c>
      <c r="B1317" s="1" t="n">
        <v>44109</v>
      </c>
      <c r="C1317" s="1" t="n">
        <v>45884</v>
      </c>
      <c r="D1317" t="inlineStr">
        <is>
          <t>KALMAR LÄN</t>
        </is>
      </c>
      <c r="E1317" t="inlineStr">
        <is>
          <t>EMMABODA</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66145-2020</t>
        </is>
      </c>
      <c r="B1318" s="1" t="n">
        <v>44175</v>
      </c>
      <c r="C1318" s="1" t="n">
        <v>45884</v>
      </c>
      <c r="D1318" t="inlineStr">
        <is>
          <t>KALMAR LÄN</t>
        </is>
      </c>
      <c r="E1318" t="inlineStr">
        <is>
          <t>HÖGSBY</t>
        </is>
      </c>
      <c r="G1318" t="n">
        <v>6.5</v>
      </c>
      <c r="H1318" t="n">
        <v>0</v>
      </c>
      <c r="I1318" t="n">
        <v>0</v>
      </c>
      <c r="J1318" t="n">
        <v>0</v>
      </c>
      <c r="K1318" t="n">
        <v>0</v>
      </c>
      <c r="L1318" t="n">
        <v>0</v>
      </c>
      <c r="M1318" t="n">
        <v>0</v>
      </c>
      <c r="N1318" t="n">
        <v>0</v>
      </c>
      <c r="O1318" t="n">
        <v>0</v>
      </c>
      <c r="P1318" t="n">
        <v>0</v>
      </c>
      <c r="Q1318" t="n">
        <v>0</v>
      </c>
      <c r="R1318" s="2" t="inlineStr"/>
    </row>
    <row r="1319" ht="15" customHeight="1">
      <c r="A1319" t="inlineStr">
        <is>
          <t>A 406-2021</t>
        </is>
      </c>
      <c r="B1319" s="1" t="n">
        <v>44201</v>
      </c>
      <c r="C1319" s="1" t="n">
        <v>45884</v>
      </c>
      <c r="D1319" t="inlineStr">
        <is>
          <t>KALMAR LÄN</t>
        </is>
      </c>
      <c r="E1319" t="inlineStr">
        <is>
          <t>NYBRO</t>
        </is>
      </c>
      <c r="G1319" t="n">
        <v>6.8</v>
      </c>
      <c r="H1319" t="n">
        <v>0</v>
      </c>
      <c r="I1319" t="n">
        <v>0</v>
      </c>
      <c r="J1319" t="n">
        <v>0</v>
      </c>
      <c r="K1319" t="n">
        <v>0</v>
      </c>
      <c r="L1319" t="n">
        <v>0</v>
      </c>
      <c r="M1319" t="n">
        <v>0</v>
      </c>
      <c r="N1319" t="n">
        <v>0</v>
      </c>
      <c r="O1319" t="n">
        <v>0</v>
      </c>
      <c r="P1319" t="n">
        <v>0</v>
      </c>
      <c r="Q1319" t="n">
        <v>0</v>
      </c>
      <c r="R1319" s="2" t="inlineStr"/>
    </row>
    <row r="1320" ht="15" customHeight="1">
      <c r="A1320" t="inlineStr">
        <is>
          <t>A 66292-2020</t>
        </is>
      </c>
      <c r="B1320" s="1" t="n">
        <v>44176</v>
      </c>
      <c r="C1320" s="1" t="n">
        <v>45884</v>
      </c>
      <c r="D1320" t="inlineStr">
        <is>
          <t>KALMAR LÄN</t>
        </is>
      </c>
      <c r="E1320" t="inlineStr">
        <is>
          <t>VÄSTERVIK</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55297-2021</t>
        </is>
      </c>
      <c r="B1321" s="1" t="n">
        <v>44475</v>
      </c>
      <c r="C1321" s="1" t="n">
        <v>45884</v>
      </c>
      <c r="D1321" t="inlineStr">
        <is>
          <t>KALMAR LÄN</t>
        </is>
      </c>
      <c r="E1321" t="inlineStr">
        <is>
          <t>VIMMERBY</t>
        </is>
      </c>
      <c r="G1321" t="n">
        <v>4.1</v>
      </c>
      <c r="H1321" t="n">
        <v>0</v>
      </c>
      <c r="I1321" t="n">
        <v>0</v>
      </c>
      <c r="J1321" t="n">
        <v>0</v>
      </c>
      <c r="K1321" t="n">
        <v>0</v>
      </c>
      <c r="L1321" t="n">
        <v>0</v>
      </c>
      <c r="M1321" t="n">
        <v>0</v>
      </c>
      <c r="N1321" t="n">
        <v>0</v>
      </c>
      <c r="O1321" t="n">
        <v>0</v>
      </c>
      <c r="P1321" t="n">
        <v>0</v>
      </c>
      <c r="Q1321" t="n">
        <v>0</v>
      </c>
      <c r="R1321" s="2" t="inlineStr"/>
    </row>
    <row r="1322" ht="15" customHeight="1">
      <c r="A1322" t="inlineStr">
        <is>
          <t>A 65726-2021</t>
        </is>
      </c>
      <c r="B1322" s="1" t="n">
        <v>44516</v>
      </c>
      <c r="C1322" s="1" t="n">
        <v>45884</v>
      </c>
      <c r="D1322" t="inlineStr">
        <is>
          <t>KALMAR LÄN</t>
        </is>
      </c>
      <c r="E1322" t="inlineStr">
        <is>
          <t>OSKARSHAMN</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19118-2021</t>
        </is>
      </c>
      <c r="B1323" s="1" t="n">
        <v>44308</v>
      </c>
      <c r="C1323" s="1" t="n">
        <v>45884</v>
      </c>
      <c r="D1323" t="inlineStr">
        <is>
          <t>KALMAR LÄN</t>
        </is>
      </c>
      <c r="E1323" t="inlineStr">
        <is>
          <t>HULTSFRED</t>
        </is>
      </c>
      <c r="G1323" t="n">
        <v>4.1</v>
      </c>
      <c r="H1323" t="n">
        <v>0</v>
      </c>
      <c r="I1323" t="n">
        <v>0</v>
      </c>
      <c r="J1323" t="n">
        <v>0</v>
      </c>
      <c r="K1323" t="n">
        <v>0</v>
      </c>
      <c r="L1323" t="n">
        <v>0</v>
      </c>
      <c r="M1323" t="n">
        <v>0</v>
      </c>
      <c r="N1323" t="n">
        <v>0</v>
      </c>
      <c r="O1323" t="n">
        <v>0</v>
      </c>
      <c r="P1323" t="n">
        <v>0</v>
      </c>
      <c r="Q1323" t="n">
        <v>0</v>
      </c>
      <c r="R1323" s="2" t="inlineStr"/>
    </row>
    <row r="1324" ht="15" customHeight="1">
      <c r="A1324" t="inlineStr">
        <is>
          <t>A 370-2022</t>
        </is>
      </c>
      <c r="B1324" s="1" t="n">
        <v>44565</v>
      </c>
      <c r="C1324" s="1" t="n">
        <v>45884</v>
      </c>
      <c r="D1324" t="inlineStr">
        <is>
          <t>KALMAR LÄN</t>
        </is>
      </c>
      <c r="E1324" t="inlineStr">
        <is>
          <t>NYBRO</t>
        </is>
      </c>
      <c r="G1324" t="n">
        <v>3.3</v>
      </c>
      <c r="H1324" t="n">
        <v>0</v>
      </c>
      <c r="I1324" t="n">
        <v>0</v>
      </c>
      <c r="J1324" t="n">
        <v>0</v>
      </c>
      <c r="K1324" t="n">
        <v>0</v>
      </c>
      <c r="L1324" t="n">
        <v>0</v>
      </c>
      <c r="M1324" t="n">
        <v>0</v>
      </c>
      <c r="N1324" t="n">
        <v>0</v>
      </c>
      <c r="O1324" t="n">
        <v>0</v>
      </c>
      <c r="P1324" t="n">
        <v>0</v>
      </c>
      <c r="Q1324" t="n">
        <v>0</v>
      </c>
      <c r="R1324" s="2" t="inlineStr"/>
    </row>
    <row r="1325" ht="15" customHeight="1">
      <c r="A1325" t="inlineStr">
        <is>
          <t>A 53784-2020</t>
        </is>
      </c>
      <c r="B1325" s="1" t="n">
        <v>44124</v>
      </c>
      <c r="C1325" s="1" t="n">
        <v>45884</v>
      </c>
      <c r="D1325" t="inlineStr">
        <is>
          <t>KALMAR LÄN</t>
        </is>
      </c>
      <c r="E1325" t="inlineStr">
        <is>
          <t>HÖGSBY</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11585-2021</t>
        </is>
      </c>
      <c r="B1326" s="1" t="n">
        <v>44264</v>
      </c>
      <c r="C1326" s="1" t="n">
        <v>45884</v>
      </c>
      <c r="D1326" t="inlineStr">
        <is>
          <t>KALMAR LÄN</t>
        </is>
      </c>
      <c r="E1326" t="inlineStr">
        <is>
          <t>KALMAR</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51166-2020</t>
        </is>
      </c>
      <c r="B1327" s="1" t="n">
        <v>44112</v>
      </c>
      <c r="C1327" s="1" t="n">
        <v>45884</v>
      </c>
      <c r="D1327" t="inlineStr">
        <is>
          <t>KALMAR LÄN</t>
        </is>
      </c>
      <c r="E1327" t="inlineStr">
        <is>
          <t>EMMABODA</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35531-2021</t>
        </is>
      </c>
      <c r="B1328" s="1" t="n">
        <v>44385</v>
      </c>
      <c r="C1328" s="1" t="n">
        <v>45884</v>
      </c>
      <c r="D1328" t="inlineStr">
        <is>
          <t>KALMAR LÄN</t>
        </is>
      </c>
      <c r="E1328" t="inlineStr">
        <is>
          <t>VIMMERBY</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51451-2021</t>
        </is>
      </c>
      <c r="B1329" s="1" t="n">
        <v>44462</v>
      </c>
      <c r="C1329" s="1" t="n">
        <v>45884</v>
      </c>
      <c r="D1329" t="inlineStr">
        <is>
          <t>KALMAR LÄN</t>
        </is>
      </c>
      <c r="E1329" t="inlineStr">
        <is>
          <t>EMMABODA</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10015-2021</t>
        </is>
      </c>
      <c r="B1330" s="1" t="n">
        <v>44256</v>
      </c>
      <c r="C1330" s="1" t="n">
        <v>45884</v>
      </c>
      <c r="D1330" t="inlineStr">
        <is>
          <t>KALMAR LÄN</t>
        </is>
      </c>
      <c r="E1330" t="inlineStr">
        <is>
          <t>NYBRO</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7579-2021</t>
        </is>
      </c>
      <c r="B1331" s="1" t="n">
        <v>44240.57777777778</v>
      </c>
      <c r="C1331" s="1" t="n">
        <v>45884</v>
      </c>
      <c r="D1331" t="inlineStr">
        <is>
          <t>KALMAR LÄN</t>
        </is>
      </c>
      <c r="E1331" t="inlineStr">
        <is>
          <t>EMMABODA</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19834-2021</t>
        </is>
      </c>
      <c r="B1332" s="1" t="n">
        <v>44313</v>
      </c>
      <c r="C1332" s="1" t="n">
        <v>45884</v>
      </c>
      <c r="D1332" t="inlineStr">
        <is>
          <t>KALMAR LÄN</t>
        </is>
      </c>
      <c r="E1332" t="inlineStr">
        <is>
          <t>OSKARSHAMN</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53108-2022</t>
        </is>
      </c>
      <c r="B1333" s="1" t="n">
        <v>44876.43712962963</v>
      </c>
      <c r="C1333" s="1" t="n">
        <v>45884</v>
      </c>
      <c r="D1333" t="inlineStr">
        <is>
          <t>KALMAR LÄN</t>
        </is>
      </c>
      <c r="E1333" t="inlineStr">
        <is>
          <t>VÄSTERVIK</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30703-2021</t>
        </is>
      </c>
      <c r="B1334" s="1" t="n">
        <v>44365</v>
      </c>
      <c r="C1334" s="1" t="n">
        <v>45884</v>
      </c>
      <c r="D1334" t="inlineStr">
        <is>
          <t>KALMAR LÄN</t>
        </is>
      </c>
      <c r="E1334" t="inlineStr">
        <is>
          <t>NYBRO</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7072-2021</t>
        </is>
      </c>
      <c r="B1335" s="1" t="n">
        <v>44237.8550925926</v>
      </c>
      <c r="C1335" s="1" t="n">
        <v>45884</v>
      </c>
      <c r="D1335" t="inlineStr">
        <is>
          <t>KALMAR LÄN</t>
        </is>
      </c>
      <c r="E1335" t="inlineStr">
        <is>
          <t>VIMMERBY</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55042-2020</t>
        </is>
      </c>
      <c r="B1336" s="1" t="n">
        <v>44130</v>
      </c>
      <c r="C1336" s="1" t="n">
        <v>45884</v>
      </c>
      <c r="D1336" t="inlineStr">
        <is>
          <t>KALMAR LÄN</t>
        </is>
      </c>
      <c r="E1336" t="inlineStr">
        <is>
          <t>NYBRO</t>
        </is>
      </c>
      <c r="G1336" t="n">
        <v>3.3</v>
      </c>
      <c r="H1336" t="n">
        <v>0</v>
      </c>
      <c r="I1336" t="n">
        <v>0</v>
      </c>
      <c r="J1336" t="n">
        <v>0</v>
      </c>
      <c r="K1336" t="n">
        <v>0</v>
      </c>
      <c r="L1336" t="n">
        <v>0</v>
      </c>
      <c r="M1336" t="n">
        <v>0</v>
      </c>
      <c r="N1336" t="n">
        <v>0</v>
      </c>
      <c r="O1336" t="n">
        <v>0</v>
      </c>
      <c r="P1336" t="n">
        <v>0</v>
      </c>
      <c r="Q1336" t="n">
        <v>0</v>
      </c>
      <c r="R1336" s="2" t="inlineStr"/>
    </row>
    <row r="1337" ht="15" customHeight="1">
      <c r="A1337" t="inlineStr">
        <is>
          <t>A 53711-2020</t>
        </is>
      </c>
      <c r="B1337" s="1" t="n">
        <v>44124.59795138889</v>
      </c>
      <c r="C1337" s="1" t="n">
        <v>45884</v>
      </c>
      <c r="D1337" t="inlineStr">
        <is>
          <t>KALMAR LÄN</t>
        </is>
      </c>
      <c r="E1337" t="inlineStr">
        <is>
          <t>VIMMERBY</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68351-2020</t>
        </is>
      </c>
      <c r="B1338" s="1" t="n">
        <v>44186.34966435185</v>
      </c>
      <c r="C1338" s="1" t="n">
        <v>45884</v>
      </c>
      <c r="D1338" t="inlineStr">
        <is>
          <t>KALMAR LÄN</t>
        </is>
      </c>
      <c r="E1338" t="inlineStr">
        <is>
          <t>HULTSFRED</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62744-2021</t>
        </is>
      </c>
      <c r="B1339" s="1" t="n">
        <v>44504</v>
      </c>
      <c r="C1339" s="1" t="n">
        <v>45884</v>
      </c>
      <c r="D1339" t="inlineStr">
        <is>
          <t>KALMAR LÄN</t>
        </is>
      </c>
      <c r="E1339" t="inlineStr">
        <is>
          <t>HÖGSBY</t>
        </is>
      </c>
      <c r="G1339" t="n">
        <v>11.6</v>
      </c>
      <c r="H1339" t="n">
        <v>0</v>
      </c>
      <c r="I1339" t="n">
        <v>0</v>
      </c>
      <c r="J1339" t="n">
        <v>0</v>
      </c>
      <c r="K1339" t="n">
        <v>0</v>
      </c>
      <c r="L1339" t="n">
        <v>0</v>
      </c>
      <c r="M1339" t="n">
        <v>0</v>
      </c>
      <c r="N1339" t="n">
        <v>0</v>
      </c>
      <c r="O1339" t="n">
        <v>0</v>
      </c>
      <c r="P1339" t="n">
        <v>0</v>
      </c>
      <c r="Q1339" t="n">
        <v>0</v>
      </c>
      <c r="R1339" s="2" t="inlineStr"/>
    </row>
    <row r="1340" ht="15" customHeight="1">
      <c r="A1340" t="inlineStr">
        <is>
          <t>A 19573-2021</t>
        </is>
      </c>
      <c r="B1340" s="1" t="n">
        <v>44312.52064814815</v>
      </c>
      <c r="C1340" s="1" t="n">
        <v>45884</v>
      </c>
      <c r="D1340" t="inlineStr">
        <is>
          <t>KALMAR LÄN</t>
        </is>
      </c>
      <c r="E1340" t="inlineStr">
        <is>
          <t>NYBRO</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50209-2021</t>
        </is>
      </c>
      <c r="B1341" s="1" t="n">
        <v>44457.48248842593</v>
      </c>
      <c r="C1341" s="1" t="n">
        <v>45884</v>
      </c>
      <c r="D1341" t="inlineStr">
        <is>
          <t>KALMAR LÄN</t>
        </is>
      </c>
      <c r="E1341" t="inlineStr">
        <is>
          <t>TORSÅS</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46392-2021</t>
        </is>
      </c>
      <c r="B1342" s="1" t="n">
        <v>44443</v>
      </c>
      <c r="C1342" s="1" t="n">
        <v>45884</v>
      </c>
      <c r="D1342" t="inlineStr">
        <is>
          <t>KALMAR LÄN</t>
        </is>
      </c>
      <c r="E1342" t="inlineStr">
        <is>
          <t>OSKARSHAMN</t>
        </is>
      </c>
      <c r="G1342" t="n">
        <v>7.4</v>
      </c>
      <c r="H1342" t="n">
        <v>0</v>
      </c>
      <c r="I1342" t="n">
        <v>0</v>
      </c>
      <c r="J1342" t="n">
        <v>0</v>
      </c>
      <c r="K1342" t="n">
        <v>0</v>
      </c>
      <c r="L1342" t="n">
        <v>0</v>
      </c>
      <c r="M1342" t="n">
        <v>0</v>
      </c>
      <c r="N1342" t="n">
        <v>0</v>
      </c>
      <c r="O1342" t="n">
        <v>0</v>
      </c>
      <c r="P1342" t="n">
        <v>0</v>
      </c>
      <c r="Q1342" t="n">
        <v>0</v>
      </c>
      <c r="R1342" s="2" t="inlineStr"/>
    </row>
    <row r="1343" ht="15" customHeight="1">
      <c r="A1343" t="inlineStr">
        <is>
          <t>A 2363-2021</t>
        </is>
      </c>
      <c r="B1343" s="1" t="n">
        <v>44214</v>
      </c>
      <c r="C1343" s="1" t="n">
        <v>45884</v>
      </c>
      <c r="D1343" t="inlineStr">
        <is>
          <t>KALMAR LÄN</t>
        </is>
      </c>
      <c r="E1343" t="inlineStr">
        <is>
          <t>KALMAR</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18777-2021</t>
        </is>
      </c>
      <c r="B1344" s="1" t="n">
        <v>44307</v>
      </c>
      <c r="C1344" s="1" t="n">
        <v>45884</v>
      </c>
      <c r="D1344" t="inlineStr">
        <is>
          <t>KALMAR LÄN</t>
        </is>
      </c>
      <c r="E1344" t="inlineStr">
        <is>
          <t>HÖGSBY</t>
        </is>
      </c>
      <c r="G1344" t="n">
        <v>23.5</v>
      </c>
      <c r="H1344" t="n">
        <v>0</v>
      </c>
      <c r="I1344" t="n">
        <v>0</v>
      </c>
      <c r="J1344" t="n">
        <v>0</v>
      </c>
      <c r="K1344" t="n">
        <v>0</v>
      </c>
      <c r="L1344" t="n">
        <v>0</v>
      </c>
      <c r="M1344" t="n">
        <v>0</v>
      </c>
      <c r="N1344" t="n">
        <v>0</v>
      </c>
      <c r="O1344" t="n">
        <v>0</v>
      </c>
      <c r="P1344" t="n">
        <v>0</v>
      </c>
      <c r="Q1344" t="n">
        <v>0</v>
      </c>
      <c r="R1344" s="2" t="inlineStr"/>
    </row>
    <row r="1345" ht="15" customHeight="1">
      <c r="A1345" t="inlineStr">
        <is>
          <t>A 58348-2021</t>
        </is>
      </c>
      <c r="B1345" s="1" t="n">
        <v>44488.42239583333</v>
      </c>
      <c r="C1345" s="1" t="n">
        <v>45884</v>
      </c>
      <c r="D1345" t="inlineStr">
        <is>
          <t>KALMAR LÄN</t>
        </is>
      </c>
      <c r="E1345" t="inlineStr">
        <is>
          <t>HULTSFRED</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2983-2021</t>
        </is>
      </c>
      <c r="B1346" s="1" t="n">
        <v>44216</v>
      </c>
      <c r="C1346" s="1" t="n">
        <v>45884</v>
      </c>
      <c r="D1346" t="inlineStr">
        <is>
          <t>KALMAR LÄN</t>
        </is>
      </c>
      <c r="E1346" t="inlineStr">
        <is>
          <t>MÖNSTERÅS</t>
        </is>
      </c>
      <c r="G1346" t="n">
        <v>9.699999999999999</v>
      </c>
      <c r="H1346" t="n">
        <v>0</v>
      </c>
      <c r="I1346" t="n">
        <v>0</v>
      </c>
      <c r="J1346" t="n">
        <v>0</v>
      </c>
      <c r="K1346" t="n">
        <v>0</v>
      </c>
      <c r="L1346" t="n">
        <v>0</v>
      </c>
      <c r="M1346" t="n">
        <v>0</v>
      </c>
      <c r="N1346" t="n">
        <v>0</v>
      </c>
      <c r="O1346" t="n">
        <v>0</v>
      </c>
      <c r="P1346" t="n">
        <v>0</v>
      </c>
      <c r="Q1346" t="n">
        <v>0</v>
      </c>
      <c r="R1346" s="2" t="inlineStr"/>
    </row>
    <row r="1347" ht="15" customHeight="1">
      <c r="A1347" t="inlineStr">
        <is>
          <t>A 23628-2021</t>
        </is>
      </c>
      <c r="B1347" s="1" t="n">
        <v>44334</v>
      </c>
      <c r="C1347" s="1" t="n">
        <v>45884</v>
      </c>
      <c r="D1347" t="inlineStr">
        <is>
          <t>KALMAR LÄN</t>
        </is>
      </c>
      <c r="E1347" t="inlineStr">
        <is>
          <t>VÄSTERVIK</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38789-2021</t>
        </is>
      </c>
      <c r="B1348" s="1" t="n">
        <v>44410.71038194445</v>
      </c>
      <c r="C1348" s="1" t="n">
        <v>45884</v>
      </c>
      <c r="D1348" t="inlineStr">
        <is>
          <t>KALMAR LÄN</t>
        </is>
      </c>
      <c r="E1348" t="inlineStr">
        <is>
          <t>VIMMERBY</t>
        </is>
      </c>
      <c r="G1348" t="n">
        <v>3.7</v>
      </c>
      <c r="H1348" t="n">
        <v>0</v>
      </c>
      <c r="I1348" t="n">
        <v>0</v>
      </c>
      <c r="J1348" t="n">
        <v>0</v>
      </c>
      <c r="K1348" t="n">
        <v>0</v>
      </c>
      <c r="L1348" t="n">
        <v>0</v>
      </c>
      <c r="M1348" t="n">
        <v>0</v>
      </c>
      <c r="N1348" t="n">
        <v>0</v>
      </c>
      <c r="O1348" t="n">
        <v>0</v>
      </c>
      <c r="P1348" t="n">
        <v>0</v>
      </c>
      <c r="Q1348" t="n">
        <v>0</v>
      </c>
      <c r="R1348" s="2" t="inlineStr"/>
    </row>
    <row r="1349" ht="15" customHeight="1">
      <c r="A1349" t="inlineStr">
        <is>
          <t>A 66820-2021</t>
        </is>
      </c>
      <c r="B1349" s="1" t="n">
        <v>44522</v>
      </c>
      <c r="C1349" s="1" t="n">
        <v>45884</v>
      </c>
      <c r="D1349" t="inlineStr">
        <is>
          <t>KALMAR LÄN</t>
        </is>
      </c>
      <c r="E1349" t="inlineStr">
        <is>
          <t>KALMAR</t>
        </is>
      </c>
      <c r="G1349" t="n">
        <v>2.6</v>
      </c>
      <c r="H1349" t="n">
        <v>0</v>
      </c>
      <c r="I1349" t="n">
        <v>0</v>
      </c>
      <c r="J1349" t="n">
        <v>0</v>
      </c>
      <c r="K1349" t="n">
        <v>0</v>
      </c>
      <c r="L1349" t="n">
        <v>0</v>
      </c>
      <c r="M1349" t="n">
        <v>0</v>
      </c>
      <c r="N1349" t="n">
        <v>0</v>
      </c>
      <c r="O1349" t="n">
        <v>0</v>
      </c>
      <c r="P1349" t="n">
        <v>0</v>
      </c>
      <c r="Q1349" t="n">
        <v>0</v>
      </c>
      <c r="R1349" s="2" t="inlineStr"/>
    </row>
    <row r="1350" ht="15" customHeight="1">
      <c r="A1350" t="inlineStr">
        <is>
          <t>A 2875-2021</t>
        </is>
      </c>
      <c r="B1350" s="1" t="n">
        <v>44216</v>
      </c>
      <c r="C1350" s="1" t="n">
        <v>45884</v>
      </c>
      <c r="D1350" t="inlineStr">
        <is>
          <t>KALMAR LÄN</t>
        </is>
      </c>
      <c r="E1350" t="inlineStr">
        <is>
          <t>HULTSFRED</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74471-2021</t>
        </is>
      </c>
      <c r="B1351" s="1" t="n">
        <v>44559</v>
      </c>
      <c r="C1351" s="1" t="n">
        <v>45884</v>
      </c>
      <c r="D1351" t="inlineStr">
        <is>
          <t>KALMAR LÄN</t>
        </is>
      </c>
      <c r="E1351" t="inlineStr">
        <is>
          <t>HÖGSBY</t>
        </is>
      </c>
      <c r="G1351" t="n">
        <v>3.2</v>
      </c>
      <c r="H1351" t="n">
        <v>0</v>
      </c>
      <c r="I1351" t="n">
        <v>0</v>
      </c>
      <c r="J1351" t="n">
        <v>0</v>
      </c>
      <c r="K1351" t="n">
        <v>0</v>
      </c>
      <c r="L1351" t="n">
        <v>0</v>
      </c>
      <c r="M1351" t="n">
        <v>0</v>
      </c>
      <c r="N1351" t="n">
        <v>0</v>
      </c>
      <c r="O1351" t="n">
        <v>0</v>
      </c>
      <c r="P1351" t="n">
        <v>0</v>
      </c>
      <c r="Q1351" t="n">
        <v>0</v>
      </c>
      <c r="R1351" s="2" t="inlineStr"/>
    </row>
    <row r="1352" ht="15" customHeight="1">
      <c r="A1352" t="inlineStr">
        <is>
          <t>A 7994-2022</t>
        </is>
      </c>
      <c r="B1352" s="1" t="n">
        <v>44609</v>
      </c>
      <c r="C1352" s="1" t="n">
        <v>45884</v>
      </c>
      <c r="D1352" t="inlineStr">
        <is>
          <t>KALMAR LÄN</t>
        </is>
      </c>
      <c r="E1352" t="inlineStr">
        <is>
          <t>HÖGSBY</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4983-2022</t>
        </is>
      </c>
      <c r="B1353" s="1" t="n">
        <v>44593.58975694444</v>
      </c>
      <c r="C1353" s="1" t="n">
        <v>45884</v>
      </c>
      <c r="D1353" t="inlineStr">
        <is>
          <t>KALMAR LÄN</t>
        </is>
      </c>
      <c r="E1353" t="inlineStr">
        <is>
          <t>NYBRO</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50658-2020</t>
        </is>
      </c>
      <c r="B1354" s="1" t="n">
        <v>44111</v>
      </c>
      <c r="C1354" s="1" t="n">
        <v>45884</v>
      </c>
      <c r="D1354" t="inlineStr">
        <is>
          <t>KALMAR LÄN</t>
        </is>
      </c>
      <c r="E1354" t="inlineStr">
        <is>
          <t>KALMAR</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59434-2020</t>
        </is>
      </c>
      <c r="B1355" s="1" t="n">
        <v>44148</v>
      </c>
      <c r="C1355" s="1" t="n">
        <v>45884</v>
      </c>
      <c r="D1355" t="inlineStr">
        <is>
          <t>KALMAR LÄN</t>
        </is>
      </c>
      <c r="E1355" t="inlineStr">
        <is>
          <t>EMMABODA</t>
        </is>
      </c>
      <c r="F1355" t="inlineStr">
        <is>
          <t>Övriga Aktiebolag</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60366-2020</t>
        </is>
      </c>
      <c r="B1356" s="1" t="n">
        <v>44152</v>
      </c>
      <c r="C1356" s="1" t="n">
        <v>45884</v>
      </c>
      <c r="D1356" t="inlineStr">
        <is>
          <t>KALMAR LÄN</t>
        </is>
      </c>
      <c r="E1356" t="inlineStr">
        <is>
          <t>TORSÅS</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40404-2022</t>
        </is>
      </c>
      <c r="B1357" s="1" t="n">
        <v>44823.44712962963</v>
      </c>
      <c r="C1357" s="1" t="n">
        <v>45884</v>
      </c>
      <c r="D1357" t="inlineStr">
        <is>
          <t>KALMAR LÄN</t>
        </is>
      </c>
      <c r="E1357" t="inlineStr">
        <is>
          <t>KALMAR</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4648-2022</t>
        </is>
      </c>
      <c r="B1358" s="1" t="n">
        <v>44592.43548611111</v>
      </c>
      <c r="C1358" s="1" t="n">
        <v>45884</v>
      </c>
      <c r="D1358" t="inlineStr">
        <is>
          <t>KALMAR LÄN</t>
        </is>
      </c>
      <c r="E1358" t="inlineStr">
        <is>
          <t>TORSÅS</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14347-2021</t>
        </is>
      </c>
      <c r="B1359" s="1" t="n">
        <v>44279.33400462963</v>
      </c>
      <c r="C1359" s="1" t="n">
        <v>45884</v>
      </c>
      <c r="D1359" t="inlineStr">
        <is>
          <t>KALMAR LÄN</t>
        </is>
      </c>
      <c r="E1359" t="inlineStr">
        <is>
          <t>VIMMERBY</t>
        </is>
      </c>
      <c r="G1359" t="n">
        <v>6.4</v>
      </c>
      <c r="H1359" t="n">
        <v>0</v>
      </c>
      <c r="I1359" t="n">
        <v>0</v>
      </c>
      <c r="J1359" t="n">
        <v>0</v>
      </c>
      <c r="K1359" t="n">
        <v>0</v>
      </c>
      <c r="L1359" t="n">
        <v>0</v>
      </c>
      <c r="M1359" t="n">
        <v>0</v>
      </c>
      <c r="N1359" t="n">
        <v>0</v>
      </c>
      <c r="O1359" t="n">
        <v>0</v>
      </c>
      <c r="P1359" t="n">
        <v>0</v>
      </c>
      <c r="Q1359" t="n">
        <v>0</v>
      </c>
      <c r="R1359" s="2" t="inlineStr"/>
    </row>
    <row r="1360" ht="15" customHeight="1">
      <c r="A1360" t="inlineStr">
        <is>
          <t>A 48437-2020</t>
        </is>
      </c>
      <c r="B1360" s="1" t="n">
        <v>44102</v>
      </c>
      <c r="C1360" s="1" t="n">
        <v>45884</v>
      </c>
      <c r="D1360" t="inlineStr">
        <is>
          <t>KALMAR LÄN</t>
        </is>
      </c>
      <c r="E1360" t="inlineStr">
        <is>
          <t>OSKARSHAMN</t>
        </is>
      </c>
      <c r="G1360" t="n">
        <v>7.4</v>
      </c>
      <c r="H1360" t="n">
        <v>0</v>
      </c>
      <c r="I1360" t="n">
        <v>0</v>
      </c>
      <c r="J1360" t="n">
        <v>0</v>
      </c>
      <c r="K1360" t="n">
        <v>0</v>
      </c>
      <c r="L1360" t="n">
        <v>0</v>
      </c>
      <c r="M1360" t="n">
        <v>0</v>
      </c>
      <c r="N1360" t="n">
        <v>0</v>
      </c>
      <c r="O1360" t="n">
        <v>0</v>
      </c>
      <c r="P1360" t="n">
        <v>0</v>
      </c>
      <c r="Q1360" t="n">
        <v>0</v>
      </c>
      <c r="R1360" s="2" t="inlineStr"/>
    </row>
    <row r="1361" ht="15" customHeight="1">
      <c r="A1361" t="inlineStr">
        <is>
          <t>A 47620-2020</t>
        </is>
      </c>
      <c r="B1361" s="1" t="n">
        <v>44098</v>
      </c>
      <c r="C1361" s="1" t="n">
        <v>45884</v>
      </c>
      <c r="D1361" t="inlineStr">
        <is>
          <t>KALMAR LÄN</t>
        </is>
      </c>
      <c r="E1361" t="inlineStr">
        <is>
          <t>KALMAR</t>
        </is>
      </c>
      <c r="G1361" t="n">
        <v>7.5</v>
      </c>
      <c r="H1361" t="n">
        <v>0</v>
      </c>
      <c r="I1361" t="n">
        <v>0</v>
      </c>
      <c r="J1361" t="n">
        <v>0</v>
      </c>
      <c r="K1361" t="n">
        <v>0</v>
      </c>
      <c r="L1361" t="n">
        <v>0</v>
      </c>
      <c r="M1361" t="n">
        <v>0</v>
      </c>
      <c r="N1361" t="n">
        <v>0</v>
      </c>
      <c r="O1361" t="n">
        <v>0</v>
      </c>
      <c r="P1361" t="n">
        <v>0</v>
      </c>
      <c r="Q1361" t="n">
        <v>0</v>
      </c>
      <c r="R1361" s="2" t="inlineStr"/>
    </row>
    <row r="1362" ht="15" customHeight="1">
      <c r="A1362" t="inlineStr">
        <is>
          <t>A 61180-2021</t>
        </is>
      </c>
      <c r="B1362" s="1" t="n">
        <v>44498</v>
      </c>
      <c r="C1362" s="1" t="n">
        <v>45884</v>
      </c>
      <c r="D1362" t="inlineStr">
        <is>
          <t>KALMAR LÄN</t>
        </is>
      </c>
      <c r="E1362" t="inlineStr">
        <is>
          <t>EMMABODA</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55455-2020</t>
        </is>
      </c>
      <c r="B1363" s="1" t="n">
        <v>44131</v>
      </c>
      <c r="C1363" s="1" t="n">
        <v>45884</v>
      </c>
      <c r="D1363" t="inlineStr">
        <is>
          <t>KALMAR LÄN</t>
        </is>
      </c>
      <c r="E1363" t="inlineStr">
        <is>
          <t>NYBRO</t>
        </is>
      </c>
      <c r="G1363" t="n">
        <v>3.3</v>
      </c>
      <c r="H1363" t="n">
        <v>0</v>
      </c>
      <c r="I1363" t="n">
        <v>0</v>
      </c>
      <c r="J1363" t="n">
        <v>0</v>
      </c>
      <c r="K1363" t="n">
        <v>0</v>
      </c>
      <c r="L1363" t="n">
        <v>0</v>
      </c>
      <c r="M1363" t="n">
        <v>0</v>
      </c>
      <c r="N1363" t="n">
        <v>0</v>
      </c>
      <c r="O1363" t="n">
        <v>0</v>
      </c>
      <c r="P1363" t="n">
        <v>0</v>
      </c>
      <c r="Q1363" t="n">
        <v>0</v>
      </c>
      <c r="R1363" s="2" t="inlineStr"/>
    </row>
    <row r="1364" ht="15" customHeight="1">
      <c r="A1364" t="inlineStr">
        <is>
          <t>A 66913-2020</t>
        </is>
      </c>
      <c r="B1364" s="1" t="n">
        <v>44175</v>
      </c>
      <c r="C1364" s="1" t="n">
        <v>45884</v>
      </c>
      <c r="D1364" t="inlineStr">
        <is>
          <t>KALMAR LÄN</t>
        </is>
      </c>
      <c r="E1364" t="inlineStr">
        <is>
          <t>VIMMERBY</t>
        </is>
      </c>
      <c r="G1364" t="n">
        <v>5.6</v>
      </c>
      <c r="H1364" t="n">
        <v>0</v>
      </c>
      <c r="I1364" t="n">
        <v>0</v>
      </c>
      <c r="J1364" t="n">
        <v>0</v>
      </c>
      <c r="K1364" t="n">
        <v>0</v>
      </c>
      <c r="L1364" t="n">
        <v>0</v>
      </c>
      <c r="M1364" t="n">
        <v>0</v>
      </c>
      <c r="N1364" t="n">
        <v>0</v>
      </c>
      <c r="O1364" t="n">
        <v>0</v>
      </c>
      <c r="P1364" t="n">
        <v>0</v>
      </c>
      <c r="Q1364" t="n">
        <v>0</v>
      </c>
      <c r="R1364" s="2" t="inlineStr"/>
    </row>
    <row r="1365" ht="15" customHeight="1">
      <c r="A1365" t="inlineStr">
        <is>
          <t>A 42465-2022</t>
        </is>
      </c>
      <c r="B1365" s="1" t="n">
        <v>44831.51668981482</v>
      </c>
      <c r="C1365" s="1" t="n">
        <v>45884</v>
      </c>
      <c r="D1365" t="inlineStr">
        <is>
          <t>KALMAR LÄN</t>
        </is>
      </c>
      <c r="E1365" t="inlineStr">
        <is>
          <t>NYBRO</t>
        </is>
      </c>
      <c r="F1365" t="inlineStr">
        <is>
          <t>Sveaskog</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14139-2022</t>
        </is>
      </c>
      <c r="B1366" s="1" t="n">
        <v>44651</v>
      </c>
      <c r="C1366" s="1" t="n">
        <v>45884</v>
      </c>
      <c r="D1366" t="inlineStr">
        <is>
          <t>KALMAR LÄN</t>
        </is>
      </c>
      <c r="E1366" t="inlineStr">
        <is>
          <t>TORSÅS</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52958-2020</t>
        </is>
      </c>
      <c r="B1367" s="1" t="n">
        <v>44120</v>
      </c>
      <c r="C1367" s="1" t="n">
        <v>45884</v>
      </c>
      <c r="D1367" t="inlineStr">
        <is>
          <t>KALMAR LÄN</t>
        </is>
      </c>
      <c r="E1367" t="inlineStr">
        <is>
          <t>EMMABODA</t>
        </is>
      </c>
      <c r="F1367" t="inlineStr">
        <is>
          <t>Sveaskog</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20250-2022</t>
        </is>
      </c>
      <c r="B1368" s="1" t="n">
        <v>44698</v>
      </c>
      <c r="C1368" s="1" t="n">
        <v>45884</v>
      </c>
      <c r="D1368" t="inlineStr">
        <is>
          <t>KALMAR LÄN</t>
        </is>
      </c>
      <c r="E1368" t="inlineStr">
        <is>
          <t>MÖNSTERÅS</t>
        </is>
      </c>
      <c r="G1368" t="n">
        <v>4.2</v>
      </c>
      <c r="H1368" t="n">
        <v>0</v>
      </c>
      <c r="I1368" t="n">
        <v>0</v>
      </c>
      <c r="J1368" t="n">
        <v>0</v>
      </c>
      <c r="K1368" t="n">
        <v>0</v>
      </c>
      <c r="L1368" t="n">
        <v>0</v>
      </c>
      <c r="M1368" t="n">
        <v>0</v>
      </c>
      <c r="N1368" t="n">
        <v>0</v>
      </c>
      <c r="O1368" t="n">
        <v>0</v>
      </c>
      <c r="P1368" t="n">
        <v>0</v>
      </c>
      <c r="Q1368" t="n">
        <v>0</v>
      </c>
      <c r="R1368" s="2" t="inlineStr"/>
    </row>
    <row r="1369" ht="15" customHeight="1">
      <c r="A1369" t="inlineStr">
        <is>
          <t>A 31033-2022</t>
        </is>
      </c>
      <c r="B1369" s="1" t="n">
        <v>44768.83986111111</v>
      </c>
      <c r="C1369" s="1" t="n">
        <v>45884</v>
      </c>
      <c r="D1369" t="inlineStr">
        <is>
          <t>KALMAR LÄN</t>
        </is>
      </c>
      <c r="E1369" t="inlineStr">
        <is>
          <t>EMMABODA</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16290-2022</t>
        </is>
      </c>
      <c r="B1370" s="1" t="n">
        <v>44670</v>
      </c>
      <c r="C1370" s="1" t="n">
        <v>45884</v>
      </c>
      <c r="D1370" t="inlineStr">
        <is>
          <t>KALMAR LÄN</t>
        </is>
      </c>
      <c r="E1370" t="inlineStr">
        <is>
          <t>VIMMERBY</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51358-2021</t>
        </is>
      </c>
      <c r="B1371" s="1" t="n">
        <v>44461</v>
      </c>
      <c r="C1371" s="1" t="n">
        <v>45884</v>
      </c>
      <c r="D1371" t="inlineStr">
        <is>
          <t>KALMAR LÄN</t>
        </is>
      </c>
      <c r="E1371" t="inlineStr">
        <is>
          <t>MÖNSTERÅS</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3102-2022</t>
        </is>
      </c>
      <c r="B1372" s="1" t="n">
        <v>44582</v>
      </c>
      <c r="C1372" s="1" t="n">
        <v>45884</v>
      </c>
      <c r="D1372" t="inlineStr">
        <is>
          <t>KALMAR LÄN</t>
        </is>
      </c>
      <c r="E1372" t="inlineStr">
        <is>
          <t>HULTSFRED</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65647-2020</t>
        </is>
      </c>
      <c r="B1373" s="1" t="n">
        <v>44174.32638888889</v>
      </c>
      <c r="C1373" s="1" t="n">
        <v>45884</v>
      </c>
      <c r="D1373" t="inlineStr">
        <is>
          <t>KALMAR LÄN</t>
        </is>
      </c>
      <c r="E1373" t="inlineStr">
        <is>
          <t>VÄSTERVIK</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16765-2022</t>
        </is>
      </c>
      <c r="B1374" s="1" t="n">
        <v>44673.48178240741</v>
      </c>
      <c r="C1374" s="1" t="n">
        <v>45884</v>
      </c>
      <c r="D1374" t="inlineStr">
        <is>
          <t>KALMAR LÄN</t>
        </is>
      </c>
      <c r="E1374" t="inlineStr">
        <is>
          <t>VÄSTERVIK</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33206-2022</t>
        </is>
      </c>
      <c r="B1375" s="1" t="n">
        <v>44785</v>
      </c>
      <c r="C1375" s="1" t="n">
        <v>45884</v>
      </c>
      <c r="D1375" t="inlineStr">
        <is>
          <t>KALMAR LÄN</t>
        </is>
      </c>
      <c r="E1375" t="inlineStr">
        <is>
          <t>VÄSTERVIK</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44681-2022</t>
        </is>
      </c>
      <c r="B1376" s="1" t="n">
        <v>44840</v>
      </c>
      <c r="C1376" s="1" t="n">
        <v>45884</v>
      </c>
      <c r="D1376" t="inlineStr">
        <is>
          <t>KALMAR LÄN</t>
        </is>
      </c>
      <c r="E1376" t="inlineStr">
        <is>
          <t>BORGHOLM</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58982-2020</t>
        </is>
      </c>
      <c r="B1377" s="1" t="n">
        <v>44146</v>
      </c>
      <c r="C1377" s="1" t="n">
        <v>45884</v>
      </c>
      <c r="D1377" t="inlineStr">
        <is>
          <t>KALMAR LÄN</t>
        </is>
      </c>
      <c r="E1377" t="inlineStr">
        <is>
          <t>HÖGSBY</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58041-2020</t>
        </is>
      </c>
      <c r="B1378" s="1" t="n">
        <v>44140</v>
      </c>
      <c r="C1378" s="1" t="n">
        <v>45884</v>
      </c>
      <c r="D1378" t="inlineStr">
        <is>
          <t>KALMAR LÄN</t>
        </is>
      </c>
      <c r="E1378" t="inlineStr">
        <is>
          <t>VÄSTERVIK</t>
        </is>
      </c>
      <c r="F1378" t="inlineStr">
        <is>
          <t>Övriga Aktiebolag</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39525-2022</t>
        </is>
      </c>
      <c r="B1379" s="1" t="n">
        <v>44818</v>
      </c>
      <c r="C1379" s="1" t="n">
        <v>45884</v>
      </c>
      <c r="D1379" t="inlineStr">
        <is>
          <t>KALMAR LÄN</t>
        </is>
      </c>
      <c r="E1379" t="inlineStr">
        <is>
          <t>KALMAR</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54748-2022</t>
        </is>
      </c>
      <c r="B1380" s="1" t="n">
        <v>44883.58832175926</v>
      </c>
      <c r="C1380" s="1" t="n">
        <v>45884</v>
      </c>
      <c r="D1380" t="inlineStr">
        <is>
          <t>KALMAR LÄN</t>
        </is>
      </c>
      <c r="E1380" t="inlineStr">
        <is>
          <t>TORSÅS</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44477-2022</t>
        </is>
      </c>
      <c r="B1381" s="1" t="n">
        <v>44840</v>
      </c>
      <c r="C1381" s="1" t="n">
        <v>45884</v>
      </c>
      <c r="D1381" t="inlineStr">
        <is>
          <t>KALMAR LÄN</t>
        </is>
      </c>
      <c r="E1381" t="inlineStr">
        <is>
          <t>NYBRO</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47843-2022</t>
        </is>
      </c>
      <c r="B1382" s="1" t="n">
        <v>44855</v>
      </c>
      <c r="C1382" s="1" t="n">
        <v>45884</v>
      </c>
      <c r="D1382" t="inlineStr">
        <is>
          <t>KALMAR LÄN</t>
        </is>
      </c>
      <c r="E1382" t="inlineStr">
        <is>
          <t>OSKARSHAMN</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32551-2022</t>
        </is>
      </c>
      <c r="B1383" s="1" t="n">
        <v>44783</v>
      </c>
      <c r="C1383" s="1" t="n">
        <v>45884</v>
      </c>
      <c r="D1383" t="inlineStr">
        <is>
          <t>KALMAR LÄN</t>
        </is>
      </c>
      <c r="E1383" t="inlineStr">
        <is>
          <t>NYBRO</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32608-2022</t>
        </is>
      </c>
      <c r="B1384" s="1" t="n">
        <v>44783</v>
      </c>
      <c r="C1384" s="1" t="n">
        <v>45884</v>
      </c>
      <c r="D1384" t="inlineStr">
        <is>
          <t>KALMAR LÄN</t>
        </is>
      </c>
      <c r="E1384" t="inlineStr">
        <is>
          <t>BORGHOLM</t>
        </is>
      </c>
      <c r="F1384" t="inlineStr">
        <is>
          <t>Sveaskog</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67047-2020</t>
        </is>
      </c>
      <c r="B1385" s="1" t="n">
        <v>44179</v>
      </c>
      <c r="C1385" s="1" t="n">
        <v>45884</v>
      </c>
      <c r="D1385" t="inlineStr">
        <is>
          <t>KALMAR LÄN</t>
        </is>
      </c>
      <c r="E1385" t="inlineStr">
        <is>
          <t>NYBRO</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46776-2022</t>
        </is>
      </c>
      <c r="B1386" s="1" t="n">
        <v>44851.49548611111</v>
      </c>
      <c r="C1386" s="1" t="n">
        <v>45884</v>
      </c>
      <c r="D1386" t="inlineStr">
        <is>
          <t>KALMAR LÄN</t>
        </is>
      </c>
      <c r="E1386" t="inlineStr">
        <is>
          <t>EMMABODA</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46783-2022</t>
        </is>
      </c>
      <c r="B1387" s="1" t="n">
        <v>44851.50041666667</v>
      </c>
      <c r="C1387" s="1" t="n">
        <v>45884</v>
      </c>
      <c r="D1387" t="inlineStr">
        <is>
          <t>KALMAR LÄN</t>
        </is>
      </c>
      <c r="E1387" t="inlineStr">
        <is>
          <t>VÄSTERVIK</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46811-2022</t>
        </is>
      </c>
      <c r="B1388" s="1" t="n">
        <v>44851.54663194445</v>
      </c>
      <c r="C1388" s="1" t="n">
        <v>45884</v>
      </c>
      <c r="D1388" t="inlineStr">
        <is>
          <t>KALMAR LÄN</t>
        </is>
      </c>
      <c r="E1388" t="inlineStr">
        <is>
          <t>OSKARSHAMN</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50112-2022</t>
        </is>
      </c>
      <c r="B1389" s="1" t="n">
        <v>44865</v>
      </c>
      <c r="C1389" s="1" t="n">
        <v>45884</v>
      </c>
      <c r="D1389" t="inlineStr">
        <is>
          <t>KALMAR LÄN</t>
        </is>
      </c>
      <c r="E1389" t="inlineStr">
        <is>
          <t>TORSÅS</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30448-2022</t>
        </is>
      </c>
      <c r="B1390" s="1" t="n">
        <v>44761</v>
      </c>
      <c r="C1390" s="1" t="n">
        <v>45884</v>
      </c>
      <c r="D1390" t="inlineStr">
        <is>
          <t>KALMAR LÄN</t>
        </is>
      </c>
      <c r="E1390" t="inlineStr">
        <is>
          <t>OSKARSHAMN</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50967-2020</t>
        </is>
      </c>
      <c r="B1391" s="1" t="n">
        <v>44111.87048611111</v>
      </c>
      <c r="C1391" s="1" t="n">
        <v>45884</v>
      </c>
      <c r="D1391" t="inlineStr">
        <is>
          <t>KALMAR LÄN</t>
        </is>
      </c>
      <c r="E1391" t="inlineStr">
        <is>
          <t>HULTSFRED</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47080-2022</t>
        </is>
      </c>
      <c r="B1392" s="1" t="n">
        <v>44852.45520833333</v>
      </c>
      <c r="C1392" s="1" t="n">
        <v>45884</v>
      </c>
      <c r="D1392" t="inlineStr">
        <is>
          <t>KALMAR LÄN</t>
        </is>
      </c>
      <c r="E1392" t="inlineStr">
        <is>
          <t>KALMAR</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54361-2020</t>
        </is>
      </c>
      <c r="B1393" s="1" t="n">
        <v>44125</v>
      </c>
      <c r="C1393" s="1" t="n">
        <v>45884</v>
      </c>
      <c r="D1393" t="inlineStr">
        <is>
          <t>KALMAR LÄN</t>
        </is>
      </c>
      <c r="E1393" t="inlineStr">
        <is>
          <t>HÖGSBY</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58836-2020</t>
        </is>
      </c>
      <c r="B1394" s="1" t="n">
        <v>44146</v>
      </c>
      <c r="C1394" s="1" t="n">
        <v>45884</v>
      </c>
      <c r="D1394" t="inlineStr">
        <is>
          <t>KALMAR LÄN</t>
        </is>
      </c>
      <c r="E1394" t="inlineStr">
        <is>
          <t>HULTSFRED</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54369-2020</t>
        </is>
      </c>
      <c r="B1395" s="1" t="n">
        <v>44125</v>
      </c>
      <c r="C1395" s="1" t="n">
        <v>45884</v>
      </c>
      <c r="D1395" t="inlineStr">
        <is>
          <t>KALMAR LÄN</t>
        </is>
      </c>
      <c r="E1395" t="inlineStr">
        <is>
          <t>HÖGSBY</t>
        </is>
      </c>
      <c r="G1395" t="n">
        <v>13.1</v>
      </c>
      <c r="H1395" t="n">
        <v>0</v>
      </c>
      <c r="I1395" t="n">
        <v>0</v>
      </c>
      <c r="J1395" t="n">
        <v>0</v>
      </c>
      <c r="K1395" t="n">
        <v>0</v>
      </c>
      <c r="L1395" t="n">
        <v>0</v>
      </c>
      <c r="M1395" t="n">
        <v>0</v>
      </c>
      <c r="N1395" t="n">
        <v>0</v>
      </c>
      <c r="O1395" t="n">
        <v>0</v>
      </c>
      <c r="P1395" t="n">
        <v>0</v>
      </c>
      <c r="Q1395" t="n">
        <v>0</v>
      </c>
      <c r="R1395" s="2" t="inlineStr"/>
    </row>
    <row r="1396" ht="15" customHeight="1">
      <c r="A1396" t="inlineStr">
        <is>
          <t>A 30682-2021</t>
        </is>
      </c>
      <c r="B1396" s="1" t="n">
        <v>44365</v>
      </c>
      <c r="C1396" s="1" t="n">
        <v>45884</v>
      </c>
      <c r="D1396" t="inlineStr">
        <is>
          <t>KALMAR LÄN</t>
        </is>
      </c>
      <c r="E1396" t="inlineStr">
        <is>
          <t>VIMMERBY</t>
        </is>
      </c>
      <c r="F1396" t="inlineStr">
        <is>
          <t>Sveaskog</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30714-2021</t>
        </is>
      </c>
      <c r="B1397" s="1" t="n">
        <v>44365</v>
      </c>
      <c r="C1397" s="1" t="n">
        <v>45884</v>
      </c>
      <c r="D1397" t="inlineStr">
        <is>
          <t>KALMAR LÄN</t>
        </is>
      </c>
      <c r="E1397" t="inlineStr">
        <is>
          <t>NYBRO</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1223-2021</t>
        </is>
      </c>
      <c r="B1398" s="1" t="n">
        <v>44208</v>
      </c>
      <c r="C1398" s="1" t="n">
        <v>45884</v>
      </c>
      <c r="D1398" t="inlineStr">
        <is>
          <t>KALMAR LÄN</t>
        </is>
      </c>
      <c r="E1398" t="inlineStr">
        <is>
          <t>TORSÅS</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9053-2021</t>
        </is>
      </c>
      <c r="B1399" s="1" t="n">
        <v>44249</v>
      </c>
      <c r="C1399" s="1" t="n">
        <v>45884</v>
      </c>
      <c r="D1399" t="inlineStr">
        <is>
          <t>KALMAR LÄN</t>
        </is>
      </c>
      <c r="E1399" t="inlineStr">
        <is>
          <t>EMMABODA</t>
        </is>
      </c>
      <c r="G1399" t="n">
        <v>4.9</v>
      </c>
      <c r="H1399" t="n">
        <v>0</v>
      </c>
      <c r="I1399" t="n">
        <v>0</v>
      </c>
      <c r="J1399" t="n">
        <v>0</v>
      </c>
      <c r="K1399" t="n">
        <v>0</v>
      </c>
      <c r="L1399" t="n">
        <v>0</v>
      </c>
      <c r="M1399" t="n">
        <v>0</v>
      </c>
      <c r="N1399" t="n">
        <v>0</v>
      </c>
      <c r="O1399" t="n">
        <v>0</v>
      </c>
      <c r="P1399" t="n">
        <v>0</v>
      </c>
      <c r="Q1399" t="n">
        <v>0</v>
      </c>
      <c r="R1399" s="2" t="inlineStr"/>
    </row>
    <row r="1400" ht="15" customHeight="1">
      <c r="A1400" t="inlineStr">
        <is>
          <t>A 67857-2020</t>
        </is>
      </c>
      <c r="B1400" s="1" t="n">
        <v>44182.55774305556</v>
      </c>
      <c r="C1400" s="1" t="n">
        <v>45884</v>
      </c>
      <c r="D1400" t="inlineStr">
        <is>
          <t>KALMAR LÄN</t>
        </is>
      </c>
      <c r="E1400" t="inlineStr">
        <is>
          <t>HULTSFRED</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48473-2022</t>
        </is>
      </c>
      <c r="B1401" s="1" t="n">
        <v>44858.69229166667</v>
      </c>
      <c r="C1401" s="1" t="n">
        <v>45884</v>
      </c>
      <c r="D1401" t="inlineStr">
        <is>
          <t>KALMAR LÄN</t>
        </is>
      </c>
      <c r="E1401" t="inlineStr">
        <is>
          <t>KALMAR</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64209-2020</t>
        </is>
      </c>
      <c r="B1402" s="1" t="n">
        <v>44168</v>
      </c>
      <c r="C1402" s="1" t="n">
        <v>45884</v>
      </c>
      <c r="D1402" t="inlineStr">
        <is>
          <t>KALMAR LÄN</t>
        </is>
      </c>
      <c r="E1402" t="inlineStr">
        <is>
          <t>HÖGSBY</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2450-2022</t>
        </is>
      </c>
      <c r="B1403" s="1" t="n">
        <v>44579</v>
      </c>
      <c r="C1403" s="1" t="n">
        <v>45884</v>
      </c>
      <c r="D1403" t="inlineStr">
        <is>
          <t>KALMAR LÄN</t>
        </is>
      </c>
      <c r="E1403" t="inlineStr">
        <is>
          <t>HÖGSBY</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32583-2021</t>
        </is>
      </c>
      <c r="B1404" s="1" t="n">
        <v>44375</v>
      </c>
      <c r="C1404" s="1" t="n">
        <v>45884</v>
      </c>
      <c r="D1404" t="inlineStr">
        <is>
          <t>KALMAR LÄN</t>
        </is>
      </c>
      <c r="E1404" t="inlineStr">
        <is>
          <t>VÄSTERVIK</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61111-2020</t>
        </is>
      </c>
      <c r="B1405" s="1" t="n">
        <v>44154</v>
      </c>
      <c r="C1405" s="1" t="n">
        <v>45884</v>
      </c>
      <c r="D1405" t="inlineStr">
        <is>
          <t>KALMAR LÄN</t>
        </is>
      </c>
      <c r="E1405" t="inlineStr">
        <is>
          <t>OSKARSHAMN</t>
        </is>
      </c>
      <c r="G1405" t="n">
        <v>4</v>
      </c>
      <c r="H1405" t="n">
        <v>0</v>
      </c>
      <c r="I1405" t="n">
        <v>0</v>
      </c>
      <c r="J1405" t="n">
        <v>0</v>
      </c>
      <c r="K1405" t="n">
        <v>0</v>
      </c>
      <c r="L1405" t="n">
        <v>0</v>
      </c>
      <c r="M1405" t="n">
        <v>0</v>
      </c>
      <c r="N1405" t="n">
        <v>0</v>
      </c>
      <c r="O1405" t="n">
        <v>0</v>
      </c>
      <c r="P1405" t="n">
        <v>0</v>
      </c>
      <c r="Q1405" t="n">
        <v>0</v>
      </c>
      <c r="R1405" s="2" t="inlineStr"/>
    </row>
    <row r="1406" ht="15" customHeight="1">
      <c r="A1406" t="inlineStr">
        <is>
          <t>A 43096-2022</t>
        </is>
      </c>
      <c r="B1406" s="1" t="n">
        <v>44833</v>
      </c>
      <c r="C1406" s="1" t="n">
        <v>45884</v>
      </c>
      <c r="D1406" t="inlineStr">
        <is>
          <t>KALMAR LÄN</t>
        </is>
      </c>
      <c r="E1406" t="inlineStr">
        <is>
          <t>HULTSFRED</t>
        </is>
      </c>
      <c r="G1406" t="n">
        <v>2.9</v>
      </c>
      <c r="H1406" t="n">
        <v>0</v>
      </c>
      <c r="I1406" t="n">
        <v>0</v>
      </c>
      <c r="J1406" t="n">
        <v>0</v>
      </c>
      <c r="K1406" t="n">
        <v>0</v>
      </c>
      <c r="L1406" t="n">
        <v>0</v>
      </c>
      <c r="M1406" t="n">
        <v>0</v>
      </c>
      <c r="N1406" t="n">
        <v>0</v>
      </c>
      <c r="O1406" t="n">
        <v>0</v>
      </c>
      <c r="P1406" t="n">
        <v>0</v>
      </c>
      <c r="Q1406" t="n">
        <v>0</v>
      </c>
      <c r="R1406" s="2" t="inlineStr"/>
    </row>
    <row r="1407" ht="15" customHeight="1">
      <c r="A1407" t="inlineStr">
        <is>
          <t>A 32627-2021</t>
        </is>
      </c>
      <c r="B1407" s="1" t="n">
        <v>44375.42613425926</v>
      </c>
      <c r="C1407" s="1" t="n">
        <v>45884</v>
      </c>
      <c r="D1407" t="inlineStr">
        <is>
          <t>KALMAR LÄN</t>
        </is>
      </c>
      <c r="E1407" t="inlineStr">
        <is>
          <t>NYBRO</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13732-2021</t>
        </is>
      </c>
      <c r="B1408" s="1" t="n">
        <v>44274</v>
      </c>
      <c r="C1408" s="1" t="n">
        <v>45884</v>
      </c>
      <c r="D1408" t="inlineStr">
        <is>
          <t>KALMAR LÄN</t>
        </is>
      </c>
      <c r="E1408" t="inlineStr">
        <is>
          <t>HULTSFRED</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13761-2021</t>
        </is>
      </c>
      <c r="B1409" s="1" t="n">
        <v>44274.71607638889</v>
      </c>
      <c r="C1409" s="1" t="n">
        <v>45884</v>
      </c>
      <c r="D1409" t="inlineStr">
        <is>
          <t>KALMAR LÄN</t>
        </is>
      </c>
      <c r="E1409" t="inlineStr">
        <is>
          <t>VÄSTERVIK</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4321-2022</t>
        </is>
      </c>
      <c r="B1410" s="1" t="n">
        <v>44588.89677083334</v>
      </c>
      <c r="C1410" s="1" t="n">
        <v>45884</v>
      </c>
      <c r="D1410" t="inlineStr">
        <is>
          <t>KALMAR LÄN</t>
        </is>
      </c>
      <c r="E1410" t="inlineStr">
        <is>
          <t>OSKARSHAMN</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11275-2021</t>
        </is>
      </c>
      <c r="B1411" s="1" t="n">
        <v>44263.45508101852</v>
      </c>
      <c r="C1411" s="1" t="n">
        <v>45884</v>
      </c>
      <c r="D1411" t="inlineStr">
        <is>
          <t>KALMAR LÄN</t>
        </is>
      </c>
      <c r="E1411" t="inlineStr">
        <is>
          <t>TORSÅS</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65679-2020</t>
        </is>
      </c>
      <c r="B1412" s="1" t="n">
        <v>44172</v>
      </c>
      <c r="C1412" s="1" t="n">
        <v>45884</v>
      </c>
      <c r="D1412" t="inlineStr">
        <is>
          <t>KALMAR LÄN</t>
        </is>
      </c>
      <c r="E1412" t="inlineStr">
        <is>
          <t>EMMABODA</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65682-2020</t>
        </is>
      </c>
      <c r="B1413" s="1" t="n">
        <v>44172</v>
      </c>
      <c r="C1413" s="1" t="n">
        <v>45884</v>
      </c>
      <c r="D1413" t="inlineStr">
        <is>
          <t>KALMAR LÄN</t>
        </is>
      </c>
      <c r="E1413" t="inlineStr">
        <is>
          <t>HULTSFRED</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64707-2020</t>
        </is>
      </c>
      <c r="B1414" s="1" t="n">
        <v>44169</v>
      </c>
      <c r="C1414" s="1" t="n">
        <v>45884</v>
      </c>
      <c r="D1414" t="inlineStr">
        <is>
          <t>KALMAR LÄN</t>
        </is>
      </c>
      <c r="E1414" t="inlineStr">
        <is>
          <t>VIMMERBY</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278-2021</t>
        </is>
      </c>
      <c r="B1415" s="1" t="n">
        <v>44201</v>
      </c>
      <c r="C1415" s="1" t="n">
        <v>45884</v>
      </c>
      <c r="D1415" t="inlineStr">
        <is>
          <t>KALMAR LÄN</t>
        </is>
      </c>
      <c r="E1415" t="inlineStr">
        <is>
          <t>TORSÅS</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31499-2021</t>
        </is>
      </c>
      <c r="B1416" s="1" t="n">
        <v>44369</v>
      </c>
      <c r="C1416" s="1" t="n">
        <v>45884</v>
      </c>
      <c r="D1416" t="inlineStr">
        <is>
          <t>KALMAR LÄN</t>
        </is>
      </c>
      <c r="E1416" t="inlineStr">
        <is>
          <t>NYBRO</t>
        </is>
      </c>
      <c r="G1416" t="n">
        <v>7.5</v>
      </c>
      <c r="H1416" t="n">
        <v>0</v>
      </c>
      <c r="I1416" t="n">
        <v>0</v>
      </c>
      <c r="J1416" t="n">
        <v>0</v>
      </c>
      <c r="K1416" t="n">
        <v>0</v>
      </c>
      <c r="L1416" t="n">
        <v>0</v>
      </c>
      <c r="M1416" t="n">
        <v>0</v>
      </c>
      <c r="N1416" t="n">
        <v>0</v>
      </c>
      <c r="O1416" t="n">
        <v>0</v>
      </c>
      <c r="P1416" t="n">
        <v>0</v>
      </c>
      <c r="Q1416" t="n">
        <v>0</v>
      </c>
      <c r="R1416" s="2" t="inlineStr"/>
    </row>
    <row r="1417" ht="15" customHeight="1">
      <c r="A1417" t="inlineStr">
        <is>
          <t>A 31545-2021</t>
        </is>
      </c>
      <c r="B1417" s="1" t="n">
        <v>44369</v>
      </c>
      <c r="C1417" s="1" t="n">
        <v>45884</v>
      </c>
      <c r="D1417" t="inlineStr">
        <is>
          <t>KALMAR LÄN</t>
        </is>
      </c>
      <c r="E1417" t="inlineStr">
        <is>
          <t>VÄSTERVIK</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12157-2021</t>
        </is>
      </c>
      <c r="B1418" s="1" t="n">
        <v>44266.58711805556</v>
      </c>
      <c r="C1418" s="1" t="n">
        <v>45884</v>
      </c>
      <c r="D1418" t="inlineStr">
        <is>
          <t>KALMAR LÄN</t>
        </is>
      </c>
      <c r="E1418" t="inlineStr">
        <is>
          <t>HULTSFRED</t>
        </is>
      </c>
      <c r="G1418" t="n">
        <v>6.4</v>
      </c>
      <c r="H1418" t="n">
        <v>0</v>
      </c>
      <c r="I1418" t="n">
        <v>0</v>
      </c>
      <c r="J1418" t="n">
        <v>0</v>
      </c>
      <c r="K1418" t="n">
        <v>0</v>
      </c>
      <c r="L1418" t="n">
        <v>0</v>
      </c>
      <c r="M1418" t="n">
        <v>0</v>
      </c>
      <c r="N1418" t="n">
        <v>0</v>
      </c>
      <c r="O1418" t="n">
        <v>0</v>
      </c>
      <c r="P1418" t="n">
        <v>0</v>
      </c>
      <c r="Q1418" t="n">
        <v>0</v>
      </c>
      <c r="R1418" s="2" t="inlineStr"/>
    </row>
    <row r="1419" ht="15" customHeight="1">
      <c r="A1419" t="inlineStr">
        <is>
          <t>A 13492-2021</t>
        </is>
      </c>
      <c r="B1419" s="1" t="n">
        <v>44273</v>
      </c>
      <c r="C1419" s="1" t="n">
        <v>45884</v>
      </c>
      <c r="D1419" t="inlineStr">
        <is>
          <t>KALMAR LÄN</t>
        </is>
      </c>
      <c r="E1419" t="inlineStr">
        <is>
          <t>VIMMERBY</t>
        </is>
      </c>
      <c r="G1419" t="n">
        <v>3.1</v>
      </c>
      <c r="H1419" t="n">
        <v>0</v>
      </c>
      <c r="I1419" t="n">
        <v>0</v>
      </c>
      <c r="J1419" t="n">
        <v>0</v>
      </c>
      <c r="K1419" t="n">
        <v>0</v>
      </c>
      <c r="L1419" t="n">
        <v>0</v>
      </c>
      <c r="M1419" t="n">
        <v>0</v>
      </c>
      <c r="N1419" t="n">
        <v>0</v>
      </c>
      <c r="O1419" t="n">
        <v>0</v>
      </c>
      <c r="P1419" t="n">
        <v>0</v>
      </c>
      <c r="Q1419" t="n">
        <v>0</v>
      </c>
      <c r="R1419" s="2" t="inlineStr"/>
    </row>
    <row r="1420" ht="15" customHeight="1">
      <c r="A1420" t="inlineStr">
        <is>
          <t>A 4413-2021</t>
        </is>
      </c>
      <c r="B1420" s="1" t="n">
        <v>44223</v>
      </c>
      <c r="C1420" s="1" t="n">
        <v>45884</v>
      </c>
      <c r="D1420" t="inlineStr">
        <is>
          <t>KALMAR LÄN</t>
        </is>
      </c>
      <c r="E1420" t="inlineStr">
        <is>
          <t>HULTSFRED</t>
        </is>
      </c>
      <c r="G1420" t="n">
        <v>0.3</v>
      </c>
      <c r="H1420" t="n">
        <v>0</v>
      </c>
      <c r="I1420" t="n">
        <v>0</v>
      </c>
      <c r="J1420" t="n">
        <v>0</v>
      </c>
      <c r="K1420" t="n">
        <v>0</v>
      </c>
      <c r="L1420" t="n">
        <v>0</v>
      </c>
      <c r="M1420" t="n">
        <v>0</v>
      </c>
      <c r="N1420" t="n">
        <v>0</v>
      </c>
      <c r="O1420" t="n">
        <v>0</v>
      </c>
      <c r="P1420" t="n">
        <v>0</v>
      </c>
      <c r="Q1420" t="n">
        <v>0</v>
      </c>
      <c r="R1420" s="2" t="inlineStr"/>
    </row>
    <row r="1421" ht="15" customHeight="1">
      <c r="A1421" t="inlineStr">
        <is>
          <t>A 18398-2022</t>
        </is>
      </c>
      <c r="B1421" s="1" t="n">
        <v>44686</v>
      </c>
      <c r="C1421" s="1" t="n">
        <v>45884</v>
      </c>
      <c r="D1421" t="inlineStr">
        <is>
          <t>KALMAR LÄN</t>
        </is>
      </c>
      <c r="E1421" t="inlineStr">
        <is>
          <t>HÖGSBY</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44444-2020</t>
        </is>
      </c>
      <c r="B1422" s="1" t="n">
        <v>44084</v>
      </c>
      <c r="C1422" s="1" t="n">
        <v>45884</v>
      </c>
      <c r="D1422" t="inlineStr">
        <is>
          <t>KALMAR LÄN</t>
        </is>
      </c>
      <c r="E1422" t="inlineStr">
        <is>
          <t>NYBRO</t>
        </is>
      </c>
      <c r="G1422" t="n">
        <v>9.800000000000001</v>
      </c>
      <c r="H1422" t="n">
        <v>0</v>
      </c>
      <c r="I1422" t="n">
        <v>0</v>
      </c>
      <c r="J1422" t="n">
        <v>0</v>
      </c>
      <c r="K1422" t="n">
        <v>0</v>
      </c>
      <c r="L1422" t="n">
        <v>0</v>
      </c>
      <c r="M1422" t="n">
        <v>0</v>
      </c>
      <c r="N1422" t="n">
        <v>0</v>
      </c>
      <c r="O1422" t="n">
        <v>0</v>
      </c>
      <c r="P1422" t="n">
        <v>0</v>
      </c>
      <c r="Q1422" t="n">
        <v>0</v>
      </c>
      <c r="R1422" s="2" t="inlineStr"/>
    </row>
    <row r="1423" ht="15" customHeight="1">
      <c r="A1423" t="inlineStr">
        <is>
          <t>A 8059-2021</t>
        </is>
      </c>
      <c r="B1423" s="1" t="n">
        <v>44243.63636574074</v>
      </c>
      <c r="C1423" s="1" t="n">
        <v>45884</v>
      </c>
      <c r="D1423" t="inlineStr">
        <is>
          <t>KALMAR LÄN</t>
        </is>
      </c>
      <c r="E1423" t="inlineStr">
        <is>
          <t>KALMAR</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35906-2021</t>
        </is>
      </c>
      <c r="B1424" s="1" t="n">
        <v>44387.67591435185</v>
      </c>
      <c r="C1424" s="1" t="n">
        <v>45884</v>
      </c>
      <c r="D1424" t="inlineStr">
        <is>
          <t>KALMAR LÄN</t>
        </is>
      </c>
      <c r="E1424" t="inlineStr">
        <is>
          <t>VÄSTERVIK</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493-2022</t>
        </is>
      </c>
      <c r="B1425" s="1" t="n">
        <v>44566</v>
      </c>
      <c r="C1425" s="1" t="n">
        <v>45884</v>
      </c>
      <c r="D1425" t="inlineStr">
        <is>
          <t>KALMAR LÄN</t>
        </is>
      </c>
      <c r="E1425" t="inlineStr">
        <is>
          <t>NYBRO</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31053-2021</t>
        </is>
      </c>
      <c r="B1426" s="1" t="n">
        <v>44368.45892361111</v>
      </c>
      <c r="C1426" s="1" t="n">
        <v>45884</v>
      </c>
      <c r="D1426" t="inlineStr">
        <is>
          <t>KALMAR LÄN</t>
        </is>
      </c>
      <c r="E1426" t="inlineStr">
        <is>
          <t>HULTSFRED</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9087-2022</t>
        </is>
      </c>
      <c r="B1427" s="1" t="n">
        <v>44615</v>
      </c>
      <c r="C1427" s="1" t="n">
        <v>45884</v>
      </c>
      <c r="D1427" t="inlineStr">
        <is>
          <t>KALMAR LÄN</t>
        </is>
      </c>
      <c r="E1427" t="inlineStr">
        <is>
          <t>KALMAR</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17869-2021</t>
        </is>
      </c>
      <c r="B1428" s="1" t="n">
        <v>44301.36048611111</v>
      </c>
      <c r="C1428" s="1" t="n">
        <v>45884</v>
      </c>
      <c r="D1428" t="inlineStr">
        <is>
          <t>KALMAR LÄN</t>
        </is>
      </c>
      <c r="E1428" t="inlineStr">
        <is>
          <t>VIMMERBY</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18013-2021</t>
        </is>
      </c>
      <c r="B1429" s="1" t="n">
        <v>44302</v>
      </c>
      <c r="C1429" s="1" t="n">
        <v>45884</v>
      </c>
      <c r="D1429" t="inlineStr">
        <is>
          <t>KALMAR LÄN</t>
        </is>
      </c>
      <c r="E1429" t="inlineStr">
        <is>
          <t>VÄSTERVIK</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43260-2021</t>
        </is>
      </c>
      <c r="B1430" s="1" t="n">
        <v>44432</v>
      </c>
      <c r="C1430" s="1" t="n">
        <v>45884</v>
      </c>
      <c r="D1430" t="inlineStr">
        <is>
          <t>KALMAR LÄN</t>
        </is>
      </c>
      <c r="E1430" t="inlineStr">
        <is>
          <t>KALMAR</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18167-2021</t>
        </is>
      </c>
      <c r="B1431" s="1" t="n">
        <v>44302</v>
      </c>
      <c r="C1431" s="1" t="n">
        <v>45884</v>
      </c>
      <c r="D1431" t="inlineStr">
        <is>
          <t>KALMAR LÄN</t>
        </is>
      </c>
      <c r="E1431" t="inlineStr">
        <is>
          <t>KALMAR</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5389-2022</t>
        </is>
      </c>
      <c r="B1432" s="1" t="n">
        <v>44595.30431712963</v>
      </c>
      <c r="C1432" s="1" t="n">
        <v>45884</v>
      </c>
      <c r="D1432" t="inlineStr">
        <is>
          <t>KALMAR LÄN</t>
        </is>
      </c>
      <c r="E1432" t="inlineStr">
        <is>
          <t>TORSÅS</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55382-2022</t>
        </is>
      </c>
      <c r="B1433" s="1" t="n">
        <v>44887</v>
      </c>
      <c r="C1433" s="1" t="n">
        <v>45884</v>
      </c>
      <c r="D1433" t="inlineStr">
        <is>
          <t>KALMAR LÄN</t>
        </is>
      </c>
      <c r="E1433" t="inlineStr">
        <is>
          <t>VÄSTERVIK</t>
        </is>
      </c>
      <c r="G1433" t="n">
        <v>3.2</v>
      </c>
      <c r="H1433" t="n">
        <v>0</v>
      </c>
      <c r="I1433" t="n">
        <v>0</v>
      </c>
      <c r="J1433" t="n">
        <v>0</v>
      </c>
      <c r="K1433" t="n">
        <v>0</v>
      </c>
      <c r="L1433" t="n">
        <v>0</v>
      </c>
      <c r="M1433" t="n">
        <v>0</v>
      </c>
      <c r="N1433" t="n">
        <v>0</v>
      </c>
      <c r="O1433" t="n">
        <v>0</v>
      </c>
      <c r="P1433" t="n">
        <v>0</v>
      </c>
      <c r="Q1433" t="n">
        <v>0</v>
      </c>
      <c r="R1433" s="2" t="inlineStr"/>
    </row>
    <row r="1434" ht="15" customHeight="1">
      <c r="A1434" t="inlineStr">
        <is>
          <t>A 14142-2021</t>
        </is>
      </c>
      <c r="B1434" s="1" t="n">
        <v>44277</v>
      </c>
      <c r="C1434" s="1" t="n">
        <v>45884</v>
      </c>
      <c r="D1434" t="inlineStr">
        <is>
          <t>KALMAR LÄN</t>
        </is>
      </c>
      <c r="E1434" t="inlineStr">
        <is>
          <t>EMMABODA</t>
        </is>
      </c>
      <c r="F1434" t="inlineStr">
        <is>
          <t>Kyrkan</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3669-2021</t>
        </is>
      </c>
      <c r="B1435" s="1" t="n">
        <v>44221</v>
      </c>
      <c r="C1435" s="1" t="n">
        <v>45884</v>
      </c>
      <c r="D1435" t="inlineStr">
        <is>
          <t>KALMAR LÄN</t>
        </is>
      </c>
      <c r="E1435" t="inlineStr">
        <is>
          <t>VÄSTERVIK</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38222-2020</t>
        </is>
      </c>
      <c r="B1436" s="1" t="n">
        <v>44060</v>
      </c>
      <c r="C1436" s="1" t="n">
        <v>45884</v>
      </c>
      <c r="D1436" t="inlineStr">
        <is>
          <t>KALMAR LÄN</t>
        </is>
      </c>
      <c r="E1436" t="inlineStr">
        <is>
          <t>NYBRO</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21185-2021</t>
        </is>
      </c>
      <c r="B1437" s="1" t="n">
        <v>44320</v>
      </c>
      <c r="C1437" s="1" t="n">
        <v>45884</v>
      </c>
      <c r="D1437" t="inlineStr">
        <is>
          <t>KALMAR LÄN</t>
        </is>
      </c>
      <c r="E1437" t="inlineStr">
        <is>
          <t>EMMABODA</t>
        </is>
      </c>
      <c r="G1437" t="n">
        <v>2.8</v>
      </c>
      <c r="H1437" t="n">
        <v>0</v>
      </c>
      <c r="I1437" t="n">
        <v>0</v>
      </c>
      <c r="J1437" t="n">
        <v>0</v>
      </c>
      <c r="K1437" t="n">
        <v>0</v>
      </c>
      <c r="L1437" t="n">
        <v>0</v>
      </c>
      <c r="M1437" t="n">
        <v>0</v>
      </c>
      <c r="N1437" t="n">
        <v>0</v>
      </c>
      <c r="O1437" t="n">
        <v>0</v>
      </c>
      <c r="P1437" t="n">
        <v>0</v>
      </c>
      <c r="Q1437" t="n">
        <v>0</v>
      </c>
      <c r="R1437" s="2" t="inlineStr"/>
    </row>
    <row r="1438" ht="15" customHeight="1">
      <c r="A1438" t="inlineStr">
        <is>
          <t>A 49498-2021</t>
        </is>
      </c>
      <c r="B1438" s="1" t="n">
        <v>44455</v>
      </c>
      <c r="C1438" s="1" t="n">
        <v>45884</v>
      </c>
      <c r="D1438" t="inlineStr">
        <is>
          <t>KALMAR LÄN</t>
        </is>
      </c>
      <c r="E1438" t="inlineStr">
        <is>
          <t>MÖNSTERÅS</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25049-2022</t>
        </is>
      </c>
      <c r="B1439" s="1" t="n">
        <v>44729.28226851852</v>
      </c>
      <c r="C1439" s="1" t="n">
        <v>45884</v>
      </c>
      <c r="D1439" t="inlineStr">
        <is>
          <t>KALMAR LÄN</t>
        </is>
      </c>
      <c r="E1439" t="inlineStr">
        <is>
          <t>VIMMERBY</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22913-2021</t>
        </is>
      </c>
      <c r="B1440" s="1" t="n">
        <v>44328</v>
      </c>
      <c r="C1440" s="1" t="n">
        <v>45884</v>
      </c>
      <c r="D1440" t="inlineStr">
        <is>
          <t>KALMAR LÄN</t>
        </is>
      </c>
      <c r="E1440" t="inlineStr">
        <is>
          <t>NYBRO</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13170-2021</t>
        </is>
      </c>
      <c r="B1441" s="1" t="n">
        <v>44272</v>
      </c>
      <c r="C1441" s="1" t="n">
        <v>45884</v>
      </c>
      <c r="D1441" t="inlineStr">
        <is>
          <t>KALMAR LÄN</t>
        </is>
      </c>
      <c r="E1441" t="inlineStr">
        <is>
          <t>HÖGSBY</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5615-2021</t>
        </is>
      </c>
      <c r="B1442" s="1" t="n">
        <v>44230</v>
      </c>
      <c r="C1442" s="1" t="n">
        <v>45884</v>
      </c>
      <c r="D1442" t="inlineStr">
        <is>
          <t>KALMAR LÄN</t>
        </is>
      </c>
      <c r="E1442" t="inlineStr">
        <is>
          <t>KALMAR</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5619-2021</t>
        </is>
      </c>
      <c r="B1443" s="1" t="n">
        <v>44230</v>
      </c>
      <c r="C1443" s="1" t="n">
        <v>45884</v>
      </c>
      <c r="D1443" t="inlineStr">
        <is>
          <t>KALMAR LÄN</t>
        </is>
      </c>
      <c r="E1443" t="inlineStr">
        <is>
          <t>KALMAR</t>
        </is>
      </c>
      <c r="G1443" t="n">
        <v>0.1</v>
      </c>
      <c r="H1443" t="n">
        <v>0</v>
      </c>
      <c r="I1443" t="n">
        <v>0</v>
      </c>
      <c r="J1443" t="n">
        <v>0</v>
      </c>
      <c r="K1443" t="n">
        <v>0</v>
      </c>
      <c r="L1443" t="n">
        <v>0</v>
      </c>
      <c r="M1443" t="n">
        <v>0</v>
      </c>
      <c r="N1443" t="n">
        <v>0</v>
      </c>
      <c r="O1443" t="n">
        <v>0</v>
      </c>
      <c r="P1443" t="n">
        <v>0</v>
      </c>
      <c r="Q1443" t="n">
        <v>0</v>
      </c>
      <c r="R1443" s="2" t="inlineStr"/>
    </row>
    <row r="1444" ht="15" customHeight="1">
      <c r="A1444" t="inlineStr">
        <is>
          <t>A 12848-2021</t>
        </is>
      </c>
      <c r="B1444" s="1" t="n">
        <v>44271.37226851852</v>
      </c>
      <c r="C1444" s="1" t="n">
        <v>45884</v>
      </c>
      <c r="D1444" t="inlineStr">
        <is>
          <t>KALMAR LÄN</t>
        </is>
      </c>
      <c r="E1444" t="inlineStr">
        <is>
          <t>VIMMERBY</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18077-2022</t>
        </is>
      </c>
      <c r="B1445" s="1" t="n">
        <v>44684</v>
      </c>
      <c r="C1445" s="1" t="n">
        <v>45884</v>
      </c>
      <c r="D1445" t="inlineStr">
        <is>
          <t>KALMAR LÄN</t>
        </is>
      </c>
      <c r="E1445" t="inlineStr">
        <is>
          <t>NYBRO</t>
        </is>
      </c>
      <c r="G1445" t="n">
        <v>4.1</v>
      </c>
      <c r="H1445" t="n">
        <v>0</v>
      </c>
      <c r="I1445" t="n">
        <v>0</v>
      </c>
      <c r="J1445" t="n">
        <v>0</v>
      </c>
      <c r="K1445" t="n">
        <v>0</v>
      </c>
      <c r="L1445" t="n">
        <v>0</v>
      </c>
      <c r="M1445" t="n">
        <v>0</v>
      </c>
      <c r="N1445" t="n">
        <v>0</v>
      </c>
      <c r="O1445" t="n">
        <v>0</v>
      </c>
      <c r="P1445" t="n">
        <v>0</v>
      </c>
      <c r="Q1445" t="n">
        <v>0</v>
      </c>
      <c r="R1445" s="2" t="inlineStr"/>
    </row>
    <row r="1446" ht="15" customHeight="1">
      <c r="A1446" t="inlineStr">
        <is>
          <t>A 12867-2021</t>
        </is>
      </c>
      <c r="B1446" s="1" t="n">
        <v>44271.41609953704</v>
      </c>
      <c r="C1446" s="1" t="n">
        <v>45884</v>
      </c>
      <c r="D1446" t="inlineStr">
        <is>
          <t>KALMAR LÄN</t>
        </is>
      </c>
      <c r="E1446" t="inlineStr">
        <is>
          <t>KALMAR</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12887-2021</t>
        </is>
      </c>
      <c r="B1447" s="1" t="n">
        <v>44271.44738425926</v>
      </c>
      <c r="C1447" s="1" t="n">
        <v>45884</v>
      </c>
      <c r="D1447" t="inlineStr">
        <is>
          <t>KALMAR LÄN</t>
        </is>
      </c>
      <c r="E1447" t="inlineStr">
        <is>
          <t>HÖGSBY</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20102-2021</t>
        </is>
      </c>
      <c r="B1448" s="1" t="n">
        <v>44314.44883101852</v>
      </c>
      <c r="C1448" s="1" t="n">
        <v>45884</v>
      </c>
      <c r="D1448" t="inlineStr">
        <is>
          <t>KALMAR LÄN</t>
        </is>
      </c>
      <c r="E1448" t="inlineStr">
        <is>
          <t>TORSÅS</t>
        </is>
      </c>
      <c r="F1448" t="inlineStr">
        <is>
          <t>Övriga Aktiebolag</t>
        </is>
      </c>
      <c r="G1448" t="n">
        <v>3.3</v>
      </c>
      <c r="H1448" t="n">
        <v>0</v>
      </c>
      <c r="I1448" t="n">
        <v>0</v>
      </c>
      <c r="J1448" t="n">
        <v>0</v>
      </c>
      <c r="K1448" t="n">
        <v>0</v>
      </c>
      <c r="L1448" t="n">
        <v>0</v>
      </c>
      <c r="M1448" t="n">
        <v>0</v>
      </c>
      <c r="N1448" t="n">
        <v>0</v>
      </c>
      <c r="O1448" t="n">
        <v>0</v>
      </c>
      <c r="P1448" t="n">
        <v>0</v>
      </c>
      <c r="Q1448" t="n">
        <v>0</v>
      </c>
      <c r="R1448" s="2" t="inlineStr"/>
    </row>
    <row r="1449" ht="15" customHeight="1">
      <c r="A1449" t="inlineStr">
        <is>
          <t>A 12303-2021</t>
        </is>
      </c>
      <c r="B1449" s="1" t="n">
        <v>44267.35119212963</v>
      </c>
      <c r="C1449" s="1" t="n">
        <v>45884</v>
      </c>
      <c r="D1449" t="inlineStr">
        <is>
          <t>KALMAR LÄN</t>
        </is>
      </c>
      <c r="E1449" t="inlineStr">
        <is>
          <t>TORSÅS</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40617-2021</t>
        </is>
      </c>
      <c r="B1450" s="1" t="n">
        <v>44420</v>
      </c>
      <c r="C1450" s="1" t="n">
        <v>45884</v>
      </c>
      <c r="D1450" t="inlineStr">
        <is>
          <t>KALMAR LÄN</t>
        </is>
      </c>
      <c r="E1450" t="inlineStr">
        <is>
          <t>HULTSFRED</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11702-2022</t>
        </is>
      </c>
      <c r="B1451" s="1" t="n">
        <v>44634</v>
      </c>
      <c r="C1451" s="1" t="n">
        <v>45884</v>
      </c>
      <c r="D1451" t="inlineStr">
        <is>
          <t>KALMAR LÄN</t>
        </is>
      </c>
      <c r="E1451" t="inlineStr">
        <is>
          <t>MÖNSTERÅS</t>
        </is>
      </c>
      <c r="G1451" t="n">
        <v>3.1</v>
      </c>
      <c r="H1451" t="n">
        <v>0</v>
      </c>
      <c r="I1451" t="n">
        <v>0</v>
      </c>
      <c r="J1451" t="n">
        <v>0</v>
      </c>
      <c r="K1451" t="n">
        <v>0</v>
      </c>
      <c r="L1451" t="n">
        <v>0</v>
      </c>
      <c r="M1451" t="n">
        <v>0</v>
      </c>
      <c r="N1451" t="n">
        <v>0</v>
      </c>
      <c r="O1451" t="n">
        <v>0</v>
      </c>
      <c r="P1451" t="n">
        <v>0</v>
      </c>
      <c r="Q1451" t="n">
        <v>0</v>
      </c>
      <c r="R1451" s="2" t="inlineStr"/>
    </row>
    <row r="1452" ht="15" customHeight="1">
      <c r="A1452" t="inlineStr">
        <is>
          <t>A 1241-2021</t>
        </is>
      </c>
      <c r="B1452" s="1" t="n">
        <v>44208</v>
      </c>
      <c r="C1452" s="1" t="n">
        <v>45884</v>
      </c>
      <c r="D1452" t="inlineStr">
        <is>
          <t>KALMAR LÄN</t>
        </is>
      </c>
      <c r="E1452" t="inlineStr">
        <is>
          <t>EMMABODA</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3718-2022</t>
        </is>
      </c>
      <c r="B1453" s="1" t="n">
        <v>44586</v>
      </c>
      <c r="C1453" s="1" t="n">
        <v>45884</v>
      </c>
      <c r="D1453" t="inlineStr">
        <is>
          <t>KALMAR LÄN</t>
        </is>
      </c>
      <c r="E1453" t="inlineStr">
        <is>
          <t>VÄSTERVIK</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3739-2022</t>
        </is>
      </c>
      <c r="B1454" s="1" t="n">
        <v>44586</v>
      </c>
      <c r="C1454" s="1" t="n">
        <v>45884</v>
      </c>
      <c r="D1454" t="inlineStr">
        <is>
          <t>KALMAR LÄN</t>
        </is>
      </c>
      <c r="E1454" t="inlineStr">
        <is>
          <t>KALMAR</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26176-2021</t>
        </is>
      </c>
      <c r="B1455" s="1" t="n">
        <v>44347</v>
      </c>
      <c r="C1455" s="1" t="n">
        <v>45884</v>
      </c>
      <c r="D1455" t="inlineStr">
        <is>
          <t>KALMAR LÄN</t>
        </is>
      </c>
      <c r="E1455" t="inlineStr">
        <is>
          <t>NYBRO</t>
        </is>
      </c>
      <c r="G1455" t="n">
        <v>2.8</v>
      </c>
      <c r="H1455" t="n">
        <v>0</v>
      </c>
      <c r="I1455" t="n">
        <v>0</v>
      </c>
      <c r="J1455" t="n">
        <v>0</v>
      </c>
      <c r="K1455" t="n">
        <v>0</v>
      </c>
      <c r="L1455" t="n">
        <v>0</v>
      </c>
      <c r="M1455" t="n">
        <v>0</v>
      </c>
      <c r="N1455" t="n">
        <v>0</v>
      </c>
      <c r="O1455" t="n">
        <v>0</v>
      </c>
      <c r="P1455" t="n">
        <v>0</v>
      </c>
      <c r="Q1455" t="n">
        <v>0</v>
      </c>
      <c r="R1455" s="2" t="inlineStr"/>
    </row>
    <row r="1456" ht="15" customHeight="1">
      <c r="A1456" t="inlineStr">
        <is>
          <t>A 30031-2021</t>
        </is>
      </c>
      <c r="B1456" s="1" t="n">
        <v>44363</v>
      </c>
      <c r="C1456" s="1" t="n">
        <v>45884</v>
      </c>
      <c r="D1456" t="inlineStr">
        <is>
          <t>KALMAR LÄN</t>
        </is>
      </c>
      <c r="E1456" t="inlineStr">
        <is>
          <t>HÖGSBY</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24723-2021</t>
        </is>
      </c>
      <c r="B1457" s="1" t="n">
        <v>44340.54472222222</v>
      </c>
      <c r="C1457" s="1" t="n">
        <v>45884</v>
      </c>
      <c r="D1457" t="inlineStr">
        <is>
          <t>KALMAR LÄN</t>
        </is>
      </c>
      <c r="E1457" t="inlineStr">
        <is>
          <t>VIMMERBY</t>
        </is>
      </c>
      <c r="G1457" t="n">
        <v>3.3</v>
      </c>
      <c r="H1457" t="n">
        <v>0</v>
      </c>
      <c r="I1457" t="n">
        <v>0</v>
      </c>
      <c r="J1457" t="n">
        <v>0</v>
      </c>
      <c r="K1457" t="n">
        <v>0</v>
      </c>
      <c r="L1457" t="n">
        <v>0</v>
      </c>
      <c r="M1457" t="n">
        <v>0</v>
      </c>
      <c r="N1457" t="n">
        <v>0</v>
      </c>
      <c r="O1457" t="n">
        <v>0</v>
      </c>
      <c r="P1457" t="n">
        <v>0</v>
      </c>
      <c r="Q1457" t="n">
        <v>0</v>
      </c>
      <c r="R1457" s="2" t="inlineStr"/>
    </row>
    <row r="1458" ht="15" customHeight="1">
      <c r="A1458" t="inlineStr">
        <is>
          <t>A 15928-2021</t>
        </is>
      </c>
      <c r="B1458" s="1" t="n">
        <v>44287</v>
      </c>
      <c r="C1458" s="1" t="n">
        <v>45884</v>
      </c>
      <c r="D1458" t="inlineStr">
        <is>
          <t>KALMAR LÄN</t>
        </is>
      </c>
      <c r="E1458" t="inlineStr">
        <is>
          <t>KALMAR</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5198-2021</t>
        </is>
      </c>
      <c r="B1459" s="1" t="n">
        <v>44228</v>
      </c>
      <c r="C1459" s="1" t="n">
        <v>45884</v>
      </c>
      <c r="D1459" t="inlineStr">
        <is>
          <t>KALMAR LÄN</t>
        </is>
      </c>
      <c r="E1459" t="inlineStr">
        <is>
          <t>OSKARSHAMN</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68239-2020</t>
        </is>
      </c>
      <c r="B1460" s="1" t="n">
        <v>44183</v>
      </c>
      <c r="C1460" s="1" t="n">
        <v>45884</v>
      </c>
      <c r="D1460" t="inlineStr">
        <is>
          <t>KALMAR LÄN</t>
        </is>
      </c>
      <c r="E1460" t="inlineStr">
        <is>
          <t>MÖNSTERÅS</t>
        </is>
      </c>
      <c r="G1460" t="n">
        <v>13.3</v>
      </c>
      <c r="H1460" t="n">
        <v>0</v>
      </c>
      <c r="I1460" t="n">
        <v>0</v>
      </c>
      <c r="J1460" t="n">
        <v>0</v>
      </c>
      <c r="K1460" t="n">
        <v>0</v>
      </c>
      <c r="L1460" t="n">
        <v>0</v>
      </c>
      <c r="M1460" t="n">
        <v>0</v>
      </c>
      <c r="N1460" t="n">
        <v>0</v>
      </c>
      <c r="O1460" t="n">
        <v>0</v>
      </c>
      <c r="P1460" t="n">
        <v>0</v>
      </c>
      <c r="Q1460" t="n">
        <v>0</v>
      </c>
      <c r="R1460" s="2" t="inlineStr"/>
    </row>
    <row r="1461" ht="15" customHeight="1">
      <c r="A1461" t="inlineStr">
        <is>
          <t>A 47096-2020</t>
        </is>
      </c>
      <c r="B1461" s="1" t="n">
        <v>44096</v>
      </c>
      <c r="C1461" s="1" t="n">
        <v>45884</v>
      </c>
      <c r="D1461" t="inlineStr">
        <is>
          <t>KALMAR LÄN</t>
        </is>
      </c>
      <c r="E1461" t="inlineStr">
        <is>
          <t>TORSÅS</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30707-2021</t>
        </is>
      </c>
      <c r="B1462" s="1" t="n">
        <v>44365</v>
      </c>
      <c r="C1462" s="1" t="n">
        <v>45884</v>
      </c>
      <c r="D1462" t="inlineStr">
        <is>
          <t>KALMAR LÄN</t>
        </is>
      </c>
      <c r="E1462" t="inlineStr">
        <is>
          <t>NYBRO</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1243-2021</t>
        </is>
      </c>
      <c r="B1463" s="1" t="n">
        <v>44208</v>
      </c>
      <c r="C1463" s="1" t="n">
        <v>45884</v>
      </c>
      <c r="D1463" t="inlineStr">
        <is>
          <t>KALMAR LÄN</t>
        </is>
      </c>
      <c r="E1463" t="inlineStr">
        <is>
          <t>EMMABODA</t>
        </is>
      </c>
      <c r="G1463" t="n">
        <v>5.2</v>
      </c>
      <c r="H1463" t="n">
        <v>0</v>
      </c>
      <c r="I1463" t="n">
        <v>0</v>
      </c>
      <c r="J1463" t="n">
        <v>0</v>
      </c>
      <c r="K1463" t="n">
        <v>0</v>
      </c>
      <c r="L1463" t="n">
        <v>0</v>
      </c>
      <c r="M1463" t="n">
        <v>0</v>
      </c>
      <c r="N1463" t="n">
        <v>0</v>
      </c>
      <c r="O1463" t="n">
        <v>0</v>
      </c>
      <c r="P1463" t="n">
        <v>0</v>
      </c>
      <c r="Q1463" t="n">
        <v>0</v>
      </c>
      <c r="R1463" s="2" t="inlineStr"/>
    </row>
    <row r="1464" ht="15" customHeight="1">
      <c r="A1464" t="inlineStr">
        <is>
          <t>A 52886-2021</t>
        </is>
      </c>
      <c r="B1464" s="1" t="n">
        <v>44467</v>
      </c>
      <c r="C1464" s="1" t="n">
        <v>45884</v>
      </c>
      <c r="D1464" t="inlineStr">
        <is>
          <t>KALMAR LÄN</t>
        </is>
      </c>
      <c r="E1464" t="inlineStr">
        <is>
          <t>TORSÅS</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52889-2021</t>
        </is>
      </c>
      <c r="B1465" s="1" t="n">
        <v>44467</v>
      </c>
      <c r="C1465" s="1" t="n">
        <v>45884</v>
      </c>
      <c r="D1465" t="inlineStr">
        <is>
          <t>KALMAR LÄN</t>
        </is>
      </c>
      <c r="E1465" t="inlineStr">
        <is>
          <t>TORSÅS</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32786-2021</t>
        </is>
      </c>
      <c r="B1466" s="1" t="n">
        <v>44375</v>
      </c>
      <c r="C1466" s="1" t="n">
        <v>45884</v>
      </c>
      <c r="D1466" t="inlineStr">
        <is>
          <t>KALMAR LÄN</t>
        </is>
      </c>
      <c r="E1466" t="inlineStr">
        <is>
          <t>HULTSFRED</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18475-2021</t>
        </is>
      </c>
      <c r="B1467" s="1" t="n">
        <v>44306</v>
      </c>
      <c r="C1467" s="1" t="n">
        <v>45884</v>
      </c>
      <c r="D1467" t="inlineStr">
        <is>
          <t>KALMAR LÄN</t>
        </is>
      </c>
      <c r="E1467" t="inlineStr">
        <is>
          <t>NYBRO</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5269-2022</t>
        </is>
      </c>
      <c r="B1468" s="1" t="n">
        <v>44594</v>
      </c>
      <c r="C1468" s="1" t="n">
        <v>45884</v>
      </c>
      <c r="D1468" t="inlineStr">
        <is>
          <t>KALMAR LÄN</t>
        </is>
      </c>
      <c r="E1468" t="inlineStr">
        <is>
          <t>HULTSFRED</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5278-2022</t>
        </is>
      </c>
      <c r="B1469" s="1" t="n">
        <v>44594</v>
      </c>
      <c r="C1469" s="1" t="n">
        <v>45884</v>
      </c>
      <c r="D1469" t="inlineStr">
        <is>
          <t>KALMAR LÄN</t>
        </is>
      </c>
      <c r="E1469" t="inlineStr">
        <is>
          <t>HULTSFRED</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43555-2020</t>
        </is>
      </c>
      <c r="B1470" s="1" t="n">
        <v>44082</v>
      </c>
      <c r="C1470" s="1" t="n">
        <v>45884</v>
      </c>
      <c r="D1470" t="inlineStr">
        <is>
          <t>KALMAR LÄN</t>
        </is>
      </c>
      <c r="E1470" t="inlineStr">
        <is>
          <t>KALMAR</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18895-2021</t>
        </is>
      </c>
      <c r="B1471" s="1" t="n">
        <v>44308</v>
      </c>
      <c r="C1471" s="1" t="n">
        <v>45884</v>
      </c>
      <c r="D1471" t="inlineStr">
        <is>
          <t>KALMAR LÄN</t>
        </is>
      </c>
      <c r="E1471" t="inlineStr">
        <is>
          <t>TORSÅS</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50004-2020</t>
        </is>
      </c>
      <c r="B1472" s="1" t="n">
        <v>44109</v>
      </c>
      <c r="C1472" s="1" t="n">
        <v>45884</v>
      </c>
      <c r="D1472" t="inlineStr">
        <is>
          <t>KALMAR LÄN</t>
        </is>
      </c>
      <c r="E1472" t="inlineStr">
        <is>
          <t>TORSÅS</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24752-2021</t>
        </is>
      </c>
      <c r="B1473" s="1" t="n">
        <v>44340</v>
      </c>
      <c r="C1473" s="1" t="n">
        <v>45884</v>
      </c>
      <c r="D1473" t="inlineStr">
        <is>
          <t>KALMAR LÄN</t>
        </is>
      </c>
      <c r="E1473" t="inlineStr">
        <is>
          <t>VIMMERBY</t>
        </is>
      </c>
      <c r="G1473" t="n">
        <v>4.1</v>
      </c>
      <c r="H1473" t="n">
        <v>0</v>
      </c>
      <c r="I1473" t="n">
        <v>0</v>
      </c>
      <c r="J1473" t="n">
        <v>0</v>
      </c>
      <c r="K1473" t="n">
        <v>0</v>
      </c>
      <c r="L1473" t="n">
        <v>0</v>
      </c>
      <c r="M1473" t="n">
        <v>0</v>
      </c>
      <c r="N1473" t="n">
        <v>0</v>
      </c>
      <c r="O1473" t="n">
        <v>0</v>
      </c>
      <c r="P1473" t="n">
        <v>0</v>
      </c>
      <c r="Q1473" t="n">
        <v>0</v>
      </c>
      <c r="R1473" s="2" t="inlineStr"/>
    </row>
    <row r="1474" ht="15" customHeight="1">
      <c r="A1474" t="inlineStr">
        <is>
          <t>A 35699-2021</t>
        </is>
      </c>
      <c r="B1474" s="1" t="n">
        <v>44385</v>
      </c>
      <c r="C1474" s="1" t="n">
        <v>45884</v>
      </c>
      <c r="D1474" t="inlineStr">
        <is>
          <t>KALMAR LÄN</t>
        </is>
      </c>
      <c r="E1474" t="inlineStr">
        <is>
          <t>EMMABODA</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20404-2021</t>
        </is>
      </c>
      <c r="B1475" s="1" t="n">
        <v>44315</v>
      </c>
      <c r="C1475" s="1" t="n">
        <v>45884</v>
      </c>
      <c r="D1475" t="inlineStr">
        <is>
          <t>KALMAR LÄN</t>
        </is>
      </c>
      <c r="E1475" t="inlineStr">
        <is>
          <t>OSKARSHAMN</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26225-2021</t>
        </is>
      </c>
      <c r="B1476" s="1" t="n">
        <v>44347.43444444444</v>
      </c>
      <c r="C1476" s="1" t="n">
        <v>45884</v>
      </c>
      <c r="D1476" t="inlineStr">
        <is>
          <t>KALMAR LÄN</t>
        </is>
      </c>
      <c r="E1476" t="inlineStr">
        <is>
          <t>EMMABODA</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36951-2022</t>
        </is>
      </c>
      <c r="B1477" s="1" t="n">
        <v>44806.30436342592</v>
      </c>
      <c r="C1477" s="1" t="n">
        <v>45884</v>
      </c>
      <c r="D1477" t="inlineStr">
        <is>
          <t>KALMAR LÄN</t>
        </is>
      </c>
      <c r="E1477" t="inlineStr">
        <is>
          <t>NYBRO</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48686-2021</t>
        </is>
      </c>
      <c r="B1478" s="1" t="n">
        <v>44452.57027777778</v>
      </c>
      <c r="C1478" s="1" t="n">
        <v>45884</v>
      </c>
      <c r="D1478" t="inlineStr">
        <is>
          <t>KALMAR LÄN</t>
        </is>
      </c>
      <c r="E1478" t="inlineStr">
        <is>
          <t>TORSÅS</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37003-2022</t>
        </is>
      </c>
      <c r="B1479" s="1" t="n">
        <v>44806</v>
      </c>
      <c r="C1479" s="1" t="n">
        <v>45884</v>
      </c>
      <c r="D1479" t="inlineStr">
        <is>
          <t>KALMAR LÄN</t>
        </is>
      </c>
      <c r="E1479" t="inlineStr">
        <is>
          <t>OSKARSHAMN</t>
        </is>
      </c>
      <c r="G1479" t="n">
        <v>4.5</v>
      </c>
      <c r="H1479" t="n">
        <v>0</v>
      </c>
      <c r="I1479" t="n">
        <v>0</v>
      </c>
      <c r="J1479" t="n">
        <v>0</v>
      </c>
      <c r="K1479" t="n">
        <v>0</v>
      </c>
      <c r="L1479" t="n">
        <v>0</v>
      </c>
      <c r="M1479" t="n">
        <v>0</v>
      </c>
      <c r="N1479" t="n">
        <v>0</v>
      </c>
      <c r="O1479" t="n">
        <v>0</v>
      </c>
      <c r="P1479" t="n">
        <v>0</v>
      </c>
      <c r="Q1479" t="n">
        <v>0</v>
      </c>
      <c r="R1479" s="2" t="inlineStr"/>
    </row>
    <row r="1480" ht="15" customHeight="1">
      <c r="A1480" t="inlineStr">
        <is>
          <t>A 20491-2021</t>
        </is>
      </c>
      <c r="B1480" s="1" t="n">
        <v>44315.67481481482</v>
      </c>
      <c r="C1480" s="1" t="n">
        <v>45884</v>
      </c>
      <c r="D1480" t="inlineStr">
        <is>
          <t>KALMAR LÄN</t>
        </is>
      </c>
      <c r="E1480" t="inlineStr">
        <is>
          <t>NYBRO</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26633-2021</t>
        </is>
      </c>
      <c r="B1481" s="1" t="n">
        <v>44348.69079861111</v>
      </c>
      <c r="C1481" s="1" t="n">
        <v>45884</v>
      </c>
      <c r="D1481" t="inlineStr">
        <is>
          <t>KALMAR LÄN</t>
        </is>
      </c>
      <c r="E1481" t="inlineStr">
        <is>
          <t>KALMAR</t>
        </is>
      </c>
      <c r="G1481" t="n">
        <v>2.8</v>
      </c>
      <c r="H1481" t="n">
        <v>0</v>
      </c>
      <c r="I1481" t="n">
        <v>0</v>
      </c>
      <c r="J1481" t="n">
        <v>0</v>
      </c>
      <c r="K1481" t="n">
        <v>0</v>
      </c>
      <c r="L1481" t="n">
        <v>0</v>
      </c>
      <c r="M1481" t="n">
        <v>0</v>
      </c>
      <c r="N1481" t="n">
        <v>0</v>
      </c>
      <c r="O1481" t="n">
        <v>0</v>
      </c>
      <c r="P1481" t="n">
        <v>0</v>
      </c>
      <c r="Q1481" t="n">
        <v>0</v>
      </c>
      <c r="R1481" s="2" t="inlineStr"/>
    </row>
    <row r="1482" ht="15" customHeight="1">
      <c r="A1482" t="inlineStr">
        <is>
          <t>A 39155-2020</t>
        </is>
      </c>
      <c r="B1482" s="1" t="n">
        <v>44062</v>
      </c>
      <c r="C1482" s="1" t="n">
        <v>45884</v>
      </c>
      <c r="D1482" t="inlineStr">
        <is>
          <t>KALMAR LÄN</t>
        </is>
      </c>
      <c r="E1482" t="inlineStr">
        <is>
          <t>MÖNSTERÅS</t>
        </is>
      </c>
      <c r="F1482" t="inlineStr">
        <is>
          <t>Kyrkan</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30547-2021</t>
        </is>
      </c>
      <c r="B1483" s="1" t="n">
        <v>44364.69368055555</v>
      </c>
      <c r="C1483" s="1" t="n">
        <v>45884</v>
      </c>
      <c r="D1483" t="inlineStr">
        <is>
          <t>KALMAR LÄN</t>
        </is>
      </c>
      <c r="E1483" t="inlineStr">
        <is>
          <t>NYBRO</t>
        </is>
      </c>
      <c r="G1483" t="n">
        <v>0.2</v>
      </c>
      <c r="H1483" t="n">
        <v>0</v>
      </c>
      <c r="I1483" t="n">
        <v>0</v>
      </c>
      <c r="J1483" t="n">
        <v>0</v>
      </c>
      <c r="K1483" t="n">
        <v>0</v>
      </c>
      <c r="L1483" t="n">
        <v>0</v>
      </c>
      <c r="M1483" t="n">
        <v>0</v>
      </c>
      <c r="N1483" t="n">
        <v>0</v>
      </c>
      <c r="O1483" t="n">
        <v>0</v>
      </c>
      <c r="P1483" t="n">
        <v>0</v>
      </c>
      <c r="Q1483" t="n">
        <v>0</v>
      </c>
      <c r="R1483" s="2" t="inlineStr"/>
    </row>
    <row r="1484" ht="15" customHeight="1">
      <c r="A1484" t="inlineStr">
        <is>
          <t>A 31533-2022</t>
        </is>
      </c>
      <c r="B1484" s="1" t="n">
        <v>44774</v>
      </c>
      <c r="C1484" s="1" t="n">
        <v>45884</v>
      </c>
      <c r="D1484" t="inlineStr">
        <is>
          <t>KALMAR LÄN</t>
        </is>
      </c>
      <c r="E1484" t="inlineStr">
        <is>
          <t>VIMMERBY</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38448-2022</t>
        </is>
      </c>
      <c r="B1485" s="1" t="n">
        <v>44813</v>
      </c>
      <c r="C1485" s="1" t="n">
        <v>45884</v>
      </c>
      <c r="D1485" t="inlineStr">
        <is>
          <t>KALMAR LÄN</t>
        </is>
      </c>
      <c r="E1485" t="inlineStr">
        <is>
          <t>EMMABODA</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59646-2021</t>
        </is>
      </c>
      <c r="B1486" s="1" t="n">
        <v>44493.7688425926</v>
      </c>
      <c r="C1486" s="1" t="n">
        <v>45884</v>
      </c>
      <c r="D1486" t="inlineStr">
        <is>
          <t>KALMAR LÄN</t>
        </is>
      </c>
      <c r="E1486" t="inlineStr">
        <is>
          <t>NYBRO</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58575-2021</t>
        </is>
      </c>
      <c r="B1487" s="1" t="n">
        <v>44488.93328703703</v>
      </c>
      <c r="C1487" s="1" t="n">
        <v>45884</v>
      </c>
      <c r="D1487" t="inlineStr">
        <is>
          <t>KALMAR LÄN</t>
        </is>
      </c>
      <c r="E1487" t="inlineStr">
        <is>
          <t>NYBRO</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58920-2021</t>
        </is>
      </c>
      <c r="B1488" s="1" t="n">
        <v>44489.73731481482</v>
      </c>
      <c r="C1488" s="1" t="n">
        <v>45884</v>
      </c>
      <c r="D1488" t="inlineStr">
        <is>
          <t>KALMAR LÄN</t>
        </is>
      </c>
      <c r="E1488" t="inlineStr">
        <is>
          <t>TORSÅS</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56030-2021</t>
        </is>
      </c>
      <c r="B1489" s="1" t="n">
        <v>44477</v>
      </c>
      <c r="C1489" s="1" t="n">
        <v>45884</v>
      </c>
      <c r="D1489" t="inlineStr">
        <is>
          <t>KALMAR LÄN</t>
        </is>
      </c>
      <c r="E1489" t="inlineStr">
        <is>
          <t>OSKARSHAMN</t>
        </is>
      </c>
      <c r="F1489" t="inlineStr">
        <is>
          <t>Övriga Aktiebolag</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39125-2020</t>
        </is>
      </c>
      <c r="B1490" s="1" t="n">
        <v>44063</v>
      </c>
      <c r="C1490" s="1" t="n">
        <v>45884</v>
      </c>
      <c r="D1490" t="inlineStr">
        <is>
          <t>KALMAR LÄN</t>
        </is>
      </c>
      <c r="E1490" t="inlineStr">
        <is>
          <t>VIMMERBY</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29737-2021</t>
        </is>
      </c>
      <c r="B1491" s="1" t="n">
        <v>44362</v>
      </c>
      <c r="C1491" s="1" t="n">
        <v>45884</v>
      </c>
      <c r="D1491" t="inlineStr">
        <is>
          <t>KALMAR LÄN</t>
        </is>
      </c>
      <c r="E1491" t="inlineStr">
        <is>
          <t>NYBRO</t>
        </is>
      </c>
      <c r="G1491" t="n">
        <v>4.3</v>
      </c>
      <c r="H1491" t="n">
        <v>0</v>
      </c>
      <c r="I1491" t="n">
        <v>0</v>
      </c>
      <c r="J1491" t="n">
        <v>0</v>
      </c>
      <c r="K1491" t="n">
        <v>0</v>
      </c>
      <c r="L1491" t="n">
        <v>0</v>
      </c>
      <c r="M1491" t="n">
        <v>0</v>
      </c>
      <c r="N1491" t="n">
        <v>0</v>
      </c>
      <c r="O1491" t="n">
        <v>0</v>
      </c>
      <c r="P1491" t="n">
        <v>0</v>
      </c>
      <c r="Q1491" t="n">
        <v>0</v>
      </c>
      <c r="R1491" s="2" t="inlineStr"/>
    </row>
    <row r="1492" ht="15" customHeight="1">
      <c r="A1492" t="inlineStr">
        <is>
          <t>A 38710-2020</t>
        </is>
      </c>
      <c r="B1492" s="1" t="n">
        <v>44061</v>
      </c>
      <c r="C1492" s="1" t="n">
        <v>45884</v>
      </c>
      <c r="D1492" t="inlineStr">
        <is>
          <t>KALMAR LÄN</t>
        </is>
      </c>
      <c r="E1492" t="inlineStr">
        <is>
          <t>VIMMERBY</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25859-2022</t>
        </is>
      </c>
      <c r="B1493" s="1" t="n">
        <v>44733</v>
      </c>
      <c r="C1493" s="1" t="n">
        <v>45884</v>
      </c>
      <c r="D1493" t="inlineStr">
        <is>
          <t>KALMAR LÄN</t>
        </is>
      </c>
      <c r="E1493" t="inlineStr">
        <is>
          <t>VIMMERBY</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25868-2022</t>
        </is>
      </c>
      <c r="B1494" s="1" t="n">
        <v>44733</v>
      </c>
      <c r="C1494" s="1" t="n">
        <v>45884</v>
      </c>
      <c r="D1494" t="inlineStr">
        <is>
          <t>KALMAR LÄN</t>
        </is>
      </c>
      <c r="E1494" t="inlineStr">
        <is>
          <t>VIMMERBY</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39760-2020</t>
        </is>
      </c>
      <c r="B1495" s="1" t="n">
        <v>44067</v>
      </c>
      <c r="C1495" s="1" t="n">
        <v>45884</v>
      </c>
      <c r="D1495" t="inlineStr">
        <is>
          <t>KALMAR LÄN</t>
        </is>
      </c>
      <c r="E1495" t="inlineStr">
        <is>
          <t>HULTSFRED</t>
        </is>
      </c>
      <c r="G1495" t="n">
        <v>4.2</v>
      </c>
      <c r="H1495" t="n">
        <v>0</v>
      </c>
      <c r="I1495" t="n">
        <v>0</v>
      </c>
      <c r="J1495" t="n">
        <v>0</v>
      </c>
      <c r="K1495" t="n">
        <v>0</v>
      </c>
      <c r="L1495" t="n">
        <v>0</v>
      </c>
      <c r="M1495" t="n">
        <v>0</v>
      </c>
      <c r="N1495" t="n">
        <v>0</v>
      </c>
      <c r="O1495" t="n">
        <v>0</v>
      </c>
      <c r="P1495" t="n">
        <v>0</v>
      </c>
      <c r="Q1495" t="n">
        <v>0</v>
      </c>
      <c r="R1495" s="2" t="inlineStr"/>
    </row>
    <row r="1496" ht="15" customHeight="1">
      <c r="A1496" t="inlineStr">
        <is>
          <t>A 37405-2022</t>
        </is>
      </c>
      <c r="B1496" s="1" t="n">
        <v>44809.43158564815</v>
      </c>
      <c r="C1496" s="1" t="n">
        <v>45884</v>
      </c>
      <c r="D1496" t="inlineStr">
        <is>
          <t>KALMAR LÄN</t>
        </is>
      </c>
      <c r="E1496" t="inlineStr">
        <is>
          <t>EMMABODA</t>
        </is>
      </c>
      <c r="G1496" t="n">
        <v>5.6</v>
      </c>
      <c r="H1496" t="n">
        <v>0</v>
      </c>
      <c r="I1496" t="n">
        <v>0</v>
      </c>
      <c r="J1496" t="n">
        <v>0</v>
      </c>
      <c r="K1496" t="n">
        <v>0</v>
      </c>
      <c r="L1496" t="n">
        <v>0</v>
      </c>
      <c r="M1496" t="n">
        <v>0</v>
      </c>
      <c r="N1496" t="n">
        <v>0</v>
      </c>
      <c r="O1496" t="n">
        <v>0</v>
      </c>
      <c r="P1496" t="n">
        <v>0</v>
      </c>
      <c r="Q1496" t="n">
        <v>0</v>
      </c>
      <c r="R1496" s="2" t="inlineStr"/>
    </row>
    <row r="1497" ht="15" customHeight="1">
      <c r="A1497" t="inlineStr">
        <is>
          <t>A 3290-2021</t>
        </is>
      </c>
      <c r="B1497" s="1" t="n">
        <v>44217.63880787037</v>
      </c>
      <c r="C1497" s="1" t="n">
        <v>45884</v>
      </c>
      <c r="D1497" t="inlineStr">
        <is>
          <t>KALMAR LÄN</t>
        </is>
      </c>
      <c r="E1497" t="inlineStr">
        <is>
          <t>NYBRO</t>
        </is>
      </c>
      <c r="F1497" t="inlineStr">
        <is>
          <t>Sveaskog</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31291-2022</t>
        </is>
      </c>
      <c r="B1498" s="1" t="n">
        <v>44771</v>
      </c>
      <c r="C1498" s="1" t="n">
        <v>45884</v>
      </c>
      <c r="D1498" t="inlineStr">
        <is>
          <t>KALMAR LÄN</t>
        </is>
      </c>
      <c r="E1498" t="inlineStr">
        <is>
          <t>EMMABODA</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60810-2020</t>
        </is>
      </c>
      <c r="B1499" s="1" t="n">
        <v>44154</v>
      </c>
      <c r="C1499" s="1" t="n">
        <v>45884</v>
      </c>
      <c r="D1499" t="inlineStr">
        <is>
          <t>KALMAR LÄN</t>
        </is>
      </c>
      <c r="E1499" t="inlineStr">
        <is>
          <t>VIMMERBY</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43115-2022</t>
        </is>
      </c>
      <c r="B1500" s="1" t="n">
        <v>44833.85800925926</v>
      </c>
      <c r="C1500" s="1" t="n">
        <v>45884</v>
      </c>
      <c r="D1500" t="inlineStr">
        <is>
          <t>KALMAR LÄN</t>
        </is>
      </c>
      <c r="E1500" t="inlineStr">
        <is>
          <t>NYBRO</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61828-2021</t>
        </is>
      </c>
      <c r="B1501" s="1" t="n">
        <v>44501</v>
      </c>
      <c r="C1501" s="1" t="n">
        <v>45884</v>
      </c>
      <c r="D1501" t="inlineStr">
        <is>
          <t>KALMAR LÄN</t>
        </is>
      </c>
      <c r="E1501" t="inlineStr">
        <is>
          <t>BORGHOLM</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40405-2021</t>
        </is>
      </c>
      <c r="B1502" s="1" t="n">
        <v>44419</v>
      </c>
      <c r="C1502" s="1" t="n">
        <v>45884</v>
      </c>
      <c r="D1502" t="inlineStr">
        <is>
          <t>KALMAR LÄN</t>
        </is>
      </c>
      <c r="E1502" t="inlineStr">
        <is>
          <t>MÖNSTERÅS</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26224-2021</t>
        </is>
      </c>
      <c r="B1503" s="1" t="n">
        <v>44347</v>
      </c>
      <c r="C1503" s="1" t="n">
        <v>45884</v>
      </c>
      <c r="D1503" t="inlineStr">
        <is>
          <t>KALMAR LÄN</t>
        </is>
      </c>
      <c r="E1503" t="inlineStr">
        <is>
          <t>TORSÅS</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809-2021</t>
        </is>
      </c>
      <c r="B1504" s="1" t="n">
        <v>44204</v>
      </c>
      <c r="C1504" s="1" t="n">
        <v>45884</v>
      </c>
      <c r="D1504" t="inlineStr">
        <is>
          <t>KALMAR LÄN</t>
        </is>
      </c>
      <c r="E1504" t="inlineStr">
        <is>
          <t>VÄSTERVIK</t>
        </is>
      </c>
      <c r="F1504" t="inlineStr">
        <is>
          <t>Övriga Aktiebolag</t>
        </is>
      </c>
      <c r="G1504" t="n">
        <v>2.8</v>
      </c>
      <c r="H1504" t="n">
        <v>0</v>
      </c>
      <c r="I1504" t="n">
        <v>0</v>
      </c>
      <c r="J1504" t="n">
        <v>0</v>
      </c>
      <c r="K1504" t="n">
        <v>0</v>
      </c>
      <c r="L1504" t="n">
        <v>0</v>
      </c>
      <c r="M1504" t="n">
        <v>0</v>
      </c>
      <c r="N1504" t="n">
        <v>0</v>
      </c>
      <c r="O1504" t="n">
        <v>0</v>
      </c>
      <c r="P1504" t="n">
        <v>0</v>
      </c>
      <c r="Q1504" t="n">
        <v>0</v>
      </c>
      <c r="R1504" s="2" t="inlineStr"/>
    </row>
    <row r="1505" ht="15" customHeight="1">
      <c r="A1505" t="inlineStr">
        <is>
          <t>A 756-2021</t>
        </is>
      </c>
      <c r="B1505" s="1" t="n">
        <v>44202</v>
      </c>
      <c r="C1505" s="1" t="n">
        <v>45884</v>
      </c>
      <c r="D1505" t="inlineStr">
        <is>
          <t>KALMAR LÄN</t>
        </is>
      </c>
      <c r="E1505" t="inlineStr">
        <is>
          <t>EMMABODA</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32386-2021</t>
        </is>
      </c>
      <c r="B1506" s="1" t="n">
        <v>44371.62743055556</v>
      </c>
      <c r="C1506" s="1" t="n">
        <v>45884</v>
      </c>
      <c r="D1506" t="inlineStr">
        <is>
          <t>KALMAR LÄN</t>
        </is>
      </c>
      <c r="E1506" t="inlineStr">
        <is>
          <t>VIMMERBY</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33306-2021</t>
        </is>
      </c>
      <c r="B1507" s="1" t="n">
        <v>44377</v>
      </c>
      <c r="C1507" s="1" t="n">
        <v>45884</v>
      </c>
      <c r="D1507" t="inlineStr">
        <is>
          <t>KALMAR LÄN</t>
        </is>
      </c>
      <c r="E1507" t="inlineStr">
        <is>
          <t>OSKARSHAMN</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49377-2022</t>
        </is>
      </c>
      <c r="B1508" s="1" t="n">
        <v>44861.60849537037</v>
      </c>
      <c r="C1508" s="1" t="n">
        <v>45884</v>
      </c>
      <c r="D1508" t="inlineStr">
        <is>
          <t>KALMAR LÄN</t>
        </is>
      </c>
      <c r="E1508" t="inlineStr">
        <is>
          <t>VÄSTERVIK</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42315-2022</t>
        </is>
      </c>
      <c r="B1509" s="1" t="n">
        <v>44831.31585648148</v>
      </c>
      <c r="C1509" s="1" t="n">
        <v>45884</v>
      </c>
      <c r="D1509" t="inlineStr">
        <is>
          <t>KALMAR LÄN</t>
        </is>
      </c>
      <c r="E1509" t="inlineStr">
        <is>
          <t>HULTSFRED</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547-2021</t>
        </is>
      </c>
      <c r="B1510" s="1" t="n">
        <v>44203</v>
      </c>
      <c r="C1510" s="1" t="n">
        <v>45884</v>
      </c>
      <c r="D1510" t="inlineStr">
        <is>
          <t>KALMAR LÄN</t>
        </is>
      </c>
      <c r="E1510" t="inlineStr">
        <is>
          <t>HULTSFRED</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44048-2020</t>
        </is>
      </c>
      <c r="B1511" s="1" t="n">
        <v>44083</v>
      </c>
      <c r="C1511" s="1" t="n">
        <v>45884</v>
      </c>
      <c r="D1511" t="inlineStr">
        <is>
          <t>KALMAR LÄN</t>
        </is>
      </c>
      <c r="E1511" t="inlineStr">
        <is>
          <t>NYBRO</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50016-2022</t>
        </is>
      </c>
      <c r="B1512" s="1" t="n">
        <v>44865.44211805556</v>
      </c>
      <c r="C1512" s="1" t="n">
        <v>45884</v>
      </c>
      <c r="D1512" t="inlineStr">
        <is>
          <t>KALMAR LÄN</t>
        </is>
      </c>
      <c r="E1512" t="inlineStr">
        <is>
          <t>MÖNSTERÅS</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578-2021</t>
        </is>
      </c>
      <c r="B1513" s="1" t="n">
        <v>44203</v>
      </c>
      <c r="C1513" s="1" t="n">
        <v>45884</v>
      </c>
      <c r="D1513" t="inlineStr">
        <is>
          <t>KALMAR LÄN</t>
        </is>
      </c>
      <c r="E1513" t="inlineStr">
        <is>
          <t>VÄSTERVIK</t>
        </is>
      </c>
      <c r="G1513" t="n">
        <v>3.5</v>
      </c>
      <c r="H1513" t="n">
        <v>0</v>
      </c>
      <c r="I1513" t="n">
        <v>0</v>
      </c>
      <c r="J1513" t="n">
        <v>0</v>
      </c>
      <c r="K1513" t="n">
        <v>0</v>
      </c>
      <c r="L1513" t="n">
        <v>0</v>
      </c>
      <c r="M1513" t="n">
        <v>0</v>
      </c>
      <c r="N1513" t="n">
        <v>0</v>
      </c>
      <c r="O1513" t="n">
        <v>0</v>
      </c>
      <c r="P1513" t="n">
        <v>0</v>
      </c>
      <c r="Q1513" t="n">
        <v>0</v>
      </c>
      <c r="R1513" s="2" t="inlineStr"/>
    </row>
    <row r="1514" ht="15" customHeight="1">
      <c r="A1514" t="inlineStr">
        <is>
          <t>A 35633-2021</t>
        </is>
      </c>
      <c r="B1514" s="1" t="n">
        <v>44386.40783564815</v>
      </c>
      <c r="C1514" s="1" t="n">
        <v>45884</v>
      </c>
      <c r="D1514" t="inlineStr">
        <is>
          <t>KALMAR LÄN</t>
        </is>
      </c>
      <c r="E1514" t="inlineStr">
        <is>
          <t>VIMMERBY</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56343-2021</t>
        </is>
      </c>
      <c r="B1515" s="1" t="n">
        <v>44480</v>
      </c>
      <c r="C1515" s="1" t="n">
        <v>45884</v>
      </c>
      <c r="D1515" t="inlineStr">
        <is>
          <t>KALMAR LÄN</t>
        </is>
      </c>
      <c r="E1515" t="inlineStr">
        <is>
          <t>VIMMERBY</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43344-2021</t>
        </is>
      </c>
      <c r="B1516" s="1" t="n">
        <v>44432</v>
      </c>
      <c r="C1516" s="1" t="n">
        <v>45884</v>
      </c>
      <c r="D1516" t="inlineStr">
        <is>
          <t>KALMAR LÄN</t>
        </is>
      </c>
      <c r="E1516" t="inlineStr">
        <is>
          <t>HULTSFRED</t>
        </is>
      </c>
      <c r="G1516" t="n">
        <v>3.6</v>
      </c>
      <c r="H1516" t="n">
        <v>0</v>
      </c>
      <c r="I1516" t="n">
        <v>0</v>
      </c>
      <c r="J1516" t="n">
        <v>0</v>
      </c>
      <c r="K1516" t="n">
        <v>0</v>
      </c>
      <c r="L1516" t="n">
        <v>0</v>
      </c>
      <c r="M1516" t="n">
        <v>0</v>
      </c>
      <c r="N1516" t="n">
        <v>0</v>
      </c>
      <c r="O1516" t="n">
        <v>0</v>
      </c>
      <c r="P1516" t="n">
        <v>0</v>
      </c>
      <c r="Q1516" t="n">
        <v>0</v>
      </c>
      <c r="R1516" s="2" t="inlineStr"/>
    </row>
    <row r="1517" ht="15" customHeight="1">
      <c r="A1517" t="inlineStr">
        <is>
          <t>A 44865-2020</t>
        </is>
      </c>
      <c r="B1517" s="1" t="n">
        <v>44087</v>
      </c>
      <c r="C1517" s="1" t="n">
        <v>45884</v>
      </c>
      <c r="D1517" t="inlineStr">
        <is>
          <t>KALMAR LÄN</t>
        </is>
      </c>
      <c r="E1517" t="inlineStr">
        <is>
          <t>HULTSFRED</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69295-2020</t>
        </is>
      </c>
      <c r="B1518" s="1" t="n">
        <v>44186</v>
      </c>
      <c r="C1518" s="1" t="n">
        <v>45884</v>
      </c>
      <c r="D1518" t="inlineStr">
        <is>
          <t>KALMAR LÄN</t>
        </is>
      </c>
      <c r="E1518" t="inlineStr">
        <is>
          <t>HULTSFRED</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48378-2022</t>
        </is>
      </c>
      <c r="B1519" s="1" t="n">
        <v>44858.5893287037</v>
      </c>
      <c r="C1519" s="1" t="n">
        <v>45884</v>
      </c>
      <c r="D1519" t="inlineStr">
        <is>
          <t>KALMAR LÄN</t>
        </is>
      </c>
      <c r="E1519" t="inlineStr">
        <is>
          <t>KALMAR</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48470-2022</t>
        </is>
      </c>
      <c r="B1520" s="1" t="n">
        <v>44858.68984953704</v>
      </c>
      <c r="C1520" s="1" t="n">
        <v>45884</v>
      </c>
      <c r="D1520" t="inlineStr">
        <is>
          <t>KALMAR LÄN</t>
        </is>
      </c>
      <c r="E1520" t="inlineStr">
        <is>
          <t>KALMAR</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50069-2022</t>
        </is>
      </c>
      <c r="B1521" s="1" t="n">
        <v>44865.48043981481</v>
      </c>
      <c r="C1521" s="1" t="n">
        <v>45884</v>
      </c>
      <c r="D1521" t="inlineStr">
        <is>
          <t>KALMAR LÄN</t>
        </is>
      </c>
      <c r="E1521" t="inlineStr">
        <is>
          <t>MÖNSTERÅS</t>
        </is>
      </c>
      <c r="G1521" t="n">
        <v>4.5</v>
      </c>
      <c r="H1521" t="n">
        <v>0</v>
      </c>
      <c r="I1521" t="n">
        <v>0</v>
      </c>
      <c r="J1521" t="n">
        <v>0</v>
      </c>
      <c r="K1521" t="n">
        <v>0</v>
      </c>
      <c r="L1521" t="n">
        <v>0</v>
      </c>
      <c r="M1521" t="n">
        <v>0</v>
      </c>
      <c r="N1521" t="n">
        <v>0</v>
      </c>
      <c r="O1521" t="n">
        <v>0</v>
      </c>
      <c r="P1521" t="n">
        <v>0</v>
      </c>
      <c r="Q1521" t="n">
        <v>0</v>
      </c>
      <c r="R1521" s="2" t="inlineStr"/>
    </row>
    <row r="1522" ht="15" customHeight="1">
      <c r="A1522" t="inlineStr">
        <is>
          <t>A 68368-2021</t>
        </is>
      </c>
      <c r="B1522" s="1" t="n">
        <v>44529.29797453704</v>
      </c>
      <c r="C1522" s="1" t="n">
        <v>45884</v>
      </c>
      <c r="D1522" t="inlineStr">
        <is>
          <t>KALMAR LÄN</t>
        </is>
      </c>
      <c r="E1522" t="inlineStr">
        <is>
          <t>EMMABODA</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62930-2021</t>
        </is>
      </c>
      <c r="B1523" s="1" t="n">
        <v>44504</v>
      </c>
      <c r="C1523" s="1" t="n">
        <v>45884</v>
      </c>
      <c r="D1523" t="inlineStr">
        <is>
          <t>KALMAR LÄN</t>
        </is>
      </c>
      <c r="E1523" t="inlineStr">
        <is>
          <t>VÄSTERVIK</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54489-2020</t>
        </is>
      </c>
      <c r="B1524" s="1" t="n">
        <v>44126</v>
      </c>
      <c r="C1524" s="1" t="n">
        <v>45884</v>
      </c>
      <c r="D1524" t="inlineStr">
        <is>
          <t>KALMAR LÄN</t>
        </is>
      </c>
      <c r="E1524" t="inlineStr">
        <is>
          <t>HULTSFRED</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42804-2020</t>
        </is>
      </c>
      <c r="B1525" s="1" t="n">
        <v>44078</v>
      </c>
      <c r="C1525" s="1" t="n">
        <v>45884</v>
      </c>
      <c r="D1525" t="inlineStr">
        <is>
          <t>KALMAR LÄN</t>
        </is>
      </c>
      <c r="E1525" t="inlineStr">
        <is>
          <t>NYBRO</t>
        </is>
      </c>
      <c r="G1525" t="n">
        <v>4.4</v>
      </c>
      <c r="H1525" t="n">
        <v>0</v>
      </c>
      <c r="I1525" t="n">
        <v>0</v>
      </c>
      <c r="J1525" t="n">
        <v>0</v>
      </c>
      <c r="K1525" t="n">
        <v>0</v>
      </c>
      <c r="L1525" t="n">
        <v>0</v>
      </c>
      <c r="M1525" t="n">
        <v>0</v>
      </c>
      <c r="N1525" t="n">
        <v>0</v>
      </c>
      <c r="O1525" t="n">
        <v>0</v>
      </c>
      <c r="P1525" t="n">
        <v>0</v>
      </c>
      <c r="Q1525" t="n">
        <v>0</v>
      </c>
      <c r="R1525" s="2" t="inlineStr"/>
    </row>
    <row r="1526" ht="15" customHeight="1">
      <c r="A1526" t="inlineStr">
        <is>
          <t>A 737-2021</t>
        </is>
      </c>
      <c r="B1526" s="1" t="n">
        <v>44202</v>
      </c>
      <c r="C1526" s="1" t="n">
        <v>45884</v>
      </c>
      <c r="D1526" t="inlineStr">
        <is>
          <t>KALMAR LÄN</t>
        </is>
      </c>
      <c r="E1526" t="inlineStr">
        <is>
          <t>EMMABODA</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38937-2020</t>
        </is>
      </c>
      <c r="B1527" s="1" t="n">
        <v>44062.58306712963</v>
      </c>
      <c r="C1527" s="1" t="n">
        <v>45884</v>
      </c>
      <c r="D1527" t="inlineStr">
        <is>
          <t>KALMAR LÄN</t>
        </is>
      </c>
      <c r="E1527" t="inlineStr">
        <is>
          <t>HULTSFRED</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4318-2021</t>
        </is>
      </c>
      <c r="B1528" s="1" t="n">
        <v>44223</v>
      </c>
      <c r="C1528" s="1" t="n">
        <v>45884</v>
      </c>
      <c r="D1528" t="inlineStr">
        <is>
          <t>KALMAR LÄN</t>
        </is>
      </c>
      <c r="E1528" t="inlineStr">
        <is>
          <t>HULTSFRED</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5604-2021</t>
        </is>
      </c>
      <c r="B1529" s="1" t="n">
        <v>44230</v>
      </c>
      <c r="C1529" s="1" t="n">
        <v>45884</v>
      </c>
      <c r="D1529" t="inlineStr">
        <is>
          <t>KALMAR LÄN</t>
        </is>
      </c>
      <c r="E1529" t="inlineStr">
        <is>
          <t>MÖNSTERÅS</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50800-2020</t>
        </is>
      </c>
      <c r="B1530" s="1" t="n">
        <v>44111</v>
      </c>
      <c r="C1530" s="1" t="n">
        <v>45884</v>
      </c>
      <c r="D1530" t="inlineStr">
        <is>
          <t>KALMAR LÄN</t>
        </is>
      </c>
      <c r="E1530" t="inlineStr">
        <is>
          <t>VÄSTERVIK</t>
        </is>
      </c>
      <c r="G1530" t="n">
        <v>0.4</v>
      </c>
      <c r="H1530" t="n">
        <v>0</v>
      </c>
      <c r="I1530" t="n">
        <v>0</v>
      </c>
      <c r="J1530" t="n">
        <v>0</v>
      </c>
      <c r="K1530" t="n">
        <v>0</v>
      </c>
      <c r="L1530" t="n">
        <v>0</v>
      </c>
      <c r="M1530" t="n">
        <v>0</v>
      </c>
      <c r="N1530" t="n">
        <v>0</v>
      </c>
      <c r="O1530" t="n">
        <v>0</v>
      </c>
      <c r="P1530" t="n">
        <v>0</v>
      </c>
      <c r="Q1530" t="n">
        <v>0</v>
      </c>
      <c r="R1530" s="2" t="inlineStr"/>
    </row>
    <row r="1531" ht="15" customHeight="1">
      <c r="A1531" t="inlineStr">
        <is>
          <t>A 50821-2020</t>
        </is>
      </c>
      <c r="B1531" s="1" t="n">
        <v>44111</v>
      </c>
      <c r="C1531" s="1" t="n">
        <v>45884</v>
      </c>
      <c r="D1531" t="inlineStr">
        <is>
          <t>KALMAR LÄN</t>
        </is>
      </c>
      <c r="E1531" t="inlineStr">
        <is>
          <t>VÄSTERVIK</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65912-2021</t>
        </is>
      </c>
      <c r="B1532" s="1" t="n">
        <v>44517.45138888889</v>
      </c>
      <c r="C1532" s="1" t="n">
        <v>45884</v>
      </c>
      <c r="D1532" t="inlineStr">
        <is>
          <t>KALMAR LÄN</t>
        </is>
      </c>
      <c r="E1532" t="inlineStr">
        <is>
          <t>TORSÅS</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15598-2021</t>
        </is>
      </c>
      <c r="B1533" s="1" t="n">
        <v>44285.67078703704</v>
      </c>
      <c r="C1533" s="1" t="n">
        <v>45884</v>
      </c>
      <c r="D1533" t="inlineStr">
        <is>
          <t>KALMAR LÄN</t>
        </is>
      </c>
      <c r="E1533" t="inlineStr">
        <is>
          <t>VÄSTERVIK</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49603-2020</t>
        </is>
      </c>
      <c r="B1534" s="1" t="n">
        <v>44106.40355324074</v>
      </c>
      <c r="C1534" s="1" t="n">
        <v>45884</v>
      </c>
      <c r="D1534" t="inlineStr">
        <is>
          <t>KALMAR LÄN</t>
        </is>
      </c>
      <c r="E1534" t="inlineStr">
        <is>
          <t>HULTSFRED</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16405-2021</t>
        </is>
      </c>
      <c r="B1535" s="1" t="n">
        <v>44293</v>
      </c>
      <c r="C1535" s="1" t="n">
        <v>45884</v>
      </c>
      <c r="D1535" t="inlineStr">
        <is>
          <t>KALMAR LÄN</t>
        </is>
      </c>
      <c r="E1535" t="inlineStr">
        <is>
          <t>EMMABODA</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47433-2021</t>
        </is>
      </c>
      <c r="B1536" s="1" t="n">
        <v>44447</v>
      </c>
      <c r="C1536" s="1" t="n">
        <v>45884</v>
      </c>
      <c r="D1536" t="inlineStr">
        <is>
          <t>KALMAR LÄN</t>
        </is>
      </c>
      <c r="E1536" t="inlineStr">
        <is>
          <t>OSKARSHAMN</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20415-2021</t>
        </is>
      </c>
      <c r="B1537" s="1" t="n">
        <v>44315</v>
      </c>
      <c r="C1537" s="1" t="n">
        <v>45884</v>
      </c>
      <c r="D1537" t="inlineStr">
        <is>
          <t>KALMAR LÄN</t>
        </is>
      </c>
      <c r="E1537" t="inlineStr">
        <is>
          <t>HÖGSBY</t>
        </is>
      </c>
      <c r="F1537" t="inlineStr">
        <is>
          <t>Sveaskog</t>
        </is>
      </c>
      <c r="G1537" t="n">
        <v>15.7</v>
      </c>
      <c r="H1537" t="n">
        <v>0</v>
      </c>
      <c r="I1537" t="n">
        <v>0</v>
      </c>
      <c r="J1537" t="n">
        <v>0</v>
      </c>
      <c r="K1537" t="n">
        <v>0</v>
      </c>
      <c r="L1537" t="n">
        <v>0</v>
      </c>
      <c r="M1537" t="n">
        <v>0</v>
      </c>
      <c r="N1537" t="n">
        <v>0</v>
      </c>
      <c r="O1537" t="n">
        <v>0</v>
      </c>
      <c r="P1537" t="n">
        <v>0</v>
      </c>
      <c r="Q1537" t="n">
        <v>0</v>
      </c>
      <c r="R1537" s="2" t="inlineStr"/>
    </row>
    <row r="1538" ht="15" customHeight="1">
      <c r="A1538" t="inlineStr">
        <is>
          <t>A 39051-2021</t>
        </is>
      </c>
      <c r="B1538" s="1" t="n">
        <v>44412</v>
      </c>
      <c r="C1538" s="1" t="n">
        <v>45884</v>
      </c>
      <c r="D1538" t="inlineStr">
        <is>
          <t>KALMAR LÄN</t>
        </is>
      </c>
      <c r="E1538" t="inlineStr">
        <is>
          <t>EMMABODA</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51532-2022</t>
        </is>
      </c>
      <c r="B1539" s="1" t="n">
        <v>44869.80046296296</v>
      </c>
      <c r="C1539" s="1" t="n">
        <v>45884</v>
      </c>
      <c r="D1539" t="inlineStr">
        <is>
          <t>KALMAR LÄN</t>
        </is>
      </c>
      <c r="E1539" t="inlineStr">
        <is>
          <t>MÖNSTERÅS</t>
        </is>
      </c>
      <c r="G1539" t="n">
        <v>4.9</v>
      </c>
      <c r="H1539" t="n">
        <v>0</v>
      </c>
      <c r="I1539" t="n">
        <v>0</v>
      </c>
      <c r="J1539" t="n">
        <v>0</v>
      </c>
      <c r="K1539" t="n">
        <v>0</v>
      </c>
      <c r="L1539" t="n">
        <v>0</v>
      </c>
      <c r="M1539" t="n">
        <v>0</v>
      </c>
      <c r="N1539" t="n">
        <v>0</v>
      </c>
      <c r="O1539" t="n">
        <v>0</v>
      </c>
      <c r="P1539" t="n">
        <v>0</v>
      </c>
      <c r="Q1539" t="n">
        <v>0</v>
      </c>
      <c r="R1539" s="2" t="inlineStr"/>
    </row>
    <row r="1540" ht="15" customHeight="1">
      <c r="A1540" t="inlineStr">
        <is>
          <t>A 13704-2021</t>
        </is>
      </c>
      <c r="B1540" s="1" t="n">
        <v>44274.57768518518</v>
      </c>
      <c r="C1540" s="1" t="n">
        <v>45884</v>
      </c>
      <c r="D1540" t="inlineStr">
        <is>
          <t>KALMAR LÄN</t>
        </is>
      </c>
      <c r="E1540" t="inlineStr">
        <is>
          <t>HULTSFRED</t>
        </is>
      </c>
      <c r="G1540" t="n">
        <v>7.2</v>
      </c>
      <c r="H1540" t="n">
        <v>0</v>
      </c>
      <c r="I1540" t="n">
        <v>0</v>
      </c>
      <c r="J1540" t="n">
        <v>0</v>
      </c>
      <c r="K1540" t="n">
        <v>0</v>
      </c>
      <c r="L1540" t="n">
        <v>0</v>
      </c>
      <c r="M1540" t="n">
        <v>0</v>
      </c>
      <c r="N1540" t="n">
        <v>0</v>
      </c>
      <c r="O1540" t="n">
        <v>0</v>
      </c>
      <c r="P1540" t="n">
        <v>0</v>
      </c>
      <c r="Q1540" t="n">
        <v>0</v>
      </c>
      <c r="R1540" s="2" t="inlineStr"/>
    </row>
    <row r="1541" ht="15" customHeight="1">
      <c r="A1541" t="inlineStr">
        <is>
          <t>A 27354-2021</t>
        </is>
      </c>
      <c r="B1541" s="1" t="n">
        <v>44351</v>
      </c>
      <c r="C1541" s="1" t="n">
        <v>45884</v>
      </c>
      <c r="D1541" t="inlineStr">
        <is>
          <t>KALMAR LÄN</t>
        </is>
      </c>
      <c r="E1541" t="inlineStr">
        <is>
          <t>NYBRO</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60913-2021</t>
        </is>
      </c>
      <c r="B1542" s="1" t="n">
        <v>44497.45600694444</v>
      </c>
      <c r="C1542" s="1" t="n">
        <v>45884</v>
      </c>
      <c r="D1542" t="inlineStr">
        <is>
          <t>KALMAR LÄN</t>
        </is>
      </c>
      <c r="E1542" t="inlineStr">
        <is>
          <t>OSKARSHAMN</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46705-2022</t>
        </is>
      </c>
      <c r="B1543" s="1" t="n">
        <v>44851</v>
      </c>
      <c r="C1543" s="1" t="n">
        <v>45884</v>
      </c>
      <c r="D1543" t="inlineStr">
        <is>
          <t>KALMAR LÄN</t>
        </is>
      </c>
      <c r="E1543" t="inlineStr">
        <is>
          <t>NYBRO</t>
        </is>
      </c>
      <c r="G1543" t="n">
        <v>5</v>
      </c>
      <c r="H1543" t="n">
        <v>0</v>
      </c>
      <c r="I1543" t="n">
        <v>0</v>
      </c>
      <c r="J1543" t="n">
        <v>0</v>
      </c>
      <c r="K1543" t="n">
        <v>0</v>
      </c>
      <c r="L1543" t="n">
        <v>0</v>
      </c>
      <c r="M1543" t="n">
        <v>0</v>
      </c>
      <c r="N1543" t="n">
        <v>0</v>
      </c>
      <c r="O1543" t="n">
        <v>0</v>
      </c>
      <c r="P1543" t="n">
        <v>0</v>
      </c>
      <c r="Q1543" t="n">
        <v>0</v>
      </c>
      <c r="R1543" s="2" t="inlineStr"/>
    </row>
    <row r="1544" ht="15" customHeight="1">
      <c r="A1544" t="inlineStr">
        <is>
          <t>A 16602-2021</t>
        </is>
      </c>
      <c r="B1544" s="1" t="n">
        <v>44294</v>
      </c>
      <c r="C1544" s="1" t="n">
        <v>45884</v>
      </c>
      <c r="D1544" t="inlineStr">
        <is>
          <t>KALMAR LÄN</t>
        </is>
      </c>
      <c r="E1544" t="inlineStr">
        <is>
          <t>VIMMERBY</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16607-2021</t>
        </is>
      </c>
      <c r="B1545" s="1" t="n">
        <v>44294</v>
      </c>
      <c r="C1545" s="1" t="n">
        <v>45884</v>
      </c>
      <c r="D1545" t="inlineStr">
        <is>
          <t>KALMAR LÄN</t>
        </is>
      </c>
      <c r="E1545" t="inlineStr">
        <is>
          <t>VIMMERBY</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35706-2021</t>
        </is>
      </c>
      <c r="B1546" s="1" t="n">
        <v>44386.50282407407</v>
      </c>
      <c r="C1546" s="1" t="n">
        <v>45884</v>
      </c>
      <c r="D1546" t="inlineStr">
        <is>
          <t>KALMAR LÄN</t>
        </is>
      </c>
      <c r="E1546" t="inlineStr">
        <is>
          <t>NYBRO</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17029-2022</t>
        </is>
      </c>
      <c r="B1547" s="1" t="n">
        <v>44676.85248842592</v>
      </c>
      <c r="C1547" s="1" t="n">
        <v>45884</v>
      </c>
      <c r="D1547" t="inlineStr">
        <is>
          <t>KALMAR LÄN</t>
        </is>
      </c>
      <c r="E1547" t="inlineStr">
        <is>
          <t>VIMMERBY</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59383-2020</t>
        </is>
      </c>
      <c r="B1548" s="1" t="n">
        <v>44148</v>
      </c>
      <c r="C1548" s="1" t="n">
        <v>45884</v>
      </c>
      <c r="D1548" t="inlineStr">
        <is>
          <t>KALMAR LÄN</t>
        </is>
      </c>
      <c r="E1548" t="inlineStr">
        <is>
          <t>EMMABODA</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59431-2020</t>
        </is>
      </c>
      <c r="B1549" s="1" t="n">
        <v>44148</v>
      </c>
      <c r="C1549" s="1" t="n">
        <v>45884</v>
      </c>
      <c r="D1549" t="inlineStr">
        <is>
          <t>KALMAR LÄN</t>
        </is>
      </c>
      <c r="E1549" t="inlineStr">
        <is>
          <t>EMMABODA</t>
        </is>
      </c>
      <c r="F1549" t="inlineStr">
        <is>
          <t>Övriga Aktiebolag</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9863-2021</t>
        </is>
      </c>
      <c r="B1550" s="1" t="n">
        <v>44253</v>
      </c>
      <c r="C1550" s="1" t="n">
        <v>45884</v>
      </c>
      <c r="D1550" t="inlineStr">
        <is>
          <t>KALMAR LÄN</t>
        </is>
      </c>
      <c r="E1550" t="inlineStr">
        <is>
          <t>MÖNSTERÅS</t>
        </is>
      </c>
      <c r="G1550" t="n">
        <v>3.6</v>
      </c>
      <c r="H1550" t="n">
        <v>0</v>
      </c>
      <c r="I1550" t="n">
        <v>0</v>
      </c>
      <c r="J1550" t="n">
        <v>0</v>
      </c>
      <c r="K1550" t="n">
        <v>0</v>
      </c>
      <c r="L1550" t="n">
        <v>0</v>
      </c>
      <c r="M1550" t="n">
        <v>0</v>
      </c>
      <c r="N1550" t="n">
        <v>0</v>
      </c>
      <c r="O1550" t="n">
        <v>0</v>
      </c>
      <c r="P1550" t="n">
        <v>0</v>
      </c>
      <c r="Q1550" t="n">
        <v>0</v>
      </c>
      <c r="R1550" s="2" t="inlineStr"/>
    </row>
    <row r="1551" ht="15" customHeight="1">
      <c r="A1551" t="inlineStr">
        <is>
          <t>A 8415-2021</t>
        </is>
      </c>
      <c r="B1551" s="1" t="n">
        <v>44245</v>
      </c>
      <c r="C1551" s="1" t="n">
        <v>45884</v>
      </c>
      <c r="D1551" t="inlineStr">
        <is>
          <t>KALMAR LÄN</t>
        </is>
      </c>
      <c r="E1551" t="inlineStr">
        <is>
          <t>VIMMERBY</t>
        </is>
      </c>
      <c r="G1551" t="n">
        <v>4.7</v>
      </c>
      <c r="H1551" t="n">
        <v>0</v>
      </c>
      <c r="I1551" t="n">
        <v>0</v>
      </c>
      <c r="J1551" t="n">
        <v>0</v>
      </c>
      <c r="K1551" t="n">
        <v>0</v>
      </c>
      <c r="L1551" t="n">
        <v>0</v>
      </c>
      <c r="M1551" t="n">
        <v>0</v>
      </c>
      <c r="N1551" t="n">
        <v>0</v>
      </c>
      <c r="O1551" t="n">
        <v>0</v>
      </c>
      <c r="P1551" t="n">
        <v>0</v>
      </c>
      <c r="Q1551" t="n">
        <v>0</v>
      </c>
      <c r="R1551" s="2" t="inlineStr"/>
    </row>
    <row r="1552" ht="15" customHeight="1">
      <c r="A1552" t="inlineStr">
        <is>
          <t>A 47535-2020</t>
        </is>
      </c>
      <c r="B1552" s="1" t="n">
        <v>44098</v>
      </c>
      <c r="C1552" s="1" t="n">
        <v>45884</v>
      </c>
      <c r="D1552" t="inlineStr">
        <is>
          <t>KALMAR LÄN</t>
        </is>
      </c>
      <c r="E1552" t="inlineStr">
        <is>
          <t>TORSÅS</t>
        </is>
      </c>
      <c r="G1552" t="n">
        <v>10.5</v>
      </c>
      <c r="H1552" t="n">
        <v>0</v>
      </c>
      <c r="I1552" t="n">
        <v>0</v>
      </c>
      <c r="J1552" t="n">
        <v>0</v>
      </c>
      <c r="K1552" t="n">
        <v>0</v>
      </c>
      <c r="L1552" t="n">
        <v>0</v>
      </c>
      <c r="M1552" t="n">
        <v>0</v>
      </c>
      <c r="N1552" t="n">
        <v>0</v>
      </c>
      <c r="O1552" t="n">
        <v>0</v>
      </c>
      <c r="P1552" t="n">
        <v>0</v>
      </c>
      <c r="Q1552" t="n">
        <v>0</v>
      </c>
      <c r="R1552" s="2" t="inlineStr"/>
    </row>
    <row r="1553" ht="15" customHeight="1">
      <c r="A1553" t="inlineStr">
        <is>
          <t>A 47516-2021</t>
        </is>
      </c>
      <c r="B1553" s="1" t="n">
        <v>44447</v>
      </c>
      <c r="C1553" s="1" t="n">
        <v>45884</v>
      </c>
      <c r="D1553" t="inlineStr">
        <is>
          <t>KALMAR LÄN</t>
        </is>
      </c>
      <c r="E1553" t="inlineStr">
        <is>
          <t>KALMAR</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40925-2022</t>
        </is>
      </c>
      <c r="B1554" s="1" t="n">
        <v>44825.41880787037</v>
      </c>
      <c r="C1554" s="1" t="n">
        <v>45884</v>
      </c>
      <c r="D1554" t="inlineStr">
        <is>
          <t>KALMAR LÄN</t>
        </is>
      </c>
      <c r="E1554" t="inlineStr">
        <is>
          <t>VÄSTERVIK</t>
        </is>
      </c>
      <c r="F1554" t="inlineStr">
        <is>
          <t>Sveaskog</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53198-2021</t>
        </is>
      </c>
      <c r="B1555" s="1" t="n">
        <v>44468.38931712963</v>
      </c>
      <c r="C1555" s="1" t="n">
        <v>45884</v>
      </c>
      <c r="D1555" t="inlineStr">
        <is>
          <t>KALMAR LÄN</t>
        </is>
      </c>
      <c r="E1555" t="inlineStr">
        <is>
          <t>NYBRO</t>
        </is>
      </c>
      <c r="F1555" t="inlineStr">
        <is>
          <t>Sveaskog</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32921-2022</t>
        </is>
      </c>
      <c r="B1556" s="1" t="n">
        <v>44784</v>
      </c>
      <c r="C1556" s="1" t="n">
        <v>45884</v>
      </c>
      <c r="D1556" t="inlineStr">
        <is>
          <t>KALMAR LÄN</t>
        </is>
      </c>
      <c r="E1556" t="inlineStr">
        <is>
          <t>KALMAR</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12123-2021</t>
        </is>
      </c>
      <c r="B1557" s="1" t="n">
        <v>44266.55212962963</v>
      </c>
      <c r="C1557" s="1" t="n">
        <v>45884</v>
      </c>
      <c r="D1557" t="inlineStr">
        <is>
          <t>KALMAR LÄN</t>
        </is>
      </c>
      <c r="E1557" t="inlineStr">
        <is>
          <t>VÄSTERVIK</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7167-2022</t>
        </is>
      </c>
      <c r="B1558" s="1" t="n">
        <v>44604</v>
      </c>
      <c r="C1558" s="1" t="n">
        <v>45884</v>
      </c>
      <c r="D1558" t="inlineStr">
        <is>
          <t>KALMAR LÄN</t>
        </is>
      </c>
      <c r="E1558" t="inlineStr">
        <is>
          <t>VIMMERBY</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46855-2021</t>
        </is>
      </c>
      <c r="B1559" s="1" t="n">
        <v>44446</v>
      </c>
      <c r="C1559" s="1" t="n">
        <v>45884</v>
      </c>
      <c r="D1559" t="inlineStr">
        <is>
          <t>KALMAR LÄN</t>
        </is>
      </c>
      <c r="E1559" t="inlineStr">
        <is>
          <t>HÖGSBY</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39465-2020</t>
        </is>
      </c>
      <c r="B1560" s="1" t="n">
        <v>44064</v>
      </c>
      <c r="C1560" s="1" t="n">
        <v>45884</v>
      </c>
      <c r="D1560" t="inlineStr">
        <is>
          <t>KALMAR LÄN</t>
        </is>
      </c>
      <c r="E1560" t="inlineStr">
        <is>
          <t>HÖGSBY</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28537-2022</t>
        </is>
      </c>
      <c r="B1561" s="1" t="n">
        <v>44748.39954861111</v>
      </c>
      <c r="C1561" s="1" t="n">
        <v>45884</v>
      </c>
      <c r="D1561" t="inlineStr">
        <is>
          <t>KALMAR LÄN</t>
        </is>
      </c>
      <c r="E1561" t="inlineStr">
        <is>
          <t>NYBRO</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47109-2022</t>
        </is>
      </c>
      <c r="B1562" s="1" t="n">
        <v>44852.48653935185</v>
      </c>
      <c r="C1562" s="1" t="n">
        <v>45884</v>
      </c>
      <c r="D1562" t="inlineStr">
        <is>
          <t>KALMAR LÄN</t>
        </is>
      </c>
      <c r="E1562" t="inlineStr">
        <is>
          <t>EMMABODA</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31222-2022</t>
        </is>
      </c>
      <c r="B1563" s="1" t="n">
        <v>44771.403125</v>
      </c>
      <c r="C1563" s="1" t="n">
        <v>45884</v>
      </c>
      <c r="D1563" t="inlineStr">
        <is>
          <t>KALMAR LÄN</t>
        </is>
      </c>
      <c r="E1563" t="inlineStr">
        <is>
          <t>NYBRO</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32180-2022</t>
        </is>
      </c>
      <c r="B1564" s="1" t="n">
        <v>44781</v>
      </c>
      <c r="C1564" s="1" t="n">
        <v>45884</v>
      </c>
      <c r="D1564" t="inlineStr">
        <is>
          <t>KALMAR LÄN</t>
        </is>
      </c>
      <c r="E1564" t="inlineStr">
        <is>
          <t>BORGHOLM</t>
        </is>
      </c>
      <c r="F1564" t="inlineStr">
        <is>
          <t>Sveaskog</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3859-2022</t>
        </is>
      </c>
      <c r="B1565" s="1" t="n">
        <v>44587.42887731481</v>
      </c>
      <c r="C1565" s="1" t="n">
        <v>45884</v>
      </c>
      <c r="D1565" t="inlineStr">
        <is>
          <t>KALMAR LÄN</t>
        </is>
      </c>
      <c r="E1565" t="inlineStr">
        <is>
          <t>EMMABODA</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4141-2022</t>
        </is>
      </c>
      <c r="B1566" s="1" t="n">
        <v>44587</v>
      </c>
      <c r="C1566" s="1" t="n">
        <v>45884</v>
      </c>
      <c r="D1566" t="inlineStr">
        <is>
          <t>KALMAR LÄN</t>
        </is>
      </c>
      <c r="E1566" t="inlineStr">
        <is>
          <t>NYBRO</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50489-2021</t>
        </is>
      </c>
      <c r="B1567" s="1" t="n">
        <v>44459.56368055556</v>
      </c>
      <c r="C1567" s="1" t="n">
        <v>45884</v>
      </c>
      <c r="D1567" t="inlineStr">
        <is>
          <t>KALMAR LÄN</t>
        </is>
      </c>
      <c r="E1567" t="inlineStr">
        <is>
          <t>MÖNSTERÅS</t>
        </is>
      </c>
      <c r="G1567" t="n">
        <v>7.2</v>
      </c>
      <c r="H1567" t="n">
        <v>0</v>
      </c>
      <c r="I1567" t="n">
        <v>0</v>
      </c>
      <c r="J1567" t="n">
        <v>0</v>
      </c>
      <c r="K1567" t="n">
        <v>0</v>
      </c>
      <c r="L1567" t="n">
        <v>0</v>
      </c>
      <c r="M1567" t="n">
        <v>0</v>
      </c>
      <c r="N1567" t="n">
        <v>0</v>
      </c>
      <c r="O1567" t="n">
        <v>0</v>
      </c>
      <c r="P1567" t="n">
        <v>0</v>
      </c>
      <c r="Q1567" t="n">
        <v>0</v>
      </c>
      <c r="R1567" s="2" t="inlineStr"/>
    </row>
    <row r="1568" ht="15" customHeight="1">
      <c r="A1568" t="inlineStr">
        <is>
          <t>A 32770-2021</t>
        </is>
      </c>
      <c r="B1568" s="1" t="n">
        <v>44375</v>
      </c>
      <c r="C1568" s="1" t="n">
        <v>45884</v>
      </c>
      <c r="D1568" t="inlineStr">
        <is>
          <t>KALMAR LÄN</t>
        </is>
      </c>
      <c r="E1568" t="inlineStr">
        <is>
          <t>HULTSFRED</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12319-2021</t>
        </is>
      </c>
      <c r="B1569" s="1" t="n">
        <v>44267</v>
      </c>
      <c r="C1569" s="1" t="n">
        <v>45884</v>
      </c>
      <c r="D1569" t="inlineStr">
        <is>
          <t>KALMAR LÄN</t>
        </is>
      </c>
      <c r="E1569" t="inlineStr">
        <is>
          <t>KALMAR</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18356-2021</t>
        </is>
      </c>
      <c r="B1570" s="1" t="n">
        <v>44305</v>
      </c>
      <c r="C1570" s="1" t="n">
        <v>45884</v>
      </c>
      <c r="D1570" t="inlineStr">
        <is>
          <t>KALMAR LÄN</t>
        </is>
      </c>
      <c r="E1570" t="inlineStr">
        <is>
          <t>VIMMERBY</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24124-2021</t>
        </is>
      </c>
      <c r="B1571" s="1" t="n">
        <v>44336.49710648148</v>
      </c>
      <c r="C1571" s="1" t="n">
        <v>45884</v>
      </c>
      <c r="D1571" t="inlineStr">
        <is>
          <t>KALMAR LÄN</t>
        </is>
      </c>
      <c r="E1571" t="inlineStr">
        <is>
          <t>TORSÅS</t>
        </is>
      </c>
      <c r="G1571" t="n">
        <v>4.5</v>
      </c>
      <c r="H1571" t="n">
        <v>0</v>
      </c>
      <c r="I1571" t="n">
        <v>0</v>
      </c>
      <c r="J1571" t="n">
        <v>0</v>
      </c>
      <c r="K1571" t="n">
        <v>0</v>
      </c>
      <c r="L1571" t="n">
        <v>0</v>
      </c>
      <c r="M1571" t="n">
        <v>0</v>
      </c>
      <c r="N1571" t="n">
        <v>0</v>
      </c>
      <c r="O1571" t="n">
        <v>0</v>
      </c>
      <c r="P1571" t="n">
        <v>0</v>
      </c>
      <c r="Q1571" t="n">
        <v>0</v>
      </c>
      <c r="R1571" s="2" t="inlineStr"/>
    </row>
    <row r="1572" ht="15" customHeight="1">
      <c r="A1572" t="inlineStr">
        <is>
          <t>A 48729-2021</t>
        </is>
      </c>
      <c r="B1572" s="1" t="n">
        <v>44452.59549768519</v>
      </c>
      <c r="C1572" s="1" t="n">
        <v>45884</v>
      </c>
      <c r="D1572" t="inlineStr">
        <is>
          <t>KALMAR LÄN</t>
        </is>
      </c>
      <c r="E1572" t="inlineStr">
        <is>
          <t>HULTSFRED</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43619-2021</t>
        </is>
      </c>
      <c r="B1573" s="1" t="n">
        <v>44433.50366898148</v>
      </c>
      <c r="C1573" s="1" t="n">
        <v>45884</v>
      </c>
      <c r="D1573" t="inlineStr">
        <is>
          <t>KALMAR LÄN</t>
        </is>
      </c>
      <c r="E1573" t="inlineStr">
        <is>
          <t>KALMAR</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72378-2021</t>
        </is>
      </c>
      <c r="B1574" s="1" t="n">
        <v>44545.56285879629</v>
      </c>
      <c r="C1574" s="1" t="n">
        <v>45884</v>
      </c>
      <c r="D1574" t="inlineStr">
        <is>
          <t>KALMAR LÄN</t>
        </is>
      </c>
      <c r="E1574" t="inlineStr">
        <is>
          <t>VÄSTERVIK</t>
        </is>
      </c>
      <c r="G1574" t="n">
        <v>4.4</v>
      </c>
      <c r="H1574" t="n">
        <v>0</v>
      </c>
      <c r="I1574" t="n">
        <v>0</v>
      </c>
      <c r="J1574" t="n">
        <v>0</v>
      </c>
      <c r="K1574" t="n">
        <v>0</v>
      </c>
      <c r="L1574" t="n">
        <v>0</v>
      </c>
      <c r="M1574" t="n">
        <v>0</v>
      </c>
      <c r="N1574" t="n">
        <v>0</v>
      </c>
      <c r="O1574" t="n">
        <v>0</v>
      </c>
      <c r="P1574" t="n">
        <v>0</v>
      </c>
      <c r="Q1574" t="n">
        <v>0</v>
      </c>
      <c r="R1574" s="2" t="inlineStr"/>
    </row>
    <row r="1575" ht="15" customHeight="1">
      <c r="A1575" t="inlineStr">
        <is>
          <t>A 41467-2020</t>
        </is>
      </c>
      <c r="B1575" s="1" t="n">
        <v>44074</v>
      </c>
      <c r="C1575" s="1" t="n">
        <v>45884</v>
      </c>
      <c r="D1575" t="inlineStr">
        <is>
          <t>KALMAR LÄN</t>
        </is>
      </c>
      <c r="E1575" t="inlineStr">
        <is>
          <t>KALMAR</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30775-2021</t>
        </is>
      </c>
      <c r="B1576" s="1" t="n">
        <v>44365.48300925926</v>
      </c>
      <c r="C1576" s="1" t="n">
        <v>45884</v>
      </c>
      <c r="D1576" t="inlineStr">
        <is>
          <t>KALMAR LÄN</t>
        </is>
      </c>
      <c r="E1576" t="inlineStr">
        <is>
          <t>HÖGSBY</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31317-2021</t>
        </is>
      </c>
      <c r="B1577" s="1" t="n">
        <v>44368.90879629629</v>
      </c>
      <c r="C1577" s="1" t="n">
        <v>45884</v>
      </c>
      <c r="D1577" t="inlineStr">
        <is>
          <t>KALMAR LÄN</t>
        </is>
      </c>
      <c r="E1577" t="inlineStr">
        <is>
          <t>VÄSTERVIK</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49283-2021</t>
        </is>
      </c>
      <c r="B1578" s="1" t="n">
        <v>44454</v>
      </c>
      <c r="C1578" s="1" t="n">
        <v>45884</v>
      </c>
      <c r="D1578" t="inlineStr">
        <is>
          <t>KALMAR LÄN</t>
        </is>
      </c>
      <c r="E1578" t="inlineStr">
        <is>
          <t>KALMAR</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38823-2021</t>
        </is>
      </c>
      <c r="B1579" s="1" t="n">
        <v>44411</v>
      </c>
      <c r="C1579" s="1" t="n">
        <v>45884</v>
      </c>
      <c r="D1579" t="inlineStr">
        <is>
          <t>KALMAR LÄN</t>
        </is>
      </c>
      <c r="E1579" t="inlineStr">
        <is>
          <t>TORSÅS</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47507-2021</t>
        </is>
      </c>
      <c r="B1580" s="1" t="n">
        <v>44447</v>
      </c>
      <c r="C1580" s="1" t="n">
        <v>45884</v>
      </c>
      <c r="D1580" t="inlineStr">
        <is>
          <t>KALMAR LÄN</t>
        </is>
      </c>
      <c r="E1580" t="inlineStr">
        <is>
          <t>TORSÅS</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47530-2021</t>
        </is>
      </c>
      <c r="B1581" s="1" t="n">
        <v>44447</v>
      </c>
      <c r="C1581" s="1" t="n">
        <v>45884</v>
      </c>
      <c r="D1581" t="inlineStr">
        <is>
          <t>KALMAR LÄN</t>
        </is>
      </c>
      <c r="E1581" t="inlineStr">
        <is>
          <t>VÄSTERVIK</t>
        </is>
      </c>
      <c r="F1581" t="inlineStr">
        <is>
          <t>Sveaskog</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53410-2022</t>
        </is>
      </c>
      <c r="B1582" s="1" t="n">
        <v>44879.44567129629</v>
      </c>
      <c r="C1582" s="1" t="n">
        <v>45884</v>
      </c>
      <c r="D1582" t="inlineStr">
        <is>
          <t>KALMAR LÄN</t>
        </is>
      </c>
      <c r="E1582" t="inlineStr">
        <is>
          <t>TORSÅS</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30697-2021</t>
        </is>
      </c>
      <c r="B1583" s="1" t="n">
        <v>44365</v>
      </c>
      <c r="C1583" s="1" t="n">
        <v>45884</v>
      </c>
      <c r="D1583" t="inlineStr">
        <is>
          <t>KALMAR LÄN</t>
        </is>
      </c>
      <c r="E1583" t="inlineStr">
        <is>
          <t>NYBRO</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23105-2022</t>
        </is>
      </c>
      <c r="B1584" s="1" t="n">
        <v>44719</v>
      </c>
      <c r="C1584" s="1" t="n">
        <v>45884</v>
      </c>
      <c r="D1584" t="inlineStr">
        <is>
          <t>KALMAR LÄN</t>
        </is>
      </c>
      <c r="E1584" t="inlineStr">
        <is>
          <t>HÖGSBY</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21065-2022</t>
        </is>
      </c>
      <c r="B1585" s="1" t="n">
        <v>44704</v>
      </c>
      <c r="C1585" s="1" t="n">
        <v>45884</v>
      </c>
      <c r="D1585" t="inlineStr">
        <is>
          <t>KALMAR LÄN</t>
        </is>
      </c>
      <c r="E1585" t="inlineStr">
        <is>
          <t>OSKARSHAMN</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56619-2021</t>
        </is>
      </c>
      <c r="B1586" s="1" t="n">
        <v>44480.82696759259</v>
      </c>
      <c r="C1586" s="1" t="n">
        <v>45884</v>
      </c>
      <c r="D1586" t="inlineStr">
        <is>
          <t>KALMAR LÄN</t>
        </is>
      </c>
      <c r="E1586" t="inlineStr">
        <is>
          <t>VÄSTERVIK</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65887-2021</t>
        </is>
      </c>
      <c r="B1587" s="1" t="n">
        <v>44517</v>
      </c>
      <c r="C1587" s="1" t="n">
        <v>45884</v>
      </c>
      <c r="D1587" t="inlineStr">
        <is>
          <t>KALMAR LÄN</t>
        </is>
      </c>
      <c r="E1587" t="inlineStr">
        <is>
          <t>VIMMERBY</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16969-2021</t>
        </is>
      </c>
      <c r="B1588" s="1" t="n">
        <v>44295</v>
      </c>
      <c r="C1588" s="1" t="n">
        <v>45884</v>
      </c>
      <c r="D1588" t="inlineStr">
        <is>
          <t>KALMAR LÄN</t>
        </is>
      </c>
      <c r="E1588" t="inlineStr">
        <is>
          <t>EMMABODA</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17059-2021</t>
        </is>
      </c>
      <c r="B1589" s="1" t="n">
        <v>44296.53390046296</v>
      </c>
      <c r="C1589" s="1" t="n">
        <v>45884</v>
      </c>
      <c r="D1589" t="inlineStr">
        <is>
          <t>KALMAR LÄN</t>
        </is>
      </c>
      <c r="E1589" t="inlineStr">
        <is>
          <t>HULTSFRED</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66888-2020</t>
        </is>
      </c>
      <c r="B1590" s="1" t="n">
        <v>44179</v>
      </c>
      <c r="C1590" s="1" t="n">
        <v>45884</v>
      </c>
      <c r="D1590" t="inlineStr">
        <is>
          <t>KALMAR LÄN</t>
        </is>
      </c>
      <c r="E1590" t="inlineStr">
        <is>
          <t>VÄSTERVIK</t>
        </is>
      </c>
      <c r="G1590" t="n">
        <v>0.3</v>
      </c>
      <c r="H1590" t="n">
        <v>0</v>
      </c>
      <c r="I1590" t="n">
        <v>0</v>
      </c>
      <c r="J1590" t="n">
        <v>0</v>
      </c>
      <c r="K1590" t="n">
        <v>0</v>
      </c>
      <c r="L1590" t="n">
        <v>0</v>
      </c>
      <c r="M1590" t="n">
        <v>0</v>
      </c>
      <c r="N1590" t="n">
        <v>0</v>
      </c>
      <c r="O1590" t="n">
        <v>0</v>
      </c>
      <c r="P1590" t="n">
        <v>0</v>
      </c>
      <c r="Q1590" t="n">
        <v>0</v>
      </c>
      <c r="R1590" s="2" t="inlineStr"/>
    </row>
    <row r="1591" ht="15" customHeight="1">
      <c r="A1591" t="inlineStr">
        <is>
          <t>A 21964-2022</t>
        </is>
      </c>
      <c r="B1591" s="1" t="n">
        <v>44711.52076388889</v>
      </c>
      <c r="C1591" s="1" t="n">
        <v>45884</v>
      </c>
      <c r="D1591" t="inlineStr">
        <is>
          <t>KALMAR LÄN</t>
        </is>
      </c>
      <c r="E1591" t="inlineStr">
        <is>
          <t>OSKARSHAMN</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410-2021</t>
        </is>
      </c>
      <c r="B1592" s="1" t="n">
        <v>44201.63928240741</v>
      </c>
      <c r="C1592" s="1" t="n">
        <v>45884</v>
      </c>
      <c r="D1592" t="inlineStr">
        <is>
          <t>KALMAR LÄN</t>
        </is>
      </c>
      <c r="E1592" t="inlineStr">
        <is>
          <t>VÄSTERVIK</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31665-2021</t>
        </is>
      </c>
      <c r="B1593" s="1" t="n">
        <v>44369</v>
      </c>
      <c r="C1593" s="1" t="n">
        <v>45884</v>
      </c>
      <c r="D1593" t="inlineStr">
        <is>
          <t>KALMAR LÄN</t>
        </is>
      </c>
      <c r="E1593" t="inlineStr">
        <is>
          <t>KALMAR</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9571-2022</t>
        </is>
      </c>
      <c r="B1594" s="1" t="n">
        <v>44617.44810185185</v>
      </c>
      <c r="C1594" s="1" t="n">
        <v>45884</v>
      </c>
      <c r="D1594" t="inlineStr">
        <is>
          <t>KALMAR LÄN</t>
        </is>
      </c>
      <c r="E1594" t="inlineStr">
        <is>
          <t>HULTSFRED</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42056-2020</t>
        </is>
      </c>
      <c r="B1595" s="1" t="n">
        <v>44075</v>
      </c>
      <c r="C1595" s="1" t="n">
        <v>45884</v>
      </c>
      <c r="D1595" t="inlineStr">
        <is>
          <t>KALMAR LÄN</t>
        </is>
      </c>
      <c r="E1595" t="inlineStr">
        <is>
          <t>KALMAR</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66046-2021</t>
        </is>
      </c>
      <c r="B1596" s="1" t="n">
        <v>44517</v>
      </c>
      <c r="C1596" s="1" t="n">
        <v>45884</v>
      </c>
      <c r="D1596" t="inlineStr">
        <is>
          <t>KALMAR LÄN</t>
        </is>
      </c>
      <c r="E1596" t="inlineStr">
        <is>
          <t>MÖNSTERÅS</t>
        </is>
      </c>
      <c r="F1596" t="inlineStr">
        <is>
          <t>Kommuner</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33030-2022</t>
        </is>
      </c>
      <c r="B1597" s="1" t="n">
        <v>44785.35797453704</v>
      </c>
      <c r="C1597" s="1" t="n">
        <v>45884</v>
      </c>
      <c r="D1597" t="inlineStr">
        <is>
          <t>KALMAR LÄN</t>
        </is>
      </c>
      <c r="E1597" t="inlineStr">
        <is>
          <t>NYBRO</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51972-2021</t>
        </is>
      </c>
      <c r="B1598" s="1" t="n">
        <v>44463.29439814815</v>
      </c>
      <c r="C1598" s="1" t="n">
        <v>45884</v>
      </c>
      <c r="D1598" t="inlineStr">
        <is>
          <t>KALMAR LÄN</t>
        </is>
      </c>
      <c r="E1598" t="inlineStr">
        <is>
          <t>VIMMERBY</t>
        </is>
      </c>
      <c r="G1598" t="n">
        <v>4.5</v>
      </c>
      <c r="H1598" t="n">
        <v>0</v>
      </c>
      <c r="I1598" t="n">
        <v>0</v>
      </c>
      <c r="J1598" t="n">
        <v>0</v>
      </c>
      <c r="K1598" t="n">
        <v>0</v>
      </c>
      <c r="L1598" t="n">
        <v>0</v>
      </c>
      <c r="M1598" t="n">
        <v>0</v>
      </c>
      <c r="N1598" t="n">
        <v>0</v>
      </c>
      <c r="O1598" t="n">
        <v>0</v>
      </c>
      <c r="P1598" t="n">
        <v>0</v>
      </c>
      <c r="Q1598" t="n">
        <v>0</v>
      </c>
      <c r="R1598" s="2" t="inlineStr"/>
    </row>
    <row r="1599" ht="15" customHeight="1">
      <c r="A1599" t="inlineStr">
        <is>
          <t>A 40818-2020</t>
        </is>
      </c>
      <c r="B1599" s="1" t="n">
        <v>44070.40998842593</v>
      </c>
      <c r="C1599" s="1" t="n">
        <v>45884</v>
      </c>
      <c r="D1599" t="inlineStr">
        <is>
          <t>KALMAR LÄN</t>
        </is>
      </c>
      <c r="E1599" t="inlineStr">
        <is>
          <t>VIMMERBY</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24369-2021</t>
        </is>
      </c>
      <c r="B1600" s="1" t="n">
        <v>44337</v>
      </c>
      <c r="C1600" s="1" t="n">
        <v>45884</v>
      </c>
      <c r="D1600" t="inlineStr">
        <is>
          <t>KALMAR LÄN</t>
        </is>
      </c>
      <c r="E1600" t="inlineStr">
        <is>
          <t>VIMMERBY</t>
        </is>
      </c>
      <c r="G1600" t="n">
        <v>8.800000000000001</v>
      </c>
      <c r="H1600" t="n">
        <v>0</v>
      </c>
      <c r="I1600" t="n">
        <v>0</v>
      </c>
      <c r="J1600" t="n">
        <v>0</v>
      </c>
      <c r="K1600" t="n">
        <v>0</v>
      </c>
      <c r="L1600" t="n">
        <v>0</v>
      </c>
      <c r="M1600" t="n">
        <v>0</v>
      </c>
      <c r="N1600" t="n">
        <v>0</v>
      </c>
      <c r="O1600" t="n">
        <v>0</v>
      </c>
      <c r="P1600" t="n">
        <v>0</v>
      </c>
      <c r="Q1600" t="n">
        <v>0</v>
      </c>
      <c r="R1600" s="2" t="inlineStr"/>
    </row>
    <row r="1601" ht="15" customHeight="1">
      <c r="A1601" t="inlineStr">
        <is>
          <t>A 48949-2020</t>
        </is>
      </c>
      <c r="B1601" s="1" t="n">
        <v>44102</v>
      </c>
      <c r="C1601" s="1" t="n">
        <v>45884</v>
      </c>
      <c r="D1601" t="inlineStr">
        <is>
          <t>KALMAR LÄN</t>
        </is>
      </c>
      <c r="E1601" t="inlineStr">
        <is>
          <t>VIMMERBY</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49669-2021</t>
        </is>
      </c>
      <c r="B1602" s="1" t="n">
        <v>44455</v>
      </c>
      <c r="C1602" s="1" t="n">
        <v>45884</v>
      </c>
      <c r="D1602" t="inlineStr">
        <is>
          <t>KALMAR LÄN</t>
        </is>
      </c>
      <c r="E1602" t="inlineStr">
        <is>
          <t>HÖGSBY</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44068-2022</t>
        </is>
      </c>
      <c r="B1603" s="1" t="n">
        <v>44839.33949074074</v>
      </c>
      <c r="C1603" s="1" t="n">
        <v>45884</v>
      </c>
      <c r="D1603" t="inlineStr">
        <is>
          <t>KALMAR LÄN</t>
        </is>
      </c>
      <c r="E1603" t="inlineStr">
        <is>
          <t>EMMABODA</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23825-2022</t>
        </is>
      </c>
      <c r="B1604" s="1" t="n">
        <v>44722.48768518519</v>
      </c>
      <c r="C1604" s="1" t="n">
        <v>45884</v>
      </c>
      <c r="D1604" t="inlineStr">
        <is>
          <t>KALMAR LÄN</t>
        </is>
      </c>
      <c r="E1604" t="inlineStr">
        <is>
          <t>VIMMERBY</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14979-2022</t>
        </is>
      </c>
      <c r="B1605" s="1" t="n">
        <v>44657</v>
      </c>
      <c r="C1605" s="1" t="n">
        <v>45884</v>
      </c>
      <c r="D1605" t="inlineStr">
        <is>
          <t>KALMAR LÄN</t>
        </is>
      </c>
      <c r="E1605" t="inlineStr">
        <is>
          <t>NYBRO</t>
        </is>
      </c>
      <c r="F1605" t="inlineStr">
        <is>
          <t>Kommuner</t>
        </is>
      </c>
      <c r="G1605" t="n">
        <v>4.1</v>
      </c>
      <c r="H1605" t="n">
        <v>0</v>
      </c>
      <c r="I1605" t="n">
        <v>0</v>
      </c>
      <c r="J1605" t="n">
        <v>0</v>
      </c>
      <c r="K1605" t="n">
        <v>0</v>
      </c>
      <c r="L1605" t="n">
        <v>0</v>
      </c>
      <c r="M1605" t="n">
        <v>0</v>
      </c>
      <c r="N1605" t="n">
        <v>0</v>
      </c>
      <c r="O1605" t="n">
        <v>0</v>
      </c>
      <c r="P1605" t="n">
        <v>0</v>
      </c>
      <c r="Q1605" t="n">
        <v>0</v>
      </c>
      <c r="R1605" s="2" t="inlineStr"/>
    </row>
    <row r="1606" ht="15" customHeight="1">
      <c r="A1606" t="inlineStr">
        <is>
          <t>A 48219-2021</t>
        </is>
      </c>
      <c r="B1606" s="1" t="n">
        <v>44449.61662037037</v>
      </c>
      <c r="C1606" s="1" t="n">
        <v>45884</v>
      </c>
      <c r="D1606" t="inlineStr">
        <is>
          <t>KALMAR LÄN</t>
        </is>
      </c>
      <c r="E1606" t="inlineStr">
        <is>
          <t>NYBRO</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42733-2020</t>
        </is>
      </c>
      <c r="B1607" s="1" t="n">
        <v>44077</v>
      </c>
      <c r="C1607" s="1" t="n">
        <v>45884</v>
      </c>
      <c r="D1607" t="inlineStr">
        <is>
          <t>KALMAR LÄN</t>
        </is>
      </c>
      <c r="E1607" t="inlineStr">
        <is>
          <t>TORSÅS</t>
        </is>
      </c>
      <c r="G1607" t="n">
        <v>5.5</v>
      </c>
      <c r="H1607" t="n">
        <v>0</v>
      </c>
      <c r="I1607" t="n">
        <v>0</v>
      </c>
      <c r="J1607" t="n">
        <v>0</v>
      </c>
      <c r="K1607" t="n">
        <v>0</v>
      </c>
      <c r="L1607" t="n">
        <v>0</v>
      </c>
      <c r="M1607" t="n">
        <v>0</v>
      </c>
      <c r="N1607" t="n">
        <v>0</v>
      </c>
      <c r="O1607" t="n">
        <v>0</v>
      </c>
      <c r="P1607" t="n">
        <v>0</v>
      </c>
      <c r="Q1607" t="n">
        <v>0</v>
      </c>
      <c r="R1607" s="2" t="inlineStr"/>
    </row>
    <row r="1608" ht="15" customHeight="1">
      <c r="A1608" t="inlineStr">
        <is>
          <t>A 44812-2022</t>
        </is>
      </c>
      <c r="B1608" s="1" t="n">
        <v>44841.3953125</v>
      </c>
      <c r="C1608" s="1" t="n">
        <v>45884</v>
      </c>
      <c r="D1608" t="inlineStr">
        <is>
          <t>KALMAR LÄN</t>
        </is>
      </c>
      <c r="E1608" t="inlineStr">
        <is>
          <t>EMMABODA</t>
        </is>
      </c>
      <c r="F1608" t="inlineStr">
        <is>
          <t>Sveaskog</t>
        </is>
      </c>
      <c r="G1608" t="n">
        <v>3.3</v>
      </c>
      <c r="H1608" t="n">
        <v>0</v>
      </c>
      <c r="I1608" t="n">
        <v>0</v>
      </c>
      <c r="J1608" t="n">
        <v>0</v>
      </c>
      <c r="K1608" t="n">
        <v>0</v>
      </c>
      <c r="L1608" t="n">
        <v>0</v>
      </c>
      <c r="M1608" t="n">
        <v>0</v>
      </c>
      <c r="N1608" t="n">
        <v>0</v>
      </c>
      <c r="O1608" t="n">
        <v>0</v>
      </c>
      <c r="P1608" t="n">
        <v>0</v>
      </c>
      <c r="Q1608" t="n">
        <v>0</v>
      </c>
      <c r="R1608" s="2" t="inlineStr"/>
    </row>
    <row r="1609" ht="15" customHeight="1">
      <c r="A1609" t="inlineStr">
        <is>
          <t>A 63635-2020</t>
        </is>
      </c>
      <c r="B1609" s="1" t="n">
        <v>44162</v>
      </c>
      <c r="C1609" s="1" t="n">
        <v>45884</v>
      </c>
      <c r="D1609" t="inlineStr">
        <is>
          <t>KALMAR LÄN</t>
        </is>
      </c>
      <c r="E1609" t="inlineStr">
        <is>
          <t>VÄSTERVIK</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10621-2022</t>
        </is>
      </c>
      <c r="B1610" s="1" t="n">
        <v>44624.4716087963</v>
      </c>
      <c r="C1610" s="1" t="n">
        <v>45884</v>
      </c>
      <c r="D1610" t="inlineStr">
        <is>
          <t>KALMAR LÄN</t>
        </is>
      </c>
      <c r="E1610" t="inlineStr">
        <is>
          <t>NYBRO</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10643-2022</t>
        </is>
      </c>
      <c r="B1611" s="1" t="n">
        <v>44624</v>
      </c>
      <c r="C1611" s="1" t="n">
        <v>45884</v>
      </c>
      <c r="D1611" t="inlineStr">
        <is>
          <t>KALMAR LÄN</t>
        </is>
      </c>
      <c r="E1611" t="inlineStr">
        <is>
          <t>HULTSFRED</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58395-2021</t>
        </is>
      </c>
      <c r="B1612" s="1" t="n">
        <v>44488</v>
      </c>
      <c r="C1612" s="1" t="n">
        <v>45884</v>
      </c>
      <c r="D1612" t="inlineStr">
        <is>
          <t>KALMAR LÄN</t>
        </is>
      </c>
      <c r="E1612" t="inlineStr">
        <is>
          <t>OSKARSHAMN</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61961-2021</t>
        </is>
      </c>
      <c r="B1613" s="1" t="n">
        <v>44502</v>
      </c>
      <c r="C1613" s="1" t="n">
        <v>45884</v>
      </c>
      <c r="D1613" t="inlineStr">
        <is>
          <t>KALMAR LÄN</t>
        </is>
      </c>
      <c r="E1613" t="inlineStr">
        <is>
          <t>KALMAR</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29909-2022</t>
        </is>
      </c>
      <c r="B1614" s="1" t="n">
        <v>44756</v>
      </c>
      <c r="C1614" s="1" t="n">
        <v>45884</v>
      </c>
      <c r="D1614" t="inlineStr">
        <is>
          <t>KALMAR LÄN</t>
        </is>
      </c>
      <c r="E1614" t="inlineStr">
        <is>
          <t>VÄSTERVIK</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46822-2020</t>
        </is>
      </c>
      <c r="B1615" s="1" t="n">
        <v>44096</v>
      </c>
      <c r="C1615" s="1" t="n">
        <v>45884</v>
      </c>
      <c r="D1615" t="inlineStr">
        <is>
          <t>KALMAR LÄN</t>
        </is>
      </c>
      <c r="E1615" t="inlineStr">
        <is>
          <t>VÄSTERVIK</t>
        </is>
      </c>
      <c r="G1615" t="n">
        <v>0.2</v>
      </c>
      <c r="H1615" t="n">
        <v>0</v>
      </c>
      <c r="I1615" t="n">
        <v>0</v>
      </c>
      <c r="J1615" t="n">
        <v>0</v>
      </c>
      <c r="K1615" t="n">
        <v>0</v>
      </c>
      <c r="L1615" t="n">
        <v>0</v>
      </c>
      <c r="M1615" t="n">
        <v>0</v>
      </c>
      <c r="N1615" t="n">
        <v>0</v>
      </c>
      <c r="O1615" t="n">
        <v>0</v>
      </c>
      <c r="P1615" t="n">
        <v>0</v>
      </c>
      <c r="Q1615" t="n">
        <v>0</v>
      </c>
      <c r="R1615" s="2" t="inlineStr"/>
    </row>
    <row r="1616" ht="15" customHeight="1">
      <c r="A1616" t="inlineStr">
        <is>
          <t>A 34740-2021</t>
        </is>
      </c>
      <c r="B1616" s="1" t="n">
        <v>44382.66943287037</v>
      </c>
      <c r="C1616" s="1" t="n">
        <v>45884</v>
      </c>
      <c r="D1616" t="inlineStr">
        <is>
          <t>KALMAR LÄN</t>
        </is>
      </c>
      <c r="E1616" t="inlineStr">
        <is>
          <t>EMMABODA</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24743-2022</t>
        </is>
      </c>
      <c r="B1617" s="1" t="n">
        <v>44727</v>
      </c>
      <c r="C1617" s="1" t="n">
        <v>45884</v>
      </c>
      <c r="D1617" t="inlineStr">
        <is>
          <t>KALMAR LÄN</t>
        </is>
      </c>
      <c r="E1617" t="inlineStr">
        <is>
          <t>MÖNSTERÅS</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66904-2020</t>
        </is>
      </c>
      <c r="B1618" s="1" t="n">
        <v>44180</v>
      </c>
      <c r="C1618" s="1" t="n">
        <v>45884</v>
      </c>
      <c r="D1618" t="inlineStr">
        <is>
          <t>KALMAR LÄN</t>
        </is>
      </c>
      <c r="E1618" t="inlineStr">
        <is>
          <t>EMMABODA</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41731-2022</t>
        </is>
      </c>
      <c r="B1619" s="1" t="n">
        <v>44827</v>
      </c>
      <c r="C1619" s="1" t="n">
        <v>45884</v>
      </c>
      <c r="D1619" t="inlineStr">
        <is>
          <t>KALMAR LÄN</t>
        </is>
      </c>
      <c r="E1619" t="inlineStr">
        <is>
          <t>HULTSFRED</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5152-2022</t>
        </is>
      </c>
      <c r="B1620" s="1" t="n">
        <v>44594.37494212963</v>
      </c>
      <c r="C1620" s="1" t="n">
        <v>45884</v>
      </c>
      <c r="D1620" t="inlineStr">
        <is>
          <t>KALMAR LÄN</t>
        </is>
      </c>
      <c r="E1620" t="inlineStr">
        <is>
          <t>NYBRO</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39959-2022</t>
        </is>
      </c>
      <c r="B1621" s="1" t="n">
        <v>44819</v>
      </c>
      <c r="C1621" s="1" t="n">
        <v>45884</v>
      </c>
      <c r="D1621" t="inlineStr">
        <is>
          <t>KALMAR LÄN</t>
        </is>
      </c>
      <c r="E1621" t="inlineStr">
        <is>
          <t>VIMMERBY</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35001-2021</t>
        </is>
      </c>
      <c r="B1622" s="1" t="n">
        <v>44383</v>
      </c>
      <c r="C1622" s="1" t="n">
        <v>45884</v>
      </c>
      <c r="D1622" t="inlineStr">
        <is>
          <t>KALMAR LÄN</t>
        </is>
      </c>
      <c r="E1622" t="inlineStr">
        <is>
          <t>VIMMERBY</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11151-2022</t>
        </is>
      </c>
      <c r="B1623" s="1" t="n">
        <v>44629</v>
      </c>
      <c r="C1623" s="1" t="n">
        <v>45884</v>
      </c>
      <c r="D1623" t="inlineStr">
        <is>
          <t>KALMAR LÄN</t>
        </is>
      </c>
      <c r="E1623" t="inlineStr">
        <is>
          <t>NYBRO</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45569-2020</t>
        </is>
      </c>
      <c r="B1624" s="1" t="n">
        <v>44090</v>
      </c>
      <c r="C1624" s="1" t="n">
        <v>45884</v>
      </c>
      <c r="D1624" t="inlineStr">
        <is>
          <t>KALMAR LÄN</t>
        </is>
      </c>
      <c r="E1624" t="inlineStr">
        <is>
          <t>KALMAR</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38763-2020</t>
        </is>
      </c>
      <c r="B1625" s="1" t="n">
        <v>44061</v>
      </c>
      <c r="C1625" s="1" t="n">
        <v>45884</v>
      </c>
      <c r="D1625" t="inlineStr">
        <is>
          <t>KALMAR LÄN</t>
        </is>
      </c>
      <c r="E1625" t="inlineStr">
        <is>
          <t>HULTSFRED</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38766-2020</t>
        </is>
      </c>
      <c r="B1626" s="1" t="n">
        <v>44061</v>
      </c>
      <c r="C1626" s="1" t="n">
        <v>45884</v>
      </c>
      <c r="D1626" t="inlineStr">
        <is>
          <t>KALMAR LÄN</t>
        </is>
      </c>
      <c r="E1626" t="inlineStr">
        <is>
          <t>KALMAR</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43747-2021</t>
        </is>
      </c>
      <c r="B1627" s="1" t="n">
        <v>44433</v>
      </c>
      <c r="C1627" s="1" t="n">
        <v>45884</v>
      </c>
      <c r="D1627" t="inlineStr">
        <is>
          <t>KALMAR LÄN</t>
        </is>
      </c>
      <c r="E1627" t="inlineStr">
        <is>
          <t>EMMABODA</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38769-2020</t>
        </is>
      </c>
      <c r="B1628" s="1" t="n">
        <v>44061</v>
      </c>
      <c r="C1628" s="1" t="n">
        <v>45884</v>
      </c>
      <c r="D1628" t="inlineStr">
        <is>
          <t>KALMAR LÄN</t>
        </is>
      </c>
      <c r="E1628" t="inlineStr">
        <is>
          <t>KALMAR</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59684-2021</t>
        </is>
      </c>
      <c r="B1629" s="1" t="n">
        <v>44494</v>
      </c>
      <c r="C1629" s="1" t="n">
        <v>45884</v>
      </c>
      <c r="D1629" t="inlineStr">
        <is>
          <t>KALMAR LÄN</t>
        </is>
      </c>
      <c r="E1629" t="inlineStr">
        <is>
          <t>NYBRO</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21889-2022</t>
        </is>
      </c>
      <c r="B1630" s="1" t="n">
        <v>44711.44097222222</v>
      </c>
      <c r="C1630" s="1" t="n">
        <v>45884</v>
      </c>
      <c r="D1630" t="inlineStr">
        <is>
          <t>KALMAR LÄN</t>
        </is>
      </c>
      <c r="E1630" t="inlineStr">
        <is>
          <t>TORSÅS</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61799-2020</t>
        </is>
      </c>
      <c r="B1631" s="1" t="n">
        <v>44158</v>
      </c>
      <c r="C1631" s="1" t="n">
        <v>45884</v>
      </c>
      <c r="D1631" t="inlineStr">
        <is>
          <t>KALMAR LÄN</t>
        </is>
      </c>
      <c r="E1631" t="inlineStr">
        <is>
          <t>VÄSTERVIK</t>
        </is>
      </c>
      <c r="F1631" t="inlineStr">
        <is>
          <t>Sveaskog</t>
        </is>
      </c>
      <c r="G1631" t="n">
        <v>3.4</v>
      </c>
      <c r="H1631" t="n">
        <v>0</v>
      </c>
      <c r="I1631" t="n">
        <v>0</v>
      </c>
      <c r="J1631" t="n">
        <v>0</v>
      </c>
      <c r="K1631" t="n">
        <v>0</v>
      </c>
      <c r="L1631" t="n">
        <v>0</v>
      </c>
      <c r="M1631" t="n">
        <v>0</v>
      </c>
      <c r="N1631" t="n">
        <v>0</v>
      </c>
      <c r="O1631" t="n">
        <v>0</v>
      </c>
      <c r="P1631" t="n">
        <v>0</v>
      </c>
      <c r="Q1631" t="n">
        <v>0</v>
      </c>
      <c r="R1631" s="2" t="inlineStr"/>
    </row>
    <row r="1632" ht="15" customHeight="1">
      <c r="A1632" t="inlineStr">
        <is>
          <t>A 55674-2021</t>
        </is>
      </c>
      <c r="B1632" s="1" t="n">
        <v>44476</v>
      </c>
      <c r="C1632" s="1" t="n">
        <v>45884</v>
      </c>
      <c r="D1632" t="inlineStr">
        <is>
          <t>KALMAR LÄN</t>
        </is>
      </c>
      <c r="E1632" t="inlineStr">
        <is>
          <t>VIMMERBY</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69679-2021</t>
        </is>
      </c>
      <c r="B1633" s="1" t="n">
        <v>44532</v>
      </c>
      <c r="C1633" s="1" t="n">
        <v>45884</v>
      </c>
      <c r="D1633" t="inlineStr">
        <is>
          <t>KALMAR LÄN</t>
        </is>
      </c>
      <c r="E1633" t="inlineStr">
        <is>
          <t>TORSÅS</t>
        </is>
      </c>
      <c r="G1633" t="n">
        <v>7.5</v>
      </c>
      <c r="H1633" t="n">
        <v>0</v>
      </c>
      <c r="I1633" t="n">
        <v>0</v>
      </c>
      <c r="J1633" t="n">
        <v>0</v>
      </c>
      <c r="K1633" t="n">
        <v>0</v>
      </c>
      <c r="L1633" t="n">
        <v>0</v>
      </c>
      <c r="M1633" t="n">
        <v>0</v>
      </c>
      <c r="N1633" t="n">
        <v>0</v>
      </c>
      <c r="O1633" t="n">
        <v>0</v>
      </c>
      <c r="P1633" t="n">
        <v>0</v>
      </c>
      <c r="Q1633" t="n">
        <v>0</v>
      </c>
      <c r="R1633" s="2" t="inlineStr"/>
    </row>
    <row r="1634" ht="15" customHeight="1">
      <c r="A1634" t="inlineStr">
        <is>
          <t>A 34721-2021</t>
        </is>
      </c>
      <c r="B1634" s="1" t="n">
        <v>44382</v>
      </c>
      <c r="C1634" s="1" t="n">
        <v>45884</v>
      </c>
      <c r="D1634" t="inlineStr">
        <is>
          <t>KALMAR LÄN</t>
        </is>
      </c>
      <c r="E1634" t="inlineStr">
        <is>
          <t>MÖNSTERÅS</t>
        </is>
      </c>
      <c r="G1634" t="n">
        <v>4.5</v>
      </c>
      <c r="H1634" t="n">
        <v>0</v>
      </c>
      <c r="I1634" t="n">
        <v>0</v>
      </c>
      <c r="J1634" t="n">
        <v>0</v>
      </c>
      <c r="K1634" t="n">
        <v>0</v>
      </c>
      <c r="L1634" t="n">
        <v>0</v>
      </c>
      <c r="M1634" t="n">
        <v>0</v>
      </c>
      <c r="N1634" t="n">
        <v>0</v>
      </c>
      <c r="O1634" t="n">
        <v>0</v>
      </c>
      <c r="P1634" t="n">
        <v>0</v>
      </c>
      <c r="Q1634" t="n">
        <v>0</v>
      </c>
      <c r="R1634" s="2" t="inlineStr"/>
    </row>
    <row r="1635" ht="15" customHeight="1">
      <c r="A1635" t="inlineStr">
        <is>
          <t>A 22399-2021</t>
        </is>
      </c>
      <c r="B1635" s="1" t="n">
        <v>44326.60537037037</v>
      </c>
      <c r="C1635" s="1" t="n">
        <v>45884</v>
      </c>
      <c r="D1635" t="inlineStr">
        <is>
          <t>KALMAR LÄN</t>
        </is>
      </c>
      <c r="E1635" t="inlineStr">
        <is>
          <t>KALMAR</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17216-2021</t>
        </is>
      </c>
      <c r="B1636" s="1" t="n">
        <v>44298.49047453704</v>
      </c>
      <c r="C1636" s="1" t="n">
        <v>45884</v>
      </c>
      <c r="D1636" t="inlineStr">
        <is>
          <t>KALMAR LÄN</t>
        </is>
      </c>
      <c r="E1636" t="inlineStr">
        <is>
          <t>VÄSTERVIK</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47825-2022</t>
        </is>
      </c>
      <c r="B1637" s="1" t="n">
        <v>44855.31458333333</v>
      </c>
      <c r="C1637" s="1" t="n">
        <v>45884</v>
      </c>
      <c r="D1637" t="inlineStr">
        <is>
          <t>KALMAR LÄN</t>
        </is>
      </c>
      <c r="E1637" t="inlineStr">
        <is>
          <t>KALMAR</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4958-2021</t>
        </is>
      </c>
      <c r="B1638" s="1" t="n">
        <v>44228</v>
      </c>
      <c r="C1638" s="1" t="n">
        <v>45884</v>
      </c>
      <c r="D1638" t="inlineStr">
        <is>
          <t>KALMAR LÄN</t>
        </is>
      </c>
      <c r="E1638" t="inlineStr">
        <is>
          <t>TORSÅS</t>
        </is>
      </c>
      <c r="G1638" t="n">
        <v>3.9</v>
      </c>
      <c r="H1638" t="n">
        <v>0</v>
      </c>
      <c r="I1638" t="n">
        <v>0</v>
      </c>
      <c r="J1638" t="n">
        <v>0</v>
      </c>
      <c r="K1638" t="n">
        <v>0</v>
      </c>
      <c r="L1638" t="n">
        <v>0</v>
      </c>
      <c r="M1638" t="n">
        <v>0</v>
      </c>
      <c r="N1638" t="n">
        <v>0</v>
      </c>
      <c r="O1638" t="n">
        <v>0</v>
      </c>
      <c r="P1638" t="n">
        <v>0</v>
      </c>
      <c r="Q1638" t="n">
        <v>0</v>
      </c>
      <c r="R1638" s="2" t="inlineStr"/>
    </row>
    <row r="1639" ht="15" customHeight="1">
      <c r="A1639" t="inlineStr">
        <is>
          <t>A 56385-2020</t>
        </is>
      </c>
      <c r="B1639" s="1" t="n">
        <v>44136</v>
      </c>
      <c r="C1639" s="1" t="n">
        <v>45884</v>
      </c>
      <c r="D1639" t="inlineStr">
        <is>
          <t>KALMAR LÄN</t>
        </is>
      </c>
      <c r="E1639" t="inlineStr">
        <is>
          <t>NYBRO</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4998-2022</t>
        </is>
      </c>
      <c r="B1640" s="1" t="n">
        <v>44593</v>
      </c>
      <c r="C1640" s="1" t="n">
        <v>45884</v>
      </c>
      <c r="D1640" t="inlineStr">
        <is>
          <t>KALMAR LÄN</t>
        </is>
      </c>
      <c r="E1640" t="inlineStr">
        <is>
          <t>HULTSFRED</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5099-2022</t>
        </is>
      </c>
      <c r="B1641" s="1" t="n">
        <v>44593</v>
      </c>
      <c r="C1641" s="1" t="n">
        <v>45884</v>
      </c>
      <c r="D1641" t="inlineStr">
        <is>
          <t>KALMAR LÄN</t>
        </is>
      </c>
      <c r="E1641" t="inlineStr">
        <is>
          <t>NYBRO</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33588-2021</t>
        </is>
      </c>
      <c r="B1642" s="1" t="n">
        <v>44378.26744212963</v>
      </c>
      <c r="C1642" s="1" t="n">
        <v>45884</v>
      </c>
      <c r="D1642" t="inlineStr">
        <is>
          <t>KALMAR LÄN</t>
        </is>
      </c>
      <c r="E1642" t="inlineStr">
        <is>
          <t>NYBRO</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34644-2022</t>
        </is>
      </c>
      <c r="B1643" s="1" t="n">
        <v>44795</v>
      </c>
      <c r="C1643" s="1" t="n">
        <v>45884</v>
      </c>
      <c r="D1643" t="inlineStr">
        <is>
          <t>KALMAR LÄN</t>
        </is>
      </c>
      <c r="E1643" t="inlineStr">
        <is>
          <t>VÄSTERVIK</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40349-2020</t>
        </is>
      </c>
      <c r="B1644" s="1" t="n">
        <v>44068</v>
      </c>
      <c r="C1644" s="1" t="n">
        <v>45884</v>
      </c>
      <c r="D1644" t="inlineStr">
        <is>
          <t>KALMAR LÄN</t>
        </is>
      </c>
      <c r="E1644" t="inlineStr">
        <is>
          <t>HÖGSBY</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52928-2020</t>
        </is>
      </c>
      <c r="B1645" s="1" t="n">
        <v>44120</v>
      </c>
      <c r="C1645" s="1" t="n">
        <v>45884</v>
      </c>
      <c r="D1645" t="inlineStr">
        <is>
          <t>KALMAR LÄN</t>
        </is>
      </c>
      <c r="E1645" t="inlineStr">
        <is>
          <t>KALMAR</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54043-2022</t>
        </is>
      </c>
      <c r="B1646" s="1" t="n">
        <v>44881.46946759259</v>
      </c>
      <c r="C1646" s="1" t="n">
        <v>45884</v>
      </c>
      <c r="D1646" t="inlineStr">
        <is>
          <t>KALMAR LÄN</t>
        </is>
      </c>
      <c r="E1646" t="inlineStr">
        <is>
          <t>NYBRO</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41726-2020</t>
        </is>
      </c>
      <c r="B1647" s="1" t="n">
        <v>44074</v>
      </c>
      <c r="C1647" s="1" t="n">
        <v>45884</v>
      </c>
      <c r="D1647" t="inlineStr">
        <is>
          <t>KALMAR LÄN</t>
        </is>
      </c>
      <c r="E1647" t="inlineStr">
        <is>
          <t>EMMABODA</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40077-2021</t>
        </is>
      </c>
      <c r="B1648" s="1" t="n">
        <v>44418</v>
      </c>
      <c r="C1648" s="1" t="n">
        <v>45884</v>
      </c>
      <c r="D1648" t="inlineStr">
        <is>
          <t>KALMAR LÄN</t>
        </is>
      </c>
      <c r="E1648" t="inlineStr">
        <is>
          <t>VIMMERBY</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51461-2022</t>
        </is>
      </c>
      <c r="B1649" s="1" t="n">
        <v>44869.53516203703</v>
      </c>
      <c r="C1649" s="1" t="n">
        <v>45884</v>
      </c>
      <c r="D1649" t="inlineStr">
        <is>
          <t>KALMAR LÄN</t>
        </is>
      </c>
      <c r="E1649" t="inlineStr">
        <is>
          <t>OSKARSHAMN</t>
        </is>
      </c>
      <c r="G1649" t="n">
        <v>3.9</v>
      </c>
      <c r="H1649" t="n">
        <v>0</v>
      </c>
      <c r="I1649" t="n">
        <v>0</v>
      </c>
      <c r="J1649" t="n">
        <v>0</v>
      </c>
      <c r="K1649" t="n">
        <v>0</v>
      </c>
      <c r="L1649" t="n">
        <v>0</v>
      </c>
      <c r="M1649" t="n">
        <v>0</v>
      </c>
      <c r="N1649" t="n">
        <v>0</v>
      </c>
      <c r="O1649" t="n">
        <v>0</v>
      </c>
      <c r="P1649" t="n">
        <v>0</v>
      </c>
      <c r="Q1649" t="n">
        <v>0</v>
      </c>
      <c r="R1649" s="2" t="inlineStr"/>
    </row>
    <row r="1650" ht="15" customHeight="1">
      <c r="A1650" t="inlineStr">
        <is>
          <t>A 40242-2022</t>
        </is>
      </c>
      <c r="B1650" s="1" t="n">
        <v>44820</v>
      </c>
      <c r="C1650" s="1" t="n">
        <v>45884</v>
      </c>
      <c r="D1650" t="inlineStr">
        <is>
          <t>KALMAR LÄN</t>
        </is>
      </c>
      <c r="E1650" t="inlineStr">
        <is>
          <t>MÖNSTERÅS</t>
        </is>
      </c>
      <c r="G1650" t="n">
        <v>0.2</v>
      </c>
      <c r="H1650" t="n">
        <v>0</v>
      </c>
      <c r="I1650" t="n">
        <v>0</v>
      </c>
      <c r="J1650" t="n">
        <v>0</v>
      </c>
      <c r="K1650" t="n">
        <v>0</v>
      </c>
      <c r="L1650" t="n">
        <v>0</v>
      </c>
      <c r="M1650" t="n">
        <v>0</v>
      </c>
      <c r="N1650" t="n">
        <v>0</v>
      </c>
      <c r="O1650" t="n">
        <v>0</v>
      </c>
      <c r="P1650" t="n">
        <v>0</v>
      </c>
      <c r="Q1650" t="n">
        <v>0</v>
      </c>
      <c r="R1650" s="2" t="inlineStr"/>
    </row>
    <row r="1651" ht="15" customHeight="1">
      <c r="A1651" t="inlineStr">
        <is>
          <t>A 40017-2021</t>
        </is>
      </c>
      <c r="B1651" s="1" t="n">
        <v>44418</v>
      </c>
      <c r="C1651" s="1" t="n">
        <v>45884</v>
      </c>
      <c r="D1651" t="inlineStr">
        <is>
          <t>KALMAR LÄN</t>
        </is>
      </c>
      <c r="E1651" t="inlineStr">
        <is>
          <t>NYBRO</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41426-2020</t>
        </is>
      </c>
      <c r="B1652" s="1" t="n">
        <v>44073</v>
      </c>
      <c r="C1652" s="1" t="n">
        <v>45884</v>
      </c>
      <c r="D1652" t="inlineStr">
        <is>
          <t>KALMAR LÄN</t>
        </is>
      </c>
      <c r="E1652" t="inlineStr">
        <is>
          <t>NYBRO</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41433-2020</t>
        </is>
      </c>
      <c r="B1653" s="1" t="n">
        <v>44073.80096064815</v>
      </c>
      <c r="C1653" s="1" t="n">
        <v>45884</v>
      </c>
      <c r="D1653" t="inlineStr">
        <is>
          <t>KALMAR LÄN</t>
        </is>
      </c>
      <c r="E1653" t="inlineStr">
        <is>
          <t>HÖGSBY</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51824-2020</t>
        </is>
      </c>
      <c r="B1654" s="1" t="n">
        <v>44116.37994212963</v>
      </c>
      <c r="C1654" s="1" t="n">
        <v>45884</v>
      </c>
      <c r="D1654" t="inlineStr">
        <is>
          <t>KALMAR LÄN</t>
        </is>
      </c>
      <c r="E1654" t="inlineStr">
        <is>
          <t>EMMABODA</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48365-2022</t>
        </is>
      </c>
      <c r="B1655" s="1" t="n">
        <v>44858.58140046296</v>
      </c>
      <c r="C1655" s="1" t="n">
        <v>45884</v>
      </c>
      <c r="D1655" t="inlineStr">
        <is>
          <t>KALMAR LÄN</t>
        </is>
      </c>
      <c r="E1655" t="inlineStr">
        <is>
          <t>KALMAR</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4965-2022</t>
        </is>
      </c>
      <c r="B1656" s="1" t="n">
        <v>44593</v>
      </c>
      <c r="C1656" s="1" t="n">
        <v>45884</v>
      </c>
      <c r="D1656" t="inlineStr">
        <is>
          <t>KALMAR LÄN</t>
        </is>
      </c>
      <c r="E1656" t="inlineStr">
        <is>
          <t>NYBRO</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8475-2021</t>
        </is>
      </c>
      <c r="B1657" s="1" t="n">
        <v>44245</v>
      </c>
      <c r="C1657" s="1" t="n">
        <v>45884</v>
      </c>
      <c r="D1657" t="inlineStr">
        <is>
          <t>KALMAR LÄN</t>
        </is>
      </c>
      <c r="E1657" t="inlineStr">
        <is>
          <t>OSKARSHAMN</t>
        </is>
      </c>
      <c r="G1657" t="n">
        <v>3.1</v>
      </c>
      <c r="H1657" t="n">
        <v>0</v>
      </c>
      <c r="I1657" t="n">
        <v>0</v>
      </c>
      <c r="J1657" t="n">
        <v>0</v>
      </c>
      <c r="K1657" t="n">
        <v>0</v>
      </c>
      <c r="L1657" t="n">
        <v>0</v>
      </c>
      <c r="M1657" t="n">
        <v>0</v>
      </c>
      <c r="N1657" t="n">
        <v>0</v>
      </c>
      <c r="O1657" t="n">
        <v>0</v>
      </c>
      <c r="P1657" t="n">
        <v>0</v>
      </c>
      <c r="Q1657" t="n">
        <v>0</v>
      </c>
      <c r="R1657" s="2" t="inlineStr"/>
    </row>
    <row r="1658" ht="15" customHeight="1">
      <c r="A1658" t="inlineStr">
        <is>
          <t>A 31558-2021</t>
        </is>
      </c>
      <c r="B1658" s="1" t="n">
        <v>44369</v>
      </c>
      <c r="C1658" s="1" t="n">
        <v>45884</v>
      </c>
      <c r="D1658" t="inlineStr">
        <is>
          <t>KALMAR LÄN</t>
        </is>
      </c>
      <c r="E1658" t="inlineStr">
        <is>
          <t>VÄSTERVIK</t>
        </is>
      </c>
      <c r="G1658" t="n">
        <v>22.9</v>
      </c>
      <c r="H1658" t="n">
        <v>0</v>
      </c>
      <c r="I1658" t="n">
        <v>0</v>
      </c>
      <c r="J1658" t="n">
        <v>0</v>
      </c>
      <c r="K1658" t="n">
        <v>0</v>
      </c>
      <c r="L1658" t="n">
        <v>0</v>
      </c>
      <c r="M1658" t="n">
        <v>0</v>
      </c>
      <c r="N1658" t="n">
        <v>0</v>
      </c>
      <c r="O1658" t="n">
        <v>0</v>
      </c>
      <c r="P1658" t="n">
        <v>0</v>
      </c>
      <c r="Q1658" t="n">
        <v>0</v>
      </c>
      <c r="R1658" s="2" t="inlineStr"/>
    </row>
    <row r="1659" ht="15" customHeight="1">
      <c r="A1659" t="inlineStr">
        <is>
          <t>A 47640-2020</t>
        </is>
      </c>
      <c r="B1659" s="1" t="n">
        <v>44098</v>
      </c>
      <c r="C1659" s="1" t="n">
        <v>45884</v>
      </c>
      <c r="D1659" t="inlineStr">
        <is>
          <t>KALMAR LÄN</t>
        </is>
      </c>
      <c r="E1659" t="inlineStr">
        <is>
          <t>KALMAR</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8553-2021</t>
        </is>
      </c>
      <c r="B1660" s="1" t="n">
        <v>44245</v>
      </c>
      <c r="C1660" s="1" t="n">
        <v>45884</v>
      </c>
      <c r="D1660" t="inlineStr">
        <is>
          <t>KALMAR LÄN</t>
        </is>
      </c>
      <c r="E1660" t="inlineStr">
        <is>
          <t>OSKARSHAMN</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320-2022</t>
        </is>
      </c>
      <c r="B1661" s="1" t="n">
        <v>44565</v>
      </c>
      <c r="C1661" s="1" t="n">
        <v>45884</v>
      </c>
      <c r="D1661" t="inlineStr">
        <is>
          <t>KALMAR LÄN</t>
        </is>
      </c>
      <c r="E1661" t="inlineStr">
        <is>
          <t>VÄSTERVIK</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1556-2022</t>
        </is>
      </c>
      <c r="B1662" s="1" t="n">
        <v>44573</v>
      </c>
      <c r="C1662" s="1" t="n">
        <v>45884</v>
      </c>
      <c r="D1662" t="inlineStr">
        <is>
          <t>KALMAR LÄN</t>
        </is>
      </c>
      <c r="E1662" t="inlineStr">
        <is>
          <t>OSKARSHAMN</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47769-2022</t>
        </is>
      </c>
      <c r="B1663" s="1" t="n">
        <v>44854</v>
      </c>
      <c r="C1663" s="1" t="n">
        <v>45884</v>
      </c>
      <c r="D1663" t="inlineStr">
        <is>
          <t>KALMAR LÄN</t>
        </is>
      </c>
      <c r="E1663" t="inlineStr">
        <is>
          <t>VIMMERBY</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46060-2021</t>
        </is>
      </c>
      <c r="B1664" s="1" t="n">
        <v>44441</v>
      </c>
      <c r="C1664" s="1" t="n">
        <v>45884</v>
      </c>
      <c r="D1664" t="inlineStr">
        <is>
          <t>KALMAR LÄN</t>
        </is>
      </c>
      <c r="E1664" t="inlineStr">
        <is>
          <t>HULTSFRED</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35086-2022</t>
        </is>
      </c>
      <c r="B1665" s="1" t="n">
        <v>44796</v>
      </c>
      <c r="C1665" s="1" t="n">
        <v>45884</v>
      </c>
      <c r="D1665" t="inlineStr">
        <is>
          <t>KALMAR LÄN</t>
        </is>
      </c>
      <c r="E1665" t="inlineStr">
        <is>
          <t>NYBRO</t>
        </is>
      </c>
      <c r="F1665" t="inlineStr">
        <is>
          <t>Kyrkan</t>
        </is>
      </c>
      <c r="G1665" t="n">
        <v>7</v>
      </c>
      <c r="H1665" t="n">
        <v>0</v>
      </c>
      <c r="I1665" t="n">
        <v>0</v>
      </c>
      <c r="J1665" t="n">
        <v>0</v>
      </c>
      <c r="K1665" t="n">
        <v>0</v>
      </c>
      <c r="L1665" t="n">
        <v>0</v>
      </c>
      <c r="M1665" t="n">
        <v>0</v>
      </c>
      <c r="N1665" t="n">
        <v>0</v>
      </c>
      <c r="O1665" t="n">
        <v>0</v>
      </c>
      <c r="P1665" t="n">
        <v>0</v>
      </c>
      <c r="Q1665" t="n">
        <v>0</v>
      </c>
      <c r="R1665" s="2" t="inlineStr"/>
    </row>
    <row r="1666" ht="15" customHeight="1">
      <c r="A1666" t="inlineStr">
        <is>
          <t>A 41959-2020</t>
        </is>
      </c>
      <c r="B1666" s="1" t="n">
        <v>44075</v>
      </c>
      <c r="C1666" s="1" t="n">
        <v>45884</v>
      </c>
      <c r="D1666" t="inlineStr">
        <is>
          <t>KALMAR LÄN</t>
        </is>
      </c>
      <c r="E1666" t="inlineStr">
        <is>
          <t>NYBRO</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31762-2021</t>
        </is>
      </c>
      <c r="B1667" s="1" t="n">
        <v>44370.25283564815</v>
      </c>
      <c r="C1667" s="1" t="n">
        <v>45884</v>
      </c>
      <c r="D1667" t="inlineStr">
        <is>
          <t>KALMAR LÄN</t>
        </is>
      </c>
      <c r="E1667" t="inlineStr">
        <is>
          <t>NYBRO</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41238-2020</t>
        </is>
      </c>
      <c r="B1668" s="1" t="n">
        <v>44071</v>
      </c>
      <c r="C1668" s="1" t="n">
        <v>45884</v>
      </c>
      <c r="D1668" t="inlineStr">
        <is>
          <t>KALMAR LÄN</t>
        </is>
      </c>
      <c r="E1668" t="inlineStr">
        <is>
          <t>HULTSFRED</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7700-2021</t>
        </is>
      </c>
      <c r="B1669" s="1" t="n">
        <v>44241</v>
      </c>
      <c r="C1669" s="1" t="n">
        <v>45884</v>
      </c>
      <c r="D1669" t="inlineStr">
        <is>
          <t>KALMAR LÄN</t>
        </is>
      </c>
      <c r="E1669" t="inlineStr">
        <is>
          <t>KALMAR</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60719-2021</t>
        </is>
      </c>
      <c r="B1670" s="1" t="n">
        <v>44496</v>
      </c>
      <c r="C1670" s="1" t="n">
        <v>45884</v>
      </c>
      <c r="D1670" t="inlineStr">
        <is>
          <t>KALMAR LÄN</t>
        </is>
      </c>
      <c r="E1670" t="inlineStr">
        <is>
          <t>HULTSFRED</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57680-2020</t>
        </is>
      </c>
      <c r="B1671" s="1" t="n">
        <v>44140</v>
      </c>
      <c r="C1671" s="1" t="n">
        <v>45884</v>
      </c>
      <c r="D1671" t="inlineStr">
        <is>
          <t>KALMAR LÄN</t>
        </is>
      </c>
      <c r="E1671" t="inlineStr">
        <is>
          <t>HÖGSBY</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44140-2020</t>
        </is>
      </c>
      <c r="B1672" s="1" t="n">
        <v>44082</v>
      </c>
      <c r="C1672" s="1" t="n">
        <v>45884</v>
      </c>
      <c r="D1672" t="inlineStr">
        <is>
          <t>KALMAR LÄN</t>
        </is>
      </c>
      <c r="E1672" t="inlineStr">
        <is>
          <t>KALMAR</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31069-2021</t>
        </is>
      </c>
      <c r="B1673" s="1" t="n">
        <v>44368</v>
      </c>
      <c r="C1673" s="1" t="n">
        <v>45884</v>
      </c>
      <c r="D1673" t="inlineStr">
        <is>
          <t>KALMAR LÄN</t>
        </is>
      </c>
      <c r="E1673" t="inlineStr">
        <is>
          <t>TORSÅS</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23090-2021</t>
        </is>
      </c>
      <c r="B1674" s="1" t="n">
        <v>44330</v>
      </c>
      <c r="C1674" s="1" t="n">
        <v>45884</v>
      </c>
      <c r="D1674" t="inlineStr">
        <is>
          <t>KALMAR LÄN</t>
        </is>
      </c>
      <c r="E1674" t="inlineStr">
        <is>
          <t>VÄSTERVIK</t>
        </is>
      </c>
      <c r="F1674" t="inlineStr">
        <is>
          <t>Holmen skog AB</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9620-2021</t>
        </is>
      </c>
      <c r="B1675" s="1" t="n">
        <v>44251</v>
      </c>
      <c r="C1675" s="1" t="n">
        <v>45884</v>
      </c>
      <c r="D1675" t="inlineStr">
        <is>
          <t>KALMAR LÄN</t>
        </is>
      </c>
      <c r="E1675" t="inlineStr">
        <is>
          <t>EMMABODA</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14834-2021</t>
        </is>
      </c>
      <c r="B1676" s="1" t="n">
        <v>44280.74366898148</v>
      </c>
      <c r="C1676" s="1" t="n">
        <v>45884</v>
      </c>
      <c r="D1676" t="inlineStr">
        <is>
          <t>KALMAR LÄN</t>
        </is>
      </c>
      <c r="E1676" t="inlineStr">
        <is>
          <t>TORSÅS</t>
        </is>
      </c>
      <c r="G1676" t="n">
        <v>8.800000000000001</v>
      </c>
      <c r="H1676" t="n">
        <v>0</v>
      </c>
      <c r="I1676" t="n">
        <v>0</v>
      </c>
      <c r="J1676" t="n">
        <v>0</v>
      </c>
      <c r="K1676" t="n">
        <v>0</v>
      </c>
      <c r="L1676" t="n">
        <v>0</v>
      </c>
      <c r="M1676" t="n">
        <v>0</v>
      </c>
      <c r="N1676" t="n">
        <v>0</v>
      </c>
      <c r="O1676" t="n">
        <v>0</v>
      </c>
      <c r="P1676" t="n">
        <v>0</v>
      </c>
      <c r="Q1676" t="n">
        <v>0</v>
      </c>
      <c r="R1676" s="2" t="inlineStr"/>
    </row>
    <row r="1677" ht="15" customHeight="1">
      <c r="A1677" t="inlineStr">
        <is>
          <t>A 37497-2022</t>
        </is>
      </c>
      <c r="B1677" s="1" t="n">
        <v>44809.56568287037</v>
      </c>
      <c r="C1677" s="1" t="n">
        <v>45884</v>
      </c>
      <c r="D1677" t="inlineStr">
        <is>
          <t>KALMAR LÄN</t>
        </is>
      </c>
      <c r="E1677" t="inlineStr">
        <is>
          <t>HÖGSBY</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41151-2020</t>
        </is>
      </c>
      <c r="B1678" s="1" t="n">
        <v>44071</v>
      </c>
      <c r="C1678" s="1" t="n">
        <v>45884</v>
      </c>
      <c r="D1678" t="inlineStr">
        <is>
          <t>KALMAR LÄN</t>
        </is>
      </c>
      <c r="E1678" t="inlineStr">
        <is>
          <t>OSKARSHAMN</t>
        </is>
      </c>
      <c r="G1678" t="n">
        <v>6</v>
      </c>
      <c r="H1678" t="n">
        <v>0</v>
      </c>
      <c r="I1678" t="n">
        <v>0</v>
      </c>
      <c r="J1678" t="n">
        <v>0</v>
      </c>
      <c r="K1678" t="n">
        <v>0</v>
      </c>
      <c r="L1678" t="n">
        <v>0</v>
      </c>
      <c r="M1678" t="n">
        <v>0</v>
      </c>
      <c r="N1678" t="n">
        <v>0</v>
      </c>
      <c r="O1678" t="n">
        <v>0</v>
      </c>
      <c r="P1678" t="n">
        <v>0</v>
      </c>
      <c r="Q1678" t="n">
        <v>0</v>
      </c>
      <c r="R1678" s="2" t="inlineStr"/>
    </row>
    <row r="1679" ht="15" customHeight="1">
      <c r="A1679" t="inlineStr">
        <is>
          <t>A 53370-2021</t>
        </is>
      </c>
      <c r="B1679" s="1" t="n">
        <v>44466</v>
      </c>
      <c r="C1679" s="1" t="n">
        <v>45884</v>
      </c>
      <c r="D1679" t="inlineStr">
        <is>
          <t>KALMAR LÄN</t>
        </is>
      </c>
      <c r="E1679" t="inlineStr">
        <is>
          <t>TORSÅS</t>
        </is>
      </c>
      <c r="G1679" t="n">
        <v>9</v>
      </c>
      <c r="H1679" t="n">
        <v>0</v>
      </c>
      <c r="I1679" t="n">
        <v>0</v>
      </c>
      <c r="J1679" t="n">
        <v>0</v>
      </c>
      <c r="K1679" t="n">
        <v>0</v>
      </c>
      <c r="L1679" t="n">
        <v>0</v>
      </c>
      <c r="M1679" t="n">
        <v>0</v>
      </c>
      <c r="N1679" t="n">
        <v>0</v>
      </c>
      <c r="O1679" t="n">
        <v>0</v>
      </c>
      <c r="P1679" t="n">
        <v>0</v>
      </c>
      <c r="Q1679" t="n">
        <v>0</v>
      </c>
      <c r="R1679" s="2" t="inlineStr"/>
    </row>
    <row r="1680" ht="15" customHeight="1">
      <c r="A1680" t="inlineStr">
        <is>
          <t>A 33589-2021</t>
        </is>
      </c>
      <c r="B1680" s="1" t="n">
        <v>44378.27100694444</v>
      </c>
      <c r="C1680" s="1" t="n">
        <v>45884</v>
      </c>
      <c r="D1680" t="inlineStr">
        <is>
          <t>KALMAR LÄN</t>
        </is>
      </c>
      <c r="E1680" t="inlineStr">
        <is>
          <t>NYBRO</t>
        </is>
      </c>
      <c r="G1680" t="n">
        <v>3.9</v>
      </c>
      <c r="H1680" t="n">
        <v>0</v>
      </c>
      <c r="I1680" t="n">
        <v>0</v>
      </c>
      <c r="J1680" t="n">
        <v>0</v>
      </c>
      <c r="K1680" t="n">
        <v>0</v>
      </c>
      <c r="L1680" t="n">
        <v>0</v>
      </c>
      <c r="M1680" t="n">
        <v>0</v>
      </c>
      <c r="N1680" t="n">
        <v>0</v>
      </c>
      <c r="O1680" t="n">
        <v>0</v>
      </c>
      <c r="P1680" t="n">
        <v>0</v>
      </c>
      <c r="Q1680" t="n">
        <v>0</v>
      </c>
      <c r="R1680" s="2" t="inlineStr"/>
    </row>
    <row r="1681" ht="15" customHeight="1">
      <c r="A1681" t="inlineStr">
        <is>
          <t>A 37441-2021</t>
        </is>
      </c>
      <c r="B1681" s="1" t="n">
        <v>44398</v>
      </c>
      <c r="C1681" s="1" t="n">
        <v>45884</v>
      </c>
      <c r="D1681" t="inlineStr">
        <is>
          <t>KALMAR LÄN</t>
        </is>
      </c>
      <c r="E1681" t="inlineStr">
        <is>
          <t>VÄSTERVIK</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43903-2020</t>
        </is>
      </c>
      <c r="B1682" s="1" t="n">
        <v>44083</v>
      </c>
      <c r="C1682" s="1" t="n">
        <v>45884</v>
      </c>
      <c r="D1682" t="inlineStr">
        <is>
          <t>KALMAR LÄN</t>
        </is>
      </c>
      <c r="E1682" t="inlineStr">
        <is>
          <t>EMMABODA</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32927-2021</t>
        </is>
      </c>
      <c r="B1683" s="1" t="n">
        <v>44375</v>
      </c>
      <c r="C1683" s="1" t="n">
        <v>45884</v>
      </c>
      <c r="D1683" t="inlineStr">
        <is>
          <t>KALMAR LÄN</t>
        </is>
      </c>
      <c r="E1683" t="inlineStr">
        <is>
          <t>NYBRO</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60540-2021</t>
        </is>
      </c>
      <c r="B1684" s="1" t="n">
        <v>44496</v>
      </c>
      <c r="C1684" s="1" t="n">
        <v>45884</v>
      </c>
      <c r="D1684" t="inlineStr">
        <is>
          <t>KALMAR LÄN</t>
        </is>
      </c>
      <c r="E1684" t="inlineStr">
        <is>
          <t>EMMABODA</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72394-2021</t>
        </is>
      </c>
      <c r="B1685" s="1" t="n">
        <v>44544</v>
      </c>
      <c r="C1685" s="1" t="n">
        <v>45884</v>
      </c>
      <c r="D1685" t="inlineStr">
        <is>
          <t>KALMAR LÄN</t>
        </is>
      </c>
      <c r="E1685" t="inlineStr">
        <is>
          <t>OSKARSHAMN</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21916-2022</t>
        </is>
      </c>
      <c r="B1686" s="1" t="n">
        <v>44711.46028935185</v>
      </c>
      <c r="C1686" s="1" t="n">
        <v>45884</v>
      </c>
      <c r="D1686" t="inlineStr">
        <is>
          <t>KALMAR LÄN</t>
        </is>
      </c>
      <c r="E1686" t="inlineStr">
        <is>
          <t>OSKARSHAMN</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52470-2021</t>
        </is>
      </c>
      <c r="B1687" s="1" t="n">
        <v>44466</v>
      </c>
      <c r="C1687" s="1" t="n">
        <v>45884</v>
      </c>
      <c r="D1687" t="inlineStr">
        <is>
          <t>KALMAR LÄN</t>
        </is>
      </c>
      <c r="E1687" t="inlineStr">
        <is>
          <t>TORSÅS</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52473-2021</t>
        </is>
      </c>
      <c r="B1688" s="1" t="n">
        <v>44466.39774305555</v>
      </c>
      <c r="C1688" s="1" t="n">
        <v>45884</v>
      </c>
      <c r="D1688" t="inlineStr">
        <is>
          <t>KALMAR LÄN</t>
        </is>
      </c>
      <c r="E1688" t="inlineStr">
        <is>
          <t>EMMABODA</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14030-2022</t>
        </is>
      </c>
      <c r="B1689" s="1" t="n">
        <v>44650</v>
      </c>
      <c r="C1689" s="1" t="n">
        <v>45884</v>
      </c>
      <c r="D1689" t="inlineStr">
        <is>
          <t>KALMAR LÄN</t>
        </is>
      </c>
      <c r="E1689" t="inlineStr">
        <is>
          <t>NYBRO</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73474-2021</t>
        </is>
      </c>
      <c r="B1690" s="1" t="n">
        <v>44551.60501157407</v>
      </c>
      <c r="C1690" s="1" t="n">
        <v>45884</v>
      </c>
      <c r="D1690" t="inlineStr">
        <is>
          <t>KALMAR LÄN</t>
        </is>
      </c>
      <c r="E1690" t="inlineStr">
        <is>
          <t>NYBRO</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16738-2021</t>
        </is>
      </c>
      <c r="B1691" s="1" t="n">
        <v>44294.69576388889</v>
      </c>
      <c r="C1691" s="1" t="n">
        <v>45884</v>
      </c>
      <c r="D1691" t="inlineStr">
        <is>
          <t>KALMAR LÄN</t>
        </is>
      </c>
      <c r="E1691" t="inlineStr">
        <is>
          <t>NYBRO</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5596-2022</t>
        </is>
      </c>
      <c r="B1692" s="1" t="n">
        <v>44595</v>
      </c>
      <c r="C1692" s="1" t="n">
        <v>45884</v>
      </c>
      <c r="D1692" t="inlineStr">
        <is>
          <t>KALMAR LÄN</t>
        </is>
      </c>
      <c r="E1692" t="inlineStr">
        <is>
          <t>MÖNSTERÅS</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66796-2021</t>
        </is>
      </c>
      <c r="B1693" s="1" t="n">
        <v>44519</v>
      </c>
      <c r="C1693" s="1" t="n">
        <v>45884</v>
      </c>
      <c r="D1693" t="inlineStr">
        <is>
          <t>KALMAR LÄN</t>
        </is>
      </c>
      <c r="E1693" t="inlineStr">
        <is>
          <t>MÖNSTERÅS</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50691-2022</t>
        </is>
      </c>
      <c r="B1694" s="1" t="n">
        <v>44867</v>
      </c>
      <c r="C1694" s="1" t="n">
        <v>45884</v>
      </c>
      <c r="D1694" t="inlineStr">
        <is>
          <t>KALMAR LÄN</t>
        </is>
      </c>
      <c r="E1694" t="inlineStr">
        <is>
          <t>VÄSTERVIK</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48217-2021</t>
        </is>
      </c>
      <c r="B1695" s="1" t="n">
        <v>44449.61309027778</v>
      </c>
      <c r="C1695" s="1" t="n">
        <v>45884</v>
      </c>
      <c r="D1695" t="inlineStr">
        <is>
          <t>KALMAR LÄN</t>
        </is>
      </c>
      <c r="E1695" t="inlineStr">
        <is>
          <t>NYBRO</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48227-2021</t>
        </is>
      </c>
      <c r="B1696" s="1" t="n">
        <v>44449</v>
      </c>
      <c r="C1696" s="1" t="n">
        <v>45884</v>
      </c>
      <c r="D1696" t="inlineStr">
        <is>
          <t>KALMAR LÄN</t>
        </is>
      </c>
      <c r="E1696" t="inlineStr">
        <is>
          <t>NYBRO</t>
        </is>
      </c>
      <c r="G1696" t="n">
        <v>4.2</v>
      </c>
      <c r="H1696" t="n">
        <v>0</v>
      </c>
      <c r="I1696" t="n">
        <v>0</v>
      </c>
      <c r="J1696" t="n">
        <v>0</v>
      </c>
      <c r="K1696" t="n">
        <v>0</v>
      </c>
      <c r="L1696" t="n">
        <v>0</v>
      </c>
      <c r="M1696" t="n">
        <v>0</v>
      </c>
      <c r="N1696" t="n">
        <v>0</v>
      </c>
      <c r="O1696" t="n">
        <v>0</v>
      </c>
      <c r="P1696" t="n">
        <v>0</v>
      </c>
      <c r="Q1696" t="n">
        <v>0</v>
      </c>
      <c r="R1696" s="2" t="inlineStr"/>
    </row>
    <row r="1697" ht="15" customHeight="1">
      <c r="A1697" t="inlineStr">
        <is>
          <t>A 40118-2020</t>
        </is>
      </c>
      <c r="B1697" s="1" t="n">
        <v>44068</v>
      </c>
      <c r="C1697" s="1" t="n">
        <v>45884</v>
      </c>
      <c r="D1697" t="inlineStr">
        <is>
          <t>KALMAR LÄN</t>
        </is>
      </c>
      <c r="E1697" t="inlineStr">
        <is>
          <t>HULTSFRED</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49021-2020</t>
        </is>
      </c>
      <c r="B1698" s="1" t="n">
        <v>44104.58186342593</v>
      </c>
      <c r="C1698" s="1" t="n">
        <v>45884</v>
      </c>
      <c r="D1698" t="inlineStr">
        <is>
          <t>KALMAR LÄN</t>
        </is>
      </c>
      <c r="E1698" t="inlineStr">
        <is>
          <t>NYBRO</t>
        </is>
      </c>
      <c r="F1698" t="inlineStr">
        <is>
          <t>Sveaskog</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57199-2020</t>
        </is>
      </c>
      <c r="B1699" s="1" t="n">
        <v>44139</v>
      </c>
      <c r="C1699" s="1" t="n">
        <v>45884</v>
      </c>
      <c r="D1699" t="inlineStr">
        <is>
          <t>KALMAR LÄN</t>
        </is>
      </c>
      <c r="E1699" t="inlineStr">
        <is>
          <t>MÖNSTERÅS</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62078-2020</t>
        </is>
      </c>
      <c r="B1700" s="1" t="n">
        <v>44159</v>
      </c>
      <c r="C1700" s="1" t="n">
        <v>45884</v>
      </c>
      <c r="D1700" t="inlineStr">
        <is>
          <t>KALMAR LÄN</t>
        </is>
      </c>
      <c r="E1700" t="inlineStr">
        <is>
          <t>MÖNSTERÅS</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52387-2020</t>
        </is>
      </c>
      <c r="B1701" s="1" t="n">
        <v>44112</v>
      </c>
      <c r="C1701" s="1" t="n">
        <v>45884</v>
      </c>
      <c r="D1701" t="inlineStr">
        <is>
          <t>KALMAR LÄN</t>
        </is>
      </c>
      <c r="E1701" t="inlineStr">
        <is>
          <t>NYBRO</t>
        </is>
      </c>
      <c r="G1701" t="n">
        <v>13.3</v>
      </c>
      <c r="H1701" t="n">
        <v>0</v>
      </c>
      <c r="I1701" t="n">
        <v>0</v>
      </c>
      <c r="J1701" t="n">
        <v>0</v>
      </c>
      <c r="K1701" t="n">
        <v>0</v>
      </c>
      <c r="L1701" t="n">
        <v>0</v>
      </c>
      <c r="M1701" t="n">
        <v>0</v>
      </c>
      <c r="N1701" t="n">
        <v>0</v>
      </c>
      <c r="O1701" t="n">
        <v>0</v>
      </c>
      <c r="P1701" t="n">
        <v>0</v>
      </c>
      <c r="Q1701" t="n">
        <v>0</v>
      </c>
      <c r="R1701" s="2" t="inlineStr"/>
    </row>
    <row r="1702" ht="15" customHeight="1">
      <c r="A1702" t="inlineStr">
        <is>
          <t>A 23829-2022</t>
        </is>
      </c>
      <c r="B1702" s="1" t="n">
        <v>44722.49396990741</v>
      </c>
      <c r="C1702" s="1" t="n">
        <v>45884</v>
      </c>
      <c r="D1702" t="inlineStr">
        <is>
          <t>KALMAR LÄN</t>
        </is>
      </c>
      <c r="E1702" t="inlineStr">
        <is>
          <t>EMMABODA</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58568-2020</t>
        </is>
      </c>
      <c r="B1703" s="1" t="n">
        <v>44145</v>
      </c>
      <c r="C1703" s="1" t="n">
        <v>45884</v>
      </c>
      <c r="D1703" t="inlineStr">
        <is>
          <t>KALMAR LÄN</t>
        </is>
      </c>
      <c r="E1703" t="inlineStr">
        <is>
          <t>MÖNSTERÅS</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57922-2020</t>
        </is>
      </c>
      <c r="B1704" s="1" t="n">
        <v>44141</v>
      </c>
      <c r="C1704" s="1" t="n">
        <v>45884</v>
      </c>
      <c r="D1704" t="inlineStr">
        <is>
          <t>KALMAR LÄN</t>
        </is>
      </c>
      <c r="E1704" t="inlineStr">
        <is>
          <t>VÄSTERVIK</t>
        </is>
      </c>
      <c r="F1704" t="inlineStr">
        <is>
          <t>Holmen skog AB</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57948-2020</t>
        </is>
      </c>
      <c r="B1705" s="1" t="n">
        <v>44142</v>
      </c>
      <c r="C1705" s="1" t="n">
        <v>45884</v>
      </c>
      <c r="D1705" t="inlineStr">
        <is>
          <t>KALMAR LÄN</t>
        </is>
      </c>
      <c r="E1705" t="inlineStr">
        <is>
          <t>VIMMERBY</t>
        </is>
      </c>
      <c r="G1705" t="n">
        <v>7.1</v>
      </c>
      <c r="H1705" t="n">
        <v>0</v>
      </c>
      <c r="I1705" t="n">
        <v>0</v>
      </c>
      <c r="J1705" t="n">
        <v>0</v>
      </c>
      <c r="K1705" t="n">
        <v>0</v>
      </c>
      <c r="L1705" t="n">
        <v>0</v>
      </c>
      <c r="M1705" t="n">
        <v>0</v>
      </c>
      <c r="N1705" t="n">
        <v>0</v>
      </c>
      <c r="O1705" t="n">
        <v>0</v>
      </c>
      <c r="P1705" t="n">
        <v>0</v>
      </c>
      <c r="Q1705" t="n">
        <v>0</v>
      </c>
      <c r="R1705" s="2" t="inlineStr"/>
    </row>
    <row r="1706" ht="15" customHeight="1">
      <c r="A1706" t="inlineStr">
        <is>
          <t>A 26430-2021</t>
        </is>
      </c>
      <c r="B1706" s="1" t="n">
        <v>44348</v>
      </c>
      <c r="C1706" s="1" t="n">
        <v>45884</v>
      </c>
      <c r="D1706" t="inlineStr">
        <is>
          <t>KALMAR LÄN</t>
        </is>
      </c>
      <c r="E1706" t="inlineStr">
        <is>
          <t>OSKARSHAMN</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2106-2021</t>
        </is>
      </c>
      <c r="B1707" s="1" t="n">
        <v>44211</v>
      </c>
      <c r="C1707" s="1" t="n">
        <v>45884</v>
      </c>
      <c r="D1707" t="inlineStr">
        <is>
          <t>KALMAR LÄN</t>
        </is>
      </c>
      <c r="E1707" t="inlineStr">
        <is>
          <t>VÄSTERVIK</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62188-2020</t>
        </is>
      </c>
      <c r="B1708" s="1" t="n">
        <v>44159</v>
      </c>
      <c r="C1708" s="1" t="n">
        <v>45884</v>
      </c>
      <c r="D1708" t="inlineStr">
        <is>
          <t>KALMAR LÄN</t>
        </is>
      </c>
      <c r="E1708" t="inlineStr">
        <is>
          <t>HULTSFRED</t>
        </is>
      </c>
      <c r="G1708" t="n">
        <v>5.6</v>
      </c>
      <c r="H1708" t="n">
        <v>0</v>
      </c>
      <c r="I1708" t="n">
        <v>0</v>
      </c>
      <c r="J1708" t="n">
        <v>0</v>
      </c>
      <c r="K1708" t="n">
        <v>0</v>
      </c>
      <c r="L1708" t="n">
        <v>0</v>
      </c>
      <c r="M1708" t="n">
        <v>0</v>
      </c>
      <c r="N1708" t="n">
        <v>0</v>
      </c>
      <c r="O1708" t="n">
        <v>0</v>
      </c>
      <c r="P1708" t="n">
        <v>0</v>
      </c>
      <c r="Q1708" t="n">
        <v>0</v>
      </c>
      <c r="R1708" s="2" t="inlineStr"/>
    </row>
    <row r="1709" ht="15" customHeight="1">
      <c r="A1709" t="inlineStr">
        <is>
          <t>A 4042-2022</t>
        </is>
      </c>
      <c r="B1709" s="1" t="n">
        <v>44588</v>
      </c>
      <c r="C1709" s="1" t="n">
        <v>45884</v>
      </c>
      <c r="D1709" t="inlineStr">
        <is>
          <t>KALMAR LÄN</t>
        </is>
      </c>
      <c r="E1709" t="inlineStr">
        <is>
          <t>VIMMERBY</t>
        </is>
      </c>
      <c r="G1709" t="n">
        <v>4.7</v>
      </c>
      <c r="H1709" t="n">
        <v>0</v>
      </c>
      <c r="I1709" t="n">
        <v>0</v>
      </c>
      <c r="J1709" t="n">
        <v>0</v>
      </c>
      <c r="K1709" t="n">
        <v>0</v>
      </c>
      <c r="L1709" t="n">
        <v>0</v>
      </c>
      <c r="M1709" t="n">
        <v>0</v>
      </c>
      <c r="N1709" t="n">
        <v>0</v>
      </c>
      <c r="O1709" t="n">
        <v>0</v>
      </c>
      <c r="P1709" t="n">
        <v>0</v>
      </c>
      <c r="Q1709" t="n">
        <v>0</v>
      </c>
      <c r="R1709" s="2" t="inlineStr"/>
    </row>
    <row r="1710" ht="15" customHeight="1">
      <c r="A1710" t="inlineStr">
        <is>
          <t>A 4057-2022</t>
        </is>
      </c>
      <c r="B1710" s="1" t="n">
        <v>44588</v>
      </c>
      <c r="C1710" s="1" t="n">
        <v>45884</v>
      </c>
      <c r="D1710" t="inlineStr">
        <is>
          <t>KALMAR LÄN</t>
        </is>
      </c>
      <c r="E1710" t="inlineStr">
        <is>
          <t>VÄSTERVIK</t>
        </is>
      </c>
      <c r="F1710" t="inlineStr">
        <is>
          <t>Holmen skog AB</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54488-2022</t>
        </is>
      </c>
      <c r="B1711" s="1" t="n">
        <v>44882.67111111111</v>
      </c>
      <c r="C1711" s="1" t="n">
        <v>45884</v>
      </c>
      <c r="D1711" t="inlineStr">
        <is>
          <t>KALMAR LÄN</t>
        </is>
      </c>
      <c r="E1711" t="inlineStr">
        <is>
          <t>MÖNSTERÅS</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2206-2021</t>
        </is>
      </c>
      <c r="B1712" s="1" t="n">
        <v>44211</v>
      </c>
      <c r="C1712" s="1" t="n">
        <v>45884</v>
      </c>
      <c r="D1712" t="inlineStr">
        <is>
          <t>KALMAR LÄN</t>
        </is>
      </c>
      <c r="E1712" t="inlineStr">
        <is>
          <t>NYBRO</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69857-2021</t>
        </is>
      </c>
      <c r="B1713" s="1" t="n">
        <v>44532.70575231482</v>
      </c>
      <c r="C1713" s="1" t="n">
        <v>45884</v>
      </c>
      <c r="D1713" t="inlineStr">
        <is>
          <t>KALMAR LÄN</t>
        </is>
      </c>
      <c r="E1713" t="inlineStr">
        <is>
          <t>EMMABODA</t>
        </is>
      </c>
      <c r="F1713" t="inlineStr">
        <is>
          <t>Sveaskog</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56989-2020</t>
        </is>
      </c>
      <c r="B1714" s="1" t="n">
        <v>44137</v>
      </c>
      <c r="C1714" s="1" t="n">
        <v>45884</v>
      </c>
      <c r="D1714" t="inlineStr">
        <is>
          <t>KALMAR LÄN</t>
        </is>
      </c>
      <c r="E1714" t="inlineStr">
        <is>
          <t>NYBRO</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51504-2021</t>
        </is>
      </c>
      <c r="B1715" s="1" t="n">
        <v>44461</v>
      </c>
      <c r="C1715" s="1" t="n">
        <v>45884</v>
      </c>
      <c r="D1715" t="inlineStr">
        <is>
          <t>KALMAR LÄN</t>
        </is>
      </c>
      <c r="E1715" t="inlineStr">
        <is>
          <t>VÄSTERVIK</t>
        </is>
      </c>
      <c r="G1715" t="n">
        <v>6.4</v>
      </c>
      <c r="H1715" t="n">
        <v>0</v>
      </c>
      <c r="I1715" t="n">
        <v>0</v>
      </c>
      <c r="J1715" t="n">
        <v>0</v>
      </c>
      <c r="K1715" t="n">
        <v>0</v>
      </c>
      <c r="L1715" t="n">
        <v>0</v>
      </c>
      <c r="M1715" t="n">
        <v>0</v>
      </c>
      <c r="N1715" t="n">
        <v>0</v>
      </c>
      <c r="O1715" t="n">
        <v>0</v>
      </c>
      <c r="P1715" t="n">
        <v>0</v>
      </c>
      <c r="Q1715" t="n">
        <v>0</v>
      </c>
      <c r="R1715" s="2" t="inlineStr"/>
    </row>
    <row r="1716" ht="15" customHeight="1">
      <c r="A1716" t="inlineStr">
        <is>
          <t>A 52963-2020</t>
        </is>
      </c>
      <c r="B1716" s="1" t="n">
        <v>44120.39627314815</v>
      </c>
      <c r="C1716" s="1" t="n">
        <v>45884</v>
      </c>
      <c r="D1716" t="inlineStr">
        <is>
          <t>KALMAR LÄN</t>
        </is>
      </c>
      <c r="E1716" t="inlineStr">
        <is>
          <t>EMMABODA</t>
        </is>
      </c>
      <c r="F1716" t="inlineStr">
        <is>
          <t>Sveaskog</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59836-2020</t>
        </is>
      </c>
      <c r="B1717" s="1" t="n">
        <v>44151</v>
      </c>
      <c r="C1717" s="1" t="n">
        <v>45884</v>
      </c>
      <c r="D1717" t="inlineStr">
        <is>
          <t>KALMAR LÄN</t>
        </is>
      </c>
      <c r="E1717" t="inlineStr">
        <is>
          <t>KALMAR</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56794-2020</t>
        </is>
      </c>
      <c r="B1718" s="1" t="n">
        <v>44138</v>
      </c>
      <c r="C1718" s="1" t="n">
        <v>45884</v>
      </c>
      <c r="D1718" t="inlineStr">
        <is>
          <t>KALMAR LÄN</t>
        </is>
      </c>
      <c r="E1718" t="inlineStr">
        <is>
          <t>KALMAR</t>
        </is>
      </c>
      <c r="G1718" t="n">
        <v>3.9</v>
      </c>
      <c r="H1718" t="n">
        <v>0</v>
      </c>
      <c r="I1718" t="n">
        <v>0</v>
      </c>
      <c r="J1718" t="n">
        <v>0</v>
      </c>
      <c r="K1718" t="n">
        <v>0</v>
      </c>
      <c r="L1718" t="n">
        <v>0</v>
      </c>
      <c r="M1718" t="n">
        <v>0</v>
      </c>
      <c r="N1718" t="n">
        <v>0</v>
      </c>
      <c r="O1718" t="n">
        <v>0</v>
      </c>
      <c r="P1718" t="n">
        <v>0</v>
      </c>
      <c r="Q1718" t="n">
        <v>0</v>
      </c>
      <c r="R1718" s="2" t="inlineStr"/>
    </row>
    <row r="1719" ht="15" customHeight="1">
      <c r="A1719" t="inlineStr">
        <is>
          <t>A 4378-2021</t>
        </is>
      </c>
      <c r="B1719" s="1" t="n">
        <v>44223</v>
      </c>
      <c r="C1719" s="1" t="n">
        <v>45884</v>
      </c>
      <c r="D1719" t="inlineStr">
        <is>
          <t>KALMAR LÄN</t>
        </is>
      </c>
      <c r="E1719" t="inlineStr">
        <is>
          <t>NYBRO</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18052-2021</t>
        </is>
      </c>
      <c r="B1720" s="1" t="n">
        <v>44302</v>
      </c>
      <c r="C1720" s="1" t="n">
        <v>45884</v>
      </c>
      <c r="D1720" t="inlineStr">
        <is>
          <t>KALMAR LÄN</t>
        </is>
      </c>
      <c r="E1720" t="inlineStr">
        <is>
          <t>OSKARSHAMN</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44073-2022</t>
        </is>
      </c>
      <c r="B1721" s="1" t="n">
        <v>44839.34592592593</v>
      </c>
      <c r="C1721" s="1" t="n">
        <v>45884</v>
      </c>
      <c r="D1721" t="inlineStr">
        <is>
          <t>KALMAR LÄN</t>
        </is>
      </c>
      <c r="E1721" t="inlineStr">
        <is>
          <t>NYBRO</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43759-2021</t>
        </is>
      </c>
      <c r="B1722" s="1" t="n">
        <v>44433</v>
      </c>
      <c r="C1722" s="1" t="n">
        <v>45884</v>
      </c>
      <c r="D1722" t="inlineStr">
        <is>
          <t>KALMAR LÄN</t>
        </is>
      </c>
      <c r="E1722" t="inlineStr">
        <is>
          <t>VÄSTERVIK</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60735-2020</t>
        </is>
      </c>
      <c r="B1723" s="1" t="n">
        <v>44153</v>
      </c>
      <c r="C1723" s="1" t="n">
        <v>45884</v>
      </c>
      <c r="D1723" t="inlineStr">
        <is>
          <t>KALMAR LÄN</t>
        </is>
      </c>
      <c r="E1723" t="inlineStr">
        <is>
          <t>BORGHOLM</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60738-2020</t>
        </is>
      </c>
      <c r="B1724" s="1" t="n">
        <v>44153</v>
      </c>
      <c r="C1724" s="1" t="n">
        <v>45884</v>
      </c>
      <c r="D1724" t="inlineStr">
        <is>
          <t>KALMAR LÄN</t>
        </is>
      </c>
      <c r="E1724" t="inlineStr">
        <is>
          <t>MÖNSTERÅS</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14383-2022</t>
        </is>
      </c>
      <c r="B1725" s="1" t="n">
        <v>44652</v>
      </c>
      <c r="C1725" s="1" t="n">
        <v>45884</v>
      </c>
      <c r="D1725" t="inlineStr">
        <is>
          <t>KALMAR LÄN</t>
        </is>
      </c>
      <c r="E1725" t="inlineStr">
        <is>
          <t>TORSÅS</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18837-2021</t>
        </is>
      </c>
      <c r="B1726" s="1" t="n">
        <v>44307</v>
      </c>
      <c r="C1726" s="1" t="n">
        <v>45884</v>
      </c>
      <c r="D1726" t="inlineStr">
        <is>
          <t>KALMAR LÄN</t>
        </is>
      </c>
      <c r="E1726" t="inlineStr">
        <is>
          <t>VÄSTERVIK</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57488-2020</t>
        </is>
      </c>
      <c r="B1727" s="1" t="n">
        <v>44140</v>
      </c>
      <c r="C1727" s="1" t="n">
        <v>45884</v>
      </c>
      <c r="D1727" t="inlineStr">
        <is>
          <t>KALMAR LÄN</t>
        </is>
      </c>
      <c r="E1727" t="inlineStr">
        <is>
          <t>TORSÅS</t>
        </is>
      </c>
      <c r="G1727" t="n">
        <v>2.9</v>
      </c>
      <c r="H1727" t="n">
        <v>0</v>
      </c>
      <c r="I1727" t="n">
        <v>0</v>
      </c>
      <c r="J1727" t="n">
        <v>0</v>
      </c>
      <c r="K1727" t="n">
        <v>0</v>
      </c>
      <c r="L1727" t="n">
        <v>0</v>
      </c>
      <c r="M1727" t="n">
        <v>0</v>
      </c>
      <c r="N1727" t="n">
        <v>0</v>
      </c>
      <c r="O1727" t="n">
        <v>0</v>
      </c>
      <c r="P1727" t="n">
        <v>0</v>
      </c>
      <c r="Q1727" t="n">
        <v>0</v>
      </c>
      <c r="R1727" s="2" t="inlineStr"/>
    </row>
    <row r="1728" ht="15" customHeight="1">
      <c r="A1728" t="inlineStr">
        <is>
          <t>A 18276-2021</t>
        </is>
      </c>
      <c r="B1728" s="1" t="n">
        <v>44305.40046296296</v>
      </c>
      <c r="C1728" s="1" t="n">
        <v>45884</v>
      </c>
      <c r="D1728" t="inlineStr">
        <is>
          <t>KALMAR LÄN</t>
        </is>
      </c>
      <c r="E1728" t="inlineStr">
        <is>
          <t>VIMMERBY</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15591-2021</t>
        </is>
      </c>
      <c r="B1729" s="1" t="n">
        <v>44285.66303240741</v>
      </c>
      <c r="C1729" s="1" t="n">
        <v>45884</v>
      </c>
      <c r="D1729" t="inlineStr">
        <is>
          <t>KALMAR LÄN</t>
        </is>
      </c>
      <c r="E1729" t="inlineStr">
        <is>
          <t>VÄSTERVIK</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11529-2021</t>
        </is>
      </c>
      <c r="B1730" s="1" t="n">
        <v>44264</v>
      </c>
      <c r="C1730" s="1" t="n">
        <v>45884</v>
      </c>
      <c r="D1730" t="inlineStr">
        <is>
          <t>KALMAR LÄN</t>
        </is>
      </c>
      <c r="E1730" t="inlineStr">
        <is>
          <t>HÖGSBY</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62677-2020</t>
        </is>
      </c>
      <c r="B1731" s="1" t="n">
        <v>44161</v>
      </c>
      <c r="C1731" s="1" t="n">
        <v>45884</v>
      </c>
      <c r="D1731" t="inlineStr">
        <is>
          <t>KALMAR LÄN</t>
        </is>
      </c>
      <c r="E1731" t="inlineStr">
        <is>
          <t>NYBRO</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67881-2020</t>
        </is>
      </c>
      <c r="B1732" s="1" t="n">
        <v>44182</v>
      </c>
      <c r="C1732" s="1" t="n">
        <v>45884</v>
      </c>
      <c r="D1732" t="inlineStr">
        <is>
          <t>KALMAR LÄN</t>
        </is>
      </c>
      <c r="E1732" t="inlineStr">
        <is>
          <t>HULTSFRED</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13149-2022</t>
        </is>
      </c>
      <c r="B1733" s="1" t="n">
        <v>44644</v>
      </c>
      <c r="C1733" s="1" t="n">
        <v>45884</v>
      </c>
      <c r="D1733" t="inlineStr">
        <is>
          <t>KALMAR LÄN</t>
        </is>
      </c>
      <c r="E1733" t="inlineStr">
        <is>
          <t>HÖGSBY</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3731-2021</t>
        </is>
      </c>
      <c r="B1734" s="1" t="n">
        <v>44221</v>
      </c>
      <c r="C1734" s="1" t="n">
        <v>45884</v>
      </c>
      <c r="D1734" t="inlineStr">
        <is>
          <t>KALMAR LÄN</t>
        </is>
      </c>
      <c r="E1734" t="inlineStr">
        <is>
          <t>MÖNSTERÅS</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71346-2021</t>
        </is>
      </c>
      <c r="B1735" s="1" t="n">
        <v>44539.87791666666</v>
      </c>
      <c r="C1735" s="1" t="n">
        <v>45884</v>
      </c>
      <c r="D1735" t="inlineStr">
        <is>
          <t>KALMAR LÄN</t>
        </is>
      </c>
      <c r="E1735" t="inlineStr">
        <is>
          <t>OSKARSHAMN</t>
        </is>
      </c>
      <c r="F1735" t="inlineStr">
        <is>
          <t>Sveaskog</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32791-2021</t>
        </is>
      </c>
      <c r="B1736" s="1" t="n">
        <v>44375</v>
      </c>
      <c r="C1736" s="1" t="n">
        <v>45884</v>
      </c>
      <c r="D1736" t="inlineStr">
        <is>
          <t>KALMAR LÄN</t>
        </is>
      </c>
      <c r="E1736" t="inlineStr">
        <is>
          <t>HULTSFRED</t>
        </is>
      </c>
      <c r="G1736" t="n">
        <v>2.9</v>
      </c>
      <c r="H1736" t="n">
        <v>0</v>
      </c>
      <c r="I1736" t="n">
        <v>0</v>
      </c>
      <c r="J1736" t="n">
        <v>0</v>
      </c>
      <c r="K1736" t="n">
        <v>0</v>
      </c>
      <c r="L1736" t="n">
        <v>0</v>
      </c>
      <c r="M1736" t="n">
        <v>0</v>
      </c>
      <c r="N1736" t="n">
        <v>0</v>
      </c>
      <c r="O1736" t="n">
        <v>0</v>
      </c>
      <c r="P1736" t="n">
        <v>0</v>
      </c>
      <c r="Q1736" t="n">
        <v>0</v>
      </c>
      <c r="R1736" s="2" t="inlineStr"/>
    </row>
    <row r="1737" ht="15" customHeight="1">
      <c r="A1737" t="inlineStr">
        <is>
          <t>A 47473-2021</t>
        </is>
      </c>
      <c r="B1737" s="1" t="n">
        <v>44447</v>
      </c>
      <c r="C1737" s="1" t="n">
        <v>45884</v>
      </c>
      <c r="D1737" t="inlineStr">
        <is>
          <t>KALMAR LÄN</t>
        </is>
      </c>
      <c r="E1737" t="inlineStr">
        <is>
          <t>VIMMERBY</t>
        </is>
      </c>
      <c r="F1737" t="inlineStr">
        <is>
          <t>Sveaskog</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48377-2021</t>
        </is>
      </c>
      <c r="B1738" s="1" t="n">
        <v>44451.8375</v>
      </c>
      <c r="C1738" s="1" t="n">
        <v>45884</v>
      </c>
      <c r="D1738" t="inlineStr">
        <is>
          <t>KALMAR LÄN</t>
        </is>
      </c>
      <c r="E1738" t="inlineStr">
        <is>
          <t>VIMMERBY</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56479-2020</t>
        </is>
      </c>
      <c r="B1739" s="1" t="n">
        <v>44137</v>
      </c>
      <c r="C1739" s="1" t="n">
        <v>45884</v>
      </c>
      <c r="D1739" t="inlineStr">
        <is>
          <t>KALMAR LÄN</t>
        </is>
      </c>
      <c r="E1739" t="inlineStr">
        <is>
          <t>BORGHOLM</t>
        </is>
      </c>
      <c r="F1739" t="inlineStr">
        <is>
          <t>Sveaskog</t>
        </is>
      </c>
      <c r="G1739" t="n">
        <v>2.6</v>
      </c>
      <c r="H1739" t="n">
        <v>0</v>
      </c>
      <c r="I1739" t="n">
        <v>0</v>
      </c>
      <c r="J1739" t="n">
        <v>0</v>
      </c>
      <c r="K1739" t="n">
        <v>0</v>
      </c>
      <c r="L1739" t="n">
        <v>0</v>
      </c>
      <c r="M1739" t="n">
        <v>0</v>
      </c>
      <c r="N1739" t="n">
        <v>0</v>
      </c>
      <c r="O1739" t="n">
        <v>0</v>
      </c>
      <c r="P1739" t="n">
        <v>0</v>
      </c>
      <c r="Q1739" t="n">
        <v>0</v>
      </c>
      <c r="R1739" s="2" t="inlineStr"/>
    </row>
    <row r="1740" ht="15" customHeight="1">
      <c r="A1740" t="inlineStr">
        <is>
          <t>A 40472-2022</t>
        </is>
      </c>
      <c r="B1740" s="1" t="n">
        <v>44823</v>
      </c>
      <c r="C1740" s="1" t="n">
        <v>45884</v>
      </c>
      <c r="D1740" t="inlineStr">
        <is>
          <t>KALMAR LÄN</t>
        </is>
      </c>
      <c r="E1740" t="inlineStr">
        <is>
          <t>VIMMERBY</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43826-2021</t>
        </is>
      </c>
      <c r="B1741" s="1" t="n">
        <v>44433</v>
      </c>
      <c r="C1741" s="1" t="n">
        <v>45884</v>
      </c>
      <c r="D1741" t="inlineStr">
        <is>
          <t>KALMAR LÄN</t>
        </is>
      </c>
      <c r="E1741" t="inlineStr">
        <is>
          <t>VÄSTERVIK</t>
        </is>
      </c>
      <c r="G1741" t="n">
        <v>4.2</v>
      </c>
      <c r="H1741" t="n">
        <v>0</v>
      </c>
      <c r="I1741" t="n">
        <v>0</v>
      </c>
      <c r="J1741" t="n">
        <v>0</v>
      </c>
      <c r="K1741" t="n">
        <v>0</v>
      </c>
      <c r="L1741" t="n">
        <v>0</v>
      </c>
      <c r="M1741" t="n">
        <v>0</v>
      </c>
      <c r="N1741" t="n">
        <v>0</v>
      </c>
      <c r="O1741" t="n">
        <v>0</v>
      </c>
      <c r="P1741" t="n">
        <v>0</v>
      </c>
      <c r="Q1741" t="n">
        <v>0</v>
      </c>
      <c r="R1741" s="2" t="inlineStr"/>
    </row>
    <row r="1742" ht="15" customHeight="1">
      <c r="A1742" t="inlineStr">
        <is>
          <t>A 52646-2022</t>
        </is>
      </c>
      <c r="B1742" s="1" t="n">
        <v>44874.78201388889</v>
      </c>
      <c r="C1742" s="1" t="n">
        <v>45884</v>
      </c>
      <c r="D1742" t="inlineStr">
        <is>
          <t>KALMAR LÄN</t>
        </is>
      </c>
      <c r="E1742" t="inlineStr">
        <is>
          <t>MÖNSTERÅS</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10517-2021</t>
        </is>
      </c>
      <c r="B1743" s="1" t="n">
        <v>44258</v>
      </c>
      <c r="C1743" s="1" t="n">
        <v>45884</v>
      </c>
      <c r="D1743" t="inlineStr">
        <is>
          <t>KALMAR LÄN</t>
        </is>
      </c>
      <c r="E1743" t="inlineStr">
        <is>
          <t>VÄSTERVIK</t>
        </is>
      </c>
      <c r="G1743" t="n">
        <v>3.6</v>
      </c>
      <c r="H1743" t="n">
        <v>0</v>
      </c>
      <c r="I1743" t="n">
        <v>0</v>
      </c>
      <c r="J1743" t="n">
        <v>0</v>
      </c>
      <c r="K1743" t="n">
        <v>0</v>
      </c>
      <c r="L1743" t="n">
        <v>0</v>
      </c>
      <c r="M1743" t="n">
        <v>0</v>
      </c>
      <c r="N1743" t="n">
        <v>0</v>
      </c>
      <c r="O1743" t="n">
        <v>0</v>
      </c>
      <c r="P1743" t="n">
        <v>0</v>
      </c>
      <c r="Q1743" t="n">
        <v>0</v>
      </c>
      <c r="R1743" s="2" t="inlineStr"/>
    </row>
    <row r="1744" ht="15" customHeight="1">
      <c r="A1744" t="inlineStr">
        <is>
          <t>A 55974-2020</t>
        </is>
      </c>
      <c r="B1744" s="1" t="n">
        <v>44133</v>
      </c>
      <c r="C1744" s="1" t="n">
        <v>45884</v>
      </c>
      <c r="D1744" t="inlineStr">
        <is>
          <t>KALMAR LÄN</t>
        </is>
      </c>
      <c r="E1744" t="inlineStr">
        <is>
          <t>OSKARSHAMN</t>
        </is>
      </c>
      <c r="G1744" t="n">
        <v>5</v>
      </c>
      <c r="H1744" t="n">
        <v>0</v>
      </c>
      <c r="I1744" t="n">
        <v>0</v>
      </c>
      <c r="J1744" t="n">
        <v>0</v>
      </c>
      <c r="K1744" t="n">
        <v>0</v>
      </c>
      <c r="L1744" t="n">
        <v>0</v>
      </c>
      <c r="M1744" t="n">
        <v>0</v>
      </c>
      <c r="N1744" t="n">
        <v>0</v>
      </c>
      <c r="O1744" t="n">
        <v>0</v>
      </c>
      <c r="P1744" t="n">
        <v>0</v>
      </c>
      <c r="Q1744" t="n">
        <v>0</v>
      </c>
      <c r="R1744" s="2" t="inlineStr"/>
    </row>
    <row r="1745" ht="15" customHeight="1">
      <c r="A1745" t="inlineStr">
        <is>
          <t>A 35980-2021</t>
        </is>
      </c>
      <c r="B1745" s="1" t="n">
        <v>44389.34473379629</v>
      </c>
      <c r="C1745" s="1" t="n">
        <v>45884</v>
      </c>
      <c r="D1745" t="inlineStr">
        <is>
          <t>KALMAR LÄN</t>
        </is>
      </c>
      <c r="E1745" t="inlineStr">
        <is>
          <t>OSKARSHAMN</t>
        </is>
      </c>
      <c r="G1745" t="n">
        <v>4.5</v>
      </c>
      <c r="H1745" t="n">
        <v>0</v>
      </c>
      <c r="I1745" t="n">
        <v>0</v>
      </c>
      <c r="J1745" t="n">
        <v>0</v>
      </c>
      <c r="K1745" t="n">
        <v>0</v>
      </c>
      <c r="L1745" t="n">
        <v>0</v>
      </c>
      <c r="M1745" t="n">
        <v>0</v>
      </c>
      <c r="N1745" t="n">
        <v>0</v>
      </c>
      <c r="O1745" t="n">
        <v>0</v>
      </c>
      <c r="P1745" t="n">
        <v>0</v>
      </c>
      <c r="Q1745" t="n">
        <v>0</v>
      </c>
      <c r="R1745" s="2" t="inlineStr"/>
    </row>
    <row r="1746" ht="15" customHeight="1">
      <c r="A1746" t="inlineStr">
        <is>
          <t>A 50054-2022</t>
        </is>
      </c>
      <c r="B1746" s="1" t="n">
        <v>44865.47458333334</v>
      </c>
      <c r="C1746" s="1" t="n">
        <v>45884</v>
      </c>
      <c r="D1746" t="inlineStr">
        <is>
          <t>KALMAR LÄN</t>
        </is>
      </c>
      <c r="E1746" t="inlineStr">
        <is>
          <t>MÖNSTERÅS</t>
        </is>
      </c>
      <c r="G1746" t="n">
        <v>4</v>
      </c>
      <c r="H1746" t="n">
        <v>0</v>
      </c>
      <c r="I1746" t="n">
        <v>0</v>
      </c>
      <c r="J1746" t="n">
        <v>0</v>
      </c>
      <c r="K1746" t="n">
        <v>0</v>
      </c>
      <c r="L1746" t="n">
        <v>0</v>
      </c>
      <c r="M1746" t="n">
        <v>0</v>
      </c>
      <c r="N1746" t="n">
        <v>0</v>
      </c>
      <c r="O1746" t="n">
        <v>0</v>
      </c>
      <c r="P1746" t="n">
        <v>0</v>
      </c>
      <c r="Q1746" t="n">
        <v>0</v>
      </c>
      <c r="R1746" s="2" t="inlineStr"/>
    </row>
    <row r="1747" ht="15" customHeight="1">
      <c r="A1747" t="inlineStr">
        <is>
          <t>A 27259-2022</t>
        </is>
      </c>
      <c r="B1747" s="1" t="n">
        <v>44741</v>
      </c>
      <c r="C1747" s="1" t="n">
        <v>45884</v>
      </c>
      <c r="D1747" t="inlineStr">
        <is>
          <t>KALMAR LÄN</t>
        </is>
      </c>
      <c r="E1747" t="inlineStr">
        <is>
          <t>HULTSFRED</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12661-2021</t>
        </is>
      </c>
      <c r="B1748" s="1" t="n">
        <v>44270</v>
      </c>
      <c r="C1748" s="1" t="n">
        <v>45884</v>
      </c>
      <c r="D1748" t="inlineStr">
        <is>
          <t>KALMAR LÄN</t>
        </is>
      </c>
      <c r="E1748" t="inlineStr">
        <is>
          <t>VIMMERBY</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12724-2021</t>
        </is>
      </c>
      <c r="B1749" s="1" t="n">
        <v>44270.62047453703</v>
      </c>
      <c r="C1749" s="1" t="n">
        <v>45884</v>
      </c>
      <c r="D1749" t="inlineStr">
        <is>
          <t>KALMAR LÄN</t>
        </is>
      </c>
      <c r="E1749" t="inlineStr">
        <is>
          <t>NYBRO</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71339-2021</t>
        </is>
      </c>
      <c r="B1750" s="1" t="n">
        <v>44539.86778935185</v>
      </c>
      <c r="C1750" s="1" t="n">
        <v>45884</v>
      </c>
      <c r="D1750" t="inlineStr">
        <is>
          <t>KALMAR LÄN</t>
        </is>
      </c>
      <c r="E1750" t="inlineStr">
        <is>
          <t>OSKARSHAMN</t>
        </is>
      </c>
      <c r="F1750" t="inlineStr">
        <is>
          <t>Sveaskog</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24999-2021</t>
        </is>
      </c>
      <c r="B1751" s="1" t="n">
        <v>44341</v>
      </c>
      <c r="C1751" s="1" t="n">
        <v>45884</v>
      </c>
      <c r="D1751" t="inlineStr">
        <is>
          <t>KALMAR LÄN</t>
        </is>
      </c>
      <c r="E1751" t="inlineStr">
        <is>
          <t>VIMMERBY</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69199-2020</t>
        </is>
      </c>
      <c r="B1752" s="1" t="n">
        <v>44191</v>
      </c>
      <c r="C1752" s="1" t="n">
        <v>45884</v>
      </c>
      <c r="D1752" t="inlineStr">
        <is>
          <t>KALMAR LÄN</t>
        </is>
      </c>
      <c r="E1752" t="inlineStr">
        <is>
          <t>TORSÅS</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46207-2022</t>
        </is>
      </c>
      <c r="B1753" s="1" t="n">
        <v>44847.55930555556</v>
      </c>
      <c r="C1753" s="1" t="n">
        <v>45884</v>
      </c>
      <c r="D1753" t="inlineStr">
        <is>
          <t>KALMAR LÄN</t>
        </is>
      </c>
      <c r="E1753" t="inlineStr">
        <is>
          <t>EMMABODA</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44631-2021</t>
        </is>
      </c>
      <c r="B1754" s="1" t="n">
        <v>44437.35085648148</v>
      </c>
      <c r="C1754" s="1" t="n">
        <v>45884</v>
      </c>
      <c r="D1754" t="inlineStr">
        <is>
          <t>KALMAR LÄN</t>
        </is>
      </c>
      <c r="E1754" t="inlineStr">
        <is>
          <t>KALMAR</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41705-2020</t>
        </is>
      </c>
      <c r="B1755" s="1" t="n">
        <v>44074</v>
      </c>
      <c r="C1755" s="1" t="n">
        <v>45884</v>
      </c>
      <c r="D1755" t="inlineStr">
        <is>
          <t>KALMAR LÄN</t>
        </is>
      </c>
      <c r="E1755" t="inlineStr">
        <is>
          <t>KALMAR</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34622-2022</t>
        </is>
      </c>
      <c r="B1756" s="1" t="n">
        <v>44795.44049768519</v>
      </c>
      <c r="C1756" s="1" t="n">
        <v>45884</v>
      </c>
      <c r="D1756" t="inlineStr">
        <is>
          <t>KALMAR LÄN</t>
        </is>
      </c>
      <c r="E1756" t="inlineStr">
        <is>
          <t>TORSÅS</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73794-2021</t>
        </is>
      </c>
      <c r="B1757" s="1" t="n">
        <v>44552.67385416666</v>
      </c>
      <c r="C1757" s="1" t="n">
        <v>45884</v>
      </c>
      <c r="D1757" t="inlineStr">
        <is>
          <t>KALMAR LÄN</t>
        </is>
      </c>
      <c r="E1757" t="inlineStr">
        <is>
          <t>HULTSFRED</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51585-2021</t>
        </is>
      </c>
      <c r="B1758" s="1" t="n">
        <v>44462.45162037037</v>
      </c>
      <c r="C1758" s="1" t="n">
        <v>45884</v>
      </c>
      <c r="D1758" t="inlineStr">
        <is>
          <t>KALMAR LÄN</t>
        </is>
      </c>
      <c r="E1758" t="inlineStr">
        <is>
          <t>HULTSFRED</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40889-2020</t>
        </is>
      </c>
      <c r="B1759" s="1" t="n">
        <v>44070</v>
      </c>
      <c r="C1759" s="1" t="n">
        <v>45884</v>
      </c>
      <c r="D1759" t="inlineStr">
        <is>
          <t>KALMAR LÄN</t>
        </is>
      </c>
      <c r="E1759" t="inlineStr">
        <is>
          <t>VIMMERBY</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40915-2020</t>
        </is>
      </c>
      <c r="B1760" s="1" t="n">
        <v>44068</v>
      </c>
      <c r="C1760" s="1" t="n">
        <v>45884</v>
      </c>
      <c r="D1760" t="inlineStr">
        <is>
          <t>KALMAR LÄN</t>
        </is>
      </c>
      <c r="E1760" t="inlineStr">
        <is>
          <t>TORSÅS</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49398-2021</t>
        </is>
      </c>
      <c r="B1761" s="1" t="n">
        <v>44454.63141203704</v>
      </c>
      <c r="C1761" s="1" t="n">
        <v>45884</v>
      </c>
      <c r="D1761" t="inlineStr">
        <is>
          <t>KALMAR LÄN</t>
        </is>
      </c>
      <c r="E1761" t="inlineStr">
        <is>
          <t>VÄSTERVIK</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7917-2022</t>
        </is>
      </c>
      <c r="B1762" s="1" t="n">
        <v>44608</v>
      </c>
      <c r="C1762" s="1" t="n">
        <v>45884</v>
      </c>
      <c r="D1762" t="inlineStr">
        <is>
          <t>KALMAR LÄN</t>
        </is>
      </c>
      <c r="E1762" t="inlineStr">
        <is>
          <t>VIMMERBY</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66748-2020</t>
        </is>
      </c>
      <c r="B1763" s="1" t="n">
        <v>44175</v>
      </c>
      <c r="C1763" s="1" t="n">
        <v>45884</v>
      </c>
      <c r="D1763" t="inlineStr">
        <is>
          <t>KALMAR LÄN</t>
        </is>
      </c>
      <c r="E1763" t="inlineStr">
        <is>
          <t>VÄSTERVIK</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52073-2020</t>
        </is>
      </c>
      <c r="B1764" s="1" t="n">
        <v>44117</v>
      </c>
      <c r="C1764" s="1" t="n">
        <v>45884</v>
      </c>
      <c r="D1764" t="inlineStr">
        <is>
          <t>KALMAR LÄN</t>
        </is>
      </c>
      <c r="E1764" t="inlineStr">
        <is>
          <t>VIMMERBY</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47208-2021</t>
        </is>
      </c>
      <c r="B1765" s="1" t="n">
        <v>44447.34237268518</v>
      </c>
      <c r="C1765" s="1" t="n">
        <v>45884</v>
      </c>
      <c r="D1765" t="inlineStr">
        <is>
          <t>KALMAR LÄN</t>
        </is>
      </c>
      <c r="E1765" t="inlineStr">
        <is>
          <t>VIMMERBY</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43204-2020</t>
        </is>
      </c>
      <c r="B1766" s="1" t="n">
        <v>44078</v>
      </c>
      <c r="C1766" s="1" t="n">
        <v>45884</v>
      </c>
      <c r="D1766" t="inlineStr">
        <is>
          <t>KALMAR LÄN</t>
        </is>
      </c>
      <c r="E1766" t="inlineStr">
        <is>
          <t>TORSÅS</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73186-2021</t>
        </is>
      </c>
      <c r="B1767" s="1" t="n">
        <v>44546</v>
      </c>
      <c r="C1767" s="1" t="n">
        <v>45884</v>
      </c>
      <c r="D1767" t="inlineStr">
        <is>
          <t>KALMAR LÄN</t>
        </is>
      </c>
      <c r="E1767" t="inlineStr">
        <is>
          <t>MÖNSTERÅS</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63181-2021</t>
        </is>
      </c>
      <c r="B1768" s="1" t="n">
        <v>44507</v>
      </c>
      <c r="C1768" s="1" t="n">
        <v>45884</v>
      </c>
      <c r="D1768" t="inlineStr">
        <is>
          <t>KALMAR LÄN</t>
        </is>
      </c>
      <c r="E1768" t="inlineStr">
        <is>
          <t>EMMABODA</t>
        </is>
      </c>
      <c r="G1768" t="n">
        <v>3.7</v>
      </c>
      <c r="H1768" t="n">
        <v>0</v>
      </c>
      <c r="I1768" t="n">
        <v>0</v>
      </c>
      <c r="J1768" t="n">
        <v>0</v>
      </c>
      <c r="K1768" t="n">
        <v>0</v>
      </c>
      <c r="L1768" t="n">
        <v>0</v>
      </c>
      <c r="M1768" t="n">
        <v>0</v>
      </c>
      <c r="N1768" t="n">
        <v>0</v>
      </c>
      <c r="O1768" t="n">
        <v>0</v>
      </c>
      <c r="P1768" t="n">
        <v>0</v>
      </c>
      <c r="Q1768" t="n">
        <v>0</v>
      </c>
      <c r="R1768" s="2" t="inlineStr"/>
    </row>
    <row r="1769" ht="15" customHeight="1">
      <c r="A1769" t="inlineStr">
        <is>
          <t>A 63191-2021</t>
        </is>
      </c>
      <c r="B1769" s="1" t="n">
        <v>44507</v>
      </c>
      <c r="C1769" s="1" t="n">
        <v>45884</v>
      </c>
      <c r="D1769" t="inlineStr">
        <is>
          <t>KALMAR LÄN</t>
        </is>
      </c>
      <c r="E1769" t="inlineStr">
        <is>
          <t>EMMABODA</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33690-2022</t>
        </is>
      </c>
      <c r="B1770" s="1" t="n">
        <v>44789</v>
      </c>
      <c r="C1770" s="1" t="n">
        <v>45884</v>
      </c>
      <c r="D1770" t="inlineStr">
        <is>
          <t>KALMAR LÄN</t>
        </is>
      </c>
      <c r="E1770" t="inlineStr">
        <is>
          <t>VIMMERBY</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9052-2022</t>
        </is>
      </c>
      <c r="B1771" s="1" t="n">
        <v>44615</v>
      </c>
      <c r="C1771" s="1" t="n">
        <v>45884</v>
      </c>
      <c r="D1771" t="inlineStr">
        <is>
          <t>KALMAR LÄN</t>
        </is>
      </c>
      <c r="E1771" t="inlineStr">
        <is>
          <t>EMMABODA</t>
        </is>
      </c>
      <c r="F1771" t="inlineStr">
        <is>
          <t>Kommuner</t>
        </is>
      </c>
      <c r="G1771" t="n">
        <v>5.9</v>
      </c>
      <c r="H1771" t="n">
        <v>0</v>
      </c>
      <c r="I1771" t="n">
        <v>0</v>
      </c>
      <c r="J1771" t="n">
        <v>0</v>
      </c>
      <c r="K1771" t="n">
        <v>0</v>
      </c>
      <c r="L1771" t="n">
        <v>0</v>
      </c>
      <c r="M1771" t="n">
        <v>0</v>
      </c>
      <c r="N1771" t="n">
        <v>0</v>
      </c>
      <c r="O1771" t="n">
        <v>0</v>
      </c>
      <c r="P1771" t="n">
        <v>0</v>
      </c>
      <c r="Q1771" t="n">
        <v>0</v>
      </c>
      <c r="R1771" s="2" t="inlineStr"/>
    </row>
    <row r="1772" ht="15" customHeight="1">
      <c r="A1772" t="inlineStr">
        <is>
          <t>A 59389-2020</t>
        </is>
      </c>
      <c r="B1772" s="1" t="n">
        <v>44148</v>
      </c>
      <c r="C1772" s="1" t="n">
        <v>45884</v>
      </c>
      <c r="D1772" t="inlineStr">
        <is>
          <t>KALMAR LÄN</t>
        </is>
      </c>
      <c r="E1772" t="inlineStr">
        <is>
          <t>EMMABODA</t>
        </is>
      </c>
      <c r="G1772" t="n">
        <v>3.5</v>
      </c>
      <c r="H1772" t="n">
        <v>0</v>
      </c>
      <c r="I1772" t="n">
        <v>0</v>
      </c>
      <c r="J1772" t="n">
        <v>0</v>
      </c>
      <c r="K1772" t="n">
        <v>0</v>
      </c>
      <c r="L1772" t="n">
        <v>0</v>
      </c>
      <c r="M1772" t="n">
        <v>0</v>
      </c>
      <c r="N1772" t="n">
        <v>0</v>
      </c>
      <c r="O1772" t="n">
        <v>0</v>
      </c>
      <c r="P1772" t="n">
        <v>0</v>
      </c>
      <c r="Q1772" t="n">
        <v>0</v>
      </c>
      <c r="R1772" s="2" t="inlineStr"/>
    </row>
    <row r="1773" ht="15" customHeight="1">
      <c r="A1773" t="inlineStr">
        <is>
          <t>A 68091-2021</t>
        </is>
      </c>
      <c r="B1773" s="1" t="n">
        <v>44526.35113425926</v>
      </c>
      <c r="C1773" s="1" t="n">
        <v>45884</v>
      </c>
      <c r="D1773" t="inlineStr">
        <is>
          <t>KALMAR LÄN</t>
        </is>
      </c>
      <c r="E1773" t="inlineStr">
        <is>
          <t>HULTSFRED</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35623-2021</t>
        </is>
      </c>
      <c r="B1774" s="1" t="n">
        <v>44386</v>
      </c>
      <c r="C1774" s="1" t="n">
        <v>45884</v>
      </c>
      <c r="D1774" t="inlineStr">
        <is>
          <t>KALMAR LÄN</t>
        </is>
      </c>
      <c r="E1774" t="inlineStr">
        <is>
          <t>HULTSFRED</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35757-2021</t>
        </is>
      </c>
      <c r="B1775" s="1" t="n">
        <v>44386</v>
      </c>
      <c r="C1775" s="1" t="n">
        <v>45884</v>
      </c>
      <c r="D1775" t="inlineStr">
        <is>
          <t>KALMAR LÄN</t>
        </is>
      </c>
      <c r="E1775" t="inlineStr">
        <is>
          <t>KALMAR</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46474-2020</t>
        </is>
      </c>
      <c r="B1776" s="1" t="n">
        <v>44095</v>
      </c>
      <c r="C1776" s="1" t="n">
        <v>45884</v>
      </c>
      <c r="D1776" t="inlineStr">
        <is>
          <t>KALMAR LÄN</t>
        </is>
      </c>
      <c r="E1776" t="inlineStr">
        <is>
          <t>KALMAR</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35732-2021</t>
        </is>
      </c>
      <c r="B1777" s="1" t="n">
        <v>44385</v>
      </c>
      <c r="C1777" s="1" t="n">
        <v>45884</v>
      </c>
      <c r="D1777" t="inlineStr">
        <is>
          <t>KALMAR LÄN</t>
        </is>
      </c>
      <c r="E1777" t="inlineStr">
        <is>
          <t>EMMABODA</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58126-2021</t>
        </is>
      </c>
      <c r="B1778" s="1" t="n">
        <v>44487</v>
      </c>
      <c r="C1778" s="1" t="n">
        <v>45884</v>
      </c>
      <c r="D1778" t="inlineStr">
        <is>
          <t>KALMAR LÄN</t>
        </is>
      </c>
      <c r="E1778" t="inlineStr">
        <is>
          <t>EMMABODA</t>
        </is>
      </c>
      <c r="F1778" t="inlineStr">
        <is>
          <t>Kommuner</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54746-2020</t>
        </is>
      </c>
      <c r="B1779" s="1" t="n">
        <v>44127</v>
      </c>
      <c r="C1779" s="1" t="n">
        <v>45884</v>
      </c>
      <c r="D1779" t="inlineStr">
        <is>
          <t>KALMAR LÄN</t>
        </is>
      </c>
      <c r="E1779" t="inlineStr">
        <is>
          <t>MÖNSTERÅS</t>
        </is>
      </c>
      <c r="G1779" t="n">
        <v>3.4</v>
      </c>
      <c r="H1779" t="n">
        <v>0</v>
      </c>
      <c r="I1779" t="n">
        <v>0</v>
      </c>
      <c r="J1779" t="n">
        <v>0</v>
      </c>
      <c r="K1779" t="n">
        <v>0</v>
      </c>
      <c r="L1779" t="n">
        <v>0</v>
      </c>
      <c r="M1779" t="n">
        <v>0</v>
      </c>
      <c r="N1779" t="n">
        <v>0</v>
      </c>
      <c r="O1779" t="n">
        <v>0</v>
      </c>
      <c r="P1779" t="n">
        <v>0</v>
      </c>
      <c r="Q1779" t="n">
        <v>0</v>
      </c>
      <c r="R1779" s="2" t="inlineStr"/>
    </row>
    <row r="1780" ht="15" customHeight="1">
      <c r="A1780" t="inlineStr">
        <is>
          <t>A 8437-2022</t>
        </is>
      </c>
      <c r="B1780" s="1" t="n">
        <v>44612.64552083334</v>
      </c>
      <c r="C1780" s="1" t="n">
        <v>45884</v>
      </c>
      <c r="D1780" t="inlineStr">
        <is>
          <t>KALMAR LÄN</t>
        </is>
      </c>
      <c r="E1780" t="inlineStr">
        <is>
          <t>NYBRO</t>
        </is>
      </c>
      <c r="G1780" t="n">
        <v>2.7</v>
      </c>
      <c r="H1780" t="n">
        <v>0</v>
      </c>
      <c r="I1780" t="n">
        <v>0</v>
      </c>
      <c r="J1780" t="n">
        <v>0</v>
      </c>
      <c r="K1780" t="n">
        <v>0</v>
      </c>
      <c r="L1780" t="n">
        <v>0</v>
      </c>
      <c r="M1780" t="n">
        <v>0</v>
      </c>
      <c r="N1780" t="n">
        <v>0</v>
      </c>
      <c r="O1780" t="n">
        <v>0</v>
      </c>
      <c r="P1780" t="n">
        <v>0</v>
      </c>
      <c r="Q1780" t="n">
        <v>0</v>
      </c>
      <c r="R1780" s="2" t="inlineStr"/>
    </row>
    <row r="1781" ht="15" customHeight="1">
      <c r="A1781" t="inlineStr">
        <is>
          <t>A 54776-2020</t>
        </is>
      </c>
      <c r="B1781" s="1" t="n">
        <v>44127</v>
      </c>
      <c r="C1781" s="1" t="n">
        <v>45884</v>
      </c>
      <c r="D1781" t="inlineStr">
        <is>
          <t>KALMAR LÄN</t>
        </is>
      </c>
      <c r="E1781" t="inlineStr">
        <is>
          <t>OSKARSHAMN</t>
        </is>
      </c>
      <c r="G1781" t="n">
        <v>4</v>
      </c>
      <c r="H1781" t="n">
        <v>0</v>
      </c>
      <c r="I1781" t="n">
        <v>0</v>
      </c>
      <c r="J1781" t="n">
        <v>0</v>
      </c>
      <c r="K1781" t="n">
        <v>0</v>
      </c>
      <c r="L1781" t="n">
        <v>0</v>
      </c>
      <c r="M1781" t="n">
        <v>0</v>
      </c>
      <c r="N1781" t="n">
        <v>0</v>
      </c>
      <c r="O1781" t="n">
        <v>0</v>
      </c>
      <c r="P1781" t="n">
        <v>0</v>
      </c>
      <c r="Q1781" t="n">
        <v>0</v>
      </c>
      <c r="R1781" s="2" t="inlineStr"/>
    </row>
    <row r="1782" ht="15" customHeight="1">
      <c r="A1782" t="inlineStr">
        <is>
          <t>A 35316-2021</t>
        </is>
      </c>
      <c r="B1782" s="1" t="n">
        <v>44384</v>
      </c>
      <c r="C1782" s="1" t="n">
        <v>45884</v>
      </c>
      <c r="D1782" t="inlineStr">
        <is>
          <t>KALMAR LÄN</t>
        </is>
      </c>
      <c r="E1782" t="inlineStr">
        <is>
          <t>VIMMERBY</t>
        </is>
      </c>
      <c r="G1782" t="n">
        <v>3.5</v>
      </c>
      <c r="H1782" t="n">
        <v>0</v>
      </c>
      <c r="I1782" t="n">
        <v>0</v>
      </c>
      <c r="J1782" t="n">
        <v>0</v>
      </c>
      <c r="K1782" t="n">
        <v>0</v>
      </c>
      <c r="L1782" t="n">
        <v>0</v>
      </c>
      <c r="M1782" t="n">
        <v>0</v>
      </c>
      <c r="N1782" t="n">
        <v>0</v>
      </c>
      <c r="O1782" t="n">
        <v>0</v>
      </c>
      <c r="P1782" t="n">
        <v>0</v>
      </c>
      <c r="Q1782" t="n">
        <v>0</v>
      </c>
      <c r="R1782" s="2" t="inlineStr"/>
    </row>
    <row r="1783" ht="15" customHeight="1">
      <c r="A1783" t="inlineStr">
        <is>
          <t>A 59203-2021</t>
        </is>
      </c>
      <c r="B1783" s="1" t="n">
        <v>44490.5975925926</v>
      </c>
      <c r="C1783" s="1" t="n">
        <v>45884</v>
      </c>
      <c r="D1783" t="inlineStr">
        <is>
          <t>KALMAR LÄN</t>
        </is>
      </c>
      <c r="E1783" t="inlineStr">
        <is>
          <t>HULTSFRED</t>
        </is>
      </c>
      <c r="F1783" t="inlineStr">
        <is>
          <t>Sveaskog</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29461-2021</t>
        </is>
      </c>
      <c r="B1784" s="1" t="n">
        <v>44361</v>
      </c>
      <c r="C1784" s="1" t="n">
        <v>45884</v>
      </c>
      <c r="D1784" t="inlineStr">
        <is>
          <t>KALMAR LÄN</t>
        </is>
      </c>
      <c r="E1784" t="inlineStr">
        <is>
          <t>MÖNSTERÅS</t>
        </is>
      </c>
      <c r="G1784" t="n">
        <v>5.4</v>
      </c>
      <c r="H1784" t="n">
        <v>0</v>
      </c>
      <c r="I1784" t="n">
        <v>0</v>
      </c>
      <c r="J1784" t="n">
        <v>0</v>
      </c>
      <c r="K1784" t="n">
        <v>0</v>
      </c>
      <c r="L1784" t="n">
        <v>0</v>
      </c>
      <c r="M1784" t="n">
        <v>0</v>
      </c>
      <c r="N1784" t="n">
        <v>0</v>
      </c>
      <c r="O1784" t="n">
        <v>0</v>
      </c>
      <c r="P1784" t="n">
        <v>0</v>
      </c>
      <c r="Q1784" t="n">
        <v>0</v>
      </c>
      <c r="R1784" s="2" t="inlineStr"/>
    </row>
    <row r="1785" ht="15" customHeight="1">
      <c r="A1785" t="inlineStr">
        <is>
          <t>A 6021-2022</t>
        </is>
      </c>
      <c r="B1785" s="1" t="n">
        <v>44599</v>
      </c>
      <c r="C1785" s="1" t="n">
        <v>45884</v>
      </c>
      <c r="D1785" t="inlineStr">
        <is>
          <t>KALMAR LÄN</t>
        </is>
      </c>
      <c r="E1785" t="inlineStr">
        <is>
          <t>TORSÅS</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56046-2021</t>
        </is>
      </c>
      <c r="B1786" s="1" t="n">
        <v>44477</v>
      </c>
      <c r="C1786" s="1" t="n">
        <v>45884</v>
      </c>
      <c r="D1786" t="inlineStr">
        <is>
          <t>KALMAR LÄN</t>
        </is>
      </c>
      <c r="E1786" t="inlineStr">
        <is>
          <t>OSKARSHAMN</t>
        </is>
      </c>
      <c r="F1786" t="inlineStr">
        <is>
          <t>Övriga Aktiebolag</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33831-2022</t>
        </is>
      </c>
      <c r="B1787" s="1" t="n">
        <v>44790.48503472222</v>
      </c>
      <c r="C1787" s="1" t="n">
        <v>45884</v>
      </c>
      <c r="D1787" t="inlineStr">
        <is>
          <t>KALMAR LÄN</t>
        </is>
      </c>
      <c r="E1787" t="inlineStr">
        <is>
          <t>VIMMERBY</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39120-2021</t>
        </is>
      </c>
      <c r="B1788" s="1" t="n">
        <v>44412</v>
      </c>
      <c r="C1788" s="1" t="n">
        <v>45884</v>
      </c>
      <c r="D1788" t="inlineStr">
        <is>
          <t>KALMAR LÄN</t>
        </is>
      </c>
      <c r="E1788" t="inlineStr">
        <is>
          <t>EMMABODA</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16705-2021</t>
        </is>
      </c>
      <c r="B1789" s="1" t="n">
        <v>44294</v>
      </c>
      <c r="C1789" s="1" t="n">
        <v>45884</v>
      </c>
      <c r="D1789" t="inlineStr">
        <is>
          <t>KALMAR LÄN</t>
        </is>
      </c>
      <c r="E1789" t="inlineStr">
        <is>
          <t>VIMMERBY</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10705-2022</t>
        </is>
      </c>
      <c r="B1790" s="1" t="n">
        <v>44625</v>
      </c>
      <c r="C1790" s="1" t="n">
        <v>45884</v>
      </c>
      <c r="D1790" t="inlineStr">
        <is>
          <t>KALMAR LÄN</t>
        </is>
      </c>
      <c r="E1790" t="inlineStr">
        <is>
          <t>KALMAR</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51977-2020</t>
        </is>
      </c>
      <c r="B1791" s="1" t="n">
        <v>44116</v>
      </c>
      <c r="C1791" s="1" t="n">
        <v>45884</v>
      </c>
      <c r="D1791" t="inlineStr">
        <is>
          <t>KALMAR LÄN</t>
        </is>
      </c>
      <c r="E1791" t="inlineStr">
        <is>
          <t>VIMMERBY</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3471-2021</t>
        </is>
      </c>
      <c r="B1792" s="1" t="n">
        <v>44218</v>
      </c>
      <c r="C1792" s="1" t="n">
        <v>45884</v>
      </c>
      <c r="D1792" t="inlineStr">
        <is>
          <t>KALMAR LÄN</t>
        </is>
      </c>
      <c r="E1792" t="inlineStr">
        <is>
          <t>NYBRO</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25510-2022</t>
        </is>
      </c>
      <c r="B1793" s="1" t="n">
        <v>44732</v>
      </c>
      <c r="C1793" s="1" t="n">
        <v>45884</v>
      </c>
      <c r="D1793" t="inlineStr">
        <is>
          <t>KALMAR LÄN</t>
        </is>
      </c>
      <c r="E1793" t="inlineStr">
        <is>
          <t>KALMAR</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55011-2020</t>
        </is>
      </c>
      <c r="B1794" s="1" t="n">
        <v>44130.37449074074</v>
      </c>
      <c r="C1794" s="1" t="n">
        <v>45884</v>
      </c>
      <c r="D1794" t="inlineStr">
        <is>
          <t>KALMAR LÄN</t>
        </is>
      </c>
      <c r="E1794" t="inlineStr">
        <is>
          <t>HULTSFRED</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38444-2021</t>
        </is>
      </c>
      <c r="B1795" s="1" t="n">
        <v>44407.33940972222</v>
      </c>
      <c r="C1795" s="1" t="n">
        <v>45884</v>
      </c>
      <c r="D1795" t="inlineStr">
        <is>
          <t>KALMAR LÄN</t>
        </is>
      </c>
      <c r="E1795" t="inlineStr">
        <is>
          <t>NYBRO</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10219-2022</t>
        </is>
      </c>
      <c r="B1796" s="1" t="n">
        <v>44622.48368055555</v>
      </c>
      <c r="C1796" s="1" t="n">
        <v>45884</v>
      </c>
      <c r="D1796" t="inlineStr">
        <is>
          <t>KALMAR LÄN</t>
        </is>
      </c>
      <c r="E1796" t="inlineStr">
        <is>
          <t>EMMABODA</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53808-2022</t>
        </is>
      </c>
      <c r="B1797" s="1" t="n">
        <v>44880.54645833333</v>
      </c>
      <c r="C1797" s="1" t="n">
        <v>45884</v>
      </c>
      <c r="D1797" t="inlineStr">
        <is>
          <t>KALMAR LÄN</t>
        </is>
      </c>
      <c r="E1797" t="inlineStr">
        <is>
          <t>HÖGSBY</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789-2021</t>
        </is>
      </c>
      <c r="B1798" s="1" t="n">
        <v>44204</v>
      </c>
      <c r="C1798" s="1" t="n">
        <v>45884</v>
      </c>
      <c r="D1798" t="inlineStr">
        <is>
          <t>KALMAR LÄN</t>
        </is>
      </c>
      <c r="E1798" t="inlineStr">
        <is>
          <t>VÄSTERVIK</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47708-2022</t>
        </is>
      </c>
      <c r="B1799" s="1" t="n">
        <v>44854.59157407407</v>
      </c>
      <c r="C1799" s="1" t="n">
        <v>45884</v>
      </c>
      <c r="D1799" t="inlineStr">
        <is>
          <t>KALMAR LÄN</t>
        </is>
      </c>
      <c r="E1799" t="inlineStr">
        <is>
          <t>VIMMERBY</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46527-2022</t>
        </is>
      </c>
      <c r="B1800" s="1" t="n">
        <v>44848.59880787037</v>
      </c>
      <c r="C1800" s="1" t="n">
        <v>45884</v>
      </c>
      <c r="D1800" t="inlineStr">
        <is>
          <t>KALMAR LÄN</t>
        </is>
      </c>
      <c r="E1800" t="inlineStr">
        <is>
          <t>VÄSTERVIK</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58772-2021</t>
        </is>
      </c>
      <c r="B1801" s="1" t="n">
        <v>44489</v>
      </c>
      <c r="C1801" s="1" t="n">
        <v>45884</v>
      </c>
      <c r="D1801" t="inlineStr">
        <is>
          <t>KALMAR LÄN</t>
        </is>
      </c>
      <c r="E1801" t="inlineStr">
        <is>
          <t>MÖNSTERÅS</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40596-2021</t>
        </is>
      </c>
      <c r="B1802" s="1" t="n">
        <v>44420</v>
      </c>
      <c r="C1802" s="1" t="n">
        <v>45884</v>
      </c>
      <c r="D1802" t="inlineStr">
        <is>
          <t>KALMAR LÄN</t>
        </is>
      </c>
      <c r="E1802" t="inlineStr">
        <is>
          <t>HULTSFRED</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64702-2020</t>
        </is>
      </c>
      <c r="B1803" s="1" t="n">
        <v>44169</v>
      </c>
      <c r="C1803" s="1" t="n">
        <v>45884</v>
      </c>
      <c r="D1803" t="inlineStr">
        <is>
          <t>KALMAR LÄN</t>
        </is>
      </c>
      <c r="E1803" t="inlineStr">
        <is>
          <t>NYBRO</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27678-2022</t>
        </is>
      </c>
      <c r="B1804" s="1" t="n">
        <v>44743.42285879629</v>
      </c>
      <c r="C1804" s="1" t="n">
        <v>45884</v>
      </c>
      <c r="D1804" t="inlineStr">
        <is>
          <t>KALMAR LÄN</t>
        </is>
      </c>
      <c r="E1804" t="inlineStr">
        <is>
          <t>EMMABODA</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10108-2022</t>
        </is>
      </c>
      <c r="B1805" s="1" t="n">
        <v>44621</v>
      </c>
      <c r="C1805" s="1" t="n">
        <v>45884</v>
      </c>
      <c r="D1805" t="inlineStr">
        <is>
          <t>KALMAR LÄN</t>
        </is>
      </c>
      <c r="E1805" t="inlineStr">
        <is>
          <t>MÖNSTERÅS</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28634-2021</t>
        </is>
      </c>
      <c r="B1806" s="1" t="n">
        <v>44357</v>
      </c>
      <c r="C1806" s="1" t="n">
        <v>45884</v>
      </c>
      <c r="D1806" t="inlineStr">
        <is>
          <t>KALMAR LÄN</t>
        </is>
      </c>
      <c r="E1806" t="inlineStr">
        <is>
          <t>KALMAR</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5087-2022</t>
        </is>
      </c>
      <c r="B1807" s="1" t="n">
        <v>44593</v>
      </c>
      <c r="C1807" s="1" t="n">
        <v>45884</v>
      </c>
      <c r="D1807" t="inlineStr">
        <is>
          <t>KALMAR LÄN</t>
        </is>
      </c>
      <c r="E1807" t="inlineStr">
        <is>
          <t>OSKARSHAMN</t>
        </is>
      </c>
      <c r="F1807" t="inlineStr">
        <is>
          <t>Sveaskog</t>
        </is>
      </c>
      <c r="G1807" t="n">
        <v>0.2</v>
      </c>
      <c r="H1807" t="n">
        <v>0</v>
      </c>
      <c r="I1807" t="n">
        <v>0</v>
      </c>
      <c r="J1807" t="n">
        <v>0</v>
      </c>
      <c r="K1807" t="n">
        <v>0</v>
      </c>
      <c r="L1807" t="n">
        <v>0</v>
      </c>
      <c r="M1807" t="n">
        <v>0</v>
      </c>
      <c r="N1807" t="n">
        <v>0</v>
      </c>
      <c r="O1807" t="n">
        <v>0</v>
      </c>
      <c r="P1807" t="n">
        <v>0</v>
      </c>
      <c r="Q1807" t="n">
        <v>0</v>
      </c>
      <c r="R1807" s="2" t="inlineStr"/>
    </row>
    <row r="1808" ht="15" customHeight="1">
      <c r="A1808" t="inlineStr">
        <is>
          <t>A 58253-2020</t>
        </is>
      </c>
      <c r="B1808" s="1" t="n">
        <v>44144</v>
      </c>
      <c r="C1808" s="1" t="n">
        <v>45884</v>
      </c>
      <c r="D1808" t="inlineStr">
        <is>
          <t>KALMAR LÄN</t>
        </is>
      </c>
      <c r="E1808" t="inlineStr">
        <is>
          <t>BORGHOLM</t>
        </is>
      </c>
      <c r="F1808" t="inlineStr">
        <is>
          <t>Sveaskog</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43807-2021</t>
        </is>
      </c>
      <c r="B1809" s="1" t="n">
        <v>44433</v>
      </c>
      <c r="C1809" s="1" t="n">
        <v>45884</v>
      </c>
      <c r="D1809" t="inlineStr">
        <is>
          <t>KALMAR LÄN</t>
        </is>
      </c>
      <c r="E1809" t="inlineStr">
        <is>
          <t>VÄSTERVIK</t>
        </is>
      </c>
      <c r="G1809" t="n">
        <v>3.2</v>
      </c>
      <c r="H1809" t="n">
        <v>0</v>
      </c>
      <c r="I1809" t="n">
        <v>0</v>
      </c>
      <c r="J1809" t="n">
        <v>0</v>
      </c>
      <c r="K1809" t="n">
        <v>0</v>
      </c>
      <c r="L1809" t="n">
        <v>0</v>
      </c>
      <c r="M1809" t="n">
        <v>0</v>
      </c>
      <c r="N1809" t="n">
        <v>0</v>
      </c>
      <c r="O1809" t="n">
        <v>0</v>
      </c>
      <c r="P1809" t="n">
        <v>0</v>
      </c>
      <c r="Q1809" t="n">
        <v>0</v>
      </c>
      <c r="R1809" s="2" t="inlineStr"/>
    </row>
    <row r="1810" ht="15" customHeight="1">
      <c r="A1810" t="inlineStr">
        <is>
          <t>A 53985-2021</t>
        </is>
      </c>
      <c r="B1810" s="1" t="n">
        <v>44470.31766203704</v>
      </c>
      <c r="C1810" s="1" t="n">
        <v>45884</v>
      </c>
      <c r="D1810" t="inlineStr">
        <is>
          <t>KALMAR LÄN</t>
        </is>
      </c>
      <c r="E1810" t="inlineStr">
        <is>
          <t>EMMABODA</t>
        </is>
      </c>
      <c r="G1810" t="n">
        <v>4.3</v>
      </c>
      <c r="H1810" t="n">
        <v>0</v>
      </c>
      <c r="I1810" t="n">
        <v>0</v>
      </c>
      <c r="J1810" t="n">
        <v>0</v>
      </c>
      <c r="K1810" t="n">
        <v>0</v>
      </c>
      <c r="L1810" t="n">
        <v>0</v>
      </c>
      <c r="M1810" t="n">
        <v>0</v>
      </c>
      <c r="N1810" t="n">
        <v>0</v>
      </c>
      <c r="O1810" t="n">
        <v>0</v>
      </c>
      <c r="P1810" t="n">
        <v>0</v>
      </c>
      <c r="Q1810" t="n">
        <v>0</v>
      </c>
      <c r="R1810" s="2" t="inlineStr"/>
    </row>
    <row r="1811" ht="15" customHeight="1">
      <c r="A1811" t="inlineStr">
        <is>
          <t>A 55288-2021</t>
        </is>
      </c>
      <c r="B1811" s="1" t="n">
        <v>44475</v>
      </c>
      <c r="C1811" s="1" t="n">
        <v>45884</v>
      </c>
      <c r="D1811" t="inlineStr">
        <is>
          <t>KALMAR LÄN</t>
        </is>
      </c>
      <c r="E1811" t="inlineStr">
        <is>
          <t>TORSÅS</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54733-2021</t>
        </is>
      </c>
      <c r="B1812" s="1" t="n">
        <v>44473</v>
      </c>
      <c r="C1812" s="1" t="n">
        <v>45884</v>
      </c>
      <c r="D1812" t="inlineStr">
        <is>
          <t>KALMAR LÄN</t>
        </is>
      </c>
      <c r="E1812" t="inlineStr">
        <is>
          <t>HULTSFRED</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55419-2021</t>
        </is>
      </c>
      <c r="B1813" s="1" t="n">
        <v>44475</v>
      </c>
      <c r="C1813" s="1" t="n">
        <v>45884</v>
      </c>
      <c r="D1813" t="inlineStr">
        <is>
          <t>KALMAR LÄN</t>
        </is>
      </c>
      <c r="E1813" t="inlineStr">
        <is>
          <t>MÖNSTERÅS</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73755-2021</t>
        </is>
      </c>
      <c r="B1814" s="1" t="n">
        <v>44552.58133101852</v>
      </c>
      <c r="C1814" s="1" t="n">
        <v>45884</v>
      </c>
      <c r="D1814" t="inlineStr">
        <is>
          <t>KALMAR LÄN</t>
        </is>
      </c>
      <c r="E1814" t="inlineStr">
        <is>
          <t>KALMAR</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40920-2022</t>
        </is>
      </c>
      <c r="B1815" s="1" t="n">
        <v>44825.40943287037</v>
      </c>
      <c r="C1815" s="1" t="n">
        <v>45884</v>
      </c>
      <c r="D1815" t="inlineStr">
        <is>
          <t>KALMAR LÄN</t>
        </is>
      </c>
      <c r="E1815" t="inlineStr">
        <is>
          <t>VÄSTERVIK</t>
        </is>
      </c>
      <c r="F1815" t="inlineStr">
        <is>
          <t>Sveaskog</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66721-2021</t>
        </is>
      </c>
      <c r="B1816" s="1" t="n">
        <v>44519.98100694444</v>
      </c>
      <c r="C1816" s="1" t="n">
        <v>45884</v>
      </c>
      <c r="D1816" t="inlineStr">
        <is>
          <t>KALMAR LÄN</t>
        </is>
      </c>
      <c r="E1816" t="inlineStr">
        <is>
          <t>HULTSFRED</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66725-2021</t>
        </is>
      </c>
      <c r="B1817" s="1" t="n">
        <v>44519.99180555555</v>
      </c>
      <c r="C1817" s="1" t="n">
        <v>45884</v>
      </c>
      <c r="D1817" t="inlineStr">
        <is>
          <t>KALMAR LÄN</t>
        </is>
      </c>
      <c r="E1817" t="inlineStr">
        <is>
          <t>HULTSFRED</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66728-2021</t>
        </is>
      </c>
      <c r="B1818" s="1" t="n">
        <v>44520.006875</v>
      </c>
      <c r="C1818" s="1" t="n">
        <v>45884</v>
      </c>
      <c r="D1818" t="inlineStr">
        <is>
          <t>KALMAR LÄN</t>
        </is>
      </c>
      <c r="E1818" t="inlineStr">
        <is>
          <t>HULTSFRED</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69158-2020</t>
        </is>
      </c>
      <c r="B1819" s="1" t="n">
        <v>44188</v>
      </c>
      <c r="C1819" s="1" t="n">
        <v>45884</v>
      </c>
      <c r="D1819" t="inlineStr">
        <is>
          <t>KALMAR LÄN</t>
        </is>
      </c>
      <c r="E1819" t="inlineStr">
        <is>
          <t>HULTSFRED</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1448-2022</t>
        </is>
      </c>
      <c r="B1820" s="1" t="n">
        <v>44573</v>
      </c>
      <c r="C1820" s="1" t="n">
        <v>45884</v>
      </c>
      <c r="D1820" t="inlineStr">
        <is>
          <t>KALMAR LÄN</t>
        </is>
      </c>
      <c r="E1820" t="inlineStr">
        <is>
          <t>MÖNSTERÅS</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41056-2022</t>
        </is>
      </c>
      <c r="B1821" s="1" t="n">
        <v>44824</v>
      </c>
      <c r="C1821" s="1" t="n">
        <v>45884</v>
      </c>
      <c r="D1821" t="inlineStr">
        <is>
          <t>KALMAR LÄN</t>
        </is>
      </c>
      <c r="E1821" t="inlineStr">
        <is>
          <t>VIMMERBY</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31660-2021</t>
        </is>
      </c>
      <c r="B1822" s="1" t="n">
        <v>44369</v>
      </c>
      <c r="C1822" s="1" t="n">
        <v>45884</v>
      </c>
      <c r="D1822" t="inlineStr">
        <is>
          <t>KALMAR LÄN</t>
        </is>
      </c>
      <c r="E1822" t="inlineStr">
        <is>
          <t>VIMMERBY</t>
        </is>
      </c>
      <c r="G1822" t="n">
        <v>4.2</v>
      </c>
      <c r="H1822" t="n">
        <v>0</v>
      </c>
      <c r="I1822" t="n">
        <v>0</v>
      </c>
      <c r="J1822" t="n">
        <v>0</v>
      </c>
      <c r="K1822" t="n">
        <v>0</v>
      </c>
      <c r="L1822" t="n">
        <v>0</v>
      </c>
      <c r="M1822" t="n">
        <v>0</v>
      </c>
      <c r="N1822" t="n">
        <v>0</v>
      </c>
      <c r="O1822" t="n">
        <v>0</v>
      </c>
      <c r="P1822" t="n">
        <v>0</v>
      </c>
      <c r="Q1822" t="n">
        <v>0</v>
      </c>
      <c r="R1822" s="2" t="inlineStr"/>
    </row>
    <row r="1823" ht="15" customHeight="1">
      <c r="A1823" t="inlineStr">
        <is>
          <t>A 37698-2022</t>
        </is>
      </c>
      <c r="B1823" s="1" t="n">
        <v>44810</v>
      </c>
      <c r="C1823" s="1" t="n">
        <v>45884</v>
      </c>
      <c r="D1823" t="inlineStr">
        <is>
          <t>KALMAR LÄN</t>
        </is>
      </c>
      <c r="E1823" t="inlineStr">
        <is>
          <t>KALMAR</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57390-2021</t>
        </is>
      </c>
      <c r="B1824" s="1" t="n">
        <v>44482</v>
      </c>
      <c r="C1824" s="1" t="n">
        <v>45884</v>
      </c>
      <c r="D1824" t="inlineStr">
        <is>
          <t>KALMAR LÄN</t>
        </is>
      </c>
      <c r="E1824" t="inlineStr">
        <is>
          <t>KALMAR</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27455-2022</t>
        </is>
      </c>
      <c r="B1825" s="1" t="n">
        <v>44742</v>
      </c>
      <c r="C1825" s="1" t="n">
        <v>45884</v>
      </c>
      <c r="D1825" t="inlineStr">
        <is>
          <t>KALMAR LÄN</t>
        </is>
      </c>
      <c r="E1825" t="inlineStr">
        <is>
          <t>VIMMERBY</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8930-2022</t>
        </is>
      </c>
      <c r="B1826" s="1" t="n">
        <v>44614</v>
      </c>
      <c r="C1826" s="1" t="n">
        <v>45884</v>
      </c>
      <c r="D1826" t="inlineStr">
        <is>
          <t>KALMAR LÄN</t>
        </is>
      </c>
      <c r="E1826" t="inlineStr">
        <is>
          <t>HULTSFRED</t>
        </is>
      </c>
      <c r="G1826" t="n">
        <v>4.3</v>
      </c>
      <c r="H1826" t="n">
        <v>0</v>
      </c>
      <c r="I1826" t="n">
        <v>0</v>
      </c>
      <c r="J1826" t="n">
        <v>0</v>
      </c>
      <c r="K1826" t="n">
        <v>0</v>
      </c>
      <c r="L1826" t="n">
        <v>0</v>
      </c>
      <c r="M1826" t="n">
        <v>0</v>
      </c>
      <c r="N1826" t="n">
        <v>0</v>
      </c>
      <c r="O1826" t="n">
        <v>0</v>
      </c>
      <c r="P1826" t="n">
        <v>0</v>
      </c>
      <c r="Q1826" t="n">
        <v>0</v>
      </c>
      <c r="R1826" s="2" t="inlineStr"/>
    </row>
    <row r="1827" ht="15" customHeight="1">
      <c r="A1827" t="inlineStr">
        <is>
          <t>A 10107-2022</t>
        </is>
      </c>
      <c r="B1827" s="1" t="n">
        <v>44621.80555555555</v>
      </c>
      <c r="C1827" s="1" t="n">
        <v>45884</v>
      </c>
      <c r="D1827" t="inlineStr">
        <is>
          <t>KALMAR LÄN</t>
        </is>
      </c>
      <c r="E1827" t="inlineStr">
        <is>
          <t>OSKARSHAMN</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10119-2022</t>
        </is>
      </c>
      <c r="B1828" s="1" t="n">
        <v>44621.91652777778</v>
      </c>
      <c r="C1828" s="1" t="n">
        <v>45884</v>
      </c>
      <c r="D1828" t="inlineStr">
        <is>
          <t>KALMAR LÄN</t>
        </is>
      </c>
      <c r="E1828" t="inlineStr">
        <is>
          <t>VÄSTERVIK</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7703-2022</t>
        </is>
      </c>
      <c r="B1829" s="1" t="n">
        <v>44607</v>
      </c>
      <c r="C1829" s="1" t="n">
        <v>45884</v>
      </c>
      <c r="D1829" t="inlineStr">
        <is>
          <t>KALMAR LÄN</t>
        </is>
      </c>
      <c r="E1829" t="inlineStr">
        <is>
          <t>HÖGSBY</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55748-2020</t>
        </is>
      </c>
      <c r="B1830" s="1" t="n">
        <v>44132.38440972222</v>
      </c>
      <c r="C1830" s="1" t="n">
        <v>45884</v>
      </c>
      <c r="D1830" t="inlineStr">
        <is>
          <t>KALMAR LÄN</t>
        </is>
      </c>
      <c r="E1830" t="inlineStr">
        <is>
          <t>HULTSFRED</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38146-2021</t>
        </is>
      </c>
      <c r="B1831" s="1" t="n">
        <v>44405</v>
      </c>
      <c r="C1831" s="1" t="n">
        <v>45884</v>
      </c>
      <c r="D1831" t="inlineStr">
        <is>
          <t>KALMAR LÄN</t>
        </is>
      </c>
      <c r="E1831" t="inlineStr">
        <is>
          <t>EMMABODA</t>
        </is>
      </c>
      <c r="G1831" t="n">
        <v>2.5</v>
      </c>
      <c r="H1831" t="n">
        <v>0</v>
      </c>
      <c r="I1831" t="n">
        <v>0</v>
      </c>
      <c r="J1831" t="n">
        <v>0</v>
      </c>
      <c r="K1831" t="n">
        <v>0</v>
      </c>
      <c r="L1831" t="n">
        <v>0</v>
      </c>
      <c r="M1831" t="n">
        <v>0</v>
      </c>
      <c r="N1831" t="n">
        <v>0</v>
      </c>
      <c r="O1831" t="n">
        <v>0</v>
      </c>
      <c r="P1831" t="n">
        <v>0</v>
      </c>
      <c r="Q1831" t="n">
        <v>0</v>
      </c>
      <c r="R1831" s="2" t="inlineStr"/>
    </row>
    <row r="1832" ht="15" customHeight="1">
      <c r="A1832" t="inlineStr">
        <is>
          <t>A 38147-2021</t>
        </is>
      </c>
      <c r="B1832" s="1" t="n">
        <v>44405</v>
      </c>
      <c r="C1832" s="1" t="n">
        <v>45884</v>
      </c>
      <c r="D1832" t="inlineStr">
        <is>
          <t>KALMAR LÄN</t>
        </is>
      </c>
      <c r="E1832" t="inlineStr">
        <is>
          <t>EMMABODA</t>
        </is>
      </c>
      <c r="G1832" t="n">
        <v>5.6</v>
      </c>
      <c r="H1832" t="n">
        <v>0</v>
      </c>
      <c r="I1832" t="n">
        <v>0</v>
      </c>
      <c r="J1832" t="n">
        <v>0</v>
      </c>
      <c r="K1832" t="n">
        <v>0</v>
      </c>
      <c r="L1832" t="n">
        <v>0</v>
      </c>
      <c r="M1832" t="n">
        <v>0</v>
      </c>
      <c r="N1832" t="n">
        <v>0</v>
      </c>
      <c r="O1832" t="n">
        <v>0</v>
      </c>
      <c r="P1832" t="n">
        <v>0</v>
      </c>
      <c r="Q1832" t="n">
        <v>0</v>
      </c>
      <c r="R1832" s="2" t="inlineStr"/>
    </row>
    <row r="1833" ht="15" customHeight="1">
      <c r="A1833" t="inlineStr">
        <is>
          <t>A 56188-2021</t>
        </is>
      </c>
      <c r="B1833" s="1" t="n">
        <v>44477.83525462963</v>
      </c>
      <c r="C1833" s="1" t="n">
        <v>45884</v>
      </c>
      <c r="D1833" t="inlineStr">
        <is>
          <t>KALMAR LÄN</t>
        </is>
      </c>
      <c r="E1833" t="inlineStr">
        <is>
          <t>BORGHOLM</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9918-2022</t>
        </is>
      </c>
      <c r="B1834" s="1" t="n">
        <v>44620</v>
      </c>
      <c r="C1834" s="1" t="n">
        <v>45884</v>
      </c>
      <c r="D1834" t="inlineStr">
        <is>
          <t>KALMAR LÄN</t>
        </is>
      </c>
      <c r="E1834" t="inlineStr">
        <is>
          <t>VIMMERBY</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69566-2021</t>
        </is>
      </c>
      <c r="B1835" s="1" t="n">
        <v>44532</v>
      </c>
      <c r="C1835" s="1" t="n">
        <v>45884</v>
      </c>
      <c r="D1835" t="inlineStr">
        <is>
          <t>KALMAR LÄN</t>
        </is>
      </c>
      <c r="E1835" t="inlineStr">
        <is>
          <t>HULTSFRED</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4985-2022</t>
        </is>
      </c>
      <c r="B1836" s="1" t="n">
        <v>44593</v>
      </c>
      <c r="C1836" s="1" t="n">
        <v>45884</v>
      </c>
      <c r="D1836" t="inlineStr">
        <is>
          <t>KALMAR LÄN</t>
        </is>
      </c>
      <c r="E1836" t="inlineStr">
        <is>
          <t>NYBRO</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5016-2022</t>
        </is>
      </c>
      <c r="B1837" s="1" t="n">
        <v>44593.62412037037</v>
      </c>
      <c r="C1837" s="1" t="n">
        <v>45884</v>
      </c>
      <c r="D1837" t="inlineStr">
        <is>
          <t>KALMAR LÄN</t>
        </is>
      </c>
      <c r="E1837" t="inlineStr">
        <is>
          <t>EMMABODA</t>
        </is>
      </c>
      <c r="G1837" t="n">
        <v>0.2</v>
      </c>
      <c r="H1837" t="n">
        <v>0</v>
      </c>
      <c r="I1837" t="n">
        <v>0</v>
      </c>
      <c r="J1837" t="n">
        <v>0</v>
      </c>
      <c r="K1837" t="n">
        <v>0</v>
      </c>
      <c r="L1837" t="n">
        <v>0</v>
      </c>
      <c r="M1837" t="n">
        <v>0</v>
      </c>
      <c r="N1837" t="n">
        <v>0</v>
      </c>
      <c r="O1837" t="n">
        <v>0</v>
      </c>
      <c r="P1837" t="n">
        <v>0</v>
      </c>
      <c r="Q1837" t="n">
        <v>0</v>
      </c>
      <c r="R1837" s="2" t="inlineStr"/>
    </row>
    <row r="1838" ht="15" customHeight="1">
      <c r="A1838" t="inlineStr">
        <is>
          <t>A 69764-2021</t>
        </is>
      </c>
      <c r="B1838" s="1" t="n">
        <v>44532.58314814815</v>
      </c>
      <c r="C1838" s="1" t="n">
        <v>45884</v>
      </c>
      <c r="D1838" t="inlineStr">
        <is>
          <t>KALMAR LÄN</t>
        </is>
      </c>
      <c r="E1838" t="inlineStr">
        <is>
          <t>HULTSFRED</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14381-2022</t>
        </is>
      </c>
      <c r="B1839" s="1" t="n">
        <v>44652</v>
      </c>
      <c r="C1839" s="1" t="n">
        <v>45884</v>
      </c>
      <c r="D1839" t="inlineStr">
        <is>
          <t>KALMAR LÄN</t>
        </is>
      </c>
      <c r="E1839" t="inlineStr">
        <is>
          <t>EMMABODA</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18536-2022</t>
        </is>
      </c>
      <c r="B1840" s="1" t="n">
        <v>44686</v>
      </c>
      <c r="C1840" s="1" t="n">
        <v>45884</v>
      </c>
      <c r="D1840" t="inlineStr">
        <is>
          <t>KALMAR LÄN</t>
        </is>
      </c>
      <c r="E1840" t="inlineStr">
        <is>
          <t>HULTSFRED</t>
        </is>
      </c>
      <c r="F1840" t="inlineStr">
        <is>
          <t>Övriga Aktiebolag</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1398-2021</t>
        </is>
      </c>
      <c r="B1841" s="1" t="n">
        <v>44208</v>
      </c>
      <c r="C1841" s="1" t="n">
        <v>45884</v>
      </c>
      <c r="D1841" t="inlineStr">
        <is>
          <t>KALMAR LÄN</t>
        </is>
      </c>
      <c r="E1841" t="inlineStr">
        <is>
          <t>TORSÅS</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33580-2021</t>
        </is>
      </c>
      <c r="B1842" s="1" t="n">
        <v>44377.95908564814</v>
      </c>
      <c r="C1842" s="1" t="n">
        <v>45884</v>
      </c>
      <c r="D1842" t="inlineStr">
        <is>
          <t>KALMAR LÄN</t>
        </is>
      </c>
      <c r="E1842" t="inlineStr">
        <is>
          <t>KALMAR</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64909-2020</t>
        </is>
      </c>
      <c r="B1843" s="1" t="n">
        <v>44172</v>
      </c>
      <c r="C1843" s="1" t="n">
        <v>45884</v>
      </c>
      <c r="D1843" t="inlineStr">
        <is>
          <t>KALMAR LÄN</t>
        </is>
      </c>
      <c r="E1843" t="inlineStr">
        <is>
          <t>NYBRO</t>
        </is>
      </c>
      <c r="G1843" t="n">
        <v>3.6</v>
      </c>
      <c r="H1843" t="n">
        <v>0</v>
      </c>
      <c r="I1843" t="n">
        <v>0</v>
      </c>
      <c r="J1843" t="n">
        <v>0</v>
      </c>
      <c r="K1843" t="n">
        <v>0</v>
      </c>
      <c r="L1843" t="n">
        <v>0</v>
      </c>
      <c r="M1843" t="n">
        <v>0</v>
      </c>
      <c r="N1843" t="n">
        <v>0</v>
      </c>
      <c r="O1843" t="n">
        <v>0</v>
      </c>
      <c r="P1843" t="n">
        <v>0</v>
      </c>
      <c r="Q1843" t="n">
        <v>0</v>
      </c>
      <c r="R1843" s="2" t="inlineStr"/>
    </row>
    <row r="1844" ht="15" customHeight="1">
      <c r="A1844" t="inlineStr">
        <is>
          <t>A 69442-2020</t>
        </is>
      </c>
      <c r="B1844" s="1" t="n">
        <v>44193</v>
      </c>
      <c r="C1844" s="1" t="n">
        <v>45884</v>
      </c>
      <c r="D1844" t="inlineStr">
        <is>
          <t>KALMAR LÄN</t>
        </is>
      </c>
      <c r="E1844" t="inlineStr">
        <is>
          <t>KALMAR</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60188-2020</t>
        </is>
      </c>
      <c r="B1845" s="1" t="n">
        <v>44151</v>
      </c>
      <c r="C1845" s="1" t="n">
        <v>45884</v>
      </c>
      <c r="D1845" t="inlineStr">
        <is>
          <t>KALMAR LÄN</t>
        </is>
      </c>
      <c r="E1845" t="inlineStr">
        <is>
          <t>HULTSFRED</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58312-2021</t>
        </is>
      </c>
      <c r="B1846" s="1" t="n">
        <v>44488</v>
      </c>
      <c r="C1846" s="1" t="n">
        <v>45884</v>
      </c>
      <c r="D1846" t="inlineStr">
        <is>
          <t>KALMAR LÄN</t>
        </is>
      </c>
      <c r="E1846" t="inlineStr">
        <is>
          <t>EMMABODA</t>
        </is>
      </c>
      <c r="F1846" t="inlineStr">
        <is>
          <t>Kommuner</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49282-2021</t>
        </is>
      </c>
      <c r="B1847" s="1" t="n">
        <v>44454</v>
      </c>
      <c r="C1847" s="1" t="n">
        <v>45884</v>
      </c>
      <c r="D1847" t="inlineStr">
        <is>
          <t>KALMAR LÄN</t>
        </is>
      </c>
      <c r="E1847" t="inlineStr">
        <is>
          <t>KALMAR</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36904-2022</t>
        </is>
      </c>
      <c r="B1848" s="1" t="n">
        <v>44805.72581018518</v>
      </c>
      <c r="C1848" s="1" t="n">
        <v>45884</v>
      </c>
      <c r="D1848" t="inlineStr">
        <is>
          <t>KALMAR LÄN</t>
        </is>
      </c>
      <c r="E1848" t="inlineStr">
        <is>
          <t>NYBRO</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47665-2021</t>
        </is>
      </c>
      <c r="B1849" s="1" t="n">
        <v>44448</v>
      </c>
      <c r="C1849" s="1" t="n">
        <v>45884</v>
      </c>
      <c r="D1849" t="inlineStr">
        <is>
          <t>KALMAR LÄN</t>
        </is>
      </c>
      <c r="E1849" t="inlineStr">
        <is>
          <t>KALMAR</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35198-2021</t>
        </is>
      </c>
      <c r="B1850" s="1" t="n">
        <v>44377</v>
      </c>
      <c r="C1850" s="1" t="n">
        <v>45884</v>
      </c>
      <c r="D1850" t="inlineStr">
        <is>
          <t>KALMAR LÄN</t>
        </is>
      </c>
      <c r="E1850" t="inlineStr">
        <is>
          <t>VIMMERBY</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35414-2021</t>
        </is>
      </c>
      <c r="B1851" s="1" t="n">
        <v>44385</v>
      </c>
      <c r="C1851" s="1" t="n">
        <v>45884</v>
      </c>
      <c r="D1851" t="inlineStr">
        <is>
          <t>KALMAR LÄN</t>
        </is>
      </c>
      <c r="E1851" t="inlineStr">
        <is>
          <t>KALMAR</t>
        </is>
      </c>
      <c r="G1851" t="n">
        <v>3.1</v>
      </c>
      <c r="H1851" t="n">
        <v>0</v>
      </c>
      <c r="I1851" t="n">
        <v>0</v>
      </c>
      <c r="J1851" t="n">
        <v>0</v>
      </c>
      <c r="K1851" t="n">
        <v>0</v>
      </c>
      <c r="L1851" t="n">
        <v>0</v>
      </c>
      <c r="M1851" t="n">
        <v>0</v>
      </c>
      <c r="N1851" t="n">
        <v>0</v>
      </c>
      <c r="O1851" t="n">
        <v>0</v>
      </c>
      <c r="P1851" t="n">
        <v>0</v>
      </c>
      <c r="Q1851" t="n">
        <v>0</v>
      </c>
      <c r="R1851" s="2" t="inlineStr"/>
    </row>
    <row r="1852" ht="15" customHeight="1">
      <c r="A1852" t="inlineStr">
        <is>
          <t>A 14478-2022</t>
        </is>
      </c>
      <c r="B1852" s="1" t="n">
        <v>44654.98487268519</v>
      </c>
      <c r="C1852" s="1" t="n">
        <v>45884</v>
      </c>
      <c r="D1852" t="inlineStr">
        <is>
          <t>KALMAR LÄN</t>
        </is>
      </c>
      <c r="E1852" t="inlineStr">
        <is>
          <t>KALMAR</t>
        </is>
      </c>
      <c r="G1852" t="n">
        <v>0.1</v>
      </c>
      <c r="H1852" t="n">
        <v>0</v>
      </c>
      <c r="I1852" t="n">
        <v>0</v>
      </c>
      <c r="J1852" t="n">
        <v>0</v>
      </c>
      <c r="K1852" t="n">
        <v>0</v>
      </c>
      <c r="L1852" t="n">
        <v>0</v>
      </c>
      <c r="M1852" t="n">
        <v>0</v>
      </c>
      <c r="N1852" t="n">
        <v>0</v>
      </c>
      <c r="O1852" t="n">
        <v>0</v>
      </c>
      <c r="P1852" t="n">
        <v>0</v>
      </c>
      <c r="Q1852" t="n">
        <v>0</v>
      </c>
      <c r="R1852" s="2" t="inlineStr"/>
    </row>
    <row r="1853" ht="15" customHeight="1">
      <c r="A1853" t="inlineStr">
        <is>
          <t>A 34836-2022</t>
        </is>
      </c>
      <c r="B1853" s="1" t="n">
        <v>44796</v>
      </c>
      <c r="C1853" s="1" t="n">
        <v>45884</v>
      </c>
      <c r="D1853" t="inlineStr">
        <is>
          <t>KALMAR LÄN</t>
        </is>
      </c>
      <c r="E1853" t="inlineStr">
        <is>
          <t>VÄSTERVIK</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12883-2021</t>
        </is>
      </c>
      <c r="B1854" s="1" t="n">
        <v>44271.43744212963</v>
      </c>
      <c r="C1854" s="1" t="n">
        <v>45884</v>
      </c>
      <c r="D1854" t="inlineStr">
        <is>
          <t>KALMAR LÄN</t>
        </is>
      </c>
      <c r="E1854" t="inlineStr">
        <is>
          <t>HÖGSBY</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17966-2022</t>
        </is>
      </c>
      <c r="B1855" s="1" t="n">
        <v>44683</v>
      </c>
      <c r="C1855" s="1" t="n">
        <v>45884</v>
      </c>
      <c r="D1855" t="inlineStr">
        <is>
          <t>KALMAR LÄN</t>
        </is>
      </c>
      <c r="E1855" t="inlineStr">
        <is>
          <t>HULTSFRED</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48226-2021</t>
        </is>
      </c>
      <c r="B1856" s="1" t="n">
        <v>44449</v>
      </c>
      <c r="C1856" s="1" t="n">
        <v>45884</v>
      </c>
      <c r="D1856" t="inlineStr">
        <is>
          <t>KALMAR LÄN</t>
        </is>
      </c>
      <c r="E1856" t="inlineStr">
        <is>
          <t>NYBRO</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20504-2022</t>
        </is>
      </c>
      <c r="B1857" s="1" t="n">
        <v>44699.83193287037</v>
      </c>
      <c r="C1857" s="1" t="n">
        <v>45884</v>
      </c>
      <c r="D1857" t="inlineStr">
        <is>
          <t>KALMAR LÄN</t>
        </is>
      </c>
      <c r="E1857" t="inlineStr">
        <is>
          <t>EMMABODA</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7891-2021</t>
        </is>
      </c>
      <c r="B1858" s="1" t="n">
        <v>44243.24046296296</v>
      </c>
      <c r="C1858" s="1" t="n">
        <v>45884</v>
      </c>
      <c r="D1858" t="inlineStr">
        <is>
          <t>KALMAR LÄN</t>
        </is>
      </c>
      <c r="E1858" t="inlineStr">
        <is>
          <t>NYBRO</t>
        </is>
      </c>
      <c r="G1858" t="n">
        <v>4.7</v>
      </c>
      <c r="H1858" t="n">
        <v>0</v>
      </c>
      <c r="I1858" t="n">
        <v>0</v>
      </c>
      <c r="J1858" t="n">
        <v>0</v>
      </c>
      <c r="K1858" t="n">
        <v>0</v>
      </c>
      <c r="L1858" t="n">
        <v>0</v>
      </c>
      <c r="M1858" t="n">
        <v>0</v>
      </c>
      <c r="N1858" t="n">
        <v>0</v>
      </c>
      <c r="O1858" t="n">
        <v>0</v>
      </c>
      <c r="P1858" t="n">
        <v>0</v>
      </c>
      <c r="Q1858" t="n">
        <v>0</v>
      </c>
      <c r="R1858" s="2" t="inlineStr"/>
    </row>
    <row r="1859" ht="15" customHeight="1">
      <c r="A1859" t="inlineStr">
        <is>
          <t>A 18-2022</t>
        </is>
      </c>
      <c r="B1859" s="1" t="n">
        <v>44564.29108796296</v>
      </c>
      <c r="C1859" s="1" t="n">
        <v>45884</v>
      </c>
      <c r="D1859" t="inlineStr">
        <is>
          <t>KALMAR LÄN</t>
        </is>
      </c>
      <c r="E1859" t="inlineStr">
        <is>
          <t>TORSÅS</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166-2022</t>
        </is>
      </c>
      <c r="B1860" s="1" t="n">
        <v>44564</v>
      </c>
      <c r="C1860" s="1" t="n">
        <v>45884</v>
      </c>
      <c r="D1860" t="inlineStr">
        <is>
          <t>KALMAR LÄN</t>
        </is>
      </c>
      <c r="E1860" t="inlineStr">
        <is>
          <t>VÄSTERVIK</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51134-2021</t>
        </is>
      </c>
      <c r="B1861" s="1" t="n">
        <v>44461.44216435185</v>
      </c>
      <c r="C1861" s="1" t="n">
        <v>45884</v>
      </c>
      <c r="D1861" t="inlineStr">
        <is>
          <t>KALMAR LÄN</t>
        </is>
      </c>
      <c r="E1861" t="inlineStr">
        <is>
          <t>KALMAR</t>
        </is>
      </c>
      <c r="G1861" t="n">
        <v>5.2</v>
      </c>
      <c r="H1861" t="n">
        <v>0</v>
      </c>
      <c r="I1861" t="n">
        <v>0</v>
      </c>
      <c r="J1861" t="n">
        <v>0</v>
      </c>
      <c r="K1861" t="n">
        <v>0</v>
      </c>
      <c r="L1861" t="n">
        <v>0</v>
      </c>
      <c r="M1861" t="n">
        <v>0</v>
      </c>
      <c r="N1861" t="n">
        <v>0</v>
      </c>
      <c r="O1861" t="n">
        <v>0</v>
      </c>
      <c r="P1861" t="n">
        <v>0</v>
      </c>
      <c r="Q1861" t="n">
        <v>0</v>
      </c>
      <c r="R1861" s="2" t="inlineStr"/>
    </row>
    <row r="1862" ht="15" customHeight="1">
      <c r="A1862" t="inlineStr">
        <is>
          <t>A 68117-2020</t>
        </is>
      </c>
      <c r="B1862" s="1" t="n">
        <v>44183.44118055556</v>
      </c>
      <c r="C1862" s="1" t="n">
        <v>45884</v>
      </c>
      <c r="D1862" t="inlineStr">
        <is>
          <t>KALMAR LÄN</t>
        </is>
      </c>
      <c r="E1862" t="inlineStr">
        <is>
          <t>OSKARSHAMN</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4139-2021</t>
        </is>
      </c>
      <c r="B1863" s="1" t="n">
        <v>44223</v>
      </c>
      <c r="C1863" s="1" t="n">
        <v>45884</v>
      </c>
      <c r="D1863" t="inlineStr">
        <is>
          <t>KALMAR LÄN</t>
        </is>
      </c>
      <c r="E1863" t="inlineStr">
        <is>
          <t>EMMABODA</t>
        </is>
      </c>
      <c r="G1863" t="n">
        <v>3.3</v>
      </c>
      <c r="H1863" t="n">
        <v>0</v>
      </c>
      <c r="I1863" t="n">
        <v>0</v>
      </c>
      <c r="J1863" t="n">
        <v>0</v>
      </c>
      <c r="K1863" t="n">
        <v>0</v>
      </c>
      <c r="L1863" t="n">
        <v>0</v>
      </c>
      <c r="M1863" t="n">
        <v>0</v>
      </c>
      <c r="N1863" t="n">
        <v>0</v>
      </c>
      <c r="O1863" t="n">
        <v>0</v>
      </c>
      <c r="P1863" t="n">
        <v>0</v>
      </c>
      <c r="Q1863" t="n">
        <v>0</v>
      </c>
      <c r="R1863" s="2" t="inlineStr"/>
    </row>
    <row r="1864" ht="15" customHeight="1">
      <c r="A1864" t="inlineStr">
        <is>
          <t>A 59032-2021</t>
        </is>
      </c>
      <c r="B1864" s="1" t="n">
        <v>44490.34951388889</v>
      </c>
      <c r="C1864" s="1" t="n">
        <v>45884</v>
      </c>
      <c r="D1864" t="inlineStr">
        <is>
          <t>KALMAR LÄN</t>
        </is>
      </c>
      <c r="E1864" t="inlineStr">
        <is>
          <t>HULTSFRED</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57372-2021</t>
        </is>
      </c>
      <c r="B1865" s="1" t="n">
        <v>44482</v>
      </c>
      <c r="C1865" s="1" t="n">
        <v>45884</v>
      </c>
      <c r="D1865" t="inlineStr">
        <is>
          <t>KALMAR LÄN</t>
        </is>
      </c>
      <c r="E1865" t="inlineStr">
        <is>
          <t>HÖGSBY</t>
        </is>
      </c>
      <c r="G1865" t="n">
        <v>5.6</v>
      </c>
      <c r="H1865" t="n">
        <v>0</v>
      </c>
      <c r="I1865" t="n">
        <v>0</v>
      </c>
      <c r="J1865" t="n">
        <v>0</v>
      </c>
      <c r="K1865" t="n">
        <v>0</v>
      </c>
      <c r="L1865" t="n">
        <v>0</v>
      </c>
      <c r="M1865" t="n">
        <v>0</v>
      </c>
      <c r="N1865" t="n">
        <v>0</v>
      </c>
      <c r="O1865" t="n">
        <v>0</v>
      </c>
      <c r="P1865" t="n">
        <v>0</v>
      </c>
      <c r="Q1865" t="n">
        <v>0</v>
      </c>
      <c r="R1865" s="2" t="inlineStr"/>
    </row>
    <row r="1866" ht="15" customHeight="1">
      <c r="A1866" t="inlineStr">
        <is>
          <t>A 72736-2021</t>
        </is>
      </c>
      <c r="B1866" s="1" t="n">
        <v>44546.80259259259</v>
      </c>
      <c r="C1866" s="1" t="n">
        <v>45884</v>
      </c>
      <c r="D1866" t="inlineStr">
        <is>
          <t>KALMAR LÄN</t>
        </is>
      </c>
      <c r="E1866" t="inlineStr">
        <is>
          <t>OSKARSHAMN</t>
        </is>
      </c>
      <c r="F1866" t="inlineStr">
        <is>
          <t>Sveaskog</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62946-2020</t>
        </is>
      </c>
      <c r="B1867" s="1" t="n">
        <v>44162.37409722222</v>
      </c>
      <c r="C1867" s="1" t="n">
        <v>45884</v>
      </c>
      <c r="D1867" t="inlineStr">
        <is>
          <t>KALMAR LÄN</t>
        </is>
      </c>
      <c r="E1867" t="inlineStr">
        <is>
          <t>EMMABODA</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38550-2022</t>
        </is>
      </c>
      <c r="B1868" s="1" t="n">
        <v>44813.46402777778</v>
      </c>
      <c r="C1868" s="1" t="n">
        <v>45884</v>
      </c>
      <c r="D1868" t="inlineStr">
        <is>
          <t>KALMAR LÄN</t>
        </is>
      </c>
      <c r="E1868" t="inlineStr">
        <is>
          <t>NYBRO</t>
        </is>
      </c>
      <c r="F1868" t="inlineStr">
        <is>
          <t>Sveaskog</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34036-2021</t>
        </is>
      </c>
      <c r="B1869" s="1" t="n">
        <v>44379</v>
      </c>
      <c r="C1869" s="1" t="n">
        <v>45884</v>
      </c>
      <c r="D1869" t="inlineStr">
        <is>
          <t>KALMAR LÄN</t>
        </is>
      </c>
      <c r="E1869" t="inlineStr">
        <is>
          <t>VIMMERBY</t>
        </is>
      </c>
      <c r="F1869" t="inlineStr">
        <is>
          <t>Sveaskog</t>
        </is>
      </c>
      <c r="G1869" t="n">
        <v>7</v>
      </c>
      <c r="H1869" t="n">
        <v>0</v>
      </c>
      <c r="I1869" t="n">
        <v>0</v>
      </c>
      <c r="J1869" t="n">
        <v>0</v>
      </c>
      <c r="K1869" t="n">
        <v>0</v>
      </c>
      <c r="L1869" t="n">
        <v>0</v>
      </c>
      <c r="M1869" t="n">
        <v>0</v>
      </c>
      <c r="N1869" t="n">
        <v>0</v>
      </c>
      <c r="O1869" t="n">
        <v>0</v>
      </c>
      <c r="P1869" t="n">
        <v>0</v>
      </c>
      <c r="Q1869" t="n">
        <v>0</v>
      </c>
      <c r="R1869" s="2" t="inlineStr"/>
    </row>
    <row r="1870" ht="15" customHeight="1">
      <c r="A1870" t="inlineStr">
        <is>
          <t>A 40877-2022</t>
        </is>
      </c>
      <c r="B1870" s="1" t="n">
        <v>44825.34015046297</v>
      </c>
      <c r="C1870" s="1" t="n">
        <v>45884</v>
      </c>
      <c r="D1870" t="inlineStr">
        <is>
          <t>KALMAR LÄN</t>
        </is>
      </c>
      <c r="E1870" t="inlineStr">
        <is>
          <t>HULTSFRED</t>
        </is>
      </c>
      <c r="G1870" t="n">
        <v>0.3</v>
      </c>
      <c r="H1870" t="n">
        <v>0</v>
      </c>
      <c r="I1870" t="n">
        <v>0</v>
      </c>
      <c r="J1870" t="n">
        <v>0</v>
      </c>
      <c r="K1870" t="n">
        <v>0</v>
      </c>
      <c r="L1870" t="n">
        <v>0</v>
      </c>
      <c r="M1870" t="n">
        <v>0</v>
      </c>
      <c r="N1870" t="n">
        <v>0</v>
      </c>
      <c r="O1870" t="n">
        <v>0</v>
      </c>
      <c r="P1870" t="n">
        <v>0</v>
      </c>
      <c r="Q1870" t="n">
        <v>0</v>
      </c>
      <c r="R1870" s="2" t="inlineStr"/>
    </row>
    <row r="1871" ht="15" customHeight="1">
      <c r="A1871" t="inlineStr">
        <is>
          <t>A 56389-2021</t>
        </is>
      </c>
      <c r="B1871" s="1" t="n">
        <v>44480</v>
      </c>
      <c r="C1871" s="1" t="n">
        <v>45884</v>
      </c>
      <c r="D1871" t="inlineStr">
        <is>
          <t>KALMAR LÄN</t>
        </is>
      </c>
      <c r="E1871" t="inlineStr">
        <is>
          <t>VIMMERBY</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67653-2021</t>
        </is>
      </c>
      <c r="B1872" s="1" t="n">
        <v>44524.72388888889</v>
      </c>
      <c r="C1872" s="1" t="n">
        <v>45884</v>
      </c>
      <c r="D1872" t="inlineStr">
        <is>
          <t>KALMAR LÄN</t>
        </is>
      </c>
      <c r="E1872" t="inlineStr">
        <is>
          <t>EMMABODA</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43803-2021</t>
        </is>
      </c>
      <c r="B1873" s="1" t="n">
        <v>44433</v>
      </c>
      <c r="C1873" s="1" t="n">
        <v>45884</v>
      </c>
      <c r="D1873" t="inlineStr">
        <is>
          <t>KALMAR LÄN</t>
        </is>
      </c>
      <c r="E1873" t="inlineStr">
        <is>
          <t>VÄSTERVIK</t>
        </is>
      </c>
      <c r="G1873" t="n">
        <v>4.2</v>
      </c>
      <c r="H1873" t="n">
        <v>0</v>
      </c>
      <c r="I1873" t="n">
        <v>0</v>
      </c>
      <c r="J1873" t="n">
        <v>0</v>
      </c>
      <c r="K1873" t="n">
        <v>0</v>
      </c>
      <c r="L1873" t="n">
        <v>0</v>
      </c>
      <c r="M1873" t="n">
        <v>0</v>
      </c>
      <c r="N1873" t="n">
        <v>0</v>
      </c>
      <c r="O1873" t="n">
        <v>0</v>
      </c>
      <c r="P1873" t="n">
        <v>0</v>
      </c>
      <c r="Q1873" t="n">
        <v>0</v>
      </c>
      <c r="R1873" s="2" t="inlineStr"/>
    </row>
    <row r="1874" ht="15" customHeight="1">
      <c r="A1874" t="inlineStr">
        <is>
          <t>A 42125-2021</t>
        </is>
      </c>
      <c r="B1874" s="1" t="n">
        <v>44426</v>
      </c>
      <c r="C1874" s="1" t="n">
        <v>45884</v>
      </c>
      <c r="D1874" t="inlineStr">
        <is>
          <t>KALMAR LÄN</t>
        </is>
      </c>
      <c r="E1874" t="inlineStr">
        <is>
          <t>MÖNSTERÅS</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2006-2021</t>
        </is>
      </c>
      <c r="B1875" s="1" t="n">
        <v>44210</v>
      </c>
      <c r="C1875" s="1" t="n">
        <v>45884</v>
      </c>
      <c r="D1875" t="inlineStr">
        <is>
          <t>KALMAR LÄN</t>
        </is>
      </c>
      <c r="E1875" t="inlineStr">
        <is>
          <t>KALMAR</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57439-2020</t>
        </is>
      </c>
      <c r="B1876" s="1" t="n">
        <v>44140</v>
      </c>
      <c r="C1876" s="1" t="n">
        <v>45884</v>
      </c>
      <c r="D1876" t="inlineStr">
        <is>
          <t>KALMAR LÄN</t>
        </is>
      </c>
      <c r="E1876" t="inlineStr">
        <is>
          <t>MÖNSTERÅS</t>
        </is>
      </c>
      <c r="G1876" t="n">
        <v>5.5</v>
      </c>
      <c r="H1876" t="n">
        <v>0</v>
      </c>
      <c r="I1876" t="n">
        <v>0</v>
      </c>
      <c r="J1876" t="n">
        <v>0</v>
      </c>
      <c r="K1876" t="n">
        <v>0</v>
      </c>
      <c r="L1876" t="n">
        <v>0</v>
      </c>
      <c r="M1876" t="n">
        <v>0</v>
      </c>
      <c r="N1876" t="n">
        <v>0</v>
      </c>
      <c r="O1876" t="n">
        <v>0</v>
      </c>
      <c r="P1876" t="n">
        <v>0</v>
      </c>
      <c r="Q1876" t="n">
        <v>0</v>
      </c>
      <c r="R1876" s="2" t="inlineStr"/>
    </row>
    <row r="1877" ht="15" customHeight="1">
      <c r="A1877" t="inlineStr">
        <is>
          <t>A 57937-2021</t>
        </is>
      </c>
      <c r="B1877" s="1" t="n">
        <v>44487</v>
      </c>
      <c r="C1877" s="1" t="n">
        <v>45884</v>
      </c>
      <c r="D1877" t="inlineStr">
        <is>
          <t>KALMAR LÄN</t>
        </is>
      </c>
      <c r="E1877" t="inlineStr">
        <is>
          <t>VÄSTERVIK</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52642-2022</t>
        </is>
      </c>
      <c r="B1878" s="1" t="n">
        <v>44874.77633101852</v>
      </c>
      <c r="C1878" s="1" t="n">
        <v>45884</v>
      </c>
      <c r="D1878" t="inlineStr">
        <is>
          <t>KALMAR LÄN</t>
        </is>
      </c>
      <c r="E1878" t="inlineStr">
        <is>
          <t>MÖNSTERÅS</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48394-2021</t>
        </is>
      </c>
      <c r="B1879" s="1" t="n">
        <v>44452.30709490741</v>
      </c>
      <c r="C1879" s="1" t="n">
        <v>45884</v>
      </c>
      <c r="D1879" t="inlineStr">
        <is>
          <t>KALMAR LÄN</t>
        </is>
      </c>
      <c r="E1879" t="inlineStr">
        <is>
          <t>EMMABODA</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1785-2021</t>
        </is>
      </c>
      <c r="B1880" s="1" t="n">
        <v>44210.32178240741</v>
      </c>
      <c r="C1880" s="1" t="n">
        <v>45884</v>
      </c>
      <c r="D1880" t="inlineStr">
        <is>
          <t>KALMAR LÄN</t>
        </is>
      </c>
      <c r="E1880" t="inlineStr">
        <is>
          <t>EMMABODA</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22443-2022</t>
        </is>
      </c>
      <c r="B1881" s="1" t="n">
        <v>44713</v>
      </c>
      <c r="C1881" s="1" t="n">
        <v>45884</v>
      </c>
      <c r="D1881" t="inlineStr">
        <is>
          <t>KALMAR LÄN</t>
        </is>
      </c>
      <c r="E1881" t="inlineStr">
        <is>
          <t>HULTSFRED</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39237-2021</t>
        </is>
      </c>
      <c r="B1882" s="1" t="n">
        <v>44413.45931712963</v>
      </c>
      <c r="C1882" s="1" t="n">
        <v>45884</v>
      </c>
      <c r="D1882" t="inlineStr">
        <is>
          <t>KALMAR LÄN</t>
        </is>
      </c>
      <c r="E1882" t="inlineStr">
        <is>
          <t>HÖGSBY</t>
        </is>
      </c>
      <c r="G1882" t="n">
        <v>4.6</v>
      </c>
      <c r="H1882" t="n">
        <v>0</v>
      </c>
      <c r="I1882" t="n">
        <v>0</v>
      </c>
      <c r="J1882" t="n">
        <v>0</v>
      </c>
      <c r="K1882" t="n">
        <v>0</v>
      </c>
      <c r="L1882" t="n">
        <v>0</v>
      </c>
      <c r="M1882" t="n">
        <v>0</v>
      </c>
      <c r="N1882" t="n">
        <v>0</v>
      </c>
      <c r="O1882" t="n">
        <v>0</v>
      </c>
      <c r="P1882" t="n">
        <v>0</v>
      </c>
      <c r="Q1882" t="n">
        <v>0</v>
      </c>
      <c r="R1882" s="2" t="inlineStr"/>
    </row>
    <row r="1883" ht="15" customHeight="1">
      <c r="A1883" t="inlineStr">
        <is>
          <t>A 50933-2022</t>
        </is>
      </c>
      <c r="B1883" s="1" t="n">
        <v>44865</v>
      </c>
      <c r="C1883" s="1" t="n">
        <v>45884</v>
      </c>
      <c r="D1883" t="inlineStr">
        <is>
          <t>KALMAR LÄN</t>
        </is>
      </c>
      <c r="E1883" t="inlineStr">
        <is>
          <t>OSKARSHAMN</t>
        </is>
      </c>
      <c r="F1883" t="inlineStr">
        <is>
          <t>Övriga Aktiebolag</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64390-2020</t>
        </is>
      </c>
      <c r="B1884" s="1" t="n">
        <v>44168</v>
      </c>
      <c r="C1884" s="1" t="n">
        <v>45884</v>
      </c>
      <c r="D1884" t="inlineStr">
        <is>
          <t>KALMAR LÄN</t>
        </is>
      </c>
      <c r="E1884" t="inlineStr">
        <is>
          <t>OSKARSHAMN</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22189-2022</t>
        </is>
      </c>
      <c r="B1885" s="1" t="n">
        <v>44712.48467592592</v>
      </c>
      <c r="C1885" s="1" t="n">
        <v>45884</v>
      </c>
      <c r="D1885" t="inlineStr">
        <is>
          <t>KALMAR LÄN</t>
        </is>
      </c>
      <c r="E1885" t="inlineStr">
        <is>
          <t>EMMABODA</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9299-2021</t>
        </is>
      </c>
      <c r="B1886" s="1" t="n">
        <v>44250</v>
      </c>
      <c r="C1886" s="1" t="n">
        <v>45884</v>
      </c>
      <c r="D1886" t="inlineStr">
        <is>
          <t>KALMAR LÄN</t>
        </is>
      </c>
      <c r="E1886" t="inlineStr">
        <is>
          <t>NYBRO</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62499-2020</t>
        </is>
      </c>
      <c r="B1887" s="1" t="n">
        <v>44160</v>
      </c>
      <c r="C1887" s="1" t="n">
        <v>45884</v>
      </c>
      <c r="D1887" t="inlineStr">
        <is>
          <t>KALMAR LÄN</t>
        </is>
      </c>
      <c r="E1887" t="inlineStr">
        <is>
          <t>OSKARSHAMN</t>
        </is>
      </c>
      <c r="G1887" t="n">
        <v>3</v>
      </c>
      <c r="H1887" t="n">
        <v>0</v>
      </c>
      <c r="I1887" t="n">
        <v>0</v>
      </c>
      <c r="J1887" t="n">
        <v>0</v>
      </c>
      <c r="K1887" t="n">
        <v>0</v>
      </c>
      <c r="L1887" t="n">
        <v>0</v>
      </c>
      <c r="M1887" t="n">
        <v>0</v>
      </c>
      <c r="N1887" t="n">
        <v>0</v>
      </c>
      <c r="O1887" t="n">
        <v>0</v>
      </c>
      <c r="P1887" t="n">
        <v>0</v>
      </c>
      <c r="Q1887" t="n">
        <v>0</v>
      </c>
      <c r="R1887" s="2" t="inlineStr"/>
    </row>
    <row r="1888" ht="15" customHeight="1">
      <c r="A1888" t="inlineStr">
        <is>
          <t>A 14048-2021</t>
        </is>
      </c>
      <c r="B1888" s="1" t="n">
        <v>44277.71694444444</v>
      </c>
      <c r="C1888" s="1" t="n">
        <v>45884</v>
      </c>
      <c r="D1888" t="inlineStr">
        <is>
          <t>KALMAR LÄN</t>
        </is>
      </c>
      <c r="E1888" t="inlineStr">
        <is>
          <t>TORSÅS</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64514-2020</t>
        </is>
      </c>
      <c r="B1889" s="1" t="n">
        <v>44169</v>
      </c>
      <c r="C1889" s="1" t="n">
        <v>45884</v>
      </c>
      <c r="D1889" t="inlineStr">
        <is>
          <t>KALMAR LÄN</t>
        </is>
      </c>
      <c r="E1889" t="inlineStr">
        <is>
          <t>NYBRO</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7134-2021</t>
        </is>
      </c>
      <c r="B1890" s="1" t="n">
        <v>44238</v>
      </c>
      <c r="C1890" s="1" t="n">
        <v>45884</v>
      </c>
      <c r="D1890" t="inlineStr">
        <is>
          <t>KALMAR LÄN</t>
        </is>
      </c>
      <c r="E1890" t="inlineStr">
        <is>
          <t>KALMAR</t>
        </is>
      </c>
      <c r="G1890" t="n">
        <v>8.199999999999999</v>
      </c>
      <c r="H1890" t="n">
        <v>0</v>
      </c>
      <c r="I1890" t="n">
        <v>0</v>
      </c>
      <c r="J1890" t="n">
        <v>0</v>
      </c>
      <c r="K1890" t="n">
        <v>0</v>
      </c>
      <c r="L1890" t="n">
        <v>0</v>
      </c>
      <c r="M1890" t="n">
        <v>0</v>
      </c>
      <c r="N1890" t="n">
        <v>0</v>
      </c>
      <c r="O1890" t="n">
        <v>0</v>
      </c>
      <c r="P1890" t="n">
        <v>0</v>
      </c>
      <c r="Q1890" t="n">
        <v>0</v>
      </c>
      <c r="R1890" s="2" t="inlineStr"/>
    </row>
    <row r="1891" ht="15" customHeight="1">
      <c r="A1891" t="inlineStr">
        <is>
          <t>A 7136-2021</t>
        </is>
      </c>
      <c r="B1891" s="1" t="n">
        <v>44238</v>
      </c>
      <c r="C1891" s="1" t="n">
        <v>45884</v>
      </c>
      <c r="D1891" t="inlineStr">
        <is>
          <t>KALMAR LÄN</t>
        </is>
      </c>
      <c r="E1891" t="inlineStr">
        <is>
          <t>EMMABODA</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34953-2021</t>
        </is>
      </c>
      <c r="B1892" s="1" t="n">
        <v>44383</v>
      </c>
      <c r="C1892" s="1" t="n">
        <v>45884</v>
      </c>
      <c r="D1892" t="inlineStr">
        <is>
          <t>KALMAR LÄN</t>
        </is>
      </c>
      <c r="E1892" t="inlineStr">
        <is>
          <t>VÄSTERVIK</t>
        </is>
      </c>
      <c r="G1892" t="n">
        <v>4.4</v>
      </c>
      <c r="H1892" t="n">
        <v>0</v>
      </c>
      <c r="I1892" t="n">
        <v>0</v>
      </c>
      <c r="J1892" t="n">
        <v>0</v>
      </c>
      <c r="K1892" t="n">
        <v>0</v>
      </c>
      <c r="L1892" t="n">
        <v>0</v>
      </c>
      <c r="M1892" t="n">
        <v>0</v>
      </c>
      <c r="N1892" t="n">
        <v>0</v>
      </c>
      <c r="O1892" t="n">
        <v>0</v>
      </c>
      <c r="P1892" t="n">
        <v>0</v>
      </c>
      <c r="Q1892" t="n">
        <v>0</v>
      </c>
      <c r="R1892" s="2" t="inlineStr"/>
    </row>
    <row r="1893" ht="15" customHeight="1">
      <c r="A1893" t="inlineStr">
        <is>
          <t>A 34976-2021</t>
        </is>
      </c>
      <c r="B1893" s="1" t="n">
        <v>44383.61637731481</v>
      </c>
      <c r="C1893" s="1" t="n">
        <v>45884</v>
      </c>
      <c r="D1893" t="inlineStr">
        <is>
          <t>KALMAR LÄN</t>
        </is>
      </c>
      <c r="E1893" t="inlineStr">
        <is>
          <t>EMMABODA</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57318-2021</t>
        </is>
      </c>
      <c r="B1894" s="1" t="n">
        <v>44483.44872685185</v>
      </c>
      <c r="C1894" s="1" t="n">
        <v>45884</v>
      </c>
      <c r="D1894" t="inlineStr">
        <is>
          <t>KALMAR LÄN</t>
        </is>
      </c>
      <c r="E1894" t="inlineStr">
        <is>
          <t>OSKARSHAMN</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9636-2022</t>
        </is>
      </c>
      <c r="B1895" s="1" t="n">
        <v>44617.57709490741</v>
      </c>
      <c r="C1895" s="1" t="n">
        <v>45884</v>
      </c>
      <c r="D1895" t="inlineStr">
        <is>
          <t>KALMAR LÄN</t>
        </is>
      </c>
      <c r="E1895" t="inlineStr">
        <is>
          <t>NYBRO</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72059-2021</t>
        </is>
      </c>
      <c r="B1896" s="1" t="n">
        <v>44542</v>
      </c>
      <c r="C1896" s="1" t="n">
        <v>45884</v>
      </c>
      <c r="D1896" t="inlineStr">
        <is>
          <t>KALMAR LÄN</t>
        </is>
      </c>
      <c r="E1896" t="inlineStr">
        <is>
          <t>HÖGSBY</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72066-2021</t>
        </is>
      </c>
      <c r="B1897" s="1" t="n">
        <v>44542</v>
      </c>
      <c r="C1897" s="1" t="n">
        <v>45884</v>
      </c>
      <c r="D1897" t="inlineStr">
        <is>
          <t>KALMAR LÄN</t>
        </is>
      </c>
      <c r="E1897" t="inlineStr">
        <is>
          <t>HÖGSBY</t>
        </is>
      </c>
      <c r="G1897" t="n">
        <v>3.7</v>
      </c>
      <c r="H1897" t="n">
        <v>0</v>
      </c>
      <c r="I1897" t="n">
        <v>0</v>
      </c>
      <c r="J1897" t="n">
        <v>0</v>
      </c>
      <c r="K1897" t="n">
        <v>0</v>
      </c>
      <c r="L1897" t="n">
        <v>0</v>
      </c>
      <c r="M1897" t="n">
        <v>0</v>
      </c>
      <c r="N1897" t="n">
        <v>0</v>
      </c>
      <c r="O1897" t="n">
        <v>0</v>
      </c>
      <c r="P1897" t="n">
        <v>0</v>
      </c>
      <c r="Q1897" t="n">
        <v>0</v>
      </c>
      <c r="R1897" s="2" t="inlineStr"/>
    </row>
    <row r="1898" ht="15" customHeight="1">
      <c r="A1898" t="inlineStr">
        <is>
          <t>A 1066-2021</t>
        </is>
      </c>
      <c r="B1898" s="1" t="n">
        <v>44207</v>
      </c>
      <c r="C1898" s="1" t="n">
        <v>45884</v>
      </c>
      <c r="D1898" t="inlineStr">
        <is>
          <t>KALMAR LÄN</t>
        </is>
      </c>
      <c r="E1898" t="inlineStr">
        <is>
          <t>TORSÅS</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1105-2021</t>
        </is>
      </c>
      <c r="B1899" s="1" t="n">
        <v>44207.56376157407</v>
      </c>
      <c r="C1899" s="1" t="n">
        <v>45884</v>
      </c>
      <c r="D1899" t="inlineStr">
        <is>
          <t>KALMAR LÄN</t>
        </is>
      </c>
      <c r="E1899" t="inlineStr">
        <is>
          <t>NYBRO</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51142-2021</t>
        </is>
      </c>
      <c r="B1900" s="1" t="n">
        <v>44461.4503587963</v>
      </c>
      <c r="C1900" s="1" t="n">
        <v>45884</v>
      </c>
      <c r="D1900" t="inlineStr">
        <is>
          <t>KALMAR LÄN</t>
        </is>
      </c>
      <c r="E1900" t="inlineStr">
        <is>
          <t>KALMAR</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56983-2021</t>
        </is>
      </c>
      <c r="B1901" s="1" t="n">
        <v>44482</v>
      </c>
      <c r="C1901" s="1" t="n">
        <v>45884</v>
      </c>
      <c r="D1901" t="inlineStr">
        <is>
          <t>KALMAR LÄN</t>
        </is>
      </c>
      <c r="E1901" t="inlineStr">
        <is>
          <t>BORGHOLM</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63244-2021</t>
        </is>
      </c>
      <c r="B1902" s="1" t="n">
        <v>44508</v>
      </c>
      <c r="C1902" s="1" t="n">
        <v>45884</v>
      </c>
      <c r="D1902" t="inlineStr">
        <is>
          <t>KALMAR LÄN</t>
        </is>
      </c>
      <c r="E1902" t="inlineStr">
        <is>
          <t>VIMMERBY</t>
        </is>
      </c>
      <c r="F1902" t="inlineStr">
        <is>
          <t>Övriga statliga verk och myndigheter</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19529-2021</t>
        </is>
      </c>
      <c r="B1903" s="1" t="n">
        <v>44312.38436342592</v>
      </c>
      <c r="C1903" s="1" t="n">
        <v>45884</v>
      </c>
      <c r="D1903" t="inlineStr">
        <is>
          <t>KALMAR LÄN</t>
        </is>
      </c>
      <c r="E1903" t="inlineStr">
        <is>
          <t>KALMAR</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13830-2021</t>
        </is>
      </c>
      <c r="B1904" s="1" t="n">
        <v>44275</v>
      </c>
      <c r="C1904" s="1" t="n">
        <v>45884</v>
      </c>
      <c r="D1904" t="inlineStr">
        <is>
          <t>KALMAR LÄN</t>
        </is>
      </c>
      <c r="E1904" t="inlineStr">
        <is>
          <t>TORSÅS</t>
        </is>
      </c>
      <c r="G1904" t="n">
        <v>5.3</v>
      </c>
      <c r="H1904" t="n">
        <v>0</v>
      </c>
      <c r="I1904" t="n">
        <v>0</v>
      </c>
      <c r="J1904" t="n">
        <v>0</v>
      </c>
      <c r="K1904" t="n">
        <v>0</v>
      </c>
      <c r="L1904" t="n">
        <v>0</v>
      </c>
      <c r="M1904" t="n">
        <v>0</v>
      </c>
      <c r="N1904" t="n">
        <v>0</v>
      </c>
      <c r="O1904" t="n">
        <v>0</v>
      </c>
      <c r="P1904" t="n">
        <v>0</v>
      </c>
      <c r="Q1904" t="n">
        <v>0</v>
      </c>
      <c r="R1904" s="2" t="inlineStr"/>
    </row>
    <row r="1905" ht="15" customHeight="1">
      <c r="A1905" t="inlineStr">
        <is>
          <t>A 56308-2020</t>
        </is>
      </c>
      <c r="B1905" s="1" t="n">
        <v>44134.59319444445</v>
      </c>
      <c r="C1905" s="1" t="n">
        <v>45884</v>
      </c>
      <c r="D1905" t="inlineStr">
        <is>
          <t>KALMAR LÄN</t>
        </is>
      </c>
      <c r="E1905" t="inlineStr">
        <is>
          <t>TORSÅS</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41689-2022</t>
        </is>
      </c>
      <c r="B1906" s="1" t="n">
        <v>44827</v>
      </c>
      <c r="C1906" s="1" t="n">
        <v>45884</v>
      </c>
      <c r="D1906" t="inlineStr">
        <is>
          <t>KALMAR LÄN</t>
        </is>
      </c>
      <c r="E1906" t="inlineStr">
        <is>
          <t>MÖNSTERÅS</t>
        </is>
      </c>
      <c r="G1906" t="n">
        <v>0.1</v>
      </c>
      <c r="H1906" t="n">
        <v>0</v>
      </c>
      <c r="I1906" t="n">
        <v>0</v>
      </c>
      <c r="J1906" t="n">
        <v>0</v>
      </c>
      <c r="K1906" t="n">
        <v>0</v>
      </c>
      <c r="L1906" t="n">
        <v>0</v>
      </c>
      <c r="M1906" t="n">
        <v>0</v>
      </c>
      <c r="N1906" t="n">
        <v>0</v>
      </c>
      <c r="O1906" t="n">
        <v>0</v>
      </c>
      <c r="P1906" t="n">
        <v>0</v>
      </c>
      <c r="Q1906" t="n">
        <v>0</v>
      </c>
      <c r="R1906" s="2" t="inlineStr"/>
    </row>
    <row r="1907" ht="15" customHeight="1">
      <c r="A1907" t="inlineStr">
        <is>
          <t>A 45528-2020</t>
        </is>
      </c>
      <c r="B1907" s="1" t="n">
        <v>44089.78633101852</v>
      </c>
      <c r="C1907" s="1" t="n">
        <v>45884</v>
      </c>
      <c r="D1907" t="inlineStr">
        <is>
          <t>KALMAR LÄN</t>
        </is>
      </c>
      <c r="E1907" t="inlineStr">
        <is>
          <t>VIMMERBY</t>
        </is>
      </c>
      <c r="G1907" t="n">
        <v>3.8</v>
      </c>
      <c r="H1907" t="n">
        <v>0</v>
      </c>
      <c r="I1907" t="n">
        <v>0</v>
      </c>
      <c r="J1907" t="n">
        <v>0</v>
      </c>
      <c r="K1907" t="n">
        <v>0</v>
      </c>
      <c r="L1907" t="n">
        <v>0</v>
      </c>
      <c r="M1907" t="n">
        <v>0</v>
      </c>
      <c r="N1907" t="n">
        <v>0</v>
      </c>
      <c r="O1907" t="n">
        <v>0</v>
      </c>
      <c r="P1907" t="n">
        <v>0</v>
      </c>
      <c r="Q1907" t="n">
        <v>0</v>
      </c>
      <c r="R1907" s="2" t="inlineStr"/>
    </row>
    <row r="1908" ht="15" customHeight="1">
      <c r="A1908" t="inlineStr">
        <is>
          <t>A 68241-2020</t>
        </is>
      </c>
      <c r="B1908" s="1" t="n">
        <v>44183</v>
      </c>
      <c r="C1908" s="1" t="n">
        <v>45884</v>
      </c>
      <c r="D1908" t="inlineStr">
        <is>
          <t>KALMAR LÄN</t>
        </is>
      </c>
      <c r="E1908" t="inlineStr">
        <is>
          <t>MÖNSTERÅS</t>
        </is>
      </c>
      <c r="G1908" t="n">
        <v>9.300000000000001</v>
      </c>
      <c r="H1908" t="n">
        <v>0</v>
      </c>
      <c r="I1908" t="n">
        <v>0</v>
      </c>
      <c r="J1908" t="n">
        <v>0</v>
      </c>
      <c r="K1908" t="n">
        <v>0</v>
      </c>
      <c r="L1908" t="n">
        <v>0</v>
      </c>
      <c r="M1908" t="n">
        <v>0</v>
      </c>
      <c r="N1908" t="n">
        <v>0</v>
      </c>
      <c r="O1908" t="n">
        <v>0</v>
      </c>
      <c r="P1908" t="n">
        <v>0</v>
      </c>
      <c r="Q1908" t="n">
        <v>0</v>
      </c>
      <c r="R1908" s="2" t="inlineStr"/>
    </row>
    <row r="1909" ht="15" customHeight="1">
      <c r="A1909" t="inlineStr">
        <is>
          <t>A 40376-2021</t>
        </is>
      </c>
      <c r="B1909" s="1" t="n">
        <v>44419</v>
      </c>
      <c r="C1909" s="1" t="n">
        <v>45884</v>
      </c>
      <c r="D1909" t="inlineStr">
        <is>
          <t>KALMAR LÄN</t>
        </is>
      </c>
      <c r="E1909" t="inlineStr">
        <is>
          <t>NYBRO</t>
        </is>
      </c>
      <c r="G1909" t="n">
        <v>3.6</v>
      </c>
      <c r="H1909" t="n">
        <v>0</v>
      </c>
      <c r="I1909" t="n">
        <v>0</v>
      </c>
      <c r="J1909" t="n">
        <v>0</v>
      </c>
      <c r="K1909" t="n">
        <v>0</v>
      </c>
      <c r="L1909" t="n">
        <v>0</v>
      </c>
      <c r="M1909" t="n">
        <v>0</v>
      </c>
      <c r="N1909" t="n">
        <v>0</v>
      </c>
      <c r="O1909" t="n">
        <v>0</v>
      </c>
      <c r="P1909" t="n">
        <v>0</v>
      </c>
      <c r="Q1909" t="n">
        <v>0</v>
      </c>
      <c r="R1909" s="2" t="inlineStr"/>
    </row>
    <row r="1910" ht="15" customHeight="1">
      <c r="A1910" t="inlineStr">
        <is>
          <t>A 618-2021</t>
        </is>
      </c>
      <c r="B1910" s="1" t="n">
        <v>44203</v>
      </c>
      <c r="C1910" s="1" t="n">
        <v>45884</v>
      </c>
      <c r="D1910" t="inlineStr">
        <is>
          <t>KALMAR LÄN</t>
        </is>
      </c>
      <c r="E1910" t="inlineStr">
        <is>
          <t>VIMMERBY</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41658-2020</t>
        </is>
      </c>
      <c r="B1911" s="1" t="n">
        <v>44074</v>
      </c>
      <c r="C1911" s="1" t="n">
        <v>45884</v>
      </c>
      <c r="D1911" t="inlineStr">
        <is>
          <t>KALMAR LÄN</t>
        </is>
      </c>
      <c r="E1911" t="inlineStr">
        <is>
          <t>KALMAR</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41731-2020</t>
        </is>
      </c>
      <c r="B1912" s="1" t="n">
        <v>44074</v>
      </c>
      <c r="C1912" s="1" t="n">
        <v>45884</v>
      </c>
      <c r="D1912" t="inlineStr">
        <is>
          <t>KALMAR LÄN</t>
        </is>
      </c>
      <c r="E1912" t="inlineStr">
        <is>
          <t>MÖNSTERÅS</t>
        </is>
      </c>
      <c r="F1912" t="inlineStr">
        <is>
          <t>Kommuner</t>
        </is>
      </c>
      <c r="G1912" t="n">
        <v>3.4</v>
      </c>
      <c r="H1912" t="n">
        <v>0</v>
      </c>
      <c r="I1912" t="n">
        <v>0</v>
      </c>
      <c r="J1912" t="n">
        <v>0</v>
      </c>
      <c r="K1912" t="n">
        <v>0</v>
      </c>
      <c r="L1912" t="n">
        <v>0</v>
      </c>
      <c r="M1912" t="n">
        <v>0</v>
      </c>
      <c r="N1912" t="n">
        <v>0</v>
      </c>
      <c r="O1912" t="n">
        <v>0</v>
      </c>
      <c r="P1912" t="n">
        <v>0</v>
      </c>
      <c r="Q1912" t="n">
        <v>0</v>
      </c>
      <c r="R1912" s="2" t="inlineStr"/>
    </row>
    <row r="1913" ht="15" customHeight="1">
      <c r="A1913" t="inlineStr">
        <is>
          <t>A 5551-2022</t>
        </is>
      </c>
      <c r="B1913" s="1" t="n">
        <v>44595.63739583334</v>
      </c>
      <c r="C1913" s="1" t="n">
        <v>45884</v>
      </c>
      <c r="D1913" t="inlineStr">
        <is>
          <t>KALMAR LÄN</t>
        </is>
      </c>
      <c r="E1913" t="inlineStr">
        <is>
          <t>VÄSTERVIK</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3330-2021</t>
        </is>
      </c>
      <c r="B1914" s="1" t="n">
        <v>44217.79856481482</v>
      </c>
      <c r="C1914" s="1" t="n">
        <v>45884</v>
      </c>
      <c r="D1914" t="inlineStr">
        <is>
          <t>KALMAR LÄN</t>
        </is>
      </c>
      <c r="E1914" t="inlineStr">
        <is>
          <t>VIMMERBY</t>
        </is>
      </c>
      <c r="G1914" t="n">
        <v>11.1</v>
      </c>
      <c r="H1914" t="n">
        <v>0</v>
      </c>
      <c r="I1914" t="n">
        <v>0</v>
      </c>
      <c r="J1914" t="n">
        <v>0</v>
      </c>
      <c r="K1914" t="n">
        <v>0</v>
      </c>
      <c r="L1914" t="n">
        <v>0</v>
      </c>
      <c r="M1914" t="n">
        <v>0</v>
      </c>
      <c r="N1914" t="n">
        <v>0</v>
      </c>
      <c r="O1914" t="n">
        <v>0</v>
      </c>
      <c r="P1914" t="n">
        <v>0</v>
      </c>
      <c r="Q1914" t="n">
        <v>0</v>
      </c>
      <c r="R1914" s="2" t="inlineStr"/>
    </row>
    <row r="1915" ht="15" customHeight="1">
      <c r="A1915" t="inlineStr">
        <is>
          <t>A 5661-2022</t>
        </is>
      </c>
      <c r="B1915" s="1" t="n">
        <v>44596.27380787037</v>
      </c>
      <c r="C1915" s="1" t="n">
        <v>45884</v>
      </c>
      <c r="D1915" t="inlineStr">
        <is>
          <t>KALMAR LÄN</t>
        </is>
      </c>
      <c r="E1915" t="inlineStr">
        <is>
          <t>OSKARSHAMN</t>
        </is>
      </c>
      <c r="F1915" t="inlineStr">
        <is>
          <t>Sveaskog</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59262-2020</t>
        </is>
      </c>
      <c r="B1916" s="1" t="n">
        <v>44147</v>
      </c>
      <c r="C1916" s="1" t="n">
        <v>45884</v>
      </c>
      <c r="D1916" t="inlineStr">
        <is>
          <t>KALMAR LÄN</t>
        </is>
      </c>
      <c r="E1916" t="inlineStr">
        <is>
          <t>KALMAR</t>
        </is>
      </c>
      <c r="G1916" t="n">
        <v>5.2</v>
      </c>
      <c r="H1916" t="n">
        <v>0</v>
      </c>
      <c r="I1916" t="n">
        <v>0</v>
      </c>
      <c r="J1916" t="n">
        <v>0</v>
      </c>
      <c r="K1916" t="n">
        <v>0</v>
      </c>
      <c r="L1916" t="n">
        <v>0</v>
      </c>
      <c r="M1916" t="n">
        <v>0</v>
      </c>
      <c r="N1916" t="n">
        <v>0</v>
      </c>
      <c r="O1916" t="n">
        <v>0</v>
      </c>
      <c r="P1916" t="n">
        <v>0</v>
      </c>
      <c r="Q1916" t="n">
        <v>0</v>
      </c>
      <c r="R1916" s="2" t="inlineStr"/>
    </row>
    <row r="1917" ht="15" customHeight="1">
      <c r="A1917" t="inlineStr">
        <is>
          <t>A 13230-2021</t>
        </is>
      </c>
      <c r="B1917" s="1" t="n">
        <v>44272</v>
      </c>
      <c r="C1917" s="1" t="n">
        <v>45884</v>
      </c>
      <c r="D1917" t="inlineStr">
        <is>
          <t>KALMAR LÄN</t>
        </is>
      </c>
      <c r="E1917" t="inlineStr">
        <is>
          <t>VÄSTERVIK</t>
        </is>
      </c>
      <c r="G1917" t="n">
        <v>7.2</v>
      </c>
      <c r="H1917" t="n">
        <v>0</v>
      </c>
      <c r="I1917" t="n">
        <v>0</v>
      </c>
      <c r="J1917" t="n">
        <v>0</v>
      </c>
      <c r="K1917" t="n">
        <v>0</v>
      </c>
      <c r="L1917" t="n">
        <v>0</v>
      </c>
      <c r="M1917" t="n">
        <v>0</v>
      </c>
      <c r="N1917" t="n">
        <v>0</v>
      </c>
      <c r="O1917" t="n">
        <v>0</v>
      </c>
      <c r="P1917" t="n">
        <v>0</v>
      </c>
      <c r="Q1917" t="n">
        <v>0</v>
      </c>
      <c r="R1917" s="2" t="inlineStr"/>
    </row>
    <row r="1918" ht="15" customHeight="1">
      <c r="A1918" t="inlineStr">
        <is>
          <t>A 40598-2021</t>
        </is>
      </c>
      <c r="B1918" s="1" t="n">
        <v>44420</v>
      </c>
      <c r="C1918" s="1" t="n">
        <v>45884</v>
      </c>
      <c r="D1918" t="inlineStr">
        <is>
          <t>KALMAR LÄN</t>
        </is>
      </c>
      <c r="E1918" t="inlineStr">
        <is>
          <t>HULTSFRED</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47525-2021</t>
        </is>
      </c>
      <c r="B1919" s="1" t="n">
        <v>44447</v>
      </c>
      <c r="C1919" s="1" t="n">
        <v>45884</v>
      </c>
      <c r="D1919" t="inlineStr">
        <is>
          <t>KALMAR LÄN</t>
        </is>
      </c>
      <c r="E1919" t="inlineStr">
        <is>
          <t>VÄSTERVIK</t>
        </is>
      </c>
      <c r="F1919" t="inlineStr">
        <is>
          <t>Sveaskog</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4890-2022</t>
        </is>
      </c>
      <c r="B1920" s="1" t="n">
        <v>44593.37407407408</v>
      </c>
      <c r="C1920" s="1" t="n">
        <v>45884</v>
      </c>
      <c r="D1920" t="inlineStr">
        <is>
          <t>KALMAR LÄN</t>
        </is>
      </c>
      <c r="E1920" t="inlineStr">
        <is>
          <t>HÖGSBY</t>
        </is>
      </c>
      <c r="G1920" t="n">
        <v>3.4</v>
      </c>
      <c r="H1920" t="n">
        <v>0</v>
      </c>
      <c r="I1920" t="n">
        <v>0</v>
      </c>
      <c r="J1920" t="n">
        <v>0</v>
      </c>
      <c r="K1920" t="n">
        <v>0</v>
      </c>
      <c r="L1920" t="n">
        <v>0</v>
      </c>
      <c r="M1920" t="n">
        <v>0</v>
      </c>
      <c r="N1920" t="n">
        <v>0</v>
      </c>
      <c r="O1920" t="n">
        <v>0</v>
      </c>
      <c r="P1920" t="n">
        <v>0</v>
      </c>
      <c r="Q1920" t="n">
        <v>0</v>
      </c>
      <c r="R1920" s="2" t="inlineStr"/>
    </row>
    <row r="1921" ht="15" customHeight="1">
      <c r="A1921" t="inlineStr">
        <is>
          <t>A 40934-2022</t>
        </is>
      </c>
      <c r="B1921" s="1" t="n">
        <v>44820</v>
      </c>
      <c r="C1921" s="1" t="n">
        <v>45884</v>
      </c>
      <c r="D1921" t="inlineStr">
        <is>
          <t>KALMAR LÄN</t>
        </is>
      </c>
      <c r="E1921" t="inlineStr">
        <is>
          <t>EMMABODA</t>
        </is>
      </c>
      <c r="F1921" t="inlineStr">
        <is>
          <t>Övriga Aktiebolag</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8065-2021</t>
        </is>
      </c>
      <c r="B1922" s="1" t="n">
        <v>44243</v>
      </c>
      <c r="C1922" s="1" t="n">
        <v>45884</v>
      </c>
      <c r="D1922" t="inlineStr">
        <is>
          <t>KALMAR LÄN</t>
        </is>
      </c>
      <c r="E1922" t="inlineStr">
        <is>
          <t>TORSÅS</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21470-2022</t>
        </is>
      </c>
      <c r="B1923" s="1" t="n">
        <v>44706</v>
      </c>
      <c r="C1923" s="1" t="n">
        <v>45884</v>
      </c>
      <c r="D1923" t="inlineStr">
        <is>
          <t>KALMAR LÄN</t>
        </is>
      </c>
      <c r="E1923" t="inlineStr">
        <is>
          <t>EMMABODA</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42594-2021</t>
        </is>
      </c>
      <c r="B1924" s="1" t="n">
        <v>44428</v>
      </c>
      <c r="C1924" s="1" t="n">
        <v>45884</v>
      </c>
      <c r="D1924" t="inlineStr">
        <is>
          <t>KALMAR LÄN</t>
        </is>
      </c>
      <c r="E1924" t="inlineStr">
        <is>
          <t>OSKARSHAMN</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17865-2021</t>
        </is>
      </c>
      <c r="B1925" s="1" t="n">
        <v>44301.35189814815</v>
      </c>
      <c r="C1925" s="1" t="n">
        <v>45884</v>
      </c>
      <c r="D1925" t="inlineStr">
        <is>
          <t>KALMAR LÄN</t>
        </is>
      </c>
      <c r="E1925" t="inlineStr">
        <is>
          <t>KALMAR</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360-2022</t>
        </is>
      </c>
      <c r="B1926" s="1" t="n">
        <v>44565.63162037037</v>
      </c>
      <c r="C1926" s="1" t="n">
        <v>45884</v>
      </c>
      <c r="D1926" t="inlineStr">
        <is>
          <t>KALMAR LÄN</t>
        </is>
      </c>
      <c r="E1926" t="inlineStr">
        <is>
          <t>VÄSTERVIK</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64525-2021</t>
        </is>
      </c>
      <c r="B1927" s="1" t="n">
        <v>44511.6225462963</v>
      </c>
      <c r="C1927" s="1" t="n">
        <v>45884</v>
      </c>
      <c r="D1927" t="inlineStr">
        <is>
          <t>KALMAR LÄN</t>
        </is>
      </c>
      <c r="E1927" t="inlineStr">
        <is>
          <t>MÖNSTERÅS</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17560-2021</t>
        </is>
      </c>
      <c r="B1928" s="1" t="n">
        <v>44299.65049768519</v>
      </c>
      <c r="C1928" s="1" t="n">
        <v>45884</v>
      </c>
      <c r="D1928" t="inlineStr">
        <is>
          <t>KALMAR LÄN</t>
        </is>
      </c>
      <c r="E1928" t="inlineStr">
        <is>
          <t>NYBRO</t>
        </is>
      </c>
      <c r="G1928" t="n">
        <v>7.6</v>
      </c>
      <c r="H1928" t="n">
        <v>0</v>
      </c>
      <c r="I1928" t="n">
        <v>0</v>
      </c>
      <c r="J1928" t="n">
        <v>0</v>
      </c>
      <c r="K1928" t="n">
        <v>0</v>
      </c>
      <c r="L1928" t="n">
        <v>0</v>
      </c>
      <c r="M1928" t="n">
        <v>0</v>
      </c>
      <c r="N1928" t="n">
        <v>0</v>
      </c>
      <c r="O1928" t="n">
        <v>0</v>
      </c>
      <c r="P1928" t="n">
        <v>0</v>
      </c>
      <c r="Q1928" t="n">
        <v>0</v>
      </c>
      <c r="R1928" s="2" t="inlineStr"/>
    </row>
    <row r="1929" ht="15" customHeight="1">
      <c r="A1929" t="inlineStr">
        <is>
          <t>A 22195-2021</t>
        </is>
      </c>
      <c r="B1929" s="1" t="n">
        <v>44326.34189814814</v>
      </c>
      <c r="C1929" s="1" t="n">
        <v>45884</v>
      </c>
      <c r="D1929" t="inlineStr">
        <is>
          <t>KALMAR LÄN</t>
        </is>
      </c>
      <c r="E1929" t="inlineStr">
        <is>
          <t>KALMAR</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40890-2020</t>
        </is>
      </c>
      <c r="B1930" s="1" t="n">
        <v>44070</v>
      </c>
      <c r="C1930" s="1" t="n">
        <v>45884</v>
      </c>
      <c r="D1930" t="inlineStr">
        <is>
          <t>KALMAR LÄN</t>
        </is>
      </c>
      <c r="E1930" t="inlineStr">
        <is>
          <t>VIMMERBY</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42355-2020</t>
        </is>
      </c>
      <c r="B1931" s="1" t="n">
        <v>44076</v>
      </c>
      <c r="C1931" s="1" t="n">
        <v>45884</v>
      </c>
      <c r="D1931" t="inlineStr">
        <is>
          <t>KALMAR LÄN</t>
        </is>
      </c>
      <c r="E1931" t="inlineStr">
        <is>
          <t>HÖGSBY</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12241-2021</t>
        </is>
      </c>
      <c r="B1932" s="1" t="n">
        <v>44266.7240625</v>
      </c>
      <c r="C1932" s="1" t="n">
        <v>45884</v>
      </c>
      <c r="D1932" t="inlineStr">
        <is>
          <t>KALMAR LÄN</t>
        </is>
      </c>
      <c r="E1932" t="inlineStr">
        <is>
          <t>VIMMERBY</t>
        </is>
      </c>
      <c r="F1932" t="inlineStr">
        <is>
          <t>Sveaskog</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57184-2021</t>
        </is>
      </c>
      <c r="B1933" s="1" t="n">
        <v>44482</v>
      </c>
      <c r="C1933" s="1" t="n">
        <v>45884</v>
      </c>
      <c r="D1933" t="inlineStr">
        <is>
          <t>KALMAR LÄN</t>
        </is>
      </c>
      <c r="E1933" t="inlineStr">
        <is>
          <t>HULTSFRED</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17124-2021</t>
        </is>
      </c>
      <c r="B1934" s="1" t="n">
        <v>44298</v>
      </c>
      <c r="C1934" s="1" t="n">
        <v>45884</v>
      </c>
      <c r="D1934" t="inlineStr">
        <is>
          <t>KALMAR LÄN</t>
        </is>
      </c>
      <c r="E1934" t="inlineStr">
        <is>
          <t>VÄSTERVIK</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14374-2022</t>
        </is>
      </c>
      <c r="B1935" s="1" t="n">
        <v>44652</v>
      </c>
      <c r="C1935" s="1" t="n">
        <v>45884</v>
      </c>
      <c r="D1935" t="inlineStr">
        <is>
          <t>KALMAR LÄN</t>
        </is>
      </c>
      <c r="E1935" t="inlineStr">
        <is>
          <t>EMMABODA</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64558-2021</t>
        </is>
      </c>
      <c r="B1936" s="1" t="n">
        <v>44511</v>
      </c>
      <c r="C1936" s="1" t="n">
        <v>45884</v>
      </c>
      <c r="D1936" t="inlineStr">
        <is>
          <t>KALMAR LÄN</t>
        </is>
      </c>
      <c r="E1936" t="inlineStr">
        <is>
          <t>VÄSTERVIK</t>
        </is>
      </c>
      <c r="F1936" t="inlineStr">
        <is>
          <t>Övriga Aktiebolag</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67952-2021</t>
        </is>
      </c>
      <c r="B1937" s="1" t="n">
        <v>44525.63913194444</v>
      </c>
      <c r="C1937" s="1" t="n">
        <v>45884</v>
      </c>
      <c r="D1937" t="inlineStr">
        <is>
          <t>KALMAR LÄN</t>
        </is>
      </c>
      <c r="E1937" t="inlineStr">
        <is>
          <t>VIMMERBY</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27810-2022</t>
        </is>
      </c>
      <c r="B1938" s="1" t="n">
        <v>44743.57672453704</v>
      </c>
      <c r="C1938" s="1" t="n">
        <v>45884</v>
      </c>
      <c r="D1938" t="inlineStr">
        <is>
          <t>KALMAR LÄN</t>
        </is>
      </c>
      <c r="E1938" t="inlineStr">
        <is>
          <t>HULTSFRED</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58394-2020</t>
        </is>
      </c>
      <c r="B1939" s="1" t="n">
        <v>44145</v>
      </c>
      <c r="C1939" s="1" t="n">
        <v>45884</v>
      </c>
      <c r="D1939" t="inlineStr">
        <is>
          <t>KALMAR LÄN</t>
        </is>
      </c>
      <c r="E1939" t="inlineStr">
        <is>
          <t>BORGHOLM</t>
        </is>
      </c>
      <c r="F1939" t="inlineStr">
        <is>
          <t>Sveaskog</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64991-2021</t>
        </is>
      </c>
      <c r="B1940" s="1" t="n">
        <v>44514</v>
      </c>
      <c r="C1940" s="1" t="n">
        <v>45884</v>
      </c>
      <c r="D1940" t="inlineStr">
        <is>
          <t>KALMAR LÄN</t>
        </is>
      </c>
      <c r="E1940" t="inlineStr">
        <is>
          <t>TORSÅS</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34922-2021</t>
        </is>
      </c>
      <c r="B1941" s="1" t="n">
        <v>44383.559375</v>
      </c>
      <c r="C1941" s="1" t="n">
        <v>45884</v>
      </c>
      <c r="D1941" t="inlineStr">
        <is>
          <t>KALMAR LÄN</t>
        </is>
      </c>
      <c r="E1941" t="inlineStr">
        <is>
          <t>EMMABODA</t>
        </is>
      </c>
      <c r="G1941" t="n">
        <v>2.3</v>
      </c>
      <c r="H1941" t="n">
        <v>0</v>
      </c>
      <c r="I1941" t="n">
        <v>0</v>
      </c>
      <c r="J1941" t="n">
        <v>0</v>
      </c>
      <c r="K1941" t="n">
        <v>0</v>
      </c>
      <c r="L1941" t="n">
        <v>0</v>
      </c>
      <c r="M1941" t="n">
        <v>0</v>
      </c>
      <c r="N1941" t="n">
        <v>0</v>
      </c>
      <c r="O1941" t="n">
        <v>0</v>
      </c>
      <c r="P1941" t="n">
        <v>0</v>
      </c>
      <c r="Q1941" t="n">
        <v>0</v>
      </c>
      <c r="R1941" s="2" t="inlineStr"/>
    </row>
    <row r="1942" ht="15" customHeight="1">
      <c r="A1942" t="inlineStr">
        <is>
          <t>A 34975-2021</t>
        </is>
      </c>
      <c r="B1942" s="1" t="n">
        <v>44383.61515046296</v>
      </c>
      <c r="C1942" s="1" t="n">
        <v>45884</v>
      </c>
      <c r="D1942" t="inlineStr">
        <is>
          <t>KALMAR LÄN</t>
        </is>
      </c>
      <c r="E1942" t="inlineStr">
        <is>
          <t>EMMABODA</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56620-2021</t>
        </is>
      </c>
      <c r="B1943" s="1" t="n">
        <v>44480.82778935185</v>
      </c>
      <c r="C1943" s="1" t="n">
        <v>45884</v>
      </c>
      <c r="D1943" t="inlineStr">
        <is>
          <t>KALMAR LÄN</t>
        </is>
      </c>
      <c r="E1943" t="inlineStr">
        <is>
          <t>VÄSTERVIK</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12662-2021</t>
        </is>
      </c>
      <c r="B1944" s="1" t="n">
        <v>44270.49743055556</v>
      </c>
      <c r="C1944" s="1" t="n">
        <v>45884</v>
      </c>
      <c r="D1944" t="inlineStr">
        <is>
          <t>KALMAR LÄN</t>
        </is>
      </c>
      <c r="E1944" t="inlineStr">
        <is>
          <t>VIMMERBY</t>
        </is>
      </c>
      <c r="F1944" t="inlineStr">
        <is>
          <t>Sveaskog</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14521-2021</t>
        </is>
      </c>
      <c r="B1945" s="1" t="n">
        <v>44279.64934027778</v>
      </c>
      <c r="C1945" s="1" t="n">
        <v>45884</v>
      </c>
      <c r="D1945" t="inlineStr">
        <is>
          <t>KALMAR LÄN</t>
        </is>
      </c>
      <c r="E1945" t="inlineStr">
        <is>
          <t>VIMMERBY</t>
        </is>
      </c>
      <c r="F1945" t="inlineStr">
        <is>
          <t>Sveaskog</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9363-2021</t>
        </is>
      </c>
      <c r="B1946" s="1" t="n">
        <v>44250</v>
      </c>
      <c r="C1946" s="1" t="n">
        <v>45884</v>
      </c>
      <c r="D1946" t="inlineStr">
        <is>
          <t>KALMAR LÄN</t>
        </is>
      </c>
      <c r="E1946" t="inlineStr">
        <is>
          <t>TORSÅS</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22282-2022</t>
        </is>
      </c>
      <c r="B1947" s="1" t="n">
        <v>44712.65646990741</v>
      </c>
      <c r="C1947" s="1" t="n">
        <v>45884</v>
      </c>
      <c r="D1947" t="inlineStr">
        <is>
          <t>KALMAR LÄN</t>
        </is>
      </c>
      <c r="E1947" t="inlineStr">
        <is>
          <t>OSKARSHAMN</t>
        </is>
      </c>
      <c r="G1947" t="n">
        <v>3.9</v>
      </c>
      <c r="H1947" t="n">
        <v>0</v>
      </c>
      <c r="I1947" t="n">
        <v>0</v>
      </c>
      <c r="J1947" t="n">
        <v>0</v>
      </c>
      <c r="K1947" t="n">
        <v>0</v>
      </c>
      <c r="L1947" t="n">
        <v>0</v>
      </c>
      <c r="M1947" t="n">
        <v>0</v>
      </c>
      <c r="N1947" t="n">
        <v>0</v>
      </c>
      <c r="O1947" t="n">
        <v>0</v>
      </c>
      <c r="P1947" t="n">
        <v>0</v>
      </c>
      <c r="Q1947" t="n">
        <v>0</v>
      </c>
      <c r="R1947" s="2" t="inlineStr"/>
    </row>
    <row r="1948" ht="15" customHeight="1">
      <c r="A1948" t="inlineStr">
        <is>
          <t>A 59173-2020</t>
        </is>
      </c>
      <c r="B1948" s="1" t="n">
        <v>44147</v>
      </c>
      <c r="C1948" s="1" t="n">
        <v>45884</v>
      </c>
      <c r="D1948" t="inlineStr">
        <is>
          <t>KALMAR LÄN</t>
        </is>
      </c>
      <c r="E1948" t="inlineStr">
        <is>
          <t>EMMABODA</t>
        </is>
      </c>
      <c r="F1948" t="inlineStr">
        <is>
          <t>Övriga Aktiebolag</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9750-2021</t>
        </is>
      </c>
      <c r="B1949" s="1" t="n">
        <v>44252</v>
      </c>
      <c r="C1949" s="1" t="n">
        <v>45884</v>
      </c>
      <c r="D1949" t="inlineStr">
        <is>
          <t>KALMAR LÄN</t>
        </is>
      </c>
      <c r="E1949" t="inlineStr">
        <is>
          <t>TORSÅS</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55292-2021</t>
        </is>
      </c>
      <c r="B1950" s="1" t="n">
        <v>44475.44050925926</v>
      </c>
      <c r="C1950" s="1" t="n">
        <v>45884</v>
      </c>
      <c r="D1950" t="inlineStr">
        <is>
          <t>KALMAR LÄN</t>
        </is>
      </c>
      <c r="E1950" t="inlineStr">
        <is>
          <t>TORSÅS</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21228-2021</t>
        </is>
      </c>
      <c r="B1951" s="1" t="n">
        <v>44314</v>
      </c>
      <c r="C1951" s="1" t="n">
        <v>45884</v>
      </c>
      <c r="D1951" t="inlineStr">
        <is>
          <t>KALMAR LÄN</t>
        </is>
      </c>
      <c r="E1951" t="inlineStr">
        <is>
          <t>HULTSFRED</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15533-2022</t>
        </is>
      </c>
      <c r="B1952" s="1" t="n">
        <v>44662</v>
      </c>
      <c r="C1952" s="1" t="n">
        <v>45884</v>
      </c>
      <c r="D1952" t="inlineStr">
        <is>
          <t>KALMAR LÄN</t>
        </is>
      </c>
      <c r="E1952" t="inlineStr">
        <is>
          <t>VIMMERBY</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17725-2021</t>
        </is>
      </c>
      <c r="B1953" s="1" t="n">
        <v>44300.5134375</v>
      </c>
      <c r="C1953" s="1" t="n">
        <v>45884</v>
      </c>
      <c r="D1953" t="inlineStr">
        <is>
          <t>KALMAR LÄN</t>
        </is>
      </c>
      <c r="E1953" t="inlineStr">
        <is>
          <t>NYBRO</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40105-2022</t>
        </is>
      </c>
      <c r="B1954" s="1" t="n">
        <v>44818</v>
      </c>
      <c r="C1954" s="1" t="n">
        <v>45884</v>
      </c>
      <c r="D1954" t="inlineStr">
        <is>
          <t>KALMAR LÄN</t>
        </is>
      </c>
      <c r="E1954" t="inlineStr">
        <is>
          <t>HÖGSBY</t>
        </is>
      </c>
      <c r="G1954" t="n">
        <v>6.3</v>
      </c>
      <c r="H1954" t="n">
        <v>0</v>
      </c>
      <c r="I1954" t="n">
        <v>0</v>
      </c>
      <c r="J1954" t="n">
        <v>0</v>
      </c>
      <c r="K1954" t="n">
        <v>0</v>
      </c>
      <c r="L1954" t="n">
        <v>0</v>
      </c>
      <c r="M1954" t="n">
        <v>0</v>
      </c>
      <c r="N1954" t="n">
        <v>0</v>
      </c>
      <c r="O1954" t="n">
        <v>0</v>
      </c>
      <c r="P1954" t="n">
        <v>0</v>
      </c>
      <c r="Q1954" t="n">
        <v>0</v>
      </c>
      <c r="R1954" s="2" t="inlineStr"/>
    </row>
    <row r="1955" ht="15" customHeight="1">
      <c r="A1955" t="inlineStr">
        <is>
          <t>A 10960-2022</t>
        </is>
      </c>
      <c r="B1955" s="1" t="n">
        <v>44628.36534722222</v>
      </c>
      <c r="C1955" s="1" t="n">
        <v>45884</v>
      </c>
      <c r="D1955" t="inlineStr">
        <is>
          <t>KALMAR LÄN</t>
        </is>
      </c>
      <c r="E1955" t="inlineStr">
        <is>
          <t>EMMABODA</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21372-2021</t>
        </is>
      </c>
      <c r="B1956" s="1" t="n">
        <v>44321.32876157408</v>
      </c>
      <c r="C1956" s="1" t="n">
        <v>45884</v>
      </c>
      <c r="D1956" t="inlineStr">
        <is>
          <t>KALMAR LÄN</t>
        </is>
      </c>
      <c r="E1956" t="inlineStr">
        <is>
          <t>NYBRO</t>
        </is>
      </c>
      <c r="G1956" t="n">
        <v>8.1</v>
      </c>
      <c r="H1956" t="n">
        <v>0</v>
      </c>
      <c r="I1956" t="n">
        <v>0</v>
      </c>
      <c r="J1956" t="n">
        <v>0</v>
      </c>
      <c r="K1956" t="n">
        <v>0</v>
      </c>
      <c r="L1956" t="n">
        <v>0</v>
      </c>
      <c r="M1956" t="n">
        <v>0</v>
      </c>
      <c r="N1956" t="n">
        <v>0</v>
      </c>
      <c r="O1956" t="n">
        <v>0</v>
      </c>
      <c r="P1956" t="n">
        <v>0</v>
      </c>
      <c r="Q1956" t="n">
        <v>0</v>
      </c>
      <c r="R1956" s="2" t="inlineStr"/>
    </row>
    <row r="1957" ht="15" customHeight="1">
      <c r="A1957" t="inlineStr">
        <is>
          <t>A 39564-2021</t>
        </is>
      </c>
      <c r="B1957" s="1" t="n">
        <v>44416</v>
      </c>
      <c r="C1957" s="1" t="n">
        <v>45884</v>
      </c>
      <c r="D1957" t="inlineStr">
        <is>
          <t>KALMAR LÄN</t>
        </is>
      </c>
      <c r="E1957" t="inlineStr">
        <is>
          <t>EMMABODA</t>
        </is>
      </c>
      <c r="G1957" t="n">
        <v>9</v>
      </c>
      <c r="H1957" t="n">
        <v>0</v>
      </c>
      <c r="I1957" t="n">
        <v>0</v>
      </c>
      <c r="J1957" t="n">
        <v>0</v>
      </c>
      <c r="K1957" t="n">
        <v>0</v>
      </c>
      <c r="L1957" t="n">
        <v>0</v>
      </c>
      <c r="M1957" t="n">
        <v>0</v>
      </c>
      <c r="N1957" t="n">
        <v>0</v>
      </c>
      <c r="O1957" t="n">
        <v>0</v>
      </c>
      <c r="P1957" t="n">
        <v>0</v>
      </c>
      <c r="Q1957" t="n">
        <v>0</v>
      </c>
      <c r="R1957" s="2" t="inlineStr"/>
    </row>
    <row r="1958" ht="15" customHeight="1">
      <c r="A1958" t="inlineStr">
        <is>
          <t>A 49751-2021</t>
        </is>
      </c>
      <c r="B1958" s="1" t="n">
        <v>44455.55739583333</v>
      </c>
      <c r="C1958" s="1" t="n">
        <v>45884</v>
      </c>
      <c r="D1958" t="inlineStr">
        <is>
          <t>KALMAR LÄN</t>
        </is>
      </c>
      <c r="E1958" t="inlineStr">
        <is>
          <t>KALMAR</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49806-2021</t>
        </is>
      </c>
      <c r="B1959" s="1" t="n">
        <v>44455</v>
      </c>
      <c r="C1959" s="1" t="n">
        <v>45884</v>
      </c>
      <c r="D1959" t="inlineStr">
        <is>
          <t>KALMAR LÄN</t>
        </is>
      </c>
      <c r="E1959" t="inlineStr">
        <is>
          <t>MÖNSTERÅS</t>
        </is>
      </c>
      <c r="G1959" t="n">
        <v>3.9</v>
      </c>
      <c r="H1959" t="n">
        <v>0</v>
      </c>
      <c r="I1959" t="n">
        <v>0</v>
      </c>
      <c r="J1959" t="n">
        <v>0</v>
      </c>
      <c r="K1959" t="n">
        <v>0</v>
      </c>
      <c r="L1959" t="n">
        <v>0</v>
      </c>
      <c r="M1959" t="n">
        <v>0</v>
      </c>
      <c r="N1959" t="n">
        <v>0</v>
      </c>
      <c r="O1959" t="n">
        <v>0</v>
      </c>
      <c r="P1959" t="n">
        <v>0</v>
      </c>
      <c r="Q1959" t="n">
        <v>0</v>
      </c>
      <c r="R1959" s="2" t="inlineStr"/>
    </row>
    <row r="1960" ht="15" customHeight="1">
      <c r="A1960" t="inlineStr">
        <is>
          <t>A 46527-2020</t>
        </is>
      </c>
      <c r="B1960" s="1" t="n">
        <v>44095</v>
      </c>
      <c r="C1960" s="1" t="n">
        <v>45884</v>
      </c>
      <c r="D1960" t="inlineStr">
        <is>
          <t>KALMAR LÄN</t>
        </is>
      </c>
      <c r="E1960" t="inlineStr">
        <is>
          <t>VIMMERBY</t>
        </is>
      </c>
      <c r="F1960" t="inlineStr">
        <is>
          <t>Sveaskog</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66515-2020</t>
        </is>
      </c>
      <c r="B1961" s="1" t="n">
        <v>44178</v>
      </c>
      <c r="C1961" s="1" t="n">
        <v>45884</v>
      </c>
      <c r="D1961" t="inlineStr">
        <is>
          <t>KALMAR LÄN</t>
        </is>
      </c>
      <c r="E1961" t="inlineStr">
        <is>
          <t>KALMAR</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46173-2020</t>
        </is>
      </c>
      <c r="B1962" s="1" t="n">
        <v>44092</v>
      </c>
      <c r="C1962" s="1" t="n">
        <v>45884</v>
      </c>
      <c r="D1962" t="inlineStr">
        <is>
          <t>KALMAR LÄN</t>
        </is>
      </c>
      <c r="E1962" t="inlineStr">
        <is>
          <t>NYBRO</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48046-2020</t>
        </is>
      </c>
      <c r="B1963" s="1" t="n">
        <v>44099</v>
      </c>
      <c r="C1963" s="1" t="n">
        <v>45884</v>
      </c>
      <c r="D1963" t="inlineStr">
        <is>
          <t>KALMAR LÄN</t>
        </is>
      </c>
      <c r="E1963" t="inlineStr">
        <is>
          <t>HULTSFRED</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41284-2020</t>
        </is>
      </c>
      <c r="B1964" s="1" t="n">
        <v>44071</v>
      </c>
      <c r="C1964" s="1" t="n">
        <v>45884</v>
      </c>
      <c r="D1964" t="inlineStr">
        <is>
          <t>KALMAR LÄN</t>
        </is>
      </c>
      <c r="E1964" t="inlineStr">
        <is>
          <t>HULTSFRED</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47371-2021</t>
        </is>
      </c>
      <c r="B1965" s="1" t="n">
        <v>44447</v>
      </c>
      <c r="C1965" s="1" t="n">
        <v>45884</v>
      </c>
      <c r="D1965" t="inlineStr">
        <is>
          <t>KALMAR LÄN</t>
        </is>
      </c>
      <c r="E1965" t="inlineStr">
        <is>
          <t>HULTSFRED</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18139-2021</t>
        </is>
      </c>
      <c r="B1966" s="1" t="n">
        <v>44302.5521875</v>
      </c>
      <c r="C1966" s="1" t="n">
        <v>45884</v>
      </c>
      <c r="D1966" t="inlineStr">
        <is>
          <t>KALMAR LÄN</t>
        </is>
      </c>
      <c r="E1966" t="inlineStr">
        <is>
          <t>EMMABODA</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61502-2020</t>
        </is>
      </c>
      <c r="B1967" s="1" t="n">
        <v>44158.3725462963</v>
      </c>
      <c r="C1967" s="1" t="n">
        <v>45884</v>
      </c>
      <c r="D1967" t="inlineStr">
        <is>
          <t>KALMAR LÄN</t>
        </is>
      </c>
      <c r="E1967" t="inlineStr">
        <is>
          <t>OSKARSHAMN</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64515-2020</t>
        </is>
      </c>
      <c r="B1968" s="1" t="n">
        <v>44169</v>
      </c>
      <c r="C1968" s="1" t="n">
        <v>45884</v>
      </c>
      <c r="D1968" t="inlineStr">
        <is>
          <t>KALMAR LÄN</t>
        </is>
      </c>
      <c r="E1968" t="inlineStr">
        <is>
          <t>OSKARSHAMN</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19660-2021</t>
        </is>
      </c>
      <c r="B1969" s="1" t="n">
        <v>44312</v>
      </c>
      <c r="C1969" s="1" t="n">
        <v>45884</v>
      </c>
      <c r="D1969" t="inlineStr">
        <is>
          <t>KALMAR LÄN</t>
        </is>
      </c>
      <c r="E1969" t="inlineStr">
        <is>
          <t>VÄSTERVIK</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6347-2022</t>
        </is>
      </c>
      <c r="B1970" s="1" t="n">
        <v>44600</v>
      </c>
      <c r="C1970" s="1" t="n">
        <v>45884</v>
      </c>
      <c r="D1970" t="inlineStr">
        <is>
          <t>KALMAR LÄN</t>
        </is>
      </c>
      <c r="E1970" t="inlineStr">
        <is>
          <t>EMMABODA</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18701-2021</t>
        </is>
      </c>
      <c r="B1971" s="1" t="n">
        <v>44307.35981481482</v>
      </c>
      <c r="C1971" s="1" t="n">
        <v>45884</v>
      </c>
      <c r="D1971" t="inlineStr">
        <is>
          <t>KALMAR LÄN</t>
        </is>
      </c>
      <c r="E1971" t="inlineStr">
        <is>
          <t>OSKARSHAMN</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58776-2021</t>
        </is>
      </c>
      <c r="B1972" s="1" t="n">
        <v>44489.55222222222</v>
      </c>
      <c r="C1972" s="1" t="n">
        <v>45884</v>
      </c>
      <c r="D1972" t="inlineStr">
        <is>
          <t>KALMAR LÄN</t>
        </is>
      </c>
      <c r="E1972" t="inlineStr">
        <is>
          <t>TORSÅS</t>
        </is>
      </c>
      <c r="G1972" t="n">
        <v>3.1</v>
      </c>
      <c r="H1972" t="n">
        <v>0</v>
      </c>
      <c r="I1972" t="n">
        <v>0</v>
      </c>
      <c r="J1972" t="n">
        <v>0</v>
      </c>
      <c r="K1972" t="n">
        <v>0</v>
      </c>
      <c r="L1972" t="n">
        <v>0</v>
      </c>
      <c r="M1972" t="n">
        <v>0</v>
      </c>
      <c r="N1972" t="n">
        <v>0</v>
      </c>
      <c r="O1972" t="n">
        <v>0</v>
      </c>
      <c r="P1972" t="n">
        <v>0</v>
      </c>
      <c r="Q1972" t="n">
        <v>0</v>
      </c>
      <c r="R1972" s="2" t="inlineStr"/>
    </row>
    <row r="1973" ht="15" customHeight="1">
      <c r="A1973" t="inlineStr">
        <is>
          <t>A 66757-2020</t>
        </is>
      </c>
      <c r="B1973" s="1" t="n">
        <v>44175</v>
      </c>
      <c r="C1973" s="1" t="n">
        <v>45884</v>
      </c>
      <c r="D1973" t="inlineStr">
        <is>
          <t>KALMAR LÄN</t>
        </is>
      </c>
      <c r="E1973" t="inlineStr">
        <is>
          <t>VÄSTERVIK</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1653-2022</t>
        </is>
      </c>
      <c r="B1974" s="1" t="n">
        <v>44574</v>
      </c>
      <c r="C1974" s="1" t="n">
        <v>45884</v>
      </c>
      <c r="D1974" t="inlineStr">
        <is>
          <t>KALMAR LÄN</t>
        </is>
      </c>
      <c r="E1974" t="inlineStr">
        <is>
          <t>KALMAR</t>
        </is>
      </c>
      <c r="G1974" t="n">
        <v>3.4</v>
      </c>
      <c r="H1974" t="n">
        <v>0</v>
      </c>
      <c r="I1974" t="n">
        <v>0</v>
      </c>
      <c r="J1974" t="n">
        <v>0</v>
      </c>
      <c r="K1974" t="n">
        <v>0</v>
      </c>
      <c r="L1974" t="n">
        <v>0</v>
      </c>
      <c r="M1974" t="n">
        <v>0</v>
      </c>
      <c r="N1974" t="n">
        <v>0</v>
      </c>
      <c r="O1974" t="n">
        <v>0</v>
      </c>
      <c r="P1974" t="n">
        <v>0</v>
      </c>
      <c r="Q1974" t="n">
        <v>0</v>
      </c>
      <c r="R1974" s="2" t="inlineStr"/>
    </row>
    <row r="1975" ht="15" customHeight="1">
      <c r="A1975" t="inlineStr">
        <is>
          <t>A 2597-2021</t>
        </is>
      </c>
      <c r="B1975" s="1" t="n">
        <v>44214</v>
      </c>
      <c r="C1975" s="1" t="n">
        <v>45884</v>
      </c>
      <c r="D1975" t="inlineStr">
        <is>
          <t>KALMAR LÄN</t>
        </is>
      </c>
      <c r="E1975" t="inlineStr">
        <is>
          <t>KALMAR</t>
        </is>
      </c>
      <c r="G1975" t="n">
        <v>13.5</v>
      </c>
      <c r="H1975" t="n">
        <v>0</v>
      </c>
      <c r="I1975" t="n">
        <v>0</v>
      </c>
      <c r="J1975" t="n">
        <v>0</v>
      </c>
      <c r="K1975" t="n">
        <v>0</v>
      </c>
      <c r="L1975" t="n">
        <v>0</v>
      </c>
      <c r="M1975" t="n">
        <v>0</v>
      </c>
      <c r="N1975" t="n">
        <v>0</v>
      </c>
      <c r="O1975" t="n">
        <v>0</v>
      </c>
      <c r="P1975" t="n">
        <v>0</v>
      </c>
      <c r="Q1975" t="n">
        <v>0</v>
      </c>
      <c r="R1975" s="2" t="inlineStr"/>
    </row>
    <row r="1976" ht="15" customHeight="1">
      <c r="A1976" t="inlineStr">
        <is>
          <t>A 16957-2021</t>
        </is>
      </c>
      <c r="B1976" s="1" t="n">
        <v>44295.56511574074</v>
      </c>
      <c r="C1976" s="1" t="n">
        <v>45884</v>
      </c>
      <c r="D1976" t="inlineStr">
        <is>
          <t>KALMAR LÄN</t>
        </is>
      </c>
      <c r="E1976" t="inlineStr">
        <is>
          <t>NYBRO</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3394-2021</t>
        </is>
      </c>
      <c r="B1977" s="1" t="n">
        <v>44218</v>
      </c>
      <c r="C1977" s="1" t="n">
        <v>45884</v>
      </c>
      <c r="D1977" t="inlineStr">
        <is>
          <t>KALMAR LÄN</t>
        </is>
      </c>
      <c r="E1977" t="inlineStr">
        <is>
          <t>KALMAR</t>
        </is>
      </c>
      <c r="G1977" t="n">
        <v>6.1</v>
      </c>
      <c r="H1977" t="n">
        <v>0</v>
      </c>
      <c r="I1977" t="n">
        <v>0</v>
      </c>
      <c r="J1977" t="n">
        <v>0</v>
      </c>
      <c r="K1977" t="n">
        <v>0</v>
      </c>
      <c r="L1977" t="n">
        <v>0</v>
      </c>
      <c r="M1977" t="n">
        <v>0</v>
      </c>
      <c r="N1977" t="n">
        <v>0</v>
      </c>
      <c r="O1977" t="n">
        <v>0</v>
      </c>
      <c r="P1977" t="n">
        <v>0</v>
      </c>
      <c r="Q1977" t="n">
        <v>0</v>
      </c>
      <c r="R1977" s="2" t="inlineStr"/>
    </row>
    <row r="1978" ht="15" customHeight="1">
      <c r="A1978" t="inlineStr">
        <is>
          <t>A 73336-2021</t>
        </is>
      </c>
      <c r="B1978" s="1" t="n">
        <v>44551</v>
      </c>
      <c r="C1978" s="1" t="n">
        <v>45884</v>
      </c>
      <c r="D1978" t="inlineStr">
        <is>
          <t>KALMAR LÄN</t>
        </is>
      </c>
      <c r="E1978" t="inlineStr">
        <is>
          <t>NYBRO</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6974-2021</t>
        </is>
      </c>
      <c r="B1979" s="1" t="n">
        <v>44237</v>
      </c>
      <c r="C1979" s="1" t="n">
        <v>45884</v>
      </c>
      <c r="D1979" t="inlineStr">
        <is>
          <t>KALMAR LÄN</t>
        </is>
      </c>
      <c r="E1979" t="inlineStr">
        <is>
          <t>VÄSTERVIK</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4962-2022</t>
        </is>
      </c>
      <c r="B1980" s="1" t="n">
        <v>44593</v>
      </c>
      <c r="C1980" s="1" t="n">
        <v>45884</v>
      </c>
      <c r="D1980" t="inlineStr">
        <is>
          <t>KALMAR LÄN</t>
        </is>
      </c>
      <c r="E1980" t="inlineStr">
        <is>
          <t>NYBRO</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44803-2021</t>
        </is>
      </c>
      <c r="B1981" s="1" t="n">
        <v>44438</v>
      </c>
      <c r="C1981" s="1" t="n">
        <v>45884</v>
      </c>
      <c r="D1981" t="inlineStr">
        <is>
          <t>KALMAR LÄN</t>
        </is>
      </c>
      <c r="E1981" t="inlineStr">
        <is>
          <t>HULTSFRED</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41006-2021</t>
        </is>
      </c>
      <c r="B1982" s="1" t="n">
        <v>44421</v>
      </c>
      <c r="C1982" s="1" t="n">
        <v>45884</v>
      </c>
      <c r="D1982" t="inlineStr">
        <is>
          <t>KALMAR LÄN</t>
        </is>
      </c>
      <c r="E1982" t="inlineStr">
        <is>
          <t>EMMABODA</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63280-2021</t>
        </is>
      </c>
      <c r="B1983" s="1" t="n">
        <v>44508</v>
      </c>
      <c r="C1983" s="1" t="n">
        <v>45884</v>
      </c>
      <c r="D1983" t="inlineStr">
        <is>
          <t>KALMAR LÄN</t>
        </is>
      </c>
      <c r="E1983" t="inlineStr">
        <is>
          <t>NYBRO</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165-2022</t>
        </is>
      </c>
      <c r="B1984" s="1" t="n">
        <v>44564</v>
      </c>
      <c r="C1984" s="1" t="n">
        <v>45884</v>
      </c>
      <c r="D1984" t="inlineStr">
        <is>
          <t>KALMAR LÄN</t>
        </is>
      </c>
      <c r="E1984" t="inlineStr">
        <is>
          <t>VIMMERBY</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8814-2021</t>
        </is>
      </c>
      <c r="B1985" s="1" t="n">
        <v>44246</v>
      </c>
      <c r="C1985" s="1" t="n">
        <v>45884</v>
      </c>
      <c r="D1985" t="inlineStr">
        <is>
          <t>KALMAR LÄN</t>
        </is>
      </c>
      <c r="E1985" t="inlineStr">
        <is>
          <t>NYBRO</t>
        </is>
      </c>
      <c r="G1985" t="n">
        <v>3.4</v>
      </c>
      <c r="H1985" t="n">
        <v>0</v>
      </c>
      <c r="I1985" t="n">
        <v>0</v>
      </c>
      <c r="J1985" t="n">
        <v>0</v>
      </c>
      <c r="K1985" t="n">
        <v>0</v>
      </c>
      <c r="L1985" t="n">
        <v>0</v>
      </c>
      <c r="M1985" t="n">
        <v>0</v>
      </c>
      <c r="N1985" t="n">
        <v>0</v>
      </c>
      <c r="O1985" t="n">
        <v>0</v>
      </c>
      <c r="P1985" t="n">
        <v>0</v>
      </c>
      <c r="Q1985" t="n">
        <v>0</v>
      </c>
      <c r="R1985" s="2" t="inlineStr"/>
    </row>
    <row r="1986" ht="15" customHeight="1">
      <c r="A1986" t="inlineStr">
        <is>
          <t>A 4393-2022</t>
        </is>
      </c>
      <c r="B1986" s="1" t="n">
        <v>44589.43354166667</v>
      </c>
      <c r="C1986" s="1" t="n">
        <v>45884</v>
      </c>
      <c r="D1986" t="inlineStr">
        <is>
          <t>KALMAR LÄN</t>
        </is>
      </c>
      <c r="E1986" t="inlineStr">
        <is>
          <t>EMMABODA</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73435-2021</t>
        </is>
      </c>
      <c r="B1987" s="1" t="n">
        <v>44551.5378587963</v>
      </c>
      <c r="C1987" s="1" t="n">
        <v>45884</v>
      </c>
      <c r="D1987" t="inlineStr">
        <is>
          <t>KALMAR LÄN</t>
        </is>
      </c>
      <c r="E1987" t="inlineStr">
        <is>
          <t>HÖGSBY</t>
        </is>
      </c>
      <c r="G1987" t="n">
        <v>3.8</v>
      </c>
      <c r="H1987" t="n">
        <v>0</v>
      </c>
      <c r="I1987" t="n">
        <v>0</v>
      </c>
      <c r="J1987" t="n">
        <v>0</v>
      </c>
      <c r="K1987" t="n">
        <v>0</v>
      </c>
      <c r="L1987" t="n">
        <v>0</v>
      </c>
      <c r="M1987" t="n">
        <v>0</v>
      </c>
      <c r="N1987" t="n">
        <v>0</v>
      </c>
      <c r="O1987" t="n">
        <v>0</v>
      </c>
      <c r="P1987" t="n">
        <v>0</v>
      </c>
      <c r="Q1987" t="n">
        <v>0</v>
      </c>
      <c r="R1987" s="2" t="inlineStr"/>
    </row>
    <row r="1988" ht="15" customHeight="1">
      <c r="A1988" t="inlineStr">
        <is>
          <t>A 42381-2020</t>
        </is>
      </c>
      <c r="B1988" s="1" t="n">
        <v>44076</v>
      </c>
      <c r="C1988" s="1" t="n">
        <v>45884</v>
      </c>
      <c r="D1988" t="inlineStr">
        <is>
          <t>KALMAR LÄN</t>
        </is>
      </c>
      <c r="E1988" t="inlineStr">
        <is>
          <t>EMMABODA</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57177-2020</t>
        </is>
      </c>
      <c r="B1989" s="1" t="n">
        <v>44139</v>
      </c>
      <c r="C1989" s="1" t="n">
        <v>45884</v>
      </c>
      <c r="D1989" t="inlineStr">
        <is>
          <t>KALMAR LÄN</t>
        </is>
      </c>
      <c r="E1989" t="inlineStr">
        <is>
          <t>KALMAR</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73949-2021</t>
        </is>
      </c>
      <c r="B1990" s="1" t="n">
        <v>44552</v>
      </c>
      <c r="C1990" s="1" t="n">
        <v>45884</v>
      </c>
      <c r="D1990" t="inlineStr">
        <is>
          <t>KALMAR LÄN</t>
        </is>
      </c>
      <c r="E1990" t="inlineStr">
        <is>
          <t>HULTSFRED</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30238-2021</t>
        </is>
      </c>
      <c r="B1991" s="1" t="n">
        <v>44363.75042824074</v>
      </c>
      <c r="C1991" s="1" t="n">
        <v>45884</v>
      </c>
      <c r="D1991" t="inlineStr">
        <is>
          <t>KALMAR LÄN</t>
        </is>
      </c>
      <c r="E1991" t="inlineStr">
        <is>
          <t>NYBRO</t>
        </is>
      </c>
      <c r="G1991" t="n">
        <v>6.4</v>
      </c>
      <c r="H1991" t="n">
        <v>0</v>
      </c>
      <c r="I1991" t="n">
        <v>0</v>
      </c>
      <c r="J1991" t="n">
        <v>0</v>
      </c>
      <c r="K1991" t="n">
        <v>0</v>
      </c>
      <c r="L1991" t="n">
        <v>0</v>
      </c>
      <c r="M1991" t="n">
        <v>0</v>
      </c>
      <c r="N1991" t="n">
        <v>0</v>
      </c>
      <c r="O1991" t="n">
        <v>0</v>
      </c>
      <c r="P1991" t="n">
        <v>0</v>
      </c>
      <c r="Q1991" t="n">
        <v>0</v>
      </c>
      <c r="R1991" s="2" t="inlineStr"/>
    </row>
    <row r="1992" ht="15" customHeight="1">
      <c r="A1992" t="inlineStr">
        <is>
          <t>A 68074-2021</t>
        </is>
      </c>
      <c r="B1992" s="1" t="n">
        <v>44526.31395833333</v>
      </c>
      <c r="C1992" s="1" t="n">
        <v>45884</v>
      </c>
      <c r="D1992" t="inlineStr">
        <is>
          <t>KALMAR LÄN</t>
        </is>
      </c>
      <c r="E1992" t="inlineStr">
        <is>
          <t>NYBRO</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8210-2021</t>
        </is>
      </c>
      <c r="B1993" s="1" t="n">
        <v>44244</v>
      </c>
      <c r="C1993" s="1" t="n">
        <v>45884</v>
      </c>
      <c r="D1993" t="inlineStr">
        <is>
          <t>KALMAR LÄN</t>
        </is>
      </c>
      <c r="E1993" t="inlineStr">
        <is>
          <t>KALMAR</t>
        </is>
      </c>
      <c r="G1993" t="n">
        <v>8.199999999999999</v>
      </c>
      <c r="H1993" t="n">
        <v>0</v>
      </c>
      <c r="I1993" t="n">
        <v>0</v>
      </c>
      <c r="J1993" t="n">
        <v>0</v>
      </c>
      <c r="K1993" t="n">
        <v>0</v>
      </c>
      <c r="L1993" t="n">
        <v>0</v>
      </c>
      <c r="M1993" t="n">
        <v>0</v>
      </c>
      <c r="N1993" t="n">
        <v>0</v>
      </c>
      <c r="O1993" t="n">
        <v>0</v>
      </c>
      <c r="P1993" t="n">
        <v>0</v>
      </c>
      <c r="Q1993" t="n">
        <v>0</v>
      </c>
      <c r="R1993" s="2" t="inlineStr"/>
    </row>
    <row r="1994" ht="15" customHeight="1">
      <c r="A1994" t="inlineStr">
        <is>
          <t>A 68090-2021</t>
        </is>
      </c>
      <c r="B1994" s="1" t="n">
        <v>44526</v>
      </c>
      <c r="C1994" s="1" t="n">
        <v>45884</v>
      </c>
      <c r="D1994" t="inlineStr">
        <is>
          <t>KALMAR LÄN</t>
        </is>
      </c>
      <c r="E1994" t="inlineStr">
        <is>
          <t>HULTSFRED</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56495-2020</t>
        </is>
      </c>
      <c r="B1995" s="1" t="n">
        <v>44137</v>
      </c>
      <c r="C1995" s="1" t="n">
        <v>45884</v>
      </c>
      <c r="D1995" t="inlineStr">
        <is>
          <t>KALMAR LÄN</t>
        </is>
      </c>
      <c r="E1995" t="inlineStr">
        <is>
          <t>BORGHOLM</t>
        </is>
      </c>
      <c r="F1995" t="inlineStr">
        <is>
          <t>Sveaskog</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5085-2022</t>
        </is>
      </c>
      <c r="B1996" s="1" t="n">
        <v>44593</v>
      </c>
      <c r="C1996" s="1" t="n">
        <v>45884</v>
      </c>
      <c r="D1996" t="inlineStr">
        <is>
          <t>KALMAR LÄN</t>
        </is>
      </c>
      <c r="E1996" t="inlineStr">
        <is>
          <t>OSKARSHAMN</t>
        </is>
      </c>
      <c r="F1996" t="inlineStr">
        <is>
          <t>Sveaskog</t>
        </is>
      </c>
      <c r="G1996" t="n">
        <v>0.3</v>
      </c>
      <c r="H1996" t="n">
        <v>0</v>
      </c>
      <c r="I1996" t="n">
        <v>0</v>
      </c>
      <c r="J1996" t="n">
        <v>0</v>
      </c>
      <c r="K1996" t="n">
        <v>0</v>
      </c>
      <c r="L1996" t="n">
        <v>0</v>
      </c>
      <c r="M1996" t="n">
        <v>0</v>
      </c>
      <c r="N1996" t="n">
        <v>0</v>
      </c>
      <c r="O1996" t="n">
        <v>0</v>
      </c>
      <c r="P1996" t="n">
        <v>0</v>
      </c>
      <c r="Q1996" t="n">
        <v>0</v>
      </c>
      <c r="R1996" s="2" t="inlineStr"/>
    </row>
    <row r="1997" ht="15" customHeight="1">
      <c r="A1997" t="inlineStr">
        <is>
          <t>A 46968-2021</t>
        </is>
      </c>
      <c r="B1997" s="1" t="n">
        <v>44446</v>
      </c>
      <c r="C1997" s="1" t="n">
        <v>45884</v>
      </c>
      <c r="D1997" t="inlineStr">
        <is>
          <t>KALMAR LÄN</t>
        </is>
      </c>
      <c r="E1997" t="inlineStr">
        <is>
          <t>OSKARSHAMN</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70317-2021</t>
        </is>
      </c>
      <c r="B1998" s="1" t="n">
        <v>44536</v>
      </c>
      <c r="C1998" s="1" t="n">
        <v>45884</v>
      </c>
      <c r="D1998" t="inlineStr">
        <is>
          <t>KALMAR LÄN</t>
        </is>
      </c>
      <c r="E1998" t="inlineStr">
        <is>
          <t>TORSÅS</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959-2022</t>
        </is>
      </c>
      <c r="B1999" s="1" t="n">
        <v>44571</v>
      </c>
      <c r="C1999" s="1" t="n">
        <v>45884</v>
      </c>
      <c r="D1999" t="inlineStr">
        <is>
          <t>KALMAR LÄN</t>
        </is>
      </c>
      <c r="E1999" t="inlineStr">
        <is>
          <t>VÄSTERVIK</t>
        </is>
      </c>
      <c r="G1999" t="n">
        <v>2.5</v>
      </c>
      <c r="H1999" t="n">
        <v>0</v>
      </c>
      <c r="I1999" t="n">
        <v>0</v>
      </c>
      <c r="J1999" t="n">
        <v>0</v>
      </c>
      <c r="K1999" t="n">
        <v>0</v>
      </c>
      <c r="L1999" t="n">
        <v>0</v>
      </c>
      <c r="M1999" t="n">
        <v>0</v>
      </c>
      <c r="N1999" t="n">
        <v>0</v>
      </c>
      <c r="O1999" t="n">
        <v>0</v>
      </c>
      <c r="P1999" t="n">
        <v>0</v>
      </c>
      <c r="Q1999" t="n">
        <v>0</v>
      </c>
      <c r="R1999" s="2" t="inlineStr"/>
    </row>
    <row r="2000" ht="15" customHeight="1">
      <c r="A2000" t="inlineStr">
        <is>
          <t>A 55240-2020</t>
        </is>
      </c>
      <c r="B2000" s="1" t="n">
        <v>44130.63965277778</v>
      </c>
      <c r="C2000" s="1" t="n">
        <v>45884</v>
      </c>
      <c r="D2000" t="inlineStr">
        <is>
          <t>KALMAR LÄN</t>
        </is>
      </c>
      <c r="E2000" t="inlineStr">
        <is>
          <t>VÄSTERVIK</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56304-2020</t>
        </is>
      </c>
      <c r="B2001" s="1" t="n">
        <v>44134</v>
      </c>
      <c r="C2001" s="1" t="n">
        <v>45884</v>
      </c>
      <c r="D2001" t="inlineStr">
        <is>
          <t>KALMAR LÄN</t>
        </is>
      </c>
      <c r="E2001" t="inlineStr">
        <is>
          <t>OSKARSHAMN</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56307-2020</t>
        </is>
      </c>
      <c r="B2002" s="1" t="n">
        <v>44134</v>
      </c>
      <c r="C2002" s="1" t="n">
        <v>45884</v>
      </c>
      <c r="D2002" t="inlineStr">
        <is>
          <t>KALMAR LÄN</t>
        </is>
      </c>
      <c r="E2002" t="inlineStr">
        <is>
          <t>TORSÅS</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4493-2021</t>
        </is>
      </c>
      <c r="B2003" s="1" t="n">
        <v>44224</v>
      </c>
      <c r="C2003" s="1" t="n">
        <v>45884</v>
      </c>
      <c r="D2003" t="inlineStr">
        <is>
          <t>KALMAR LÄN</t>
        </is>
      </c>
      <c r="E2003" t="inlineStr">
        <is>
          <t>TORSÅS</t>
        </is>
      </c>
      <c r="G2003" t="n">
        <v>3</v>
      </c>
      <c r="H2003" t="n">
        <v>0</v>
      </c>
      <c r="I2003" t="n">
        <v>0</v>
      </c>
      <c r="J2003" t="n">
        <v>0</v>
      </c>
      <c r="K2003" t="n">
        <v>0</v>
      </c>
      <c r="L2003" t="n">
        <v>0</v>
      </c>
      <c r="M2003" t="n">
        <v>0</v>
      </c>
      <c r="N2003" t="n">
        <v>0</v>
      </c>
      <c r="O2003" t="n">
        <v>0</v>
      </c>
      <c r="P2003" t="n">
        <v>0</v>
      </c>
      <c r="Q2003" t="n">
        <v>0</v>
      </c>
      <c r="R2003" s="2" t="inlineStr"/>
    </row>
    <row r="2004" ht="15" customHeight="1">
      <c r="A2004" t="inlineStr">
        <is>
          <t>A 47485-2020</t>
        </is>
      </c>
      <c r="B2004" s="1" t="n">
        <v>44098</v>
      </c>
      <c r="C2004" s="1" t="n">
        <v>45884</v>
      </c>
      <c r="D2004" t="inlineStr">
        <is>
          <t>KALMAR LÄN</t>
        </is>
      </c>
      <c r="E2004" t="inlineStr">
        <is>
          <t>MÖNSTERÅS</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10086-2022</t>
        </is>
      </c>
      <c r="B2005" s="1" t="n">
        <v>44621</v>
      </c>
      <c r="C2005" s="1" t="n">
        <v>45884</v>
      </c>
      <c r="D2005" t="inlineStr">
        <is>
          <t>KALMAR LÄN</t>
        </is>
      </c>
      <c r="E2005" t="inlineStr">
        <is>
          <t>VIMMERBY</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24570-2021</t>
        </is>
      </c>
      <c r="B2006" s="1" t="n">
        <v>44339</v>
      </c>
      <c r="C2006" s="1" t="n">
        <v>45884</v>
      </c>
      <c r="D2006" t="inlineStr">
        <is>
          <t>KALMAR LÄN</t>
        </is>
      </c>
      <c r="E2006" t="inlineStr">
        <is>
          <t>VÄSTERVIK</t>
        </is>
      </c>
      <c r="F2006" t="inlineStr">
        <is>
          <t>Sveaskog</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52611-2020</t>
        </is>
      </c>
      <c r="B2007" s="1" t="n">
        <v>44118</v>
      </c>
      <c r="C2007" s="1" t="n">
        <v>45884</v>
      </c>
      <c r="D2007" t="inlineStr">
        <is>
          <t>KALMAR LÄN</t>
        </is>
      </c>
      <c r="E2007" t="inlineStr">
        <is>
          <t>OSKARSHAMN</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52949-2020</t>
        </is>
      </c>
      <c r="B2008" s="1" t="n">
        <v>44120</v>
      </c>
      <c r="C2008" s="1" t="n">
        <v>45884</v>
      </c>
      <c r="D2008" t="inlineStr">
        <is>
          <t>KALMAR LÄN</t>
        </is>
      </c>
      <c r="E2008" t="inlineStr">
        <is>
          <t>EMMABODA</t>
        </is>
      </c>
      <c r="F2008" t="inlineStr">
        <is>
          <t>Sveaskog</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24638-2021</t>
        </is>
      </c>
      <c r="B2009" s="1" t="n">
        <v>44340.37452546296</v>
      </c>
      <c r="C2009" s="1" t="n">
        <v>45884</v>
      </c>
      <c r="D2009" t="inlineStr">
        <is>
          <t>KALMAR LÄN</t>
        </is>
      </c>
      <c r="E2009" t="inlineStr">
        <is>
          <t>NYBRO</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58073-2020</t>
        </is>
      </c>
      <c r="B2010" s="1" t="n">
        <v>44144</v>
      </c>
      <c r="C2010" s="1" t="n">
        <v>45884</v>
      </c>
      <c r="D2010" t="inlineStr">
        <is>
          <t>KALMAR LÄN</t>
        </is>
      </c>
      <c r="E2010" t="inlineStr">
        <is>
          <t>OSKARSHAMN</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45103-2020</t>
        </is>
      </c>
      <c r="B2011" s="1" t="n">
        <v>44083</v>
      </c>
      <c r="C2011" s="1" t="n">
        <v>45884</v>
      </c>
      <c r="D2011" t="inlineStr">
        <is>
          <t>KALMAR LÄN</t>
        </is>
      </c>
      <c r="E2011" t="inlineStr">
        <is>
          <t>EMMABODA</t>
        </is>
      </c>
      <c r="F2011" t="inlineStr">
        <is>
          <t>Kyrkan</t>
        </is>
      </c>
      <c r="G2011" t="n">
        <v>5</v>
      </c>
      <c r="H2011" t="n">
        <v>0</v>
      </c>
      <c r="I2011" t="n">
        <v>0</v>
      </c>
      <c r="J2011" t="n">
        <v>0</v>
      </c>
      <c r="K2011" t="n">
        <v>0</v>
      </c>
      <c r="L2011" t="n">
        <v>0</v>
      </c>
      <c r="M2011" t="n">
        <v>0</v>
      </c>
      <c r="N2011" t="n">
        <v>0</v>
      </c>
      <c r="O2011" t="n">
        <v>0</v>
      </c>
      <c r="P2011" t="n">
        <v>0</v>
      </c>
      <c r="Q2011" t="n">
        <v>0</v>
      </c>
      <c r="R2011" s="2" t="inlineStr"/>
    </row>
    <row r="2012" ht="15" customHeight="1">
      <c r="A2012" t="inlineStr">
        <is>
          <t>A 48135-2020</t>
        </is>
      </c>
      <c r="B2012" s="1" t="n">
        <v>44099</v>
      </c>
      <c r="C2012" s="1" t="n">
        <v>45884</v>
      </c>
      <c r="D2012" t="inlineStr">
        <is>
          <t>KALMAR LÄN</t>
        </is>
      </c>
      <c r="E2012" t="inlineStr">
        <is>
          <t>VÄSTERVIK</t>
        </is>
      </c>
      <c r="G2012" t="n">
        <v>3.2</v>
      </c>
      <c r="H2012" t="n">
        <v>0</v>
      </c>
      <c r="I2012" t="n">
        <v>0</v>
      </c>
      <c r="J2012" t="n">
        <v>0</v>
      </c>
      <c r="K2012" t="n">
        <v>0</v>
      </c>
      <c r="L2012" t="n">
        <v>0</v>
      </c>
      <c r="M2012" t="n">
        <v>0</v>
      </c>
      <c r="N2012" t="n">
        <v>0</v>
      </c>
      <c r="O2012" t="n">
        <v>0</v>
      </c>
      <c r="P2012" t="n">
        <v>0</v>
      </c>
      <c r="Q2012" t="n">
        <v>0</v>
      </c>
      <c r="R2012" s="2" t="inlineStr"/>
    </row>
    <row r="2013" ht="15" customHeight="1">
      <c r="A2013" t="inlineStr">
        <is>
          <t>A 41844-2020</t>
        </is>
      </c>
      <c r="B2013" s="1" t="n">
        <v>44074</v>
      </c>
      <c r="C2013" s="1" t="n">
        <v>45884</v>
      </c>
      <c r="D2013" t="inlineStr">
        <is>
          <t>KALMAR LÄN</t>
        </is>
      </c>
      <c r="E2013" t="inlineStr">
        <is>
          <t>TORSÅS</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12976-2022</t>
        </is>
      </c>
      <c r="B2014" s="1" t="n">
        <v>44643</v>
      </c>
      <c r="C2014" s="1" t="n">
        <v>45884</v>
      </c>
      <c r="D2014" t="inlineStr">
        <is>
          <t>KALMAR LÄN</t>
        </is>
      </c>
      <c r="E2014" t="inlineStr">
        <is>
          <t>HULTSFRED</t>
        </is>
      </c>
      <c r="G2014" t="n">
        <v>0.2</v>
      </c>
      <c r="H2014" t="n">
        <v>0</v>
      </c>
      <c r="I2014" t="n">
        <v>0</v>
      </c>
      <c r="J2014" t="n">
        <v>0</v>
      </c>
      <c r="K2014" t="n">
        <v>0</v>
      </c>
      <c r="L2014" t="n">
        <v>0</v>
      </c>
      <c r="M2014" t="n">
        <v>0</v>
      </c>
      <c r="N2014" t="n">
        <v>0</v>
      </c>
      <c r="O2014" t="n">
        <v>0</v>
      </c>
      <c r="P2014" t="n">
        <v>0</v>
      </c>
      <c r="Q2014" t="n">
        <v>0</v>
      </c>
      <c r="R2014" s="2" t="inlineStr"/>
    </row>
    <row r="2015" ht="15" customHeight="1">
      <c r="A2015" t="inlineStr">
        <is>
          <t>A 65647-2021</t>
        </is>
      </c>
      <c r="B2015" s="1" t="n">
        <v>44516</v>
      </c>
      <c r="C2015" s="1" t="n">
        <v>45884</v>
      </c>
      <c r="D2015" t="inlineStr">
        <is>
          <t>KALMAR LÄN</t>
        </is>
      </c>
      <c r="E2015" t="inlineStr">
        <is>
          <t>TORSÅS</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18278-2022</t>
        </is>
      </c>
      <c r="B2016" s="1" t="n">
        <v>44685.48917824074</v>
      </c>
      <c r="C2016" s="1" t="n">
        <v>45884</v>
      </c>
      <c r="D2016" t="inlineStr">
        <is>
          <t>KALMAR LÄN</t>
        </is>
      </c>
      <c r="E2016" t="inlineStr">
        <is>
          <t>OSKARSHAMN</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70594-2021</t>
        </is>
      </c>
      <c r="B2017" s="1" t="n">
        <v>44537</v>
      </c>
      <c r="C2017" s="1" t="n">
        <v>45884</v>
      </c>
      <c r="D2017" t="inlineStr">
        <is>
          <t>KALMAR LÄN</t>
        </is>
      </c>
      <c r="E2017" t="inlineStr">
        <is>
          <t>MÖNSTERÅS</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71165-2021</t>
        </is>
      </c>
      <c r="B2018" s="1" t="n">
        <v>44539</v>
      </c>
      <c r="C2018" s="1" t="n">
        <v>45884</v>
      </c>
      <c r="D2018" t="inlineStr">
        <is>
          <t>KALMAR LÄN</t>
        </is>
      </c>
      <c r="E2018" t="inlineStr">
        <is>
          <t>HÖGSBY</t>
        </is>
      </c>
      <c r="G2018" t="n">
        <v>4.9</v>
      </c>
      <c r="H2018" t="n">
        <v>0</v>
      </c>
      <c r="I2018" t="n">
        <v>0</v>
      </c>
      <c r="J2018" t="n">
        <v>0</v>
      </c>
      <c r="K2018" t="n">
        <v>0</v>
      </c>
      <c r="L2018" t="n">
        <v>0</v>
      </c>
      <c r="M2018" t="n">
        <v>0</v>
      </c>
      <c r="N2018" t="n">
        <v>0</v>
      </c>
      <c r="O2018" t="n">
        <v>0</v>
      </c>
      <c r="P2018" t="n">
        <v>0</v>
      </c>
      <c r="Q2018" t="n">
        <v>0</v>
      </c>
      <c r="R2018" s="2" t="inlineStr"/>
    </row>
    <row r="2019" ht="15" customHeight="1">
      <c r="A2019" t="inlineStr">
        <is>
          <t>A 2542-2021</t>
        </is>
      </c>
      <c r="B2019" s="1" t="n">
        <v>44214</v>
      </c>
      <c r="C2019" s="1" t="n">
        <v>45884</v>
      </c>
      <c r="D2019" t="inlineStr">
        <is>
          <t>KALMAR LÄN</t>
        </is>
      </c>
      <c r="E2019" t="inlineStr">
        <is>
          <t>MÖNSTERÅS</t>
        </is>
      </c>
      <c r="G2019" t="n">
        <v>7.9</v>
      </c>
      <c r="H2019" t="n">
        <v>0</v>
      </c>
      <c r="I2019" t="n">
        <v>0</v>
      </c>
      <c r="J2019" t="n">
        <v>0</v>
      </c>
      <c r="K2019" t="n">
        <v>0</v>
      </c>
      <c r="L2019" t="n">
        <v>0</v>
      </c>
      <c r="M2019" t="n">
        <v>0</v>
      </c>
      <c r="N2019" t="n">
        <v>0</v>
      </c>
      <c r="O2019" t="n">
        <v>0</v>
      </c>
      <c r="P2019" t="n">
        <v>0</v>
      </c>
      <c r="Q2019" t="n">
        <v>0</v>
      </c>
      <c r="R2019" s="2" t="inlineStr"/>
    </row>
    <row r="2020" ht="15" customHeight="1">
      <c r="A2020" t="inlineStr">
        <is>
          <t>A 56492-2020</t>
        </is>
      </c>
      <c r="B2020" s="1" t="n">
        <v>44137</v>
      </c>
      <c r="C2020" s="1" t="n">
        <v>45884</v>
      </c>
      <c r="D2020" t="inlineStr">
        <is>
          <t>KALMAR LÄN</t>
        </is>
      </c>
      <c r="E2020" t="inlineStr">
        <is>
          <t>BORGHOLM</t>
        </is>
      </c>
      <c r="F2020" t="inlineStr">
        <is>
          <t>Sveaskog</t>
        </is>
      </c>
      <c r="G2020" t="n">
        <v>10.9</v>
      </c>
      <c r="H2020" t="n">
        <v>0</v>
      </c>
      <c r="I2020" t="n">
        <v>0</v>
      </c>
      <c r="J2020" t="n">
        <v>0</v>
      </c>
      <c r="K2020" t="n">
        <v>0</v>
      </c>
      <c r="L2020" t="n">
        <v>0</v>
      </c>
      <c r="M2020" t="n">
        <v>0</v>
      </c>
      <c r="N2020" t="n">
        <v>0</v>
      </c>
      <c r="O2020" t="n">
        <v>0</v>
      </c>
      <c r="P2020" t="n">
        <v>0</v>
      </c>
      <c r="Q2020" t="n">
        <v>0</v>
      </c>
      <c r="R2020" s="2" t="inlineStr"/>
    </row>
    <row r="2021" ht="15" customHeight="1">
      <c r="A2021" t="inlineStr">
        <is>
          <t>A 68449-2020</t>
        </is>
      </c>
      <c r="B2021" s="1" t="n">
        <v>44183</v>
      </c>
      <c r="C2021" s="1" t="n">
        <v>45884</v>
      </c>
      <c r="D2021" t="inlineStr">
        <is>
          <t>KALMAR LÄN</t>
        </is>
      </c>
      <c r="E2021" t="inlineStr">
        <is>
          <t>NYBRO</t>
        </is>
      </c>
      <c r="G2021" t="n">
        <v>4.2</v>
      </c>
      <c r="H2021" t="n">
        <v>0</v>
      </c>
      <c r="I2021" t="n">
        <v>0</v>
      </c>
      <c r="J2021" t="n">
        <v>0</v>
      </c>
      <c r="K2021" t="n">
        <v>0</v>
      </c>
      <c r="L2021" t="n">
        <v>0</v>
      </c>
      <c r="M2021" t="n">
        <v>0</v>
      </c>
      <c r="N2021" t="n">
        <v>0</v>
      </c>
      <c r="O2021" t="n">
        <v>0</v>
      </c>
      <c r="P2021" t="n">
        <v>0</v>
      </c>
      <c r="Q2021" t="n">
        <v>0</v>
      </c>
      <c r="R2021" s="2" t="inlineStr"/>
    </row>
    <row r="2022" ht="15" customHeight="1">
      <c r="A2022" t="inlineStr">
        <is>
          <t>A 65564-2020</t>
        </is>
      </c>
      <c r="B2022" s="1" t="n">
        <v>44172</v>
      </c>
      <c r="C2022" s="1" t="n">
        <v>45884</v>
      </c>
      <c r="D2022" t="inlineStr">
        <is>
          <t>KALMAR LÄN</t>
        </is>
      </c>
      <c r="E2022" t="inlineStr">
        <is>
          <t>VIMMERBY</t>
        </is>
      </c>
      <c r="G2022" t="n">
        <v>4.1</v>
      </c>
      <c r="H2022" t="n">
        <v>0</v>
      </c>
      <c r="I2022" t="n">
        <v>0</v>
      </c>
      <c r="J2022" t="n">
        <v>0</v>
      </c>
      <c r="K2022" t="n">
        <v>0</v>
      </c>
      <c r="L2022" t="n">
        <v>0</v>
      </c>
      <c r="M2022" t="n">
        <v>0</v>
      </c>
      <c r="N2022" t="n">
        <v>0</v>
      </c>
      <c r="O2022" t="n">
        <v>0</v>
      </c>
      <c r="P2022" t="n">
        <v>0</v>
      </c>
      <c r="Q2022" t="n">
        <v>0</v>
      </c>
      <c r="R2022" s="2" t="inlineStr"/>
    </row>
    <row r="2023" ht="15" customHeight="1">
      <c r="A2023" t="inlineStr">
        <is>
          <t>A 51110-2020</t>
        </is>
      </c>
      <c r="B2023" s="1" t="n">
        <v>44112</v>
      </c>
      <c r="C2023" s="1" t="n">
        <v>45884</v>
      </c>
      <c r="D2023" t="inlineStr">
        <is>
          <t>KALMAR LÄN</t>
        </is>
      </c>
      <c r="E2023" t="inlineStr">
        <is>
          <t>KALMAR</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53135-2020</t>
        </is>
      </c>
      <c r="B2024" s="1" t="n">
        <v>44120</v>
      </c>
      <c r="C2024" s="1" t="n">
        <v>45884</v>
      </c>
      <c r="D2024" t="inlineStr">
        <is>
          <t>KALMAR LÄN</t>
        </is>
      </c>
      <c r="E2024" t="inlineStr">
        <is>
          <t>MÖNSTERÅS</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38399-2022</t>
        </is>
      </c>
      <c r="B2025" s="1" t="n">
        <v>44812</v>
      </c>
      <c r="C2025" s="1" t="n">
        <v>45884</v>
      </c>
      <c r="D2025" t="inlineStr">
        <is>
          <t>KALMAR LÄN</t>
        </is>
      </c>
      <c r="E2025" t="inlineStr">
        <is>
          <t>VÄSTERVIK</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15217-2021</t>
        </is>
      </c>
      <c r="B2026" s="1" t="n">
        <v>44284</v>
      </c>
      <c r="C2026" s="1" t="n">
        <v>45884</v>
      </c>
      <c r="D2026" t="inlineStr">
        <is>
          <t>KALMAR LÄN</t>
        </is>
      </c>
      <c r="E2026" t="inlineStr">
        <is>
          <t>NYBRO</t>
        </is>
      </c>
      <c r="G2026" t="n">
        <v>4.3</v>
      </c>
      <c r="H2026" t="n">
        <v>0</v>
      </c>
      <c r="I2026" t="n">
        <v>0</v>
      </c>
      <c r="J2026" t="n">
        <v>0</v>
      </c>
      <c r="K2026" t="n">
        <v>0</v>
      </c>
      <c r="L2026" t="n">
        <v>0</v>
      </c>
      <c r="M2026" t="n">
        <v>0</v>
      </c>
      <c r="N2026" t="n">
        <v>0</v>
      </c>
      <c r="O2026" t="n">
        <v>0</v>
      </c>
      <c r="P2026" t="n">
        <v>0</v>
      </c>
      <c r="Q2026" t="n">
        <v>0</v>
      </c>
      <c r="R2026" s="2" t="inlineStr"/>
    </row>
    <row r="2027" ht="15" customHeight="1">
      <c r="A2027" t="inlineStr">
        <is>
          <t>A 47077-2020</t>
        </is>
      </c>
      <c r="B2027" s="1" t="n">
        <v>44096</v>
      </c>
      <c r="C2027" s="1" t="n">
        <v>45884</v>
      </c>
      <c r="D2027" t="inlineStr">
        <is>
          <t>KALMAR LÄN</t>
        </is>
      </c>
      <c r="E2027" t="inlineStr">
        <is>
          <t>MÖNSTERÅS</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42785-2021</t>
        </is>
      </c>
      <c r="B2028" s="1" t="n">
        <v>44428</v>
      </c>
      <c r="C2028" s="1" t="n">
        <v>45884</v>
      </c>
      <c r="D2028" t="inlineStr">
        <is>
          <t>KALMAR LÄN</t>
        </is>
      </c>
      <c r="E2028" t="inlineStr">
        <is>
          <t>BORGHOLM</t>
        </is>
      </c>
      <c r="G2028" t="n">
        <v>2.8</v>
      </c>
      <c r="H2028" t="n">
        <v>0</v>
      </c>
      <c r="I2028" t="n">
        <v>0</v>
      </c>
      <c r="J2028" t="n">
        <v>0</v>
      </c>
      <c r="K2028" t="n">
        <v>0</v>
      </c>
      <c r="L2028" t="n">
        <v>0</v>
      </c>
      <c r="M2028" t="n">
        <v>0</v>
      </c>
      <c r="N2028" t="n">
        <v>0</v>
      </c>
      <c r="O2028" t="n">
        <v>0</v>
      </c>
      <c r="P2028" t="n">
        <v>0</v>
      </c>
      <c r="Q2028" t="n">
        <v>0</v>
      </c>
      <c r="R2028" s="2" t="inlineStr"/>
    </row>
    <row r="2029" ht="15" customHeight="1">
      <c r="A2029" t="inlineStr">
        <is>
          <t>A 57009-2020</t>
        </is>
      </c>
      <c r="B2029" s="1" t="n">
        <v>44138</v>
      </c>
      <c r="C2029" s="1" t="n">
        <v>45884</v>
      </c>
      <c r="D2029" t="inlineStr">
        <is>
          <t>KALMAR LÄN</t>
        </is>
      </c>
      <c r="E2029" t="inlineStr">
        <is>
          <t>VÄSTERVIK</t>
        </is>
      </c>
      <c r="F2029" t="inlineStr">
        <is>
          <t>Holmen skog AB</t>
        </is>
      </c>
      <c r="G2029" t="n">
        <v>1.7</v>
      </c>
      <c r="H2029" t="n">
        <v>0</v>
      </c>
      <c r="I2029" t="n">
        <v>0</v>
      </c>
      <c r="J2029" t="n">
        <v>0</v>
      </c>
      <c r="K2029" t="n">
        <v>0</v>
      </c>
      <c r="L2029" t="n">
        <v>0</v>
      </c>
      <c r="M2029" t="n">
        <v>0</v>
      </c>
      <c r="N2029" t="n">
        <v>0</v>
      </c>
      <c r="O2029" t="n">
        <v>0</v>
      </c>
      <c r="P2029" t="n">
        <v>0</v>
      </c>
      <c r="Q2029" t="n">
        <v>0</v>
      </c>
      <c r="R2029" s="2" t="inlineStr"/>
      <c r="U2029">
        <f>HYPERLINK("https://klasma.github.io/Logging_0883/knärot/A 57009-2020 karta knärot.png", "A 57009-2020")</f>
        <v/>
      </c>
      <c r="V2029">
        <f>HYPERLINK("https://klasma.github.io/Logging_0883/klagomål/A 57009-2020 FSC-klagomål.docx", "A 57009-2020")</f>
        <v/>
      </c>
      <c r="W2029">
        <f>HYPERLINK("https://klasma.github.io/Logging_0883/klagomålsmail/A 57009-2020 FSC-klagomål mail.docx", "A 57009-2020")</f>
        <v/>
      </c>
      <c r="X2029">
        <f>HYPERLINK("https://klasma.github.io/Logging_0883/tillsyn/A 57009-2020 tillsynsbegäran.docx", "A 57009-2020")</f>
        <v/>
      </c>
      <c r="Y2029">
        <f>HYPERLINK("https://klasma.github.io/Logging_0883/tillsynsmail/A 57009-2020 tillsynsbegäran mail.docx", "A 57009-2020")</f>
        <v/>
      </c>
    </row>
    <row r="2030" ht="15" customHeight="1">
      <c r="A2030" t="inlineStr">
        <is>
          <t>A 13224-2022</t>
        </is>
      </c>
      <c r="B2030" s="1" t="n">
        <v>44644</v>
      </c>
      <c r="C2030" s="1" t="n">
        <v>45884</v>
      </c>
      <c r="D2030" t="inlineStr">
        <is>
          <t>KALMAR LÄN</t>
        </is>
      </c>
      <c r="E2030" t="inlineStr">
        <is>
          <t>MÖNSTERÅS</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7238-2022</t>
        </is>
      </c>
      <c r="B2031" s="1" t="n">
        <v>44606</v>
      </c>
      <c r="C2031" s="1" t="n">
        <v>45884</v>
      </c>
      <c r="D2031" t="inlineStr">
        <is>
          <t>KALMAR LÄN</t>
        </is>
      </c>
      <c r="E2031" t="inlineStr">
        <is>
          <t>MÖNSTERÅS</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30242-2021</t>
        </is>
      </c>
      <c r="B2032" s="1" t="n">
        <v>44363.75775462963</v>
      </c>
      <c r="C2032" s="1" t="n">
        <v>45884</v>
      </c>
      <c r="D2032" t="inlineStr">
        <is>
          <t>KALMAR LÄN</t>
        </is>
      </c>
      <c r="E2032" t="inlineStr">
        <is>
          <t>NYBRO</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46085-2020</t>
        </is>
      </c>
      <c r="B2033" s="1" t="n">
        <v>44091</v>
      </c>
      <c r="C2033" s="1" t="n">
        <v>45884</v>
      </c>
      <c r="D2033" t="inlineStr">
        <is>
          <t>KALMAR LÄN</t>
        </is>
      </c>
      <c r="E2033" t="inlineStr">
        <is>
          <t>VIMMERBY</t>
        </is>
      </c>
      <c r="G2033" t="n">
        <v>6.1</v>
      </c>
      <c r="H2033" t="n">
        <v>0</v>
      </c>
      <c r="I2033" t="n">
        <v>0</v>
      </c>
      <c r="J2033" t="n">
        <v>0</v>
      </c>
      <c r="K2033" t="n">
        <v>0</v>
      </c>
      <c r="L2033" t="n">
        <v>0</v>
      </c>
      <c r="M2033" t="n">
        <v>0</v>
      </c>
      <c r="N2033" t="n">
        <v>0</v>
      </c>
      <c r="O2033" t="n">
        <v>0</v>
      </c>
      <c r="P2033" t="n">
        <v>0</v>
      </c>
      <c r="Q2033" t="n">
        <v>0</v>
      </c>
      <c r="R2033" s="2" t="inlineStr"/>
    </row>
    <row r="2034" ht="15" customHeight="1">
      <c r="A2034" t="inlineStr">
        <is>
          <t>A 11436-2021</t>
        </is>
      </c>
      <c r="B2034" s="1" t="n">
        <v>44263</v>
      </c>
      <c r="C2034" s="1" t="n">
        <v>45884</v>
      </c>
      <c r="D2034" t="inlineStr">
        <is>
          <t>KALMAR LÄN</t>
        </is>
      </c>
      <c r="E2034" t="inlineStr">
        <is>
          <t>HULTSFRED</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52013-2020</t>
        </is>
      </c>
      <c r="B2035" s="1" t="n">
        <v>44110</v>
      </c>
      <c r="C2035" s="1" t="n">
        <v>45884</v>
      </c>
      <c r="D2035" t="inlineStr">
        <is>
          <t>KALMAR LÄN</t>
        </is>
      </c>
      <c r="E2035" t="inlineStr">
        <is>
          <t>EMMABODA</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30966-2022</t>
        </is>
      </c>
      <c r="B2036" s="1" t="n">
        <v>44768.45408564815</v>
      </c>
      <c r="C2036" s="1" t="n">
        <v>45884</v>
      </c>
      <c r="D2036" t="inlineStr">
        <is>
          <t>KALMAR LÄN</t>
        </is>
      </c>
      <c r="E2036" t="inlineStr">
        <is>
          <t>OSKARSHAMN</t>
        </is>
      </c>
      <c r="F2036" t="inlineStr">
        <is>
          <t>Sveaskog</t>
        </is>
      </c>
      <c r="G2036" t="n">
        <v>0.2</v>
      </c>
      <c r="H2036" t="n">
        <v>0</v>
      </c>
      <c r="I2036" t="n">
        <v>0</v>
      </c>
      <c r="J2036" t="n">
        <v>0</v>
      </c>
      <c r="K2036" t="n">
        <v>0</v>
      </c>
      <c r="L2036" t="n">
        <v>0</v>
      </c>
      <c r="M2036" t="n">
        <v>0</v>
      </c>
      <c r="N2036" t="n">
        <v>0</v>
      </c>
      <c r="O2036" t="n">
        <v>0</v>
      </c>
      <c r="P2036" t="n">
        <v>0</v>
      </c>
      <c r="Q2036" t="n">
        <v>0</v>
      </c>
      <c r="R2036" s="2" t="inlineStr"/>
    </row>
    <row r="2037" ht="15" customHeight="1">
      <c r="A2037" t="inlineStr">
        <is>
          <t>A 66149-2020</t>
        </is>
      </c>
      <c r="B2037" s="1" t="n">
        <v>44173</v>
      </c>
      <c r="C2037" s="1" t="n">
        <v>45884</v>
      </c>
      <c r="D2037" t="inlineStr">
        <is>
          <t>KALMAR LÄN</t>
        </is>
      </c>
      <c r="E2037" t="inlineStr">
        <is>
          <t>VÄSTERVIK</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49404-2021</t>
        </is>
      </c>
      <c r="B2038" s="1" t="n">
        <v>44454.63494212963</v>
      </c>
      <c r="C2038" s="1" t="n">
        <v>45884</v>
      </c>
      <c r="D2038" t="inlineStr">
        <is>
          <t>KALMAR LÄN</t>
        </is>
      </c>
      <c r="E2038" t="inlineStr">
        <is>
          <t>VÄSTERVIK</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49407-2021</t>
        </is>
      </c>
      <c r="B2039" s="1" t="n">
        <v>44454.63644675926</v>
      </c>
      <c r="C2039" s="1" t="n">
        <v>45884</v>
      </c>
      <c r="D2039" t="inlineStr">
        <is>
          <t>KALMAR LÄN</t>
        </is>
      </c>
      <c r="E2039" t="inlineStr">
        <is>
          <t>VÄSTERVIK</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18908-2021</t>
        </is>
      </c>
      <c r="B2040" s="1" t="n">
        <v>44308.37342592593</v>
      </c>
      <c r="C2040" s="1" t="n">
        <v>45884</v>
      </c>
      <c r="D2040" t="inlineStr">
        <is>
          <t>KALMAR LÄN</t>
        </is>
      </c>
      <c r="E2040" t="inlineStr">
        <is>
          <t>OSKARSHAMN</t>
        </is>
      </c>
      <c r="G2040" t="n">
        <v>5.5</v>
      </c>
      <c r="H2040" t="n">
        <v>0</v>
      </c>
      <c r="I2040" t="n">
        <v>0</v>
      </c>
      <c r="J2040" t="n">
        <v>0</v>
      </c>
      <c r="K2040" t="n">
        <v>0</v>
      </c>
      <c r="L2040" t="n">
        <v>0</v>
      </c>
      <c r="M2040" t="n">
        <v>0</v>
      </c>
      <c r="N2040" t="n">
        <v>0</v>
      </c>
      <c r="O2040" t="n">
        <v>0</v>
      </c>
      <c r="P2040" t="n">
        <v>0</v>
      </c>
      <c r="Q2040" t="n">
        <v>0</v>
      </c>
      <c r="R2040" s="2" t="inlineStr"/>
    </row>
    <row r="2041" ht="15" customHeight="1">
      <c r="A2041" t="inlineStr">
        <is>
          <t>A 14693-2022</t>
        </is>
      </c>
      <c r="B2041" s="1" t="n">
        <v>44655.9318287037</v>
      </c>
      <c r="C2041" s="1" t="n">
        <v>45884</v>
      </c>
      <c r="D2041" t="inlineStr">
        <is>
          <t>KALMAR LÄN</t>
        </is>
      </c>
      <c r="E2041" t="inlineStr">
        <is>
          <t>EMMABODA</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61317-2021</t>
        </is>
      </c>
      <c r="B2042" s="1" t="n">
        <v>44498.65975694444</v>
      </c>
      <c r="C2042" s="1" t="n">
        <v>45884</v>
      </c>
      <c r="D2042" t="inlineStr">
        <is>
          <t>KALMAR LÄN</t>
        </is>
      </c>
      <c r="E2042" t="inlineStr">
        <is>
          <t>VÄSTERVIK</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34040-2021</t>
        </is>
      </c>
      <c r="B2043" s="1" t="n">
        <v>44379</v>
      </c>
      <c r="C2043" s="1" t="n">
        <v>45884</v>
      </c>
      <c r="D2043" t="inlineStr">
        <is>
          <t>KALMAR LÄN</t>
        </is>
      </c>
      <c r="E2043" t="inlineStr">
        <is>
          <t>VIMMERBY</t>
        </is>
      </c>
      <c r="F2043" t="inlineStr">
        <is>
          <t>Sveaskog</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37960-2022</t>
        </is>
      </c>
      <c r="B2044" s="1" t="n">
        <v>44811</v>
      </c>
      <c r="C2044" s="1" t="n">
        <v>45884</v>
      </c>
      <c r="D2044" t="inlineStr">
        <is>
          <t>KALMAR LÄN</t>
        </is>
      </c>
      <c r="E2044" t="inlineStr">
        <is>
          <t>HULTSFRED</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9871-2022</t>
        </is>
      </c>
      <c r="B2045" s="1" t="n">
        <v>44620</v>
      </c>
      <c r="C2045" s="1" t="n">
        <v>45884</v>
      </c>
      <c r="D2045" t="inlineStr">
        <is>
          <t>KALMAR LÄN</t>
        </is>
      </c>
      <c r="E2045" t="inlineStr">
        <is>
          <t>KALMAR</t>
        </is>
      </c>
      <c r="G2045" t="n">
        <v>2.5</v>
      </c>
      <c r="H2045" t="n">
        <v>0</v>
      </c>
      <c r="I2045" t="n">
        <v>0</v>
      </c>
      <c r="J2045" t="n">
        <v>0</v>
      </c>
      <c r="K2045" t="n">
        <v>0</v>
      </c>
      <c r="L2045" t="n">
        <v>0</v>
      </c>
      <c r="M2045" t="n">
        <v>0</v>
      </c>
      <c r="N2045" t="n">
        <v>0</v>
      </c>
      <c r="O2045" t="n">
        <v>0</v>
      </c>
      <c r="P2045" t="n">
        <v>0</v>
      </c>
      <c r="Q2045" t="n">
        <v>0</v>
      </c>
      <c r="R2045" s="2" t="inlineStr"/>
    </row>
    <row r="2046" ht="15" customHeight="1">
      <c r="A2046" t="inlineStr">
        <is>
          <t>A 15181-2021</t>
        </is>
      </c>
      <c r="B2046" s="1" t="n">
        <v>44284.40975694444</v>
      </c>
      <c r="C2046" s="1" t="n">
        <v>45884</v>
      </c>
      <c r="D2046" t="inlineStr">
        <is>
          <t>KALMAR LÄN</t>
        </is>
      </c>
      <c r="E2046" t="inlineStr">
        <is>
          <t>EMMABODA</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15200-2021</t>
        </is>
      </c>
      <c r="B2047" s="1" t="n">
        <v>44284.44574074074</v>
      </c>
      <c r="C2047" s="1" t="n">
        <v>45884</v>
      </c>
      <c r="D2047" t="inlineStr">
        <is>
          <t>KALMAR LÄN</t>
        </is>
      </c>
      <c r="E2047" t="inlineStr">
        <is>
          <t>VIMMERBY</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18135-2021</t>
        </is>
      </c>
      <c r="B2048" s="1" t="n">
        <v>44302.54723379629</v>
      </c>
      <c r="C2048" s="1" t="n">
        <v>45884</v>
      </c>
      <c r="D2048" t="inlineStr">
        <is>
          <t>KALMAR LÄN</t>
        </is>
      </c>
      <c r="E2048" t="inlineStr">
        <is>
          <t>EMMABODA</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56127-2020</t>
        </is>
      </c>
      <c r="B2049" s="1" t="n">
        <v>44132</v>
      </c>
      <c r="C2049" s="1" t="n">
        <v>45884</v>
      </c>
      <c r="D2049" t="inlineStr">
        <is>
          <t>KALMAR LÄN</t>
        </is>
      </c>
      <c r="E2049" t="inlineStr">
        <is>
          <t>VÄSTERVIK</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50605-2021</t>
        </is>
      </c>
      <c r="B2050" s="1" t="n">
        <v>44459</v>
      </c>
      <c r="C2050" s="1" t="n">
        <v>45884</v>
      </c>
      <c r="D2050" t="inlineStr">
        <is>
          <t>KALMAR LÄN</t>
        </is>
      </c>
      <c r="E2050" t="inlineStr">
        <is>
          <t>TORSÅS</t>
        </is>
      </c>
      <c r="G2050" t="n">
        <v>2.9</v>
      </c>
      <c r="H2050" t="n">
        <v>0</v>
      </c>
      <c r="I2050" t="n">
        <v>0</v>
      </c>
      <c r="J2050" t="n">
        <v>0</v>
      </c>
      <c r="K2050" t="n">
        <v>0</v>
      </c>
      <c r="L2050" t="n">
        <v>0</v>
      </c>
      <c r="M2050" t="n">
        <v>0</v>
      </c>
      <c r="N2050" t="n">
        <v>0</v>
      </c>
      <c r="O2050" t="n">
        <v>0</v>
      </c>
      <c r="P2050" t="n">
        <v>0</v>
      </c>
      <c r="Q2050" t="n">
        <v>0</v>
      </c>
      <c r="R2050" s="2" t="inlineStr"/>
    </row>
    <row r="2051" ht="15" customHeight="1">
      <c r="A2051" t="inlineStr">
        <is>
          <t>A 11768-2022</t>
        </is>
      </c>
      <c r="B2051" s="1" t="n">
        <v>44634</v>
      </c>
      <c r="C2051" s="1" t="n">
        <v>45884</v>
      </c>
      <c r="D2051" t="inlineStr">
        <is>
          <t>KALMAR LÄN</t>
        </is>
      </c>
      <c r="E2051" t="inlineStr">
        <is>
          <t>HÖGSBY</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66158-2020</t>
        </is>
      </c>
      <c r="B2052" s="1" t="n">
        <v>44175</v>
      </c>
      <c r="C2052" s="1" t="n">
        <v>45884</v>
      </c>
      <c r="D2052" t="inlineStr">
        <is>
          <t>KALMAR LÄN</t>
        </is>
      </c>
      <c r="E2052" t="inlineStr">
        <is>
          <t>HÖGSBY</t>
        </is>
      </c>
      <c r="G2052" t="n">
        <v>7.1</v>
      </c>
      <c r="H2052" t="n">
        <v>0</v>
      </c>
      <c r="I2052" t="n">
        <v>0</v>
      </c>
      <c r="J2052" t="n">
        <v>0</v>
      </c>
      <c r="K2052" t="n">
        <v>0</v>
      </c>
      <c r="L2052" t="n">
        <v>0</v>
      </c>
      <c r="M2052" t="n">
        <v>0</v>
      </c>
      <c r="N2052" t="n">
        <v>0</v>
      </c>
      <c r="O2052" t="n">
        <v>0</v>
      </c>
      <c r="P2052" t="n">
        <v>0</v>
      </c>
      <c r="Q2052" t="n">
        <v>0</v>
      </c>
      <c r="R2052" s="2" t="inlineStr"/>
    </row>
    <row r="2053" ht="15" customHeight="1">
      <c r="A2053" t="inlineStr">
        <is>
          <t>A 42113-2020</t>
        </is>
      </c>
      <c r="B2053" s="1" t="n">
        <v>44071</v>
      </c>
      <c r="C2053" s="1" t="n">
        <v>45884</v>
      </c>
      <c r="D2053" t="inlineStr">
        <is>
          <t>KALMAR LÄN</t>
        </is>
      </c>
      <c r="E2053" t="inlineStr">
        <is>
          <t>VÄSTERVIK</t>
        </is>
      </c>
      <c r="G2053" t="n">
        <v>2.6</v>
      </c>
      <c r="H2053" t="n">
        <v>0</v>
      </c>
      <c r="I2053" t="n">
        <v>0</v>
      </c>
      <c r="J2053" t="n">
        <v>0</v>
      </c>
      <c r="K2053" t="n">
        <v>0</v>
      </c>
      <c r="L2053" t="n">
        <v>0</v>
      </c>
      <c r="M2053" t="n">
        <v>0</v>
      </c>
      <c r="N2053" t="n">
        <v>0</v>
      </c>
      <c r="O2053" t="n">
        <v>0</v>
      </c>
      <c r="P2053" t="n">
        <v>0</v>
      </c>
      <c r="Q2053" t="n">
        <v>0</v>
      </c>
      <c r="R2053" s="2" t="inlineStr"/>
    </row>
    <row r="2054" ht="15" customHeight="1">
      <c r="A2054" t="inlineStr">
        <is>
          <t>A 27437-2022</t>
        </is>
      </c>
      <c r="B2054" s="1" t="n">
        <v>44742.55567129629</v>
      </c>
      <c r="C2054" s="1" t="n">
        <v>45884</v>
      </c>
      <c r="D2054" t="inlineStr">
        <is>
          <t>KALMAR LÄN</t>
        </is>
      </c>
      <c r="E2054" t="inlineStr">
        <is>
          <t>BORGHOLM</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43575-2022</t>
        </is>
      </c>
      <c r="B2055" s="1" t="n">
        <v>44837.45384259259</v>
      </c>
      <c r="C2055" s="1" t="n">
        <v>45884</v>
      </c>
      <c r="D2055" t="inlineStr">
        <is>
          <t>KALMAR LÄN</t>
        </is>
      </c>
      <c r="E2055" t="inlineStr">
        <is>
          <t>TORSÅS</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61584-2021</t>
        </is>
      </c>
      <c r="B2056" s="1" t="n">
        <v>44501.45256944445</v>
      </c>
      <c r="C2056" s="1" t="n">
        <v>45884</v>
      </c>
      <c r="D2056" t="inlineStr">
        <is>
          <t>KALMAR LÄN</t>
        </is>
      </c>
      <c r="E2056" t="inlineStr">
        <is>
          <t>VÄSTERVIK</t>
        </is>
      </c>
      <c r="G2056" t="n">
        <v>3.3</v>
      </c>
      <c r="H2056" t="n">
        <v>0</v>
      </c>
      <c r="I2056" t="n">
        <v>0</v>
      </c>
      <c r="J2056" t="n">
        <v>0</v>
      </c>
      <c r="K2056" t="n">
        <v>0</v>
      </c>
      <c r="L2056" t="n">
        <v>0</v>
      </c>
      <c r="M2056" t="n">
        <v>0</v>
      </c>
      <c r="N2056" t="n">
        <v>0</v>
      </c>
      <c r="O2056" t="n">
        <v>0</v>
      </c>
      <c r="P2056" t="n">
        <v>0</v>
      </c>
      <c r="Q2056" t="n">
        <v>0</v>
      </c>
      <c r="R2056" s="2" t="inlineStr"/>
    </row>
    <row r="2057" ht="15" customHeight="1">
      <c r="A2057" t="inlineStr">
        <is>
          <t>A 61590-2021</t>
        </is>
      </c>
      <c r="B2057" s="1" t="n">
        <v>44501</v>
      </c>
      <c r="C2057" s="1" t="n">
        <v>45884</v>
      </c>
      <c r="D2057" t="inlineStr">
        <is>
          <t>KALMAR LÄN</t>
        </is>
      </c>
      <c r="E2057" t="inlineStr">
        <is>
          <t>EMMABODA</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45934-2020</t>
        </is>
      </c>
      <c r="B2058" s="1" t="n">
        <v>44091</v>
      </c>
      <c r="C2058" s="1" t="n">
        <v>45884</v>
      </c>
      <c r="D2058" t="inlineStr">
        <is>
          <t>KALMAR LÄN</t>
        </is>
      </c>
      <c r="E2058" t="inlineStr">
        <is>
          <t>HULTSFRED</t>
        </is>
      </c>
      <c r="G2058" t="n">
        <v>8.1</v>
      </c>
      <c r="H2058" t="n">
        <v>0</v>
      </c>
      <c r="I2058" t="n">
        <v>0</v>
      </c>
      <c r="J2058" t="n">
        <v>0</v>
      </c>
      <c r="K2058" t="n">
        <v>0</v>
      </c>
      <c r="L2058" t="n">
        <v>0</v>
      </c>
      <c r="M2058" t="n">
        <v>0</v>
      </c>
      <c r="N2058" t="n">
        <v>0</v>
      </c>
      <c r="O2058" t="n">
        <v>0</v>
      </c>
      <c r="P2058" t="n">
        <v>0</v>
      </c>
      <c r="Q2058" t="n">
        <v>0</v>
      </c>
      <c r="R2058" s="2" t="inlineStr"/>
    </row>
    <row r="2059" ht="15" customHeight="1">
      <c r="A2059" t="inlineStr">
        <is>
          <t>A 12296-2021</t>
        </is>
      </c>
      <c r="B2059" s="1" t="n">
        <v>44267.34746527778</v>
      </c>
      <c r="C2059" s="1" t="n">
        <v>45884</v>
      </c>
      <c r="D2059" t="inlineStr">
        <is>
          <t>KALMAR LÄN</t>
        </is>
      </c>
      <c r="E2059" t="inlineStr">
        <is>
          <t>TORSÅS</t>
        </is>
      </c>
      <c r="G2059" t="n">
        <v>7</v>
      </c>
      <c r="H2059" t="n">
        <v>0</v>
      </c>
      <c r="I2059" t="n">
        <v>0</v>
      </c>
      <c r="J2059" t="n">
        <v>0</v>
      </c>
      <c r="K2059" t="n">
        <v>0</v>
      </c>
      <c r="L2059" t="n">
        <v>0</v>
      </c>
      <c r="M2059" t="n">
        <v>0</v>
      </c>
      <c r="N2059" t="n">
        <v>0</v>
      </c>
      <c r="O2059" t="n">
        <v>0</v>
      </c>
      <c r="P2059" t="n">
        <v>0</v>
      </c>
      <c r="Q2059" t="n">
        <v>0</v>
      </c>
      <c r="R2059" s="2" t="inlineStr"/>
    </row>
    <row r="2060" ht="15" customHeight="1">
      <c r="A2060" t="inlineStr">
        <is>
          <t>A 34118-2021</t>
        </is>
      </c>
      <c r="B2060" s="1" t="n">
        <v>44379.45400462963</v>
      </c>
      <c r="C2060" s="1" t="n">
        <v>45884</v>
      </c>
      <c r="D2060" t="inlineStr">
        <is>
          <t>KALMAR LÄN</t>
        </is>
      </c>
      <c r="E2060" t="inlineStr">
        <is>
          <t>VÄSTERVIK</t>
        </is>
      </c>
      <c r="G2060" t="n">
        <v>0.4</v>
      </c>
      <c r="H2060" t="n">
        <v>0</v>
      </c>
      <c r="I2060" t="n">
        <v>0</v>
      </c>
      <c r="J2060" t="n">
        <v>0</v>
      </c>
      <c r="K2060" t="n">
        <v>0</v>
      </c>
      <c r="L2060" t="n">
        <v>0</v>
      </c>
      <c r="M2060" t="n">
        <v>0</v>
      </c>
      <c r="N2060" t="n">
        <v>0</v>
      </c>
      <c r="O2060" t="n">
        <v>0</v>
      </c>
      <c r="P2060" t="n">
        <v>0</v>
      </c>
      <c r="Q2060" t="n">
        <v>0</v>
      </c>
      <c r="R2060" s="2" t="inlineStr"/>
    </row>
    <row r="2061" ht="15" customHeight="1">
      <c r="A2061" t="inlineStr">
        <is>
          <t>A 34125-2021</t>
        </is>
      </c>
      <c r="B2061" s="1" t="n">
        <v>44379.4646875</v>
      </c>
      <c r="C2061" s="1" t="n">
        <v>45884</v>
      </c>
      <c r="D2061" t="inlineStr">
        <is>
          <t>KALMAR LÄN</t>
        </is>
      </c>
      <c r="E2061" t="inlineStr">
        <is>
          <t>VÄSTERVIK</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10831-2021</t>
        </is>
      </c>
      <c r="B2062" s="1" t="n">
        <v>44259</v>
      </c>
      <c r="C2062" s="1" t="n">
        <v>45884</v>
      </c>
      <c r="D2062" t="inlineStr">
        <is>
          <t>KALMAR LÄN</t>
        </is>
      </c>
      <c r="E2062" t="inlineStr">
        <is>
          <t>NYBRO</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64162-2020</t>
        </is>
      </c>
      <c r="B2063" s="1" t="n">
        <v>44167</v>
      </c>
      <c r="C2063" s="1" t="n">
        <v>45884</v>
      </c>
      <c r="D2063" t="inlineStr">
        <is>
          <t>KALMAR LÄN</t>
        </is>
      </c>
      <c r="E2063" t="inlineStr">
        <is>
          <t>EMMABODA</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31709-2022</t>
        </is>
      </c>
      <c r="B2064" s="1" t="n">
        <v>44776.4441087963</v>
      </c>
      <c r="C2064" s="1" t="n">
        <v>45884</v>
      </c>
      <c r="D2064" t="inlineStr">
        <is>
          <t>KALMAR LÄN</t>
        </is>
      </c>
      <c r="E2064" t="inlineStr">
        <is>
          <t>NYBRO</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33010-2021</t>
        </is>
      </c>
      <c r="B2065" s="1" t="n">
        <v>44376.47229166667</v>
      </c>
      <c r="C2065" s="1" t="n">
        <v>45884</v>
      </c>
      <c r="D2065" t="inlineStr">
        <is>
          <t>KALMAR LÄN</t>
        </is>
      </c>
      <c r="E2065" t="inlineStr">
        <is>
          <t>NYBRO</t>
        </is>
      </c>
      <c r="G2065" t="n">
        <v>0.4</v>
      </c>
      <c r="H2065" t="n">
        <v>0</v>
      </c>
      <c r="I2065" t="n">
        <v>0</v>
      </c>
      <c r="J2065" t="n">
        <v>0</v>
      </c>
      <c r="K2065" t="n">
        <v>0</v>
      </c>
      <c r="L2065" t="n">
        <v>0</v>
      </c>
      <c r="M2065" t="n">
        <v>0</v>
      </c>
      <c r="N2065" t="n">
        <v>0</v>
      </c>
      <c r="O2065" t="n">
        <v>0</v>
      </c>
      <c r="P2065" t="n">
        <v>0</v>
      </c>
      <c r="Q2065" t="n">
        <v>0</v>
      </c>
      <c r="R2065" s="2" t="inlineStr"/>
    </row>
    <row r="2066" ht="15" customHeight="1">
      <c r="A2066" t="inlineStr">
        <is>
          <t>A 11814-2022</t>
        </is>
      </c>
      <c r="B2066" s="1" t="n">
        <v>44634.69703703704</v>
      </c>
      <c r="C2066" s="1" t="n">
        <v>45884</v>
      </c>
      <c r="D2066" t="inlineStr">
        <is>
          <t>KALMAR LÄN</t>
        </is>
      </c>
      <c r="E2066" t="inlineStr">
        <is>
          <t>VIMMERBY</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37595-2021</t>
        </is>
      </c>
      <c r="B2067" s="1" t="n">
        <v>44399</v>
      </c>
      <c r="C2067" s="1" t="n">
        <v>45884</v>
      </c>
      <c r="D2067" t="inlineStr">
        <is>
          <t>KALMAR LÄN</t>
        </is>
      </c>
      <c r="E2067" t="inlineStr">
        <is>
          <t>OSKARSHAMN</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14599-2022</t>
        </is>
      </c>
      <c r="B2068" s="1" t="n">
        <v>44655</v>
      </c>
      <c r="C2068" s="1" t="n">
        <v>45884</v>
      </c>
      <c r="D2068" t="inlineStr">
        <is>
          <t>KALMAR LÄN</t>
        </is>
      </c>
      <c r="E2068" t="inlineStr">
        <is>
          <t>HULTSFRED</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6259-2022</t>
        </is>
      </c>
      <c r="B2069" s="1" t="n">
        <v>44600.45505787037</v>
      </c>
      <c r="C2069" s="1" t="n">
        <v>45884</v>
      </c>
      <c r="D2069" t="inlineStr">
        <is>
          <t>KALMAR LÄN</t>
        </is>
      </c>
      <c r="E2069" t="inlineStr">
        <is>
          <t>EMMABODA</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55537-2020</t>
        </is>
      </c>
      <c r="B2070" s="1" t="n">
        <v>44131</v>
      </c>
      <c r="C2070" s="1" t="n">
        <v>45884</v>
      </c>
      <c r="D2070" t="inlineStr">
        <is>
          <t>KALMAR LÄN</t>
        </is>
      </c>
      <c r="E2070" t="inlineStr">
        <is>
          <t>TORSÅS</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5854-2022</t>
        </is>
      </c>
      <c r="B2071" s="1" t="n">
        <v>44596</v>
      </c>
      <c r="C2071" s="1" t="n">
        <v>45884</v>
      </c>
      <c r="D2071" t="inlineStr">
        <is>
          <t>KALMAR LÄN</t>
        </is>
      </c>
      <c r="E2071" t="inlineStr">
        <is>
          <t>OSKARSHAMN</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27449-2021</t>
        </is>
      </c>
      <c r="B2072" s="1" t="n">
        <v>44351</v>
      </c>
      <c r="C2072" s="1" t="n">
        <v>45884</v>
      </c>
      <c r="D2072" t="inlineStr">
        <is>
          <t>KALMAR LÄN</t>
        </is>
      </c>
      <c r="E2072" t="inlineStr">
        <is>
          <t>KALMAR</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50363-2020</t>
        </is>
      </c>
      <c r="B2073" s="1" t="n">
        <v>44110</v>
      </c>
      <c r="C2073" s="1" t="n">
        <v>45884</v>
      </c>
      <c r="D2073" t="inlineStr">
        <is>
          <t>KALMAR LÄN</t>
        </is>
      </c>
      <c r="E2073" t="inlineStr">
        <is>
          <t>KALMAR</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50535-2020</t>
        </is>
      </c>
      <c r="B2074" s="1" t="n">
        <v>44110</v>
      </c>
      <c r="C2074" s="1" t="n">
        <v>45884</v>
      </c>
      <c r="D2074" t="inlineStr">
        <is>
          <t>KALMAR LÄN</t>
        </is>
      </c>
      <c r="E2074" t="inlineStr">
        <is>
          <t>EMMABODA</t>
        </is>
      </c>
      <c r="G2074" t="n">
        <v>3.2</v>
      </c>
      <c r="H2074" t="n">
        <v>0</v>
      </c>
      <c r="I2074" t="n">
        <v>0</v>
      </c>
      <c r="J2074" t="n">
        <v>0</v>
      </c>
      <c r="K2074" t="n">
        <v>0</v>
      </c>
      <c r="L2074" t="n">
        <v>0</v>
      </c>
      <c r="M2074" t="n">
        <v>0</v>
      </c>
      <c r="N2074" t="n">
        <v>0</v>
      </c>
      <c r="O2074" t="n">
        <v>0</v>
      </c>
      <c r="P2074" t="n">
        <v>0</v>
      </c>
      <c r="Q2074" t="n">
        <v>0</v>
      </c>
      <c r="R2074" s="2" t="inlineStr"/>
    </row>
    <row r="2075" ht="15" customHeight="1">
      <c r="A2075" t="inlineStr">
        <is>
          <t>A 57063-2021</t>
        </is>
      </c>
      <c r="B2075" s="1" t="n">
        <v>44482</v>
      </c>
      <c r="C2075" s="1" t="n">
        <v>45884</v>
      </c>
      <c r="D2075" t="inlineStr">
        <is>
          <t>KALMAR LÄN</t>
        </is>
      </c>
      <c r="E2075" t="inlineStr">
        <is>
          <t>TORSÅS</t>
        </is>
      </c>
      <c r="G2075" t="n">
        <v>3.6</v>
      </c>
      <c r="H2075" t="n">
        <v>0</v>
      </c>
      <c r="I2075" t="n">
        <v>0</v>
      </c>
      <c r="J2075" t="n">
        <v>0</v>
      </c>
      <c r="K2075" t="n">
        <v>0</v>
      </c>
      <c r="L2075" t="n">
        <v>0</v>
      </c>
      <c r="M2075" t="n">
        <v>0</v>
      </c>
      <c r="N2075" t="n">
        <v>0</v>
      </c>
      <c r="O2075" t="n">
        <v>0</v>
      </c>
      <c r="P2075" t="n">
        <v>0</v>
      </c>
      <c r="Q2075" t="n">
        <v>0</v>
      </c>
      <c r="R2075" s="2" t="inlineStr"/>
    </row>
    <row r="2076" ht="15" customHeight="1">
      <c r="A2076" t="inlineStr">
        <is>
          <t>A 56385-2021</t>
        </is>
      </c>
      <c r="B2076" s="1" t="n">
        <v>44480</v>
      </c>
      <c r="C2076" s="1" t="n">
        <v>45884</v>
      </c>
      <c r="D2076" t="inlineStr">
        <is>
          <t>KALMAR LÄN</t>
        </is>
      </c>
      <c r="E2076" t="inlineStr">
        <is>
          <t>VIMMERBY</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13743-2022</t>
        </is>
      </c>
      <c r="B2077" s="1" t="n">
        <v>44649</v>
      </c>
      <c r="C2077" s="1" t="n">
        <v>45884</v>
      </c>
      <c r="D2077" t="inlineStr">
        <is>
          <t>KALMAR LÄN</t>
        </is>
      </c>
      <c r="E2077" t="inlineStr">
        <is>
          <t>MÖNSTERÅS</t>
        </is>
      </c>
      <c r="F2077" t="inlineStr">
        <is>
          <t>Kommuner</t>
        </is>
      </c>
      <c r="G2077" t="n">
        <v>5.7</v>
      </c>
      <c r="H2077" t="n">
        <v>0</v>
      </c>
      <c r="I2077" t="n">
        <v>0</v>
      </c>
      <c r="J2077" t="n">
        <v>0</v>
      </c>
      <c r="K2077" t="n">
        <v>0</v>
      </c>
      <c r="L2077" t="n">
        <v>0</v>
      </c>
      <c r="M2077" t="n">
        <v>0</v>
      </c>
      <c r="N2077" t="n">
        <v>0</v>
      </c>
      <c r="O2077" t="n">
        <v>0</v>
      </c>
      <c r="P2077" t="n">
        <v>0</v>
      </c>
      <c r="Q2077" t="n">
        <v>0</v>
      </c>
      <c r="R2077" s="2" t="inlineStr"/>
    </row>
    <row r="2078" ht="15" customHeight="1">
      <c r="A2078" t="inlineStr">
        <is>
          <t>A 34493-2021</t>
        </is>
      </c>
      <c r="B2078" s="1" t="n">
        <v>44382</v>
      </c>
      <c r="C2078" s="1" t="n">
        <v>45884</v>
      </c>
      <c r="D2078" t="inlineStr">
        <is>
          <t>KALMAR LÄN</t>
        </is>
      </c>
      <c r="E2078" t="inlineStr">
        <is>
          <t>VÄSTERVIK</t>
        </is>
      </c>
      <c r="F2078" t="inlineStr">
        <is>
          <t>Övriga Aktiebolag</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66212-2021</t>
        </is>
      </c>
      <c r="B2079" s="1" t="n">
        <v>44518</v>
      </c>
      <c r="C2079" s="1" t="n">
        <v>45884</v>
      </c>
      <c r="D2079" t="inlineStr">
        <is>
          <t>KALMAR LÄN</t>
        </is>
      </c>
      <c r="E2079" t="inlineStr">
        <is>
          <t>MÖNSTERÅS</t>
        </is>
      </c>
      <c r="G2079" t="n">
        <v>3.3</v>
      </c>
      <c r="H2079" t="n">
        <v>0</v>
      </c>
      <c r="I2079" t="n">
        <v>0</v>
      </c>
      <c r="J2079" t="n">
        <v>0</v>
      </c>
      <c r="K2079" t="n">
        <v>0</v>
      </c>
      <c r="L2079" t="n">
        <v>0</v>
      </c>
      <c r="M2079" t="n">
        <v>0</v>
      </c>
      <c r="N2079" t="n">
        <v>0</v>
      </c>
      <c r="O2079" t="n">
        <v>0</v>
      </c>
      <c r="P2079" t="n">
        <v>0</v>
      </c>
      <c r="Q2079" t="n">
        <v>0</v>
      </c>
      <c r="R2079" s="2" t="inlineStr"/>
    </row>
    <row r="2080" ht="15" customHeight="1">
      <c r="A2080" t="inlineStr">
        <is>
          <t>A 32603-2021</t>
        </is>
      </c>
      <c r="B2080" s="1" t="n">
        <v>44375.38789351852</v>
      </c>
      <c r="C2080" s="1" t="n">
        <v>45884</v>
      </c>
      <c r="D2080" t="inlineStr">
        <is>
          <t>KALMAR LÄN</t>
        </is>
      </c>
      <c r="E2080" t="inlineStr">
        <is>
          <t>VIMMERBY</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32609-2021</t>
        </is>
      </c>
      <c r="B2081" s="1" t="n">
        <v>44375.39068287037</v>
      </c>
      <c r="C2081" s="1" t="n">
        <v>45884</v>
      </c>
      <c r="D2081" t="inlineStr">
        <is>
          <t>KALMAR LÄN</t>
        </is>
      </c>
      <c r="E2081" t="inlineStr">
        <is>
          <t>NYBRO</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53145-2022</t>
        </is>
      </c>
      <c r="B2082" s="1" t="n">
        <v>44876.48346064815</v>
      </c>
      <c r="C2082" s="1" t="n">
        <v>45884</v>
      </c>
      <c r="D2082" t="inlineStr">
        <is>
          <t>KALMAR LÄN</t>
        </is>
      </c>
      <c r="E2082" t="inlineStr">
        <is>
          <t>VIMMERBY</t>
        </is>
      </c>
      <c r="G2082" t="n">
        <v>0.4</v>
      </c>
      <c r="H2082" t="n">
        <v>0</v>
      </c>
      <c r="I2082" t="n">
        <v>0</v>
      </c>
      <c r="J2082" t="n">
        <v>0</v>
      </c>
      <c r="K2082" t="n">
        <v>0</v>
      </c>
      <c r="L2082" t="n">
        <v>0</v>
      </c>
      <c r="M2082" t="n">
        <v>0</v>
      </c>
      <c r="N2082" t="n">
        <v>0</v>
      </c>
      <c r="O2082" t="n">
        <v>0</v>
      </c>
      <c r="P2082" t="n">
        <v>0</v>
      </c>
      <c r="Q2082" t="n">
        <v>0</v>
      </c>
      <c r="R2082" s="2" t="inlineStr"/>
    </row>
    <row r="2083" ht="15" customHeight="1">
      <c r="A2083" t="inlineStr">
        <is>
          <t>A 25738-2022</t>
        </is>
      </c>
      <c r="B2083" s="1" t="n">
        <v>44733.43092592592</v>
      </c>
      <c r="C2083" s="1" t="n">
        <v>45884</v>
      </c>
      <c r="D2083" t="inlineStr">
        <is>
          <t>KALMAR LÄN</t>
        </is>
      </c>
      <c r="E2083" t="inlineStr">
        <is>
          <t>VIMMERBY</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51575-2022</t>
        </is>
      </c>
      <c r="B2084" s="1" t="n">
        <v>44870.4825462963</v>
      </c>
      <c r="C2084" s="1" t="n">
        <v>45884</v>
      </c>
      <c r="D2084" t="inlineStr">
        <is>
          <t>KALMAR LÄN</t>
        </is>
      </c>
      <c r="E2084" t="inlineStr">
        <is>
          <t>NYBRO</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31053-2022</t>
        </is>
      </c>
      <c r="B2085" s="1" t="n">
        <v>44769.45422453704</v>
      </c>
      <c r="C2085" s="1" t="n">
        <v>45884</v>
      </c>
      <c r="D2085" t="inlineStr">
        <is>
          <t>KALMAR LÄN</t>
        </is>
      </c>
      <c r="E2085" t="inlineStr">
        <is>
          <t>VIMMERBY</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27660-2022</t>
        </is>
      </c>
      <c r="B2086" s="1" t="n">
        <v>44743.38194444445</v>
      </c>
      <c r="C2086" s="1" t="n">
        <v>45884</v>
      </c>
      <c r="D2086" t="inlineStr">
        <is>
          <t>KALMAR LÄN</t>
        </is>
      </c>
      <c r="E2086" t="inlineStr">
        <is>
          <t>EMMABODA</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53242-2022</t>
        </is>
      </c>
      <c r="B2087" s="1" t="n">
        <v>44876.65719907408</v>
      </c>
      <c r="C2087" s="1" t="n">
        <v>45884</v>
      </c>
      <c r="D2087" t="inlineStr">
        <is>
          <t>KALMAR LÄN</t>
        </is>
      </c>
      <c r="E2087" t="inlineStr">
        <is>
          <t>HÖGSBY</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63414-2020</t>
        </is>
      </c>
      <c r="B2088" s="1" t="n">
        <v>44160</v>
      </c>
      <c r="C2088" s="1" t="n">
        <v>45884</v>
      </c>
      <c r="D2088" t="inlineStr">
        <is>
          <t>KALMAR LÄN</t>
        </is>
      </c>
      <c r="E2088" t="inlineStr">
        <is>
          <t>NYBRO</t>
        </is>
      </c>
      <c r="F2088" t="inlineStr">
        <is>
          <t>Kyrkan</t>
        </is>
      </c>
      <c r="G2088" t="n">
        <v>3.2</v>
      </c>
      <c r="H2088" t="n">
        <v>0</v>
      </c>
      <c r="I2088" t="n">
        <v>0</v>
      </c>
      <c r="J2088" t="n">
        <v>0</v>
      </c>
      <c r="K2088" t="n">
        <v>0</v>
      </c>
      <c r="L2088" t="n">
        <v>0</v>
      </c>
      <c r="M2088" t="n">
        <v>0</v>
      </c>
      <c r="N2088" t="n">
        <v>0</v>
      </c>
      <c r="O2088" t="n">
        <v>0</v>
      </c>
      <c r="P2088" t="n">
        <v>0</v>
      </c>
      <c r="Q2088" t="n">
        <v>0</v>
      </c>
      <c r="R2088" s="2" t="inlineStr"/>
    </row>
    <row r="2089" ht="15" customHeight="1">
      <c r="A2089" t="inlineStr">
        <is>
          <t>A 73552-2021</t>
        </is>
      </c>
      <c r="B2089" s="1" t="n">
        <v>44551</v>
      </c>
      <c r="C2089" s="1" t="n">
        <v>45884</v>
      </c>
      <c r="D2089" t="inlineStr">
        <is>
          <t>KALMAR LÄN</t>
        </is>
      </c>
      <c r="E2089" t="inlineStr">
        <is>
          <t>EMMABODA</t>
        </is>
      </c>
      <c r="F2089" t="inlineStr">
        <is>
          <t>Kommuner</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5751-2021</t>
        </is>
      </c>
      <c r="B2090" s="1" t="n">
        <v>44230</v>
      </c>
      <c r="C2090" s="1" t="n">
        <v>45884</v>
      </c>
      <c r="D2090" t="inlineStr">
        <is>
          <t>KALMAR LÄN</t>
        </is>
      </c>
      <c r="E2090" t="inlineStr">
        <is>
          <t>KALMAR</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24738-2021</t>
        </is>
      </c>
      <c r="B2091" s="1" t="n">
        <v>44340.58002314815</v>
      </c>
      <c r="C2091" s="1" t="n">
        <v>45884</v>
      </c>
      <c r="D2091" t="inlineStr">
        <is>
          <t>KALMAR LÄN</t>
        </is>
      </c>
      <c r="E2091" t="inlineStr">
        <is>
          <t>VIMMERBY</t>
        </is>
      </c>
      <c r="G2091" t="n">
        <v>3.5</v>
      </c>
      <c r="H2091" t="n">
        <v>0</v>
      </c>
      <c r="I2091" t="n">
        <v>0</v>
      </c>
      <c r="J2091" t="n">
        <v>0</v>
      </c>
      <c r="K2091" t="n">
        <v>0</v>
      </c>
      <c r="L2091" t="n">
        <v>0</v>
      </c>
      <c r="M2091" t="n">
        <v>0</v>
      </c>
      <c r="N2091" t="n">
        <v>0</v>
      </c>
      <c r="O2091" t="n">
        <v>0</v>
      </c>
      <c r="P2091" t="n">
        <v>0</v>
      </c>
      <c r="Q2091" t="n">
        <v>0</v>
      </c>
      <c r="R2091" s="2" t="inlineStr"/>
    </row>
    <row r="2092" ht="15" customHeight="1">
      <c r="A2092" t="inlineStr">
        <is>
          <t>A 28669-2021</t>
        </is>
      </c>
      <c r="B2092" s="1" t="n">
        <v>44357.37903935185</v>
      </c>
      <c r="C2092" s="1" t="n">
        <v>45884</v>
      </c>
      <c r="D2092" t="inlineStr">
        <is>
          <t>KALMAR LÄN</t>
        </is>
      </c>
      <c r="E2092" t="inlineStr">
        <is>
          <t>HULTSFRED</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42055-2021</t>
        </is>
      </c>
      <c r="B2093" s="1" t="n">
        <v>44426</v>
      </c>
      <c r="C2093" s="1" t="n">
        <v>45884</v>
      </c>
      <c r="D2093" t="inlineStr">
        <is>
          <t>KALMAR LÄN</t>
        </is>
      </c>
      <c r="E2093" t="inlineStr">
        <is>
          <t>HULTSFRED</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24929-2021</t>
        </is>
      </c>
      <c r="B2094" s="1" t="n">
        <v>44341.4290625</v>
      </c>
      <c r="C2094" s="1" t="n">
        <v>45884</v>
      </c>
      <c r="D2094" t="inlineStr">
        <is>
          <t>KALMAR LÄN</t>
        </is>
      </c>
      <c r="E2094" t="inlineStr">
        <is>
          <t>KALMAR</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12107-2022</t>
        </is>
      </c>
      <c r="B2095" s="1" t="n">
        <v>44636</v>
      </c>
      <c r="C2095" s="1" t="n">
        <v>45884</v>
      </c>
      <c r="D2095" t="inlineStr">
        <is>
          <t>KALMAR LÄN</t>
        </is>
      </c>
      <c r="E2095" t="inlineStr">
        <is>
          <t>VIMMERBY</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20128-2022</t>
        </is>
      </c>
      <c r="B2096" s="1" t="n">
        <v>44698</v>
      </c>
      <c r="C2096" s="1" t="n">
        <v>45884</v>
      </c>
      <c r="D2096" t="inlineStr">
        <is>
          <t>KALMAR LÄN</t>
        </is>
      </c>
      <c r="E2096" t="inlineStr">
        <is>
          <t>HÖGSBY</t>
        </is>
      </c>
      <c r="F2096" t="inlineStr">
        <is>
          <t>Sveaskog</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24718-2021</t>
        </is>
      </c>
      <c r="B2097" s="1" t="n">
        <v>44340</v>
      </c>
      <c r="C2097" s="1" t="n">
        <v>45884</v>
      </c>
      <c r="D2097" t="inlineStr">
        <is>
          <t>KALMAR LÄN</t>
        </is>
      </c>
      <c r="E2097" t="inlineStr">
        <is>
          <t>EMMABODA</t>
        </is>
      </c>
      <c r="G2097" t="n">
        <v>5</v>
      </c>
      <c r="H2097" t="n">
        <v>0</v>
      </c>
      <c r="I2097" t="n">
        <v>0</v>
      </c>
      <c r="J2097" t="n">
        <v>0</v>
      </c>
      <c r="K2097" t="n">
        <v>0</v>
      </c>
      <c r="L2097" t="n">
        <v>0</v>
      </c>
      <c r="M2097" t="n">
        <v>0</v>
      </c>
      <c r="N2097" t="n">
        <v>0</v>
      </c>
      <c r="O2097" t="n">
        <v>0</v>
      </c>
      <c r="P2097" t="n">
        <v>0</v>
      </c>
      <c r="Q2097" t="n">
        <v>0</v>
      </c>
      <c r="R2097" s="2" t="inlineStr"/>
    </row>
    <row r="2098" ht="15" customHeight="1">
      <c r="A2098" t="inlineStr">
        <is>
          <t>A 50536-2022</t>
        </is>
      </c>
      <c r="B2098" s="1" t="n">
        <v>44866.59038194444</v>
      </c>
      <c r="C2098" s="1" t="n">
        <v>45884</v>
      </c>
      <c r="D2098" t="inlineStr">
        <is>
          <t>KALMAR LÄN</t>
        </is>
      </c>
      <c r="E2098" t="inlineStr">
        <is>
          <t>OSKARSHAMN</t>
        </is>
      </c>
      <c r="G2098" t="n">
        <v>6.5</v>
      </c>
      <c r="H2098" t="n">
        <v>0</v>
      </c>
      <c r="I2098" t="n">
        <v>0</v>
      </c>
      <c r="J2098" t="n">
        <v>0</v>
      </c>
      <c r="K2098" t="n">
        <v>0</v>
      </c>
      <c r="L2098" t="n">
        <v>0</v>
      </c>
      <c r="M2098" t="n">
        <v>0</v>
      </c>
      <c r="N2098" t="n">
        <v>0</v>
      </c>
      <c r="O2098" t="n">
        <v>0</v>
      </c>
      <c r="P2098" t="n">
        <v>0</v>
      </c>
      <c r="Q2098" t="n">
        <v>0</v>
      </c>
      <c r="R2098" s="2" t="inlineStr"/>
    </row>
    <row r="2099" ht="15" customHeight="1">
      <c r="A2099" t="inlineStr">
        <is>
          <t>A 62631-2021</t>
        </is>
      </c>
      <c r="B2099" s="1" t="n">
        <v>44503</v>
      </c>
      <c r="C2099" s="1" t="n">
        <v>45884</v>
      </c>
      <c r="D2099" t="inlineStr">
        <is>
          <t>KALMAR LÄN</t>
        </is>
      </c>
      <c r="E2099" t="inlineStr">
        <is>
          <t>BORGHOLM</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47404-2021</t>
        </is>
      </c>
      <c r="B2100" s="1" t="n">
        <v>44447</v>
      </c>
      <c r="C2100" s="1" t="n">
        <v>45884</v>
      </c>
      <c r="D2100" t="inlineStr">
        <is>
          <t>KALMAR LÄN</t>
        </is>
      </c>
      <c r="E2100" t="inlineStr">
        <is>
          <t>VÄSTERVIK</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42792-2021</t>
        </is>
      </c>
      <c r="B2101" s="1" t="n">
        <v>44428.88928240741</v>
      </c>
      <c r="C2101" s="1" t="n">
        <v>45884</v>
      </c>
      <c r="D2101" t="inlineStr">
        <is>
          <t>KALMAR LÄN</t>
        </is>
      </c>
      <c r="E2101" t="inlineStr">
        <is>
          <t>HULTSFRED</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51088-2021</t>
        </is>
      </c>
      <c r="B2102" s="1" t="n">
        <v>44461.37548611111</v>
      </c>
      <c r="C2102" s="1" t="n">
        <v>45884</v>
      </c>
      <c r="D2102" t="inlineStr">
        <is>
          <t>KALMAR LÄN</t>
        </is>
      </c>
      <c r="E2102" t="inlineStr">
        <is>
          <t>HÖGSBY</t>
        </is>
      </c>
      <c r="G2102" t="n">
        <v>3.9</v>
      </c>
      <c r="H2102" t="n">
        <v>0</v>
      </c>
      <c r="I2102" t="n">
        <v>0</v>
      </c>
      <c r="J2102" t="n">
        <v>0</v>
      </c>
      <c r="K2102" t="n">
        <v>0</v>
      </c>
      <c r="L2102" t="n">
        <v>0</v>
      </c>
      <c r="M2102" t="n">
        <v>0</v>
      </c>
      <c r="N2102" t="n">
        <v>0</v>
      </c>
      <c r="O2102" t="n">
        <v>0</v>
      </c>
      <c r="P2102" t="n">
        <v>0</v>
      </c>
      <c r="Q2102" t="n">
        <v>0</v>
      </c>
      <c r="R2102" s="2" t="inlineStr"/>
    </row>
    <row r="2103" ht="15" customHeight="1">
      <c r="A2103" t="inlineStr">
        <is>
          <t>A 42961-2021</t>
        </is>
      </c>
      <c r="B2103" s="1" t="n">
        <v>44431.41373842592</v>
      </c>
      <c r="C2103" s="1" t="n">
        <v>45884</v>
      </c>
      <c r="D2103" t="inlineStr">
        <is>
          <t>KALMAR LÄN</t>
        </is>
      </c>
      <c r="E2103" t="inlineStr">
        <is>
          <t>EMMABODA</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44605-2020</t>
        </is>
      </c>
      <c r="B2104" s="1" t="n">
        <v>44085</v>
      </c>
      <c r="C2104" s="1" t="n">
        <v>45884</v>
      </c>
      <c r="D2104" t="inlineStr">
        <is>
          <t>KALMAR LÄN</t>
        </is>
      </c>
      <c r="E2104" t="inlineStr">
        <is>
          <t>VIMMERBY</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36250-2021</t>
        </is>
      </c>
      <c r="B2105" s="1" t="n">
        <v>44389</v>
      </c>
      <c r="C2105" s="1" t="n">
        <v>45884</v>
      </c>
      <c r="D2105" t="inlineStr">
        <is>
          <t>KALMAR LÄN</t>
        </is>
      </c>
      <c r="E2105" t="inlineStr">
        <is>
          <t>MÖNSTERÅS</t>
        </is>
      </c>
      <c r="F2105" t="inlineStr">
        <is>
          <t>Kyrkan</t>
        </is>
      </c>
      <c r="G2105" t="n">
        <v>5.5</v>
      </c>
      <c r="H2105" t="n">
        <v>0</v>
      </c>
      <c r="I2105" t="n">
        <v>0</v>
      </c>
      <c r="J2105" t="n">
        <v>0</v>
      </c>
      <c r="K2105" t="n">
        <v>0</v>
      </c>
      <c r="L2105" t="n">
        <v>0</v>
      </c>
      <c r="M2105" t="n">
        <v>0</v>
      </c>
      <c r="N2105" t="n">
        <v>0</v>
      </c>
      <c r="O2105" t="n">
        <v>0</v>
      </c>
      <c r="P2105" t="n">
        <v>0</v>
      </c>
      <c r="Q2105" t="n">
        <v>0</v>
      </c>
      <c r="R2105" s="2" t="inlineStr"/>
    </row>
    <row r="2106" ht="15" customHeight="1">
      <c r="A2106" t="inlineStr">
        <is>
          <t>A 18081-2021</t>
        </is>
      </c>
      <c r="B2106" s="1" t="n">
        <v>44302</v>
      </c>
      <c r="C2106" s="1" t="n">
        <v>45884</v>
      </c>
      <c r="D2106" t="inlineStr">
        <is>
          <t>KALMAR LÄN</t>
        </is>
      </c>
      <c r="E2106" t="inlineStr">
        <is>
          <t>KALMAR</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4974-2022</t>
        </is>
      </c>
      <c r="B2107" s="1" t="n">
        <v>44593</v>
      </c>
      <c r="C2107" s="1" t="n">
        <v>45884</v>
      </c>
      <c r="D2107" t="inlineStr">
        <is>
          <t>KALMAR LÄN</t>
        </is>
      </c>
      <c r="E2107" t="inlineStr">
        <is>
          <t>MÖNSTERÅS</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36117-2021</t>
        </is>
      </c>
      <c r="B2108" s="1" t="n">
        <v>44386</v>
      </c>
      <c r="C2108" s="1" t="n">
        <v>45884</v>
      </c>
      <c r="D2108" t="inlineStr">
        <is>
          <t>KALMAR LÄN</t>
        </is>
      </c>
      <c r="E2108" t="inlineStr">
        <is>
          <t>VIMMERBY</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2191-2022</t>
        </is>
      </c>
      <c r="B2109" s="1" t="n">
        <v>44578.49199074074</v>
      </c>
      <c r="C2109" s="1" t="n">
        <v>45884</v>
      </c>
      <c r="D2109" t="inlineStr">
        <is>
          <t>KALMAR LÄN</t>
        </is>
      </c>
      <c r="E2109" t="inlineStr">
        <is>
          <t>NYBRO</t>
        </is>
      </c>
      <c r="F2109" t="inlineStr">
        <is>
          <t>Sveaskog</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42521-2021</t>
        </is>
      </c>
      <c r="B2110" s="1" t="n">
        <v>44427</v>
      </c>
      <c r="C2110" s="1" t="n">
        <v>45884</v>
      </c>
      <c r="D2110" t="inlineStr">
        <is>
          <t>KALMAR LÄN</t>
        </is>
      </c>
      <c r="E2110" t="inlineStr">
        <is>
          <t>VIMMERBY</t>
        </is>
      </c>
      <c r="G2110" t="n">
        <v>5.4</v>
      </c>
      <c r="H2110" t="n">
        <v>0</v>
      </c>
      <c r="I2110" t="n">
        <v>0</v>
      </c>
      <c r="J2110" t="n">
        <v>0</v>
      </c>
      <c r="K2110" t="n">
        <v>0</v>
      </c>
      <c r="L2110" t="n">
        <v>0</v>
      </c>
      <c r="M2110" t="n">
        <v>0</v>
      </c>
      <c r="N2110" t="n">
        <v>0</v>
      </c>
      <c r="O2110" t="n">
        <v>0</v>
      </c>
      <c r="P2110" t="n">
        <v>0</v>
      </c>
      <c r="Q2110" t="n">
        <v>0</v>
      </c>
      <c r="R2110" s="2" t="inlineStr"/>
    </row>
    <row r="2111" ht="15" customHeight="1">
      <c r="A2111" t="inlineStr">
        <is>
          <t>A 46461-2020</t>
        </is>
      </c>
      <c r="B2111" s="1" t="n">
        <v>44092</v>
      </c>
      <c r="C2111" s="1" t="n">
        <v>45884</v>
      </c>
      <c r="D2111" t="inlineStr">
        <is>
          <t>KALMAR LÄN</t>
        </is>
      </c>
      <c r="E2111" t="inlineStr">
        <is>
          <t>VIMMERBY</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8454-2022</t>
        </is>
      </c>
      <c r="B2112" s="1" t="n">
        <v>44612.86762731482</v>
      </c>
      <c r="C2112" s="1" t="n">
        <v>45884</v>
      </c>
      <c r="D2112" t="inlineStr">
        <is>
          <t>KALMAR LÄN</t>
        </is>
      </c>
      <c r="E2112" t="inlineStr">
        <is>
          <t>VIMMERBY</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46526-2021</t>
        </is>
      </c>
      <c r="B2113" s="1" t="n">
        <v>44445</v>
      </c>
      <c r="C2113" s="1" t="n">
        <v>45884</v>
      </c>
      <c r="D2113" t="inlineStr">
        <is>
          <t>KALMAR LÄN</t>
        </is>
      </c>
      <c r="E2113" t="inlineStr">
        <is>
          <t>NYBRO</t>
        </is>
      </c>
      <c r="G2113" t="n">
        <v>2.7</v>
      </c>
      <c r="H2113" t="n">
        <v>0</v>
      </c>
      <c r="I2113" t="n">
        <v>0</v>
      </c>
      <c r="J2113" t="n">
        <v>0</v>
      </c>
      <c r="K2113" t="n">
        <v>0</v>
      </c>
      <c r="L2113" t="n">
        <v>0</v>
      </c>
      <c r="M2113" t="n">
        <v>0</v>
      </c>
      <c r="N2113" t="n">
        <v>0</v>
      </c>
      <c r="O2113" t="n">
        <v>0</v>
      </c>
      <c r="P2113" t="n">
        <v>0</v>
      </c>
      <c r="Q2113" t="n">
        <v>0</v>
      </c>
      <c r="R2113" s="2" t="inlineStr"/>
    </row>
    <row r="2114" ht="15" customHeight="1">
      <c r="A2114" t="inlineStr">
        <is>
          <t>A 38459-2021</t>
        </is>
      </c>
      <c r="B2114" s="1" t="n">
        <v>44407.35585648148</v>
      </c>
      <c r="C2114" s="1" t="n">
        <v>45884</v>
      </c>
      <c r="D2114" t="inlineStr">
        <is>
          <t>KALMAR LÄN</t>
        </is>
      </c>
      <c r="E2114" t="inlineStr">
        <is>
          <t>NYBRO</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38461-2021</t>
        </is>
      </c>
      <c r="B2115" s="1" t="n">
        <v>44407.35945601852</v>
      </c>
      <c r="C2115" s="1" t="n">
        <v>45884</v>
      </c>
      <c r="D2115" t="inlineStr">
        <is>
          <t>KALMAR LÄN</t>
        </is>
      </c>
      <c r="E2115" t="inlineStr">
        <is>
          <t>NYBRO</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6262-2022</t>
        </is>
      </c>
      <c r="B2116" s="1" t="n">
        <v>44600.45703703703</v>
      </c>
      <c r="C2116" s="1" t="n">
        <v>45884</v>
      </c>
      <c r="D2116" t="inlineStr">
        <is>
          <t>KALMAR LÄN</t>
        </is>
      </c>
      <c r="E2116" t="inlineStr">
        <is>
          <t>EMMABODA</t>
        </is>
      </c>
      <c r="G2116" t="n">
        <v>3.4</v>
      </c>
      <c r="H2116" t="n">
        <v>0</v>
      </c>
      <c r="I2116" t="n">
        <v>0</v>
      </c>
      <c r="J2116" t="n">
        <v>0</v>
      </c>
      <c r="K2116" t="n">
        <v>0</v>
      </c>
      <c r="L2116" t="n">
        <v>0</v>
      </c>
      <c r="M2116" t="n">
        <v>0</v>
      </c>
      <c r="N2116" t="n">
        <v>0</v>
      </c>
      <c r="O2116" t="n">
        <v>0</v>
      </c>
      <c r="P2116" t="n">
        <v>0</v>
      </c>
      <c r="Q2116" t="n">
        <v>0</v>
      </c>
      <c r="R2116" s="2" t="inlineStr"/>
    </row>
    <row r="2117" ht="15" customHeight="1">
      <c r="A2117" t="inlineStr">
        <is>
          <t>A 39225-2022</t>
        </is>
      </c>
      <c r="B2117" s="1" t="n">
        <v>44817.57988425926</v>
      </c>
      <c r="C2117" s="1" t="n">
        <v>45884</v>
      </c>
      <c r="D2117" t="inlineStr">
        <is>
          <t>KALMAR LÄN</t>
        </is>
      </c>
      <c r="E2117" t="inlineStr">
        <is>
          <t>VIMMERBY</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29029-2024</t>
        </is>
      </c>
      <c r="B2118" s="1" t="n">
        <v>45481.59611111111</v>
      </c>
      <c r="C2118" s="1" t="n">
        <v>45884</v>
      </c>
      <c r="D2118" t="inlineStr">
        <is>
          <t>KALMAR LÄN</t>
        </is>
      </c>
      <c r="E2118" t="inlineStr">
        <is>
          <t>HÖGSBY</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47326-2022</t>
        </is>
      </c>
      <c r="B2119" s="1" t="n">
        <v>44853</v>
      </c>
      <c r="C2119" s="1" t="n">
        <v>45884</v>
      </c>
      <c r="D2119" t="inlineStr">
        <is>
          <t>KALMAR LÄN</t>
        </is>
      </c>
      <c r="E2119" t="inlineStr">
        <is>
          <t>NYBRO</t>
        </is>
      </c>
      <c r="G2119" t="n">
        <v>2.7</v>
      </c>
      <c r="H2119" t="n">
        <v>0</v>
      </c>
      <c r="I2119" t="n">
        <v>0</v>
      </c>
      <c r="J2119" t="n">
        <v>0</v>
      </c>
      <c r="K2119" t="n">
        <v>0</v>
      </c>
      <c r="L2119" t="n">
        <v>0</v>
      </c>
      <c r="M2119" t="n">
        <v>0</v>
      </c>
      <c r="N2119" t="n">
        <v>0</v>
      </c>
      <c r="O2119" t="n">
        <v>0</v>
      </c>
      <c r="P2119" t="n">
        <v>0</v>
      </c>
      <c r="Q2119" t="n">
        <v>0</v>
      </c>
      <c r="R2119" s="2" t="inlineStr"/>
    </row>
    <row r="2120" ht="15" customHeight="1">
      <c r="A2120" t="inlineStr">
        <is>
          <t>A 39235-2021</t>
        </is>
      </c>
      <c r="B2120" s="1" t="n">
        <v>44413.45243055555</v>
      </c>
      <c r="C2120" s="1" t="n">
        <v>45884</v>
      </c>
      <c r="D2120" t="inlineStr">
        <is>
          <t>KALMAR LÄN</t>
        </is>
      </c>
      <c r="E2120" t="inlineStr">
        <is>
          <t>HÖGSBY</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8439-2022</t>
        </is>
      </c>
      <c r="B2121" s="1" t="n">
        <v>44612</v>
      </c>
      <c r="C2121" s="1" t="n">
        <v>45884</v>
      </c>
      <c r="D2121" t="inlineStr">
        <is>
          <t>KALMAR LÄN</t>
        </is>
      </c>
      <c r="E2121" t="inlineStr">
        <is>
          <t>HULTSFRED</t>
        </is>
      </c>
      <c r="F2121" t="inlineStr">
        <is>
          <t>Sveaskog</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37210-2023</t>
        </is>
      </c>
      <c r="B2122" s="1" t="n">
        <v>45155.71377314815</v>
      </c>
      <c r="C2122" s="1" t="n">
        <v>45884</v>
      </c>
      <c r="D2122" t="inlineStr">
        <is>
          <t>KALMAR LÄN</t>
        </is>
      </c>
      <c r="E2122" t="inlineStr">
        <is>
          <t>TORSÅS</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8468-2024</t>
        </is>
      </c>
      <c r="B2123" s="1" t="n">
        <v>45355.36631944445</v>
      </c>
      <c r="C2123" s="1" t="n">
        <v>45884</v>
      </c>
      <c r="D2123" t="inlineStr">
        <is>
          <t>KALMAR LÄN</t>
        </is>
      </c>
      <c r="E2123" t="inlineStr">
        <is>
          <t>MÖNSTERÅS</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15925-2023</t>
        </is>
      </c>
      <c r="B2124" s="1" t="n">
        <v>45022</v>
      </c>
      <c r="C2124" s="1" t="n">
        <v>45884</v>
      </c>
      <c r="D2124" t="inlineStr">
        <is>
          <t>KALMAR LÄN</t>
        </is>
      </c>
      <c r="E2124" t="inlineStr">
        <is>
          <t>OSKARSHAMN</t>
        </is>
      </c>
      <c r="G2124" t="n">
        <v>8.6</v>
      </c>
      <c r="H2124" t="n">
        <v>0</v>
      </c>
      <c r="I2124" t="n">
        <v>0</v>
      </c>
      <c r="J2124" t="n">
        <v>0</v>
      </c>
      <c r="K2124" t="n">
        <v>0</v>
      </c>
      <c r="L2124" t="n">
        <v>0</v>
      </c>
      <c r="M2124" t="n">
        <v>0</v>
      </c>
      <c r="N2124" t="n">
        <v>0</v>
      </c>
      <c r="O2124" t="n">
        <v>0</v>
      </c>
      <c r="P2124" t="n">
        <v>0</v>
      </c>
      <c r="Q2124" t="n">
        <v>0</v>
      </c>
      <c r="R2124" s="2" t="inlineStr"/>
    </row>
    <row r="2125" ht="15" customHeight="1">
      <c r="A2125" t="inlineStr">
        <is>
          <t>A 55170-2020</t>
        </is>
      </c>
      <c r="B2125" s="1" t="n">
        <v>44130.57664351852</v>
      </c>
      <c r="C2125" s="1" t="n">
        <v>45884</v>
      </c>
      <c r="D2125" t="inlineStr">
        <is>
          <t>KALMAR LÄN</t>
        </is>
      </c>
      <c r="E2125" t="inlineStr">
        <is>
          <t>HÖGSBY</t>
        </is>
      </c>
      <c r="G2125" t="n">
        <v>3.2</v>
      </c>
      <c r="H2125" t="n">
        <v>0</v>
      </c>
      <c r="I2125" t="n">
        <v>0</v>
      </c>
      <c r="J2125" t="n">
        <v>0</v>
      </c>
      <c r="K2125" t="n">
        <v>0</v>
      </c>
      <c r="L2125" t="n">
        <v>0</v>
      </c>
      <c r="M2125" t="n">
        <v>0</v>
      </c>
      <c r="N2125" t="n">
        <v>0</v>
      </c>
      <c r="O2125" t="n">
        <v>0</v>
      </c>
      <c r="P2125" t="n">
        <v>0</v>
      </c>
      <c r="Q2125" t="n">
        <v>0</v>
      </c>
      <c r="R2125" s="2" t="inlineStr"/>
    </row>
    <row r="2126" ht="15" customHeight="1">
      <c r="A2126" t="inlineStr">
        <is>
          <t>A 63212-2020</t>
        </is>
      </c>
      <c r="B2126" s="1" t="n">
        <v>44163</v>
      </c>
      <c r="C2126" s="1" t="n">
        <v>45884</v>
      </c>
      <c r="D2126" t="inlineStr">
        <is>
          <t>KALMAR LÄN</t>
        </is>
      </c>
      <c r="E2126" t="inlineStr">
        <is>
          <t>VÄSTERVIK</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29741-2022</t>
        </is>
      </c>
      <c r="B2127" s="1" t="n">
        <v>44755</v>
      </c>
      <c r="C2127" s="1" t="n">
        <v>45884</v>
      </c>
      <c r="D2127" t="inlineStr">
        <is>
          <t>KALMAR LÄN</t>
        </is>
      </c>
      <c r="E2127" t="inlineStr">
        <is>
          <t>HULTSFRED</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58235-2020</t>
        </is>
      </c>
      <c r="B2128" s="1" t="n">
        <v>44144</v>
      </c>
      <c r="C2128" s="1" t="n">
        <v>45884</v>
      </c>
      <c r="D2128" t="inlineStr">
        <is>
          <t>KALMAR LÄN</t>
        </is>
      </c>
      <c r="E2128" t="inlineStr">
        <is>
          <t>TORSÅS</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59548-2024</t>
        </is>
      </c>
      <c r="B2129" s="1" t="n">
        <v>45637</v>
      </c>
      <c r="C2129" s="1" t="n">
        <v>45884</v>
      </c>
      <c r="D2129" t="inlineStr">
        <is>
          <t>KALMAR LÄN</t>
        </is>
      </c>
      <c r="E2129" t="inlineStr">
        <is>
          <t>HULTSFRED</t>
        </is>
      </c>
      <c r="G2129" t="n">
        <v>3.3</v>
      </c>
      <c r="H2129" t="n">
        <v>0</v>
      </c>
      <c r="I2129" t="n">
        <v>0</v>
      </c>
      <c r="J2129" t="n">
        <v>0</v>
      </c>
      <c r="K2129" t="n">
        <v>0</v>
      </c>
      <c r="L2129" t="n">
        <v>0</v>
      </c>
      <c r="M2129" t="n">
        <v>0</v>
      </c>
      <c r="N2129" t="n">
        <v>0</v>
      </c>
      <c r="O2129" t="n">
        <v>0</v>
      </c>
      <c r="P2129" t="n">
        <v>0</v>
      </c>
      <c r="Q2129" t="n">
        <v>0</v>
      </c>
      <c r="R2129" s="2" t="inlineStr"/>
    </row>
    <row r="2130" ht="15" customHeight="1">
      <c r="A2130" t="inlineStr">
        <is>
          <t>A 27226-2021</t>
        </is>
      </c>
      <c r="B2130" s="1" t="n">
        <v>44350.91193287037</v>
      </c>
      <c r="C2130" s="1" t="n">
        <v>45884</v>
      </c>
      <c r="D2130" t="inlineStr">
        <is>
          <t>KALMAR LÄN</t>
        </is>
      </c>
      <c r="E2130" t="inlineStr">
        <is>
          <t>HULTSFRED</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45721-2022</t>
        </is>
      </c>
      <c r="B2131" s="1" t="n">
        <v>44845</v>
      </c>
      <c r="C2131" s="1" t="n">
        <v>45884</v>
      </c>
      <c r="D2131" t="inlineStr">
        <is>
          <t>KALMAR LÄN</t>
        </is>
      </c>
      <c r="E2131" t="inlineStr">
        <is>
          <t>VÄSTERVIK</t>
        </is>
      </c>
      <c r="F2131" t="inlineStr">
        <is>
          <t>Holmen skog AB</t>
        </is>
      </c>
      <c r="G2131" t="n">
        <v>3.3</v>
      </c>
      <c r="H2131" t="n">
        <v>0</v>
      </c>
      <c r="I2131" t="n">
        <v>0</v>
      </c>
      <c r="J2131" t="n">
        <v>0</v>
      </c>
      <c r="K2131" t="n">
        <v>0</v>
      </c>
      <c r="L2131" t="n">
        <v>0</v>
      </c>
      <c r="M2131" t="n">
        <v>0</v>
      </c>
      <c r="N2131" t="n">
        <v>0</v>
      </c>
      <c r="O2131" t="n">
        <v>0</v>
      </c>
      <c r="P2131" t="n">
        <v>0</v>
      </c>
      <c r="Q2131" t="n">
        <v>0</v>
      </c>
      <c r="R2131" s="2" t="inlineStr"/>
      <c r="U2131">
        <f>HYPERLINK("https://klasma.github.io/Logging_0883/knärot/A 45721-2022 karta knärot.png", "A 45721-2022")</f>
        <v/>
      </c>
      <c r="V2131">
        <f>HYPERLINK("https://klasma.github.io/Logging_0883/klagomål/A 45721-2022 FSC-klagomål.docx", "A 45721-2022")</f>
        <v/>
      </c>
      <c r="W2131">
        <f>HYPERLINK("https://klasma.github.io/Logging_0883/klagomålsmail/A 45721-2022 FSC-klagomål mail.docx", "A 45721-2022")</f>
        <v/>
      </c>
      <c r="X2131">
        <f>HYPERLINK("https://klasma.github.io/Logging_0883/tillsyn/A 45721-2022 tillsynsbegäran.docx", "A 45721-2022")</f>
        <v/>
      </c>
      <c r="Y2131">
        <f>HYPERLINK("https://klasma.github.io/Logging_0883/tillsynsmail/A 45721-2022 tillsynsbegäran mail.docx", "A 45721-2022")</f>
        <v/>
      </c>
    </row>
    <row r="2132" ht="15" customHeight="1">
      <c r="A2132" t="inlineStr">
        <is>
          <t>A 53349-2022</t>
        </is>
      </c>
      <c r="B2132" s="1" t="n">
        <v>44879.36008101852</v>
      </c>
      <c r="C2132" s="1" t="n">
        <v>45884</v>
      </c>
      <c r="D2132" t="inlineStr">
        <is>
          <t>KALMAR LÄN</t>
        </is>
      </c>
      <c r="E2132" t="inlineStr">
        <is>
          <t>TORSÅS</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7599-2024</t>
        </is>
      </c>
      <c r="B2133" s="1" t="n">
        <v>45348.55726851852</v>
      </c>
      <c r="C2133" s="1" t="n">
        <v>45884</v>
      </c>
      <c r="D2133" t="inlineStr">
        <is>
          <t>KALMAR LÄN</t>
        </is>
      </c>
      <c r="E2133" t="inlineStr">
        <is>
          <t>HÖGSBY</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61682-2020</t>
        </is>
      </c>
      <c r="B2134" s="1" t="n">
        <v>44154</v>
      </c>
      <c r="C2134" s="1" t="n">
        <v>45884</v>
      </c>
      <c r="D2134" t="inlineStr">
        <is>
          <t>KALMAR LÄN</t>
        </is>
      </c>
      <c r="E2134" t="inlineStr">
        <is>
          <t>VÄSTERVIK</t>
        </is>
      </c>
      <c r="F2134" t="inlineStr">
        <is>
          <t>Övriga Aktiebolag</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68625-2020</t>
        </is>
      </c>
      <c r="B2135" s="1" t="n">
        <v>44186</v>
      </c>
      <c r="C2135" s="1" t="n">
        <v>45884</v>
      </c>
      <c r="D2135" t="inlineStr">
        <is>
          <t>KALMAR LÄN</t>
        </is>
      </c>
      <c r="E2135" t="inlineStr">
        <is>
          <t>OSKARSHAMN</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31319-2021</t>
        </is>
      </c>
      <c r="B2136" s="1" t="n">
        <v>44368.91321759259</v>
      </c>
      <c r="C2136" s="1" t="n">
        <v>45884</v>
      </c>
      <c r="D2136" t="inlineStr">
        <is>
          <t>KALMAR LÄN</t>
        </is>
      </c>
      <c r="E2136" t="inlineStr">
        <is>
          <t>VÄSTERVIK</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6321-2023</t>
        </is>
      </c>
      <c r="B2137" s="1" t="n">
        <v>44965.4815162037</v>
      </c>
      <c r="C2137" s="1" t="n">
        <v>45884</v>
      </c>
      <c r="D2137" t="inlineStr">
        <is>
          <t>KALMAR LÄN</t>
        </is>
      </c>
      <c r="E2137" t="inlineStr">
        <is>
          <t>VIMMERBY</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19185-2023</t>
        </is>
      </c>
      <c r="B2138" s="1" t="n">
        <v>45048</v>
      </c>
      <c r="C2138" s="1" t="n">
        <v>45884</v>
      </c>
      <c r="D2138" t="inlineStr">
        <is>
          <t>KALMAR LÄN</t>
        </is>
      </c>
      <c r="E2138" t="inlineStr">
        <is>
          <t>HULTSFRED</t>
        </is>
      </c>
      <c r="G2138" t="n">
        <v>2.3</v>
      </c>
      <c r="H2138" t="n">
        <v>0</v>
      </c>
      <c r="I2138" t="n">
        <v>0</v>
      </c>
      <c r="J2138" t="n">
        <v>0</v>
      </c>
      <c r="K2138" t="n">
        <v>0</v>
      </c>
      <c r="L2138" t="n">
        <v>0</v>
      </c>
      <c r="M2138" t="n">
        <v>0</v>
      </c>
      <c r="N2138" t="n">
        <v>0</v>
      </c>
      <c r="O2138" t="n">
        <v>0</v>
      </c>
      <c r="P2138" t="n">
        <v>0</v>
      </c>
      <c r="Q2138" t="n">
        <v>0</v>
      </c>
      <c r="R2138" s="2" t="inlineStr"/>
    </row>
    <row r="2139" ht="15" customHeight="1">
      <c r="A2139" t="inlineStr">
        <is>
          <t>A 4624-2024</t>
        </is>
      </c>
      <c r="B2139" s="1" t="n">
        <v>45328.38755787037</v>
      </c>
      <c r="C2139" s="1" t="n">
        <v>45884</v>
      </c>
      <c r="D2139" t="inlineStr">
        <is>
          <t>KALMAR LÄN</t>
        </is>
      </c>
      <c r="E2139" t="inlineStr">
        <is>
          <t>VIMMERBY</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17568-2025</t>
        </is>
      </c>
      <c r="B2140" s="1" t="n">
        <v>45757.64254629629</v>
      </c>
      <c r="C2140" s="1" t="n">
        <v>45884</v>
      </c>
      <c r="D2140" t="inlineStr">
        <is>
          <t>KALMAR LÄN</t>
        </is>
      </c>
      <c r="E2140" t="inlineStr">
        <is>
          <t>EMMABODA</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765-2025</t>
        </is>
      </c>
      <c r="B2141" s="1" t="n">
        <v>45665.4533912037</v>
      </c>
      <c r="C2141" s="1" t="n">
        <v>45884</v>
      </c>
      <c r="D2141" t="inlineStr">
        <is>
          <t>KALMAR LÄN</t>
        </is>
      </c>
      <c r="E2141" t="inlineStr">
        <is>
          <t>EMMABODA</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47267-2023</t>
        </is>
      </c>
      <c r="B2142" s="1" t="n">
        <v>45202.42667824074</v>
      </c>
      <c r="C2142" s="1" t="n">
        <v>45884</v>
      </c>
      <c r="D2142" t="inlineStr">
        <is>
          <t>KALMAR LÄN</t>
        </is>
      </c>
      <c r="E2142" t="inlineStr">
        <is>
          <t>VÄSTERVIK</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47291-2023</t>
        </is>
      </c>
      <c r="B2143" s="1" t="n">
        <v>45202.46894675926</v>
      </c>
      <c r="C2143" s="1" t="n">
        <v>45884</v>
      </c>
      <c r="D2143" t="inlineStr">
        <is>
          <t>KALMAR LÄN</t>
        </is>
      </c>
      <c r="E2143" t="inlineStr">
        <is>
          <t>EMMABODA</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59389-2023</t>
        </is>
      </c>
      <c r="B2144" s="1" t="n">
        <v>45253.87519675926</v>
      </c>
      <c r="C2144" s="1" t="n">
        <v>45884</v>
      </c>
      <c r="D2144" t="inlineStr">
        <is>
          <t>KALMAR LÄN</t>
        </is>
      </c>
      <c r="E2144" t="inlineStr">
        <is>
          <t>OSKARSHAMN</t>
        </is>
      </c>
      <c r="G2144" t="n">
        <v>4.8</v>
      </c>
      <c r="H2144" t="n">
        <v>0</v>
      </c>
      <c r="I2144" t="n">
        <v>0</v>
      </c>
      <c r="J2144" t="n">
        <v>0</v>
      </c>
      <c r="K2144" t="n">
        <v>0</v>
      </c>
      <c r="L2144" t="n">
        <v>0</v>
      </c>
      <c r="M2144" t="n">
        <v>0</v>
      </c>
      <c r="N2144" t="n">
        <v>0</v>
      </c>
      <c r="O2144" t="n">
        <v>0</v>
      </c>
      <c r="P2144" t="n">
        <v>0</v>
      </c>
      <c r="Q2144" t="n">
        <v>0</v>
      </c>
      <c r="R2144" s="2" t="inlineStr"/>
    </row>
    <row r="2145" ht="15" customHeight="1">
      <c r="A2145" t="inlineStr">
        <is>
          <t>A 8010-2021</t>
        </is>
      </c>
      <c r="B2145" s="1" t="n">
        <v>44243</v>
      </c>
      <c r="C2145" s="1" t="n">
        <v>45884</v>
      </c>
      <c r="D2145" t="inlineStr">
        <is>
          <t>KALMAR LÄN</t>
        </is>
      </c>
      <c r="E2145" t="inlineStr">
        <is>
          <t>NYBRO</t>
        </is>
      </c>
      <c r="G2145" t="n">
        <v>7.3</v>
      </c>
      <c r="H2145" t="n">
        <v>0</v>
      </c>
      <c r="I2145" t="n">
        <v>0</v>
      </c>
      <c r="J2145" t="n">
        <v>0</v>
      </c>
      <c r="K2145" t="n">
        <v>0</v>
      </c>
      <c r="L2145" t="n">
        <v>0</v>
      </c>
      <c r="M2145" t="n">
        <v>0</v>
      </c>
      <c r="N2145" t="n">
        <v>0</v>
      </c>
      <c r="O2145" t="n">
        <v>0</v>
      </c>
      <c r="P2145" t="n">
        <v>0</v>
      </c>
      <c r="Q2145" t="n">
        <v>0</v>
      </c>
      <c r="R2145" s="2" t="inlineStr"/>
    </row>
    <row r="2146" ht="15" customHeight="1">
      <c r="A2146" t="inlineStr">
        <is>
          <t>A 47387-2023</t>
        </is>
      </c>
      <c r="B2146" s="1" t="n">
        <v>45202</v>
      </c>
      <c r="C2146" s="1" t="n">
        <v>45884</v>
      </c>
      <c r="D2146" t="inlineStr">
        <is>
          <t>KALMAR LÄN</t>
        </is>
      </c>
      <c r="E2146" t="inlineStr">
        <is>
          <t>KALMAR</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34951-2022</t>
        </is>
      </c>
      <c r="B2147" s="1" t="n">
        <v>44796</v>
      </c>
      <c r="C2147" s="1" t="n">
        <v>45884</v>
      </c>
      <c r="D2147" t="inlineStr">
        <is>
          <t>KALMAR LÄN</t>
        </is>
      </c>
      <c r="E2147" t="inlineStr">
        <is>
          <t>BORGHOLM</t>
        </is>
      </c>
      <c r="F2147" t="inlineStr">
        <is>
          <t>Sveaskog</t>
        </is>
      </c>
      <c r="G2147" t="n">
        <v>4.6</v>
      </c>
      <c r="H2147" t="n">
        <v>0</v>
      </c>
      <c r="I2147" t="n">
        <v>0</v>
      </c>
      <c r="J2147" t="n">
        <v>0</v>
      </c>
      <c r="K2147" t="n">
        <v>0</v>
      </c>
      <c r="L2147" t="n">
        <v>0</v>
      </c>
      <c r="M2147" t="n">
        <v>0</v>
      </c>
      <c r="N2147" t="n">
        <v>0</v>
      </c>
      <c r="O2147" t="n">
        <v>0</v>
      </c>
      <c r="P2147" t="n">
        <v>0</v>
      </c>
      <c r="Q2147" t="n">
        <v>0</v>
      </c>
      <c r="R2147" s="2" t="inlineStr"/>
    </row>
    <row r="2148" ht="15" customHeight="1">
      <c r="A2148" t="inlineStr">
        <is>
          <t>A 60033-2022</t>
        </is>
      </c>
      <c r="B2148" s="1" t="n">
        <v>44909.50149305556</v>
      </c>
      <c r="C2148" s="1" t="n">
        <v>45884</v>
      </c>
      <c r="D2148" t="inlineStr">
        <is>
          <t>KALMAR LÄN</t>
        </is>
      </c>
      <c r="E2148" t="inlineStr">
        <is>
          <t>NYBRO</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60039-2022</t>
        </is>
      </c>
      <c r="B2149" s="1" t="n">
        <v>44909.51041666666</v>
      </c>
      <c r="C2149" s="1" t="n">
        <v>45884</v>
      </c>
      <c r="D2149" t="inlineStr">
        <is>
          <t>KALMAR LÄN</t>
        </is>
      </c>
      <c r="E2149" t="inlineStr">
        <is>
          <t>NYBRO</t>
        </is>
      </c>
      <c r="G2149" t="n">
        <v>3.8</v>
      </c>
      <c r="H2149" t="n">
        <v>0</v>
      </c>
      <c r="I2149" t="n">
        <v>0</v>
      </c>
      <c r="J2149" t="n">
        <v>0</v>
      </c>
      <c r="K2149" t="n">
        <v>0</v>
      </c>
      <c r="L2149" t="n">
        <v>0</v>
      </c>
      <c r="M2149" t="n">
        <v>0</v>
      </c>
      <c r="N2149" t="n">
        <v>0</v>
      </c>
      <c r="O2149" t="n">
        <v>0</v>
      </c>
      <c r="P2149" t="n">
        <v>0</v>
      </c>
      <c r="Q2149" t="n">
        <v>0</v>
      </c>
      <c r="R2149" s="2" t="inlineStr"/>
    </row>
    <row r="2150" ht="15" customHeight="1">
      <c r="A2150" t="inlineStr">
        <is>
          <t>A 33814-2023</t>
        </is>
      </c>
      <c r="B2150" s="1" t="n">
        <v>45133.59230324074</v>
      </c>
      <c r="C2150" s="1" t="n">
        <v>45884</v>
      </c>
      <c r="D2150" t="inlineStr">
        <is>
          <t>KALMAR LÄN</t>
        </is>
      </c>
      <c r="E2150" t="inlineStr">
        <is>
          <t>VÄSTERVIK</t>
        </is>
      </c>
      <c r="G2150" t="n">
        <v>3.9</v>
      </c>
      <c r="H2150" t="n">
        <v>0</v>
      </c>
      <c r="I2150" t="n">
        <v>0</v>
      </c>
      <c r="J2150" t="n">
        <v>0</v>
      </c>
      <c r="K2150" t="n">
        <v>0</v>
      </c>
      <c r="L2150" t="n">
        <v>0</v>
      </c>
      <c r="M2150" t="n">
        <v>0</v>
      </c>
      <c r="N2150" t="n">
        <v>0</v>
      </c>
      <c r="O2150" t="n">
        <v>0</v>
      </c>
      <c r="P2150" t="n">
        <v>0</v>
      </c>
      <c r="Q2150" t="n">
        <v>0</v>
      </c>
      <c r="R2150" s="2" t="inlineStr"/>
    </row>
    <row r="2151" ht="15" customHeight="1">
      <c r="A2151" t="inlineStr">
        <is>
          <t>A 58768-2021</t>
        </is>
      </c>
      <c r="B2151" s="1" t="n">
        <v>44489.5469212963</v>
      </c>
      <c r="C2151" s="1" t="n">
        <v>45884</v>
      </c>
      <c r="D2151" t="inlineStr">
        <is>
          <t>KALMAR LÄN</t>
        </is>
      </c>
      <c r="E2151" t="inlineStr">
        <is>
          <t>TORSÅS</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57019-2023</t>
        </is>
      </c>
      <c r="B2152" s="1" t="n">
        <v>45244</v>
      </c>
      <c r="C2152" s="1" t="n">
        <v>45884</v>
      </c>
      <c r="D2152" t="inlineStr">
        <is>
          <t>KALMAR LÄN</t>
        </is>
      </c>
      <c r="E2152" t="inlineStr">
        <is>
          <t>VÄSTERVIK</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49313-2022</t>
        </is>
      </c>
      <c r="B2153" s="1" t="n">
        <v>44861.52505787037</v>
      </c>
      <c r="C2153" s="1" t="n">
        <v>45884</v>
      </c>
      <c r="D2153" t="inlineStr">
        <is>
          <t>KALMAR LÄN</t>
        </is>
      </c>
      <c r="E2153" t="inlineStr">
        <is>
          <t>VIMMERBY</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1987-2024</t>
        </is>
      </c>
      <c r="B2154" s="1" t="n">
        <v>45308.61152777778</v>
      </c>
      <c r="C2154" s="1" t="n">
        <v>45884</v>
      </c>
      <c r="D2154" t="inlineStr">
        <is>
          <t>KALMAR LÄN</t>
        </is>
      </c>
      <c r="E2154" t="inlineStr">
        <is>
          <t>VIMMERBY</t>
        </is>
      </c>
      <c r="G2154" t="n">
        <v>3</v>
      </c>
      <c r="H2154" t="n">
        <v>0</v>
      </c>
      <c r="I2154" t="n">
        <v>0</v>
      </c>
      <c r="J2154" t="n">
        <v>0</v>
      </c>
      <c r="K2154" t="n">
        <v>0</v>
      </c>
      <c r="L2154" t="n">
        <v>0</v>
      </c>
      <c r="M2154" t="n">
        <v>0</v>
      </c>
      <c r="N2154" t="n">
        <v>0</v>
      </c>
      <c r="O2154" t="n">
        <v>0</v>
      </c>
      <c r="P2154" t="n">
        <v>0</v>
      </c>
      <c r="Q2154" t="n">
        <v>0</v>
      </c>
      <c r="R2154" s="2" t="inlineStr"/>
    </row>
    <row r="2155" ht="15" customHeight="1">
      <c r="A2155" t="inlineStr">
        <is>
          <t>A 19541-2023</t>
        </is>
      </c>
      <c r="B2155" s="1" t="n">
        <v>45050</v>
      </c>
      <c r="C2155" s="1" t="n">
        <v>45884</v>
      </c>
      <c r="D2155" t="inlineStr">
        <is>
          <t>KALMAR LÄN</t>
        </is>
      </c>
      <c r="E2155" t="inlineStr">
        <is>
          <t>KALMAR</t>
        </is>
      </c>
      <c r="G2155" t="n">
        <v>5</v>
      </c>
      <c r="H2155" t="n">
        <v>0</v>
      </c>
      <c r="I2155" t="n">
        <v>0</v>
      </c>
      <c r="J2155" t="n">
        <v>0</v>
      </c>
      <c r="K2155" t="n">
        <v>0</v>
      </c>
      <c r="L2155" t="n">
        <v>0</v>
      </c>
      <c r="M2155" t="n">
        <v>0</v>
      </c>
      <c r="N2155" t="n">
        <v>0</v>
      </c>
      <c r="O2155" t="n">
        <v>0</v>
      </c>
      <c r="P2155" t="n">
        <v>0</v>
      </c>
      <c r="Q2155" t="n">
        <v>0</v>
      </c>
      <c r="R2155" s="2" t="inlineStr"/>
    </row>
    <row r="2156" ht="15" customHeight="1">
      <c r="A2156" t="inlineStr">
        <is>
          <t>A 31870-2024</t>
        </is>
      </c>
      <c r="B2156" s="1" t="n">
        <v>45509.84324074074</v>
      </c>
      <c r="C2156" s="1" t="n">
        <v>45884</v>
      </c>
      <c r="D2156" t="inlineStr">
        <is>
          <t>KALMAR LÄN</t>
        </is>
      </c>
      <c r="E2156" t="inlineStr">
        <is>
          <t>NYBRO</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44139-2021</t>
        </is>
      </c>
      <c r="B2157" s="1" t="n">
        <v>44434</v>
      </c>
      <c r="C2157" s="1" t="n">
        <v>45884</v>
      </c>
      <c r="D2157" t="inlineStr">
        <is>
          <t>KALMAR LÄN</t>
        </is>
      </c>
      <c r="E2157" t="inlineStr">
        <is>
          <t>HULTSFRED</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40730-2024</t>
        </is>
      </c>
      <c r="B2158" s="1" t="n">
        <v>45558.44914351852</v>
      </c>
      <c r="C2158" s="1" t="n">
        <v>45884</v>
      </c>
      <c r="D2158" t="inlineStr">
        <is>
          <t>KALMAR LÄN</t>
        </is>
      </c>
      <c r="E2158" t="inlineStr">
        <is>
          <t>VIMMERBY</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8116-2025</t>
        </is>
      </c>
      <c r="B2159" s="1" t="n">
        <v>45707.74365740741</v>
      </c>
      <c r="C2159" s="1" t="n">
        <v>45884</v>
      </c>
      <c r="D2159" t="inlineStr">
        <is>
          <t>KALMAR LÄN</t>
        </is>
      </c>
      <c r="E2159" t="inlineStr">
        <is>
          <t>HÖGSBY</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24268-2022</t>
        </is>
      </c>
      <c r="B2160" s="1" t="n">
        <v>44725</v>
      </c>
      <c r="C2160" s="1" t="n">
        <v>45884</v>
      </c>
      <c r="D2160" t="inlineStr">
        <is>
          <t>KALMAR LÄN</t>
        </is>
      </c>
      <c r="E2160" t="inlineStr">
        <is>
          <t>EMMABODA</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31917-2024</t>
        </is>
      </c>
      <c r="B2161" s="1" t="n">
        <v>45510.39084490741</v>
      </c>
      <c r="C2161" s="1" t="n">
        <v>45884</v>
      </c>
      <c r="D2161" t="inlineStr">
        <is>
          <t>KALMAR LÄN</t>
        </is>
      </c>
      <c r="E2161" t="inlineStr">
        <is>
          <t>NYBRO</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19790-2024</t>
        </is>
      </c>
      <c r="B2162" s="1" t="n">
        <v>45432.8953587963</v>
      </c>
      <c r="C2162" s="1" t="n">
        <v>45884</v>
      </c>
      <c r="D2162" t="inlineStr">
        <is>
          <t>KALMAR LÄN</t>
        </is>
      </c>
      <c r="E2162" t="inlineStr">
        <is>
          <t>OSKARSHAMN</t>
        </is>
      </c>
      <c r="F2162" t="inlineStr">
        <is>
          <t>Sveaskog</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19867-2024</t>
        </is>
      </c>
      <c r="B2163" s="1" t="n">
        <v>45433</v>
      </c>
      <c r="C2163" s="1" t="n">
        <v>45884</v>
      </c>
      <c r="D2163" t="inlineStr">
        <is>
          <t>KALMAR LÄN</t>
        </is>
      </c>
      <c r="E2163" t="inlineStr">
        <is>
          <t>BORGHOLM</t>
        </is>
      </c>
      <c r="G2163" t="n">
        <v>3.9</v>
      </c>
      <c r="H2163" t="n">
        <v>0</v>
      </c>
      <c r="I2163" t="n">
        <v>0</v>
      </c>
      <c r="J2163" t="n">
        <v>0</v>
      </c>
      <c r="K2163" t="n">
        <v>0</v>
      </c>
      <c r="L2163" t="n">
        <v>0</v>
      </c>
      <c r="M2163" t="n">
        <v>0</v>
      </c>
      <c r="N2163" t="n">
        <v>0</v>
      </c>
      <c r="O2163" t="n">
        <v>0</v>
      </c>
      <c r="P2163" t="n">
        <v>0</v>
      </c>
      <c r="Q2163" t="n">
        <v>0</v>
      </c>
      <c r="R2163" s="2" t="inlineStr"/>
    </row>
    <row r="2164" ht="15" customHeight="1">
      <c r="A2164" t="inlineStr">
        <is>
          <t>A 2150-2024</t>
        </is>
      </c>
      <c r="B2164" s="1" t="n">
        <v>45309.58023148148</v>
      </c>
      <c r="C2164" s="1" t="n">
        <v>45884</v>
      </c>
      <c r="D2164" t="inlineStr">
        <is>
          <t>KALMAR LÄN</t>
        </is>
      </c>
      <c r="E2164" t="inlineStr">
        <is>
          <t>TORSÅS</t>
        </is>
      </c>
      <c r="G2164" t="n">
        <v>3.8</v>
      </c>
      <c r="H2164" t="n">
        <v>0</v>
      </c>
      <c r="I2164" t="n">
        <v>0</v>
      </c>
      <c r="J2164" t="n">
        <v>0</v>
      </c>
      <c r="K2164" t="n">
        <v>0</v>
      </c>
      <c r="L2164" t="n">
        <v>0</v>
      </c>
      <c r="M2164" t="n">
        <v>0</v>
      </c>
      <c r="N2164" t="n">
        <v>0</v>
      </c>
      <c r="O2164" t="n">
        <v>0</v>
      </c>
      <c r="P2164" t="n">
        <v>0</v>
      </c>
      <c r="Q2164" t="n">
        <v>0</v>
      </c>
      <c r="R2164" s="2" t="inlineStr"/>
    </row>
    <row r="2165" ht="15" customHeight="1">
      <c r="A2165" t="inlineStr">
        <is>
          <t>A 2157-2024</t>
        </is>
      </c>
      <c r="B2165" s="1" t="n">
        <v>45309.59487268519</v>
      </c>
      <c r="C2165" s="1" t="n">
        <v>45884</v>
      </c>
      <c r="D2165" t="inlineStr">
        <is>
          <t>KALMAR LÄN</t>
        </is>
      </c>
      <c r="E2165" t="inlineStr">
        <is>
          <t>VIMMERBY</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48977-2020</t>
        </is>
      </c>
      <c r="B2166" s="1" t="n">
        <v>44104</v>
      </c>
      <c r="C2166" s="1" t="n">
        <v>45884</v>
      </c>
      <c r="D2166" t="inlineStr">
        <is>
          <t>KALMAR LÄN</t>
        </is>
      </c>
      <c r="E2166" t="inlineStr">
        <is>
          <t>OSKARSHAMN</t>
        </is>
      </c>
      <c r="G2166" t="n">
        <v>2.7</v>
      </c>
      <c r="H2166" t="n">
        <v>0</v>
      </c>
      <c r="I2166" t="n">
        <v>0</v>
      </c>
      <c r="J2166" t="n">
        <v>0</v>
      </c>
      <c r="K2166" t="n">
        <v>0</v>
      </c>
      <c r="L2166" t="n">
        <v>0</v>
      </c>
      <c r="M2166" t="n">
        <v>0</v>
      </c>
      <c r="N2166" t="n">
        <v>0</v>
      </c>
      <c r="O2166" t="n">
        <v>0</v>
      </c>
      <c r="P2166" t="n">
        <v>0</v>
      </c>
      <c r="Q2166" t="n">
        <v>0</v>
      </c>
      <c r="R2166" s="2" t="inlineStr"/>
    </row>
    <row r="2167" ht="15" customHeight="1">
      <c r="A2167" t="inlineStr">
        <is>
          <t>A 2357-2021</t>
        </is>
      </c>
      <c r="B2167" s="1" t="n">
        <v>44214</v>
      </c>
      <c r="C2167" s="1" t="n">
        <v>45884</v>
      </c>
      <c r="D2167" t="inlineStr">
        <is>
          <t>KALMAR LÄN</t>
        </is>
      </c>
      <c r="E2167" t="inlineStr">
        <is>
          <t>KALMAR</t>
        </is>
      </c>
      <c r="G2167" t="n">
        <v>3.5</v>
      </c>
      <c r="H2167" t="n">
        <v>0</v>
      </c>
      <c r="I2167" t="n">
        <v>0</v>
      </c>
      <c r="J2167" t="n">
        <v>0</v>
      </c>
      <c r="K2167" t="n">
        <v>0</v>
      </c>
      <c r="L2167" t="n">
        <v>0</v>
      </c>
      <c r="M2167" t="n">
        <v>0</v>
      </c>
      <c r="N2167" t="n">
        <v>0</v>
      </c>
      <c r="O2167" t="n">
        <v>0</v>
      </c>
      <c r="P2167" t="n">
        <v>0</v>
      </c>
      <c r="Q2167" t="n">
        <v>0</v>
      </c>
      <c r="R2167" s="2" t="inlineStr"/>
    </row>
    <row r="2168" ht="15" customHeight="1">
      <c r="A2168" t="inlineStr">
        <is>
          <t>A 21496-2021</t>
        </is>
      </c>
      <c r="B2168" s="1" t="n">
        <v>44321</v>
      </c>
      <c r="C2168" s="1" t="n">
        <v>45884</v>
      </c>
      <c r="D2168" t="inlineStr">
        <is>
          <t>KALMAR LÄN</t>
        </is>
      </c>
      <c r="E2168" t="inlineStr">
        <is>
          <t>HÖGSBY</t>
        </is>
      </c>
      <c r="G2168" t="n">
        <v>9.6</v>
      </c>
      <c r="H2168" t="n">
        <v>0</v>
      </c>
      <c r="I2168" t="n">
        <v>0</v>
      </c>
      <c r="J2168" t="n">
        <v>0</v>
      </c>
      <c r="K2168" t="n">
        <v>0</v>
      </c>
      <c r="L2168" t="n">
        <v>0</v>
      </c>
      <c r="M2168" t="n">
        <v>0</v>
      </c>
      <c r="N2168" t="n">
        <v>0</v>
      </c>
      <c r="O2168" t="n">
        <v>0</v>
      </c>
      <c r="P2168" t="n">
        <v>0</v>
      </c>
      <c r="Q2168" t="n">
        <v>0</v>
      </c>
      <c r="R2168" s="2" t="inlineStr"/>
    </row>
    <row r="2169" ht="15" customHeight="1">
      <c r="A2169" t="inlineStr">
        <is>
          <t>A 59687-2021</t>
        </is>
      </c>
      <c r="B2169" s="1" t="n">
        <v>44494.38530092593</v>
      </c>
      <c r="C2169" s="1" t="n">
        <v>45884</v>
      </c>
      <c r="D2169" t="inlineStr">
        <is>
          <t>KALMAR LÄN</t>
        </is>
      </c>
      <c r="E2169" t="inlineStr">
        <is>
          <t>NYBRO</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60363-2023</t>
        </is>
      </c>
      <c r="B2170" s="1" t="n">
        <v>45259.3803125</v>
      </c>
      <c r="C2170" s="1" t="n">
        <v>45884</v>
      </c>
      <c r="D2170" t="inlineStr">
        <is>
          <t>KALMAR LÄN</t>
        </is>
      </c>
      <c r="E2170" t="inlineStr">
        <is>
          <t>HULTSFRED</t>
        </is>
      </c>
      <c r="G2170" t="n">
        <v>3.8</v>
      </c>
      <c r="H2170" t="n">
        <v>0</v>
      </c>
      <c r="I2170" t="n">
        <v>0</v>
      </c>
      <c r="J2170" t="n">
        <v>0</v>
      </c>
      <c r="K2170" t="n">
        <v>0</v>
      </c>
      <c r="L2170" t="n">
        <v>0</v>
      </c>
      <c r="M2170" t="n">
        <v>0</v>
      </c>
      <c r="N2170" t="n">
        <v>0</v>
      </c>
      <c r="O2170" t="n">
        <v>0</v>
      </c>
      <c r="P2170" t="n">
        <v>0</v>
      </c>
      <c r="Q2170" t="n">
        <v>0</v>
      </c>
      <c r="R2170" s="2" t="inlineStr"/>
    </row>
    <row r="2171" ht="15" customHeight="1">
      <c r="A2171" t="inlineStr">
        <is>
          <t>A 22488-2022</t>
        </is>
      </c>
      <c r="B2171" s="1" t="n">
        <v>44713.63434027778</v>
      </c>
      <c r="C2171" s="1" t="n">
        <v>45884</v>
      </c>
      <c r="D2171" t="inlineStr">
        <is>
          <t>KALMAR LÄN</t>
        </is>
      </c>
      <c r="E2171" t="inlineStr">
        <is>
          <t>NYBRO</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22543-2022</t>
        </is>
      </c>
      <c r="B2172" s="1" t="n">
        <v>44713</v>
      </c>
      <c r="C2172" s="1" t="n">
        <v>45884</v>
      </c>
      <c r="D2172" t="inlineStr">
        <is>
          <t>KALMAR LÄN</t>
        </is>
      </c>
      <c r="E2172" t="inlineStr">
        <is>
          <t>OSKARSHAMN</t>
        </is>
      </c>
      <c r="G2172" t="n">
        <v>6.2</v>
      </c>
      <c r="H2172" t="n">
        <v>0</v>
      </c>
      <c r="I2172" t="n">
        <v>0</v>
      </c>
      <c r="J2172" t="n">
        <v>0</v>
      </c>
      <c r="K2172" t="n">
        <v>0</v>
      </c>
      <c r="L2172" t="n">
        <v>0</v>
      </c>
      <c r="M2172" t="n">
        <v>0</v>
      </c>
      <c r="N2172" t="n">
        <v>0</v>
      </c>
      <c r="O2172" t="n">
        <v>0</v>
      </c>
      <c r="P2172" t="n">
        <v>0</v>
      </c>
      <c r="Q2172" t="n">
        <v>0</v>
      </c>
      <c r="R2172" s="2" t="inlineStr"/>
    </row>
    <row r="2173" ht="15" customHeight="1">
      <c r="A2173" t="inlineStr">
        <is>
          <t>A 62274-2021</t>
        </is>
      </c>
      <c r="B2173" s="1" t="n">
        <v>44503</v>
      </c>
      <c r="C2173" s="1" t="n">
        <v>45884</v>
      </c>
      <c r="D2173" t="inlineStr">
        <is>
          <t>KALMAR LÄN</t>
        </is>
      </c>
      <c r="E2173" t="inlineStr">
        <is>
          <t>HÖGSBY</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42494-2020</t>
        </is>
      </c>
      <c r="B2174" s="1" t="n">
        <v>44077</v>
      </c>
      <c r="C2174" s="1" t="n">
        <v>45884</v>
      </c>
      <c r="D2174" t="inlineStr">
        <is>
          <t>KALMAR LÄN</t>
        </is>
      </c>
      <c r="E2174" t="inlineStr">
        <is>
          <t>VIMMERBY</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1903-2024</t>
        </is>
      </c>
      <c r="B2175" s="1" t="n">
        <v>45308.36451388889</v>
      </c>
      <c r="C2175" s="1" t="n">
        <v>45884</v>
      </c>
      <c r="D2175" t="inlineStr">
        <is>
          <t>KALMAR LÄN</t>
        </is>
      </c>
      <c r="E2175" t="inlineStr">
        <is>
          <t>KALMAR</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34564-2022</t>
        </is>
      </c>
      <c r="B2176" s="1" t="n">
        <v>44794</v>
      </c>
      <c r="C2176" s="1" t="n">
        <v>45884</v>
      </c>
      <c r="D2176" t="inlineStr">
        <is>
          <t>KALMAR LÄN</t>
        </is>
      </c>
      <c r="E2176" t="inlineStr">
        <is>
          <t>HULTSFRED</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60124-2020</t>
        </is>
      </c>
      <c r="B2177" s="1" t="n">
        <v>44151</v>
      </c>
      <c r="C2177" s="1" t="n">
        <v>45884</v>
      </c>
      <c r="D2177" t="inlineStr">
        <is>
          <t>KALMAR LÄN</t>
        </is>
      </c>
      <c r="E2177" t="inlineStr">
        <is>
          <t>HULTSFRED</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8382-2023</t>
        </is>
      </c>
      <c r="B2178" s="1" t="n">
        <v>44977.40112268519</v>
      </c>
      <c r="C2178" s="1" t="n">
        <v>45884</v>
      </c>
      <c r="D2178" t="inlineStr">
        <is>
          <t>KALMAR LÄN</t>
        </is>
      </c>
      <c r="E2178" t="inlineStr">
        <is>
          <t>VÄSTERVIK</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8427-2023</t>
        </is>
      </c>
      <c r="B2179" s="1" t="n">
        <v>44977</v>
      </c>
      <c r="C2179" s="1" t="n">
        <v>45884</v>
      </c>
      <c r="D2179" t="inlineStr">
        <is>
          <t>KALMAR LÄN</t>
        </is>
      </c>
      <c r="E2179" t="inlineStr">
        <is>
          <t>TORSÅS</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8463-2023</t>
        </is>
      </c>
      <c r="B2180" s="1" t="n">
        <v>44972</v>
      </c>
      <c r="C2180" s="1" t="n">
        <v>45884</v>
      </c>
      <c r="D2180" t="inlineStr">
        <is>
          <t>KALMAR LÄN</t>
        </is>
      </c>
      <c r="E2180" t="inlineStr">
        <is>
          <t>HÖGSBY</t>
        </is>
      </c>
      <c r="G2180" t="n">
        <v>5.5</v>
      </c>
      <c r="H2180" t="n">
        <v>0</v>
      </c>
      <c r="I2180" t="n">
        <v>0</v>
      </c>
      <c r="J2180" t="n">
        <v>0</v>
      </c>
      <c r="K2180" t="n">
        <v>0</v>
      </c>
      <c r="L2180" t="n">
        <v>0</v>
      </c>
      <c r="M2180" t="n">
        <v>0</v>
      </c>
      <c r="N2180" t="n">
        <v>0</v>
      </c>
      <c r="O2180" t="n">
        <v>0</v>
      </c>
      <c r="P2180" t="n">
        <v>0</v>
      </c>
      <c r="Q2180" t="n">
        <v>0</v>
      </c>
      <c r="R2180" s="2" t="inlineStr"/>
    </row>
    <row r="2181" ht="15" customHeight="1">
      <c r="A2181" t="inlineStr">
        <is>
          <t>A 9483-2025</t>
        </is>
      </c>
      <c r="B2181" s="1" t="n">
        <v>45715.48555555556</v>
      </c>
      <c r="C2181" s="1" t="n">
        <v>45884</v>
      </c>
      <c r="D2181" t="inlineStr">
        <is>
          <t>KALMAR LÄN</t>
        </is>
      </c>
      <c r="E2181" t="inlineStr">
        <is>
          <t>HULTSFRED</t>
        </is>
      </c>
      <c r="G2181" t="n">
        <v>4.7</v>
      </c>
      <c r="H2181" t="n">
        <v>0</v>
      </c>
      <c r="I2181" t="n">
        <v>0</v>
      </c>
      <c r="J2181" t="n">
        <v>0</v>
      </c>
      <c r="K2181" t="n">
        <v>0</v>
      </c>
      <c r="L2181" t="n">
        <v>0</v>
      </c>
      <c r="M2181" t="n">
        <v>0</v>
      </c>
      <c r="N2181" t="n">
        <v>0</v>
      </c>
      <c r="O2181" t="n">
        <v>0</v>
      </c>
      <c r="P2181" t="n">
        <v>0</v>
      </c>
      <c r="Q2181" t="n">
        <v>0</v>
      </c>
      <c r="R2181" s="2" t="inlineStr"/>
    </row>
    <row r="2182" ht="15" customHeight="1">
      <c r="A2182" t="inlineStr">
        <is>
          <t>A 49324-2022</t>
        </is>
      </c>
      <c r="B2182" s="1" t="n">
        <v>44861</v>
      </c>
      <c r="C2182" s="1" t="n">
        <v>45884</v>
      </c>
      <c r="D2182" t="inlineStr">
        <is>
          <t>KALMAR LÄN</t>
        </is>
      </c>
      <c r="E2182" t="inlineStr">
        <is>
          <t>KALMAR</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30867-2023</t>
        </is>
      </c>
      <c r="B2183" s="1" t="n">
        <v>45113.31487268519</v>
      </c>
      <c r="C2183" s="1" t="n">
        <v>45884</v>
      </c>
      <c r="D2183" t="inlineStr">
        <is>
          <t>KALMAR LÄN</t>
        </is>
      </c>
      <c r="E2183" t="inlineStr">
        <is>
          <t>TORSÅS</t>
        </is>
      </c>
      <c r="G2183" t="n">
        <v>2.4</v>
      </c>
      <c r="H2183" t="n">
        <v>0</v>
      </c>
      <c r="I2183" t="n">
        <v>0</v>
      </c>
      <c r="J2183" t="n">
        <v>0</v>
      </c>
      <c r="K2183" t="n">
        <v>0</v>
      </c>
      <c r="L2183" t="n">
        <v>0</v>
      </c>
      <c r="M2183" t="n">
        <v>0</v>
      </c>
      <c r="N2183" t="n">
        <v>0</v>
      </c>
      <c r="O2183" t="n">
        <v>0</v>
      </c>
      <c r="P2183" t="n">
        <v>0</v>
      </c>
      <c r="Q2183" t="n">
        <v>0</v>
      </c>
      <c r="R2183" s="2" t="inlineStr"/>
    </row>
    <row r="2184" ht="15" customHeight="1">
      <c r="A2184" t="inlineStr">
        <is>
          <t>A 69653-2021</t>
        </is>
      </c>
      <c r="B2184" s="1" t="n">
        <v>44532</v>
      </c>
      <c r="C2184" s="1" t="n">
        <v>45884</v>
      </c>
      <c r="D2184" t="inlineStr">
        <is>
          <t>KALMAR LÄN</t>
        </is>
      </c>
      <c r="E2184" t="inlineStr">
        <is>
          <t>HULTSFRED</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8194-2022</t>
        </is>
      </c>
      <c r="B2185" s="1" t="n">
        <v>44609</v>
      </c>
      <c r="C2185" s="1" t="n">
        <v>45884</v>
      </c>
      <c r="D2185" t="inlineStr">
        <is>
          <t>KALMAR LÄN</t>
        </is>
      </c>
      <c r="E2185" t="inlineStr">
        <is>
          <t>VIMMERBY</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47339-2020</t>
        </is>
      </c>
      <c r="B2186" s="1" t="n">
        <v>44097.5883912037</v>
      </c>
      <c r="C2186" s="1" t="n">
        <v>45884</v>
      </c>
      <c r="D2186" t="inlineStr">
        <is>
          <t>KALMAR LÄN</t>
        </is>
      </c>
      <c r="E2186" t="inlineStr">
        <is>
          <t>HULTSFRED</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4872-2021</t>
        </is>
      </c>
      <c r="B2187" s="1" t="n">
        <v>44225</v>
      </c>
      <c r="C2187" s="1" t="n">
        <v>45884</v>
      </c>
      <c r="D2187" t="inlineStr">
        <is>
          <t>KALMAR LÄN</t>
        </is>
      </c>
      <c r="E2187" t="inlineStr">
        <is>
          <t>NYBRO</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22744-2024</t>
        </is>
      </c>
      <c r="B2188" s="1" t="n">
        <v>45448.40923611111</v>
      </c>
      <c r="C2188" s="1" t="n">
        <v>45884</v>
      </c>
      <c r="D2188" t="inlineStr">
        <is>
          <t>KALMAR LÄN</t>
        </is>
      </c>
      <c r="E2188" t="inlineStr">
        <is>
          <t>NYBRO</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45369-2020</t>
        </is>
      </c>
      <c r="B2189" s="1" t="n">
        <v>44089</v>
      </c>
      <c r="C2189" s="1" t="n">
        <v>45884</v>
      </c>
      <c r="D2189" t="inlineStr">
        <is>
          <t>KALMAR LÄN</t>
        </is>
      </c>
      <c r="E2189" t="inlineStr">
        <is>
          <t>KALMAR</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49461-2022</t>
        </is>
      </c>
      <c r="B2190" s="1" t="n">
        <v>44861</v>
      </c>
      <c r="C2190" s="1" t="n">
        <v>45884</v>
      </c>
      <c r="D2190" t="inlineStr">
        <is>
          <t>KALMAR LÄN</t>
        </is>
      </c>
      <c r="E2190" t="inlineStr">
        <is>
          <t>VIMMERBY</t>
        </is>
      </c>
      <c r="G2190" t="n">
        <v>3.2</v>
      </c>
      <c r="H2190" t="n">
        <v>0</v>
      </c>
      <c r="I2190" t="n">
        <v>0</v>
      </c>
      <c r="J2190" t="n">
        <v>0</v>
      </c>
      <c r="K2190" t="n">
        <v>0</v>
      </c>
      <c r="L2190" t="n">
        <v>0</v>
      </c>
      <c r="M2190" t="n">
        <v>0</v>
      </c>
      <c r="N2190" t="n">
        <v>0</v>
      </c>
      <c r="O2190" t="n">
        <v>0</v>
      </c>
      <c r="P2190" t="n">
        <v>0</v>
      </c>
      <c r="Q2190" t="n">
        <v>0</v>
      </c>
      <c r="R2190" s="2" t="inlineStr"/>
    </row>
    <row r="2191" ht="15" customHeight="1">
      <c r="A2191" t="inlineStr">
        <is>
          <t>A 6264-2022</t>
        </is>
      </c>
      <c r="B2191" s="1" t="n">
        <v>44600.45854166667</v>
      </c>
      <c r="C2191" s="1" t="n">
        <v>45884</v>
      </c>
      <c r="D2191" t="inlineStr">
        <is>
          <t>KALMAR LÄN</t>
        </is>
      </c>
      <c r="E2191" t="inlineStr">
        <is>
          <t>EMMABODA</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20049-2025</t>
        </is>
      </c>
      <c r="B2192" s="1" t="n">
        <v>45772.39091435185</v>
      </c>
      <c r="C2192" s="1" t="n">
        <v>45884</v>
      </c>
      <c r="D2192" t="inlineStr">
        <is>
          <t>KALMAR LÄN</t>
        </is>
      </c>
      <c r="E2192" t="inlineStr">
        <is>
          <t>EMMABODA</t>
        </is>
      </c>
      <c r="G2192" t="n">
        <v>2.5</v>
      </c>
      <c r="H2192" t="n">
        <v>0</v>
      </c>
      <c r="I2192" t="n">
        <v>0</v>
      </c>
      <c r="J2192" t="n">
        <v>0</v>
      </c>
      <c r="K2192" t="n">
        <v>0</v>
      </c>
      <c r="L2192" t="n">
        <v>0</v>
      </c>
      <c r="M2192" t="n">
        <v>0</v>
      </c>
      <c r="N2192" t="n">
        <v>0</v>
      </c>
      <c r="O2192" t="n">
        <v>0</v>
      </c>
      <c r="P2192" t="n">
        <v>0</v>
      </c>
      <c r="Q2192" t="n">
        <v>0</v>
      </c>
      <c r="R2192" s="2" t="inlineStr"/>
    </row>
    <row r="2193" ht="15" customHeight="1">
      <c r="A2193" t="inlineStr">
        <is>
          <t>A 20053-2025</t>
        </is>
      </c>
      <c r="B2193" s="1" t="n">
        <v>45772.39609953704</v>
      </c>
      <c r="C2193" s="1" t="n">
        <v>45884</v>
      </c>
      <c r="D2193" t="inlineStr">
        <is>
          <t>KALMAR LÄN</t>
        </is>
      </c>
      <c r="E2193" t="inlineStr">
        <is>
          <t>EMMABODA</t>
        </is>
      </c>
      <c r="G2193" t="n">
        <v>3.1</v>
      </c>
      <c r="H2193" t="n">
        <v>0</v>
      </c>
      <c r="I2193" t="n">
        <v>0</v>
      </c>
      <c r="J2193" t="n">
        <v>0</v>
      </c>
      <c r="K2193" t="n">
        <v>0</v>
      </c>
      <c r="L2193" t="n">
        <v>0</v>
      </c>
      <c r="M2193" t="n">
        <v>0</v>
      </c>
      <c r="N2193" t="n">
        <v>0</v>
      </c>
      <c r="O2193" t="n">
        <v>0</v>
      </c>
      <c r="P2193" t="n">
        <v>0</v>
      </c>
      <c r="Q2193" t="n">
        <v>0</v>
      </c>
      <c r="R2193" s="2" t="inlineStr"/>
    </row>
    <row r="2194" ht="15" customHeight="1">
      <c r="A2194" t="inlineStr">
        <is>
          <t>A 8580-2021</t>
        </is>
      </c>
      <c r="B2194" s="1" t="n">
        <v>44245</v>
      </c>
      <c r="C2194" s="1" t="n">
        <v>45884</v>
      </c>
      <c r="D2194" t="inlineStr">
        <is>
          <t>KALMAR LÄN</t>
        </is>
      </c>
      <c r="E2194" t="inlineStr">
        <is>
          <t>TORSÅS</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694-2024</t>
        </is>
      </c>
      <c r="B2195" s="1" t="n">
        <v>45300.3794212963</v>
      </c>
      <c r="C2195" s="1" t="n">
        <v>45884</v>
      </c>
      <c r="D2195" t="inlineStr">
        <is>
          <t>KALMAR LÄN</t>
        </is>
      </c>
      <c r="E2195" t="inlineStr">
        <is>
          <t>VIMMERBY</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66812-2020</t>
        </is>
      </c>
      <c r="B2196" s="1" t="n">
        <v>44179.7631712963</v>
      </c>
      <c r="C2196" s="1" t="n">
        <v>45884</v>
      </c>
      <c r="D2196" t="inlineStr">
        <is>
          <t>KALMAR LÄN</t>
        </is>
      </c>
      <c r="E2196" t="inlineStr">
        <is>
          <t>TORSÅS</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15191-2021</t>
        </is>
      </c>
      <c r="B2197" s="1" t="n">
        <v>44284.42348379629</v>
      </c>
      <c r="C2197" s="1" t="n">
        <v>45884</v>
      </c>
      <c r="D2197" t="inlineStr">
        <is>
          <t>KALMAR LÄN</t>
        </is>
      </c>
      <c r="E2197" t="inlineStr">
        <is>
          <t>VIMMERBY</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45050-2020</t>
        </is>
      </c>
      <c r="B2198" s="1" t="n">
        <v>44088</v>
      </c>
      <c r="C2198" s="1" t="n">
        <v>45884</v>
      </c>
      <c r="D2198" t="inlineStr">
        <is>
          <t>KALMAR LÄN</t>
        </is>
      </c>
      <c r="E2198" t="inlineStr">
        <is>
          <t>VIMMERBY</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48361-2022</t>
        </is>
      </c>
      <c r="B2199" s="1" t="n">
        <v>44858.57855324074</v>
      </c>
      <c r="C2199" s="1" t="n">
        <v>45884</v>
      </c>
      <c r="D2199" t="inlineStr">
        <is>
          <t>KALMAR LÄN</t>
        </is>
      </c>
      <c r="E2199" t="inlineStr">
        <is>
          <t>KALMAR</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12896-2022</t>
        </is>
      </c>
      <c r="B2200" s="1" t="n">
        <v>44642</v>
      </c>
      <c r="C2200" s="1" t="n">
        <v>45884</v>
      </c>
      <c r="D2200" t="inlineStr">
        <is>
          <t>KALMAR LÄN</t>
        </is>
      </c>
      <c r="E2200" t="inlineStr">
        <is>
          <t>MÖNSTERÅS</t>
        </is>
      </c>
      <c r="F2200" t="inlineStr">
        <is>
          <t>Kommuner</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30874-2023</t>
        </is>
      </c>
      <c r="B2201" s="1" t="n">
        <v>45113.32070601852</v>
      </c>
      <c r="C2201" s="1" t="n">
        <v>45884</v>
      </c>
      <c r="D2201" t="inlineStr">
        <is>
          <t>KALMAR LÄN</t>
        </is>
      </c>
      <c r="E2201" t="inlineStr">
        <is>
          <t>TORSÅS</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30890-2023</t>
        </is>
      </c>
      <c r="B2202" s="1" t="n">
        <v>45113.39403935185</v>
      </c>
      <c r="C2202" s="1" t="n">
        <v>45884</v>
      </c>
      <c r="D2202" t="inlineStr">
        <is>
          <t>KALMAR LÄN</t>
        </is>
      </c>
      <c r="E2202" t="inlineStr">
        <is>
          <t>HÖGSBY</t>
        </is>
      </c>
      <c r="G2202" t="n">
        <v>11.6</v>
      </c>
      <c r="H2202" t="n">
        <v>0</v>
      </c>
      <c r="I2202" t="n">
        <v>0</v>
      </c>
      <c r="J2202" t="n">
        <v>0</v>
      </c>
      <c r="K2202" t="n">
        <v>0</v>
      </c>
      <c r="L2202" t="n">
        <v>0</v>
      </c>
      <c r="M2202" t="n">
        <v>0</v>
      </c>
      <c r="N2202" t="n">
        <v>0</v>
      </c>
      <c r="O2202" t="n">
        <v>0</v>
      </c>
      <c r="P2202" t="n">
        <v>0</v>
      </c>
      <c r="Q2202" t="n">
        <v>0</v>
      </c>
      <c r="R2202" s="2" t="inlineStr"/>
    </row>
    <row r="2203" ht="15" customHeight="1">
      <c r="A2203" t="inlineStr">
        <is>
          <t>A 8688-2023</t>
        </is>
      </c>
      <c r="B2203" s="1" t="n">
        <v>44978.31736111111</v>
      </c>
      <c r="C2203" s="1" t="n">
        <v>45884</v>
      </c>
      <c r="D2203" t="inlineStr">
        <is>
          <t>KALMAR LÄN</t>
        </is>
      </c>
      <c r="E2203" t="inlineStr">
        <is>
          <t>EMMABODA</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8689-2023</t>
        </is>
      </c>
      <c r="B2204" s="1" t="n">
        <v>44978.32152777778</v>
      </c>
      <c r="C2204" s="1" t="n">
        <v>45884</v>
      </c>
      <c r="D2204" t="inlineStr">
        <is>
          <t>KALMAR LÄN</t>
        </is>
      </c>
      <c r="E2204" t="inlineStr">
        <is>
          <t>EMMABODA</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34344-2023</t>
        </is>
      </c>
      <c r="B2205" s="1" t="n">
        <v>45139</v>
      </c>
      <c r="C2205" s="1" t="n">
        <v>45884</v>
      </c>
      <c r="D2205" t="inlineStr">
        <is>
          <t>KALMAR LÄN</t>
        </is>
      </c>
      <c r="E2205" t="inlineStr">
        <is>
          <t>MÖNSTERÅS</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36286-2022</t>
        </is>
      </c>
      <c r="B2206" s="1" t="n">
        <v>44803.62930555556</v>
      </c>
      <c r="C2206" s="1" t="n">
        <v>45884</v>
      </c>
      <c r="D2206" t="inlineStr">
        <is>
          <t>KALMAR LÄN</t>
        </is>
      </c>
      <c r="E2206" t="inlineStr">
        <is>
          <t>MÖNSTERÅS</t>
        </is>
      </c>
      <c r="F2206" t="inlineStr">
        <is>
          <t>Övriga Aktiebolag</t>
        </is>
      </c>
      <c r="G2206" t="n">
        <v>4.3</v>
      </c>
      <c r="H2206" t="n">
        <v>0</v>
      </c>
      <c r="I2206" t="n">
        <v>0</v>
      </c>
      <c r="J2206" t="n">
        <v>0</v>
      </c>
      <c r="K2206" t="n">
        <v>0</v>
      </c>
      <c r="L2206" t="n">
        <v>0</v>
      </c>
      <c r="M2206" t="n">
        <v>0</v>
      </c>
      <c r="N2206" t="n">
        <v>0</v>
      </c>
      <c r="O2206" t="n">
        <v>0</v>
      </c>
      <c r="P2206" t="n">
        <v>0</v>
      </c>
      <c r="Q2206" t="n">
        <v>0</v>
      </c>
      <c r="R2206" s="2" t="inlineStr"/>
    </row>
    <row r="2207" ht="15" customHeight="1">
      <c r="A2207" t="inlineStr">
        <is>
          <t>A 31791-2023</t>
        </is>
      </c>
      <c r="B2207" s="1" t="n">
        <v>45118</v>
      </c>
      <c r="C2207" s="1" t="n">
        <v>45884</v>
      </c>
      <c r="D2207" t="inlineStr">
        <is>
          <t>KALMAR LÄN</t>
        </is>
      </c>
      <c r="E2207" t="inlineStr">
        <is>
          <t>NYBRO</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62991-2020</t>
        </is>
      </c>
      <c r="B2208" s="1" t="n">
        <v>44162</v>
      </c>
      <c r="C2208" s="1" t="n">
        <v>45884</v>
      </c>
      <c r="D2208" t="inlineStr">
        <is>
          <t>KALMAR LÄN</t>
        </is>
      </c>
      <c r="E2208" t="inlineStr">
        <is>
          <t>OSKARSHAMN</t>
        </is>
      </c>
      <c r="G2208" t="n">
        <v>3.4</v>
      </c>
      <c r="H2208" t="n">
        <v>0</v>
      </c>
      <c r="I2208" t="n">
        <v>0</v>
      </c>
      <c r="J2208" t="n">
        <v>0</v>
      </c>
      <c r="K2208" t="n">
        <v>0</v>
      </c>
      <c r="L2208" t="n">
        <v>0</v>
      </c>
      <c r="M2208" t="n">
        <v>0</v>
      </c>
      <c r="N2208" t="n">
        <v>0</v>
      </c>
      <c r="O2208" t="n">
        <v>0</v>
      </c>
      <c r="P2208" t="n">
        <v>0</v>
      </c>
      <c r="Q2208" t="n">
        <v>0</v>
      </c>
      <c r="R2208" s="2" t="inlineStr"/>
    </row>
    <row r="2209" ht="15" customHeight="1">
      <c r="A2209" t="inlineStr">
        <is>
          <t>A 21507-2023</t>
        </is>
      </c>
      <c r="B2209" s="1" t="n">
        <v>45063.508125</v>
      </c>
      <c r="C2209" s="1" t="n">
        <v>45884</v>
      </c>
      <c r="D2209" t="inlineStr">
        <is>
          <t>KALMAR LÄN</t>
        </is>
      </c>
      <c r="E2209" t="inlineStr">
        <is>
          <t>VIMMERBY</t>
        </is>
      </c>
      <c r="G2209" t="n">
        <v>2.8</v>
      </c>
      <c r="H2209" t="n">
        <v>0</v>
      </c>
      <c r="I2209" t="n">
        <v>0</v>
      </c>
      <c r="J2209" t="n">
        <v>0</v>
      </c>
      <c r="K2209" t="n">
        <v>0</v>
      </c>
      <c r="L2209" t="n">
        <v>0</v>
      </c>
      <c r="M2209" t="n">
        <v>0</v>
      </c>
      <c r="N2209" t="n">
        <v>0</v>
      </c>
      <c r="O2209" t="n">
        <v>0</v>
      </c>
      <c r="P2209" t="n">
        <v>0</v>
      </c>
      <c r="Q2209" t="n">
        <v>0</v>
      </c>
      <c r="R2209" s="2" t="inlineStr"/>
    </row>
    <row r="2210" ht="15" customHeight="1">
      <c r="A2210" t="inlineStr">
        <is>
          <t>A 53327-2022</t>
        </is>
      </c>
      <c r="B2210" s="1" t="n">
        <v>44879.2925</v>
      </c>
      <c r="C2210" s="1" t="n">
        <v>45884</v>
      </c>
      <c r="D2210" t="inlineStr">
        <is>
          <t>KALMAR LÄN</t>
        </is>
      </c>
      <c r="E2210" t="inlineStr">
        <is>
          <t>HÖGSBY</t>
        </is>
      </c>
      <c r="G2210" t="n">
        <v>4.6</v>
      </c>
      <c r="H2210" t="n">
        <v>0</v>
      </c>
      <c r="I2210" t="n">
        <v>0</v>
      </c>
      <c r="J2210" t="n">
        <v>0</v>
      </c>
      <c r="K2210" t="n">
        <v>0</v>
      </c>
      <c r="L2210" t="n">
        <v>0</v>
      </c>
      <c r="M2210" t="n">
        <v>0</v>
      </c>
      <c r="N2210" t="n">
        <v>0</v>
      </c>
      <c r="O2210" t="n">
        <v>0</v>
      </c>
      <c r="P2210" t="n">
        <v>0</v>
      </c>
      <c r="Q2210" t="n">
        <v>0</v>
      </c>
      <c r="R2210" s="2" t="inlineStr"/>
    </row>
    <row r="2211" ht="15" customHeight="1">
      <c r="A2211" t="inlineStr">
        <is>
          <t>A 53350-2022</t>
        </is>
      </c>
      <c r="B2211" s="1" t="n">
        <v>44879</v>
      </c>
      <c r="C2211" s="1" t="n">
        <v>45884</v>
      </c>
      <c r="D2211" t="inlineStr">
        <is>
          <t>KALMAR LÄN</t>
        </is>
      </c>
      <c r="E2211" t="inlineStr">
        <is>
          <t>EMMABODA</t>
        </is>
      </c>
      <c r="G2211" t="n">
        <v>4.3</v>
      </c>
      <c r="H2211" t="n">
        <v>0</v>
      </c>
      <c r="I2211" t="n">
        <v>0</v>
      </c>
      <c r="J2211" t="n">
        <v>0</v>
      </c>
      <c r="K2211" t="n">
        <v>0</v>
      </c>
      <c r="L2211" t="n">
        <v>0</v>
      </c>
      <c r="M2211" t="n">
        <v>0</v>
      </c>
      <c r="N2211" t="n">
        <v>0</v>
      </c>
      <c r="O2211" t="n">
        <v>0</v>
      </c>
      <c r="P2211" t="n">
        <v>0</v>
      </c>
      <c r="Q2211" t="n">
        <v>0</v>
      </c>
      <c r="R2211" s="2" t="inlineStr"/>
    </row>
    <row r="2212" ht="15" customHeight="1">
      <c r="A2212" t="inlineStr">
        <is>
          <t>A 57189-2022</t>
        </is>
      </c>
      <c r="B2212" s="1" t="n">
        <v>44895.62296296296</v>
      </c>
      <c r="C2212" s="1" t="n">
        <v>45884</v>
      </c>
      <c r="D2212" t="inlineStr">
        <is>
          <t>KALMAR LÄN</t>
        </is>
      </c>
      <c r="E2212" t="inlineStr">
        <is>
          <t>VIMMERBY</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45054-2020</t>
        </is>
      </c>
      <c r="B2213" s="1" t="n">
        <v>44088</v>
      </c>
      <c r="C2213" s="1" t="n">
        <v>45884</v>
      </c>
      <c r="D2213" t="inlineStr">
        <is>
          <t>KALMAR LÄN</t>
        </is>
      </c>
      <c r="E2213" t="inlineStr">
        <is>
          <t>VIMMERBY</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44923-2020</t>
        </is>
      </c>
      <c r="B2214" s="1" t="n">
        <v>44088</v>
      </c>
      <c r="C2214" s="1" t="n">
        <v>45884</v>
      </c>
      <c r="D2214" t="inlineStr">
        <is>
          <t>KALMAR LÄN</t>
        </is>
      </c>
      <c r="E2214" t="inlineStr">
        <is>
          <t>EMMABODA</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520-2021</t>
        </is>
      </c>
      <c r="B2215" s="1" t="n">
        <v>44201</v>
      </c>
      <c r="C2215" s="1" t="n">
        <v>45884</v>
      </c>
      <c r="D2215" t="inlineStr">
        <is>
          <t>KALMAR LÄN</t>
        </is>
      </c>
      <c r="E2215" t="inlineStr">
        <is>
          <t>HULTSFRED</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48673-2021</t>
        </is>
      </c>
      <c r="B2216" s="1" t="n">
        <v>44452</v>
      </c>
      <c r="C2216" s="1" t="n">
        <v>45884</v>
      </c>
      <c r="D2216" t="inlineStr">
        <is>
          <t>KALMAR LÄN</t>
        </is>
      </c>
      <c r="E2216" t="inlineStr">
        <is>
          <t>VIMMERBY</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3947-2021</t>
        </is>
      </c>
      <c r="B2217" s="1" t="n">
        <v>44222</v>
      </c>
      <c r="C2217" s="1" t="n">
        <v>45884</v>
      </c>
      <c r="D2217" t="inlineStr">
        <is>
          <t>KALMAR LÄN</t>
        </is>
      </c>
      <c r="E2217" t="inlineStr">
        <is>
          <t>OSKARSHAMN</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9592-2024</t>
        </is>
      </c>
      <c r="B2218" s="1" t="n">
        <v>45360.7003125</v>
      </c>
      <c r="C2218" s="1" t="n">
        <v>45884</v>
      </c>
      <c r="D2218" t="inlineStr">
        <is>
          <t>KALMAR LÄN</t>
        </is>
      </c>
      <c r="E2218" t="inlineStr">
        <is>
          <t>HÖGSBY</t>
        </is>
      </c>
      <c r="F2218" t="inlineStr">
        <is>
          <t>Sveaskog</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39769-2020</t>
        </is>
      </c>
      <c r="B2219" s="1" t="n">
        <v>44064</v>
      </c>
      <c r="C2219" s="1" t="n">
        <v>45884</v>
      </c>
      <c r="D2219" t="inlineStr">
        <is>
          <t>KALMAR LÄN</t>
        </is>
      </c>
      <c r="E2219" t="inlineStr">
        <is>
          <t>VIMMERBY</t>
        </is>
      </c>
      <c r="G2219" t="n">
        <v>24.6</v>
      </c>
      <c r="H2219" t="n">
        <v>0</v>
      </c>
      <c r="I2219" t="n">
        <v>0</v>
      </c>
      <c r="J2219" t="n">
        <v>0</v>
      </c>
      <c r="K2219" t="n">
        <v>0</v>
      </c>
      <c r="L2219" t="n">
        <v>0</v>
      </c>
      <c r="M2219" t="n">
        <v>0</v>
      </c>
      <c r="N2219" t="n">
        <v>0</v>
      </c>
      <c r="O2219" t="n">
        <v>0</v>
      </c>
      <c r="P2219" t="n">
        <v>0</v>
      </c>
      <c r="Q2219" t="n">
        <v>0</v>
      </c>
      <c r="R2219" s="2" t="inlineStr"/>
    </row>
    <row r="2220" ht="15" customHeight="1">
      <c r="A2220" t="inlineStr">
        <is>
          <t>A 58825-2022</t>
        </is>
      </c>
      <c r="B2220" s="1" t="n">
        <v>44903.47134259259</v>
      </c>
      <c r="C2220" s="1" t="n">
        <v>45884</v>
      </c>
      <c r="D2220" t="inlineStr">
        <is>
          <t>KALMAR LÄN</t>
        </is>
      </c>
      <c r="E2220" t="inlineStr">
        <is>
          <t>HULTSFRED</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46678-2020</t>
        </is>
      </c>
      <c r="B2221" s="1" t="n">
        <v>44089</v>
      </c>
      <c r="C2221" s="1" t="n">
        <v>45884</v>
      </c>
      <c r="D2221" t="inlineStr">
        <is>
          <t>KALMAR LÄN</t>
        </is>
      </c>
      <c r="E2221" t="inlineStr">
        <is>
          <t>NYBRO</t>
        </is>
      </c>
      <c r="G2221" t="n">
        <v>9</v>
      </c>
      <c r="H2221" t="n">
        <v>0</v>
      </c>
      <c r="I2221" t="n">
        <v>0</v>
      </c>
      <c r="J2221" t="n">
        <v>0</v>
      </c>
      <c r="K2221" t="n">
        <v>0</v>
      </c>
      <c r="L2221" t="n">
        <v>0</v>
      </c>
      <c r="M2221" t="n">
        <v>0</v>
      </c>
      <c r="N2221" t="n">
        <v>0</v>
      </c>
      <c r="O2221" t="n">
        <v>0</v>
      </c>
      <c r="P2221" t="n">
        <v>0</v>
      </c>
      <c r="Q2221" t="n">
        <v>0</v>
      </c>
      <c r="R2221" s="2" t="inlineStr"/>
    </row>
    <row r="2222" ht="15" customHeight="1">
      <c r="A2222" t="inlineStr">
        <is>
          <t>A 55369-2020</t>
        </is>
      </c>
      <c r="B2222" s="1" t="n">
        <v>44131</v>
      </c>
      <c r="C2222" s="1" t="n">
        <v>45884</v>
      </c>
      <c r="D2222" t="inlineStr">
        <is>
          <t>KALMAR LÄN</t>
        </is>
      </c>
      <c r="E2222" t="inlineStr">
        <is>
          <t>MÖNSTERÅS</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40920-2021</t>
        </is>
      </c>
      <c r="B2223" s="1" t="n">
        <v>44421.50768518518</v>
      </c>
      <c r="C2223" s="1" t="n">
        <v>45884</v>
      </c>
      <c r="D2223" t="inlineStr">
        <is>
          <t>KALMAR LÄN</t>
        </is>
      </c>
      <c r="E2223" t="inlineStr">
        <is>
          <t>HÖGSBY</t>
        </is>
      </c>
      <c r="F2223" t="inlineStr">
        <is>
          <t>Sveaskog</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40971-2021</t>
        </is>
      </c>
      <c r="B2224" s="1" t="n">
        <v>44421</v>
      </c>
      <c r="C2224" s="1" t="n">
        <v>45884</v>
      </c>
      <c r="D2224" t="inlineStr">
        <is>
          <t>KALMAR LÄN</t>
        </is>
      </c>
      <c r="E2224" t="inlineStr">
        <is>
          <t>VIMMERBY</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5354-2022</t>
        </is>
      </c>
      <c r="B2225" s="1" t="n">
        <v>44594</v>
      </c>
      <c r="C2225" s="1" t="n">
        <v>45884</v>
      </c>
      <c r="D2225" t="inlineStr">
        <is>
          <t>KALMAR LÄN</t>
        </is>
      </c>
      <c r="E2225" t="inlineStr">
        <is>
          <t>NYBRO</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62276-2022</t>
        </is>
      </c>
      <c r="B2226" s="1" t="n">
        <v>44923</v>
      </c>
      <c r="C2226" s="1" t="n">
        <v>45884</v>
      </c>
      <c r="D2226" t="inlineStr">
        <is>
          <t>KALMAR LÄN</t>
        </is>
      </c>
      <c r="E2226" t="inlineStr">
        <is>
          <t>MÖNSTERÅS</t>
        </is>
      </c>
      <c r="G2226" t="n">
        <v>4.1</v>
      </c>
      <c r="H2226" t="n">
        <v>0</v>
      </c>
      <c r="I2226" t="n">
        <v>0</v>
      </c>
      <c r="J2226" t="n">
        <v>0</v>
      </c>
      <c r="K2226" t="n">
        <v>0</v>
      </c>
      <c r="L2226" t="n">
        <v>0</v>
      </c>
      <c r="M2226" t="n">
        <v>0</v>
      </c>
      <c r="N2226" t="n">
        <v>0</v>
      </c>
      <c r="O2226" t="n">
        <v>0</v>
      </c>
      <c r="P2226" t="n">
        <v>0</v>
      </c>
      <c r="Q2226" t="n">
        <v>0</v>
      </c>
      <c r="R2226" s="2" t="inlineStr"/>
    </row>
    <row r="2227" ht="15" customHeight="1">
      <c r="A2227" t="inlineStr">
        <is>
          <t>A 5103-2025</t>
        </is>
      </c>
      <c r="B2227" s="1" t="n">
        <v>45691.5424537037</v>
      </c>
      <c r="C2227" s="1" t="n">
        <v>45884</v>
      </c>
      <c r="D2227" t="inlineStr">
        <is>
          <t>KALMAR LÄN</t>
        </is>
      </c>
      <c r="E2227" t="inlineStr">
        <is>
          <t>OSKARSHAMN</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6540-2022</t>
        </is>
      </c>
      <c r="B2228" s="1" t="n">
        <v>44601</v>
      </c>
      <c r="C2228" s="1" t="n">
        <v>45884</v>
      </c>
      <c r="D2228" t="inlineStr">
        <is>
          <t>KALMAR LÄN</t>
        </is>
      </c>
      <c r="E2228" t="inlineStr">
        <is>
          <t>HÖGSBY</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62457-2022</t>
        </is>
      </c>
      <c r="B2229" s="1" t="n">
        <v>44924</v>
      </c>
      <c r="C2229" s="1" t="n">
        <v>45884</v>
      </c>
      <c r="D2229" t="inlineStr">
        <is>
          <t>KALMAR LÄN</t>
        </is>
      </c>
      <c r="E2229" t="inlineStr">
        <is>
          <t>KALMAR</t>
        </is>
      </c>
      <c r="G2229" t="n">
        <v>3.3</v>
      </c>
      <c r="H2229" t="n">
        <v>0</v>
      </c>
      <c r="I2229" t="n">
        <v>0</v>
      </c>
      <c r="J2229" t="n">
        <v>0</v>
      </c>
      <c r="K2229" t="n">
        <v>0</v>
      </c>
      <c r="L2229" t="n">
        <v>0</v>
      </c>
      <c r="M2229" t="n">
        <v>0</v>
      </c>
      <c r="N2229" t="n">
        <v>0</v>
      </c>
      <c r="O2229" t="n">
        <v>0</v>
      </c>
      <c r="P2229" t="n">
        <v>0</v>
      </c>
      <c r="Q2229" t="n">
        <v>0</v>
      </c>
      <c r="R2229" s="2" t="inlineStr"/>
    </row>
    <row r="2230" ht="15" customHeight="1">
      <c r="A2230" t="inlineStr">
        <is>
          <t>A 67376-2020</t>
        </is>
      </c>
      <c r="B2230" s="1" t="n">
        <v>44181</v>
      </c>
      <c r="C2230" s="1" t="n">
        <v>45884</v>
      </c>
      <c r="D2230" t="inlineStr">
        <is>
          <t>KALMAR LÄN</t>
        </is>
      </c>
      <c r="E2230" t="inlineStr">
        <is>
          <t>TORSÅS</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19792-2021</t>
        </is>
      </c>
      <c r="B2231" s="1" t="n">
        <v>44313</v>
      </c>
      <c r="C2231" s="1" t="n">
        <v>45884</v>
      </c>
      <c r="D2231" t="inlineStr">
        <is>
          <t>KALMAR LÄN</t>
        </is>
      </c>
      <c r="E2231" t="inlineStr">
        <is>
          <t>TORSÅS</t>
        </is>
      </c>
      <c r="G2231" t="n">
        <v>2.5</v>
      </c>
      <c r="H2231" t="n">
        <v>0</v>
      </c>
      <c r="I2231" t="n">
        <v>0</v>
      </c>
      <c r="J2231" t="n">
        <v>0</v>
      </c>
      <c r="K2231" t="n">
        <v>0</v>
      </c>
      <c r="L2231" t="n">
        <v>0</v>
      </c>
      <c r="M2231" t="n">
        <v>0</v>
      </c>
      <c r="N2231" t="n">
        <v>0</v>
      </c>
      <c r="O2231" t="n">
        <v>0</v>
      </c>
      <c r="P2231" t="n">
        <v>0</v>
      </c>
      <c r="Q2231" t="n">
        <v>0</v>
      </c>
      <c r="R2231" s="2" t="inlineStr"/>
    </row>
    <row r="2232" ht="15" customHeight="1">
      <c r="A2232" t="inlineStr">
        <is>
          <t>A 58383-2022</t>
        </is>
      </c>
      <c r="B2232" s="1" t="n">
        <v>44901</v>
      </c>
      <c r="C2232" s="1" t="n">
        <v>45884</v>
      </c>
      <c r="D2232" t="inlineStr">
        <is>
          <t>KALMAR LÄN</t>
        </is>
      </c>
      <c r="E2232" t="inlineStr">
        <is>
          <t>HULTSFRED</t>
        </is>
      </c>
      <c r="F2232" t="inlineStr">
        <is>
          <t>Sveaskog</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68744-2020</t>
        </is>
      </c>
      <c r="B2233" s="1" t="n">
        <v>44186</v>
      </c>
      <c r="C2233" s="1" t="n">
        <v>45884</v>
      </c>
      <c r="D2233" t="inlineStr">
        <is>
          <t>KALMAR LÄN</t>
        </is>
      </c>
      <c r="E2233" t="inlineStr">
        <is>
          <t>VIMMERBY</t>
        </is>
      </c>
      <c r="G2233" t="n">
        <v>2.5</v>
      </c>
      <c r="H2233" t="n">
        <v>0</v>
      </c>
      <c r="I2233" t="n">
        <v>0</v>
      </c>
      <c r="J2233" t="n">
        <v>0</v>
      </c>
      <c r="K2233" t="n">
        <v>0</v>
      </c>
      <c r="L2233" t="n">
        <v>0</v>
      </c>
      <c r="M2233" t="n">
        <v>0</v>
      </c>
      <c r="N2233" t="n">
        <v>0</v>
      </c>
      <c r="O2233" t="n">
        <v>0</v>
      </c>
      <c r="P2233" t="n">
        <v>0</v>
      </c>
      <c r="Q2233" t="n">
        <v>0</v>
      </c>
      <c r="R2233" s="2" t="inlineStr"/>
    </row>
    <row r="2234" ht="15" customHeight="1">
      <c r="A2234" t="inlineStr">
        <is>
          <t>A 68811-2020</t>
        </is>
      </c>
      <c r="B2234" s="1" t="n">
        <v>44187</v>
      </c>
      <c r="C2234" s="1" t="n">
        <v>45884</v>
      </c>
      <c r="D2234" t="inlineStr">
        <is>
          <t>KALMAR LÄN</t>
        </is>
      </c>
      <c r="E2234" t="inlineStr">
        <is>
          <t>VÄSTERVIK</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38454-2024</t>
        </is>
      </c>
      <c r="B2235" s="1" t="n">
        <v>45546.44376157408</v>
      </c>
      <c r="C2235" s="1" t="n">
        <v>45884</v>
      </c>
      <c r="D2235" t="inlineStr">
        <is>
          <t>KALMAR LÄN</t>
        </is>
      </c>
      <c r="E2235" t="inlineStr">
        <is>
          <t>TORSÅS</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35848-2023</t>
        </is>
      </c>
      <c r="B2236" s="1" t="n">
        <v>45148.50620370371</v>
      </c>
      <c r="C2236" s="1" t="n">
        <v>45884</v>
      </c>
      <c r="D2236" t="inlineStr">
        <is>
          <t>KALMAR LÄN</t>
        </is>
      </c>
      <c r="E2236" t="inlineStr">
        <is>
          <t>EMMABODA</t>
        </is>
      </c>
      <c r="G2236" t="n">
        <v>2.3</v>
      </c>
      <c r="H2236" t="n">
        <v>0</v>
      </c>
      <c r="I2236" t="n">
        <v>0</v>
      </c>
      <c r="J2236" t="n">
        <v>0</v>
      </c>
      <c r="K2236" t="n">
        <v>0</v>
      </c>
      <c r="L2236" t="n">
        <v>0</v>
      </c>
      <c r="M2236" t="n">
        <v>0</v>
      </c>
      <c r="N2236" t="n">
        <v>0</v>
      </c>
      <c r="O2236" t="n">
        <v>0</v>
      </c>
      <c r="P2236" t="n">
        <v>0</v>
      </c>
      <c r="Q2236" t="n">
        <v>0</v>
      </c>
      <c r="R2236" s="2" t="inlineStr"/>
    </row>
    <row r="2237" ht="15" customHeight="1">
      <c r="A2237" t="inlineStr">
        <is>
          <t>A 14248-2023</t>
        </is>
      </c>
      <c r="B2237" s="1" t="n">
        <v>45009</v>
      </c>
      <c r="C2237" s="1" t="n">
        <v>45884</v>
      </c>
      <c r="D2237" t="inlineStr">
        <is>
          <t>KALMAR LÄN</t>
        </is>
      </c>
      <c r="E2237" t="inlineStr">
        <is>
          <t>VIMMERBY</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12480-2024</t>
        </is>
      </c>
      <c r="B2238" s="1" t="n">
        <v>45379</v>
      </c>
      <c r="C2238" s="1" t="n">
        <v>45884</v>
      </c>
      <c r="D2238" t="inlineStr">
        <is>
          <t>KALMAR LÄN</t>
        </is>
      </c>
      <c r="E2238" t="inlineStr">
        <is>
          <t>VIMMERBY</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55565-2024</t>
        </is>
      </c>
      <c r="B2239" s="1" t="n">
        <v>45622.54515046296</v>
      </c>
      <c r="C2239" s="1" t="n">
        <v>45884</v>
      </c>
      <c r="D2239" t="inlineStr">
        <is>
          <t>KALMAR LÄN</t>
        </is>
      </c>
      <c r="E2239" t="inlineStr">
        <is>
          <t>VÄSTERVIK</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59598-2023</t>
        </is>
      </c>
      <c r="B2240" s="1" t="n">
        <v>45254.62489583333</v>
      </c>
      <c r="C2240" s="1" t="n">
        <v>45884</v>
      </c>
      <c r="D2240" t="inlineStr">
        <is>
          <t>KALMAR LÄN</t>
        </is>
      </c>
      <c r="E2240" t="inlineStr">
        <is>
          <t>VIMMERBY</t>
        </is>
      </c>
      <c r="F2240" t="inlineStr">
        <is>
          <t>Övriga Aktiebolag</t>
        </is>
      </c>
      <c r="G2240" t="n">
        <v>4</v>
      </c>
      <c r="H2240" t="n">
        <v>0</v>
      </c>
      <c r="I2240" t="n">
        <v>0</v>
      </c>
      <c r="J2240" t="n">
        <v>0</v>
      </c>
      <c r="K2240" t="n">
        <v>0</v>
      </c>
      <c r="L2240" t="n">
        <v>0</v>
      </c>
      <c r="M2240" t="n">
        <v>0</v>
      </c>
      <c r="N2240" t="n">
        <v>0</v>
      </c>
      <c r="O2240" t="n">
        <v>0</v>
      </c>
      <c r="P2240" t="n">
        <v>0</v>
      </c>
      <c r="Q2240" t="n">
        <v>0</v>
      </c>
      <c r="R2240" s="2" t="inlineStr"/>
    </row>
    <row r="2241" ht="15" customHeight="1">
      <c r="A2241" t="inlineStr">
        <is>
          <t>A 7944-2024</t>
        </is>
      </c>
      <c r="B2241" s="1" t="n">
        <v>45350.53306712963</v>
      </c>
      <c r="C2241" s="1" t="n">
        <v>45884</v>
      </c>
      <c r="D2241" t="inlineStr">
        <is>
          <t>KALMAR LÄN</t>
        </is>
      </c>
      <c r="E2241" t="inlineStr">
        <is>
          <t>VIMMERBY</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12163-2023</t>
        </is>
      </c>
      <c r="B2242" s="1" t="n">
        <v>44998.49670138889</v>
      </c>
      <c r="C2242" s="1" t="n">
        <v>45884</v>
      </c>
      <c r="D2242" t="inlineStr">
        <is>
          <t>KALMAR LÄN</t>
        </is>
      </c>
      <c r="E2242" t="inlineStr">
        <is>
          <t>TORSÅS</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59409-2022</t>
        </is>
      </c>
      <c r="B2243" s="1" t="n">
        <v>44907</v>
      </c>
      <c r="C2243" s="1" t="n">
        <v>45884</v>
      </c>
      <c r="D2243" t="inlineStr">
        <is>
          <t>KALMAR LÄN</t>
        </is>
      </c>
      <c r="E2243" t="inlineStr">
        <is>
          <t>HÖGSBY</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10504-2024</t>
        </is>
      </c>
      <c r="B2244" s="1" t="n">
        <v>45366.49097222222</v>
      </c>
      <c r="C2244" s="1" t="n">
        <v>45884</v>
      </c>
      <c r="D2244" t="inlineStr">
        <is>
          <t>KALMAR LÄN</t>
        </is>
      </c>
      <c r="E2244" t="inlineStr">
        <is>
          <t>HÖGSBY</t>
        </is>
      </c>
      <c r="F2244" t="inlineStr">
        <is>
          <t>Sveaskog</t>
        </is>
      </c>
      <c r="G2244" t="n">
        <v>4.6</v>
      </c>
      <c r="H2244" t="n">
        <v>0</v>
      </c>
      <c r="I2244" t="n">
        <v>0</v>
      </c>
      <c r="J2244" t="n">
        <v>0</v>
      </c>
      <c r="K2244" t="n">
        <v>0</v>
      </c>
      <c r="L2244" t="n">
        <v>0</v>
      </c>
      <c r="M2244" t="n">
        <v>0</v>
      </c>
      <c r="N2244" t="n">
        <v>0</v>
      </c>
      <c r="O2244" t="n">
        <v>0</v>
      </c>
      <c r="P2244" t="n">
        <v>0</v>
      </c>
      <c r="Q2244" t="n">
        <v>0</v>
      </c>
      <c r="R2244" s="2" t="inlineStr"/>
    </row>
    <row r="2245" ht="15" customHeight="1">
      <c r="A2245" t="inlineStr">
        <is>
          <t>A 10515-2024</t>
        </is>
      </c>
      <c r="B2245" s="1" t="n">
        <v>45366</v>
      </c>
      <c r="C2245" s="1" t="n">
        <v>45884</v>
      </c>
      <c r="D2245" t="inlineStr">
        <is>
          <t>KALMAR LÄN</t>
        </is>
      </c>
      <c r="E2245" t="inlineStr">
        <is>
          <t>VÄSTERVIK</t>
        </is>
      </c>
      <c r="F2245" t="inlineStr">
        <is>
          <t>Kyrkan</t>
        </is>
      </c>
      <c r="G2245" t="n">
        <v>3.5</v>
      </c>
      <c r="H2245" t="n">
        <v>0</v>
      </c>
      <c r="I2245" t="n">
        <v>0</v>
      </c>
      <c r="J2245" t="n">
        <v>0</v>
      </c>
      <c r="K2245" t="n">
        <v>0</v>
      </c>
      <c r="L2245" t="n">
        <v>0</v>
      </c>
      <c r="M2245" t="n">
        <v>0</v>
      </c>
      <c r="N2245" t="n">
        <v>0</v>
      </c>
      <c r="O2245" t="n">
        <v>0</v>
      </c>
      <c r="P2245" t="n">
        <v>0</v>
      </c>
      <c r="Q2245" t="n">
        <v>0</v>
      </c>
      <c r="R2245" s="2" t="inlineStr"/>
    </row>
    <row r="2246" ht="15" customHeight="1">
      <c r="A2246" t="inlineStr">
        <is>
          <t>A 46964-2022</t>
        </is>
      </c>
      <c r="B2246" s="1" t="n">
        <v>44851.95016203704</v>
      </c>
      <c r="C2246" s="1" t="n">
        <v>45884</v>
      </c>
      <c r="D2246" t="inlineStr">
        <is>
          <t>KALMAR LÄN</t>
        </is>
      </c>
      <c r="E2246" t="inlineStr">
        <is>
          <t>VIMMERBY</t>
        </is>
      </c>
      <c r="G2246" t="n">
        <v>0.2</v>
      </c>
      <c r="H2246" t="n">
        <v>0</v>
      </c>
      <c r="I2246" t="n">
        <v>0</v>
      </c>
      <c r="J2246" t="n">
        <v>0</v>
      </c>
      <c r="K2246" t="n">
        <v>0</v>
      </c>
      <c r="L2246" t="n">
        <v>0</v>
      </c>
      <c r="M2246" t="n">
        <v>0</v>
      </c>
      <c r="N2246" t="n">
        <v>0</v>
      </c>
      <c r="O2246" t="n">
        <v>0</v>
      </c>
      <c r="P2246" t="n">
        <v>0</v>
      </c>
      <c r="Q2246" t="n">
        <v>0</v>
      </c>
      <c r="R2246" s="2" t="inlineStr"/>
    </row>
    <row r="2247" ht="15" customHeight="1">
      <c r="A2247" t="inlineStr">
        <is>
          <t>A 10630-2024</t>
        </is>
      </c>
      <c r="B2247" s="1" t="n">
        <v>45367.29472222222</v>
      </c>
      <c r="C2247" s="1" t="n">
        <v>45884</v>
      </c>
      <c r="D2247" t="inlineStr">
        <is>
          <t>KALMAR LÄN</t>
        </is>
      </c>
      <c r="E2247" t="inlineStr">
        <is>
          <t>NYBRO</t>
        </is>
      </c>
      <c r="G2247" t="n">
        <v>10</v>
      </c>
      <c r="H2247" t="n">
        <v>0</v>
      </c>
      <c r="I2247" t="n">
        <v>0</v>
      </c>
      <c r="J2247" t="n">
        <v>0</v>
      </c>
      <c r="K2247" t="n">
        <v>0</v>
      </c>
      <c r="L2247" t="n">
        <v>0</v>
      </c>
      <c r="M2247" t="n">
        <v>0</v>
      </c>
      <c r="N2247" t="n">
        <v>0</v>
      </c>
      <c r="O2247" t="n">
        <v>0</v>
      </c>
      <c r="P2247" t="n">
        <v>0</v>
      </c>
      <c r="Q2247" t="n">
        <v>0</v>
      </c>
      <c r="R2247" s="2" t="inlineStr"/>
    </row>
    <row r="2248" ht="15" customHeight="1">
      <c r="A2248" t="inlineStr">
        <is>
          <t>A 29786-2024</t>
        </is>
      </c>
      <c r="B2248" s="1" t="n">
        <v>45485.46388888889</v>
      </c>
      <c r="C2248" s="1" t="n">
        <v>45884</v>
      </c>
      <c r="D2248" t="inlineStr">
        <is>
          <t>KALMAR LÄN</t>
        </is>
      </c>
      <c r="E2248" t="inlineStr">
        <is>
          <t>VÄSTERVIK</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43472-2020</t>
        </is>
      </c>
      <c r="B2249" s="1" t="n">
        <v>44082</v>
      </c>
      <c r="C2249" s="1" t="n">
        <v>45884</v>
      </c>
      <c r="D2249" t="inlineStr">
        <is>
          <t>KALMAR LÄN</t>
        </is>
      </c>
      <c r="E2249" t="inlineStr">
        <is>
          <t>OSKARSHAMN</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39193-2024</t>
        </is>
      </c>
      <c r="B2250" s="1" t="n">
        <v>45548.68</v>
      </c>
      <c r="C2250" s="1" t="n">
        <v>45884</v>
      </c>
      <c r="D2250" t="inlineStr">
        <is>
          <t>KALMAR LÄN</t>
        </is>
      </c>
      <c r="E2250" t="inlineStr">
        <is>
          <t>VÄSTERVIK</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35332-2021</t>
        </is>
      </c>
      <c r="B2251" s="1" t="n">
        <v>44384</v>
      </c>
      <c r="C2251" s="1" t="n">
        <v>45884</v>
      </c>
      <c r="D2251" t="inlineStr">
        <is>
          <t>KALMAR LÄN</t>
        </is>
      </c>
      <c r="E2251" t="inlineStr">
        <is>
          <t>NYBRO</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21496-2023</t>
        </is>
      </c>
      <c r="B2252" s="1" t="n">
        <v>45063.49936342592</v>
      </c>
      <c r="C2252" s="1" t="n">
        <v>45884</v>
      </c>
      <c r="D2252" t="inlineStr">
        <is>
          <t>KALMAR LÄN</t>
        </is>
      </c>
      <c r="E2252" t="inlineStr">
        <is>
          <t>VIMMERBY</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12210-2025</t>
        </is>
      </c>
      <c r="B2253" s="1" t="n">
        <v>45729.53024305555</v>
      </c>
      <c r="C2253" s="1" t="n">
        <v>45884</v>
      </c>
      <c r="D2253" t="inlineStr">
        <is>
          <t>KALMAR LÄN</t>
        </is>
      </c>
      <c r="E2253" t="inlineStr">
        <is>
          <t>HÖGSBY</t>
        </is>
      </c>
      <c r="G2253" t="n">
        <v>11.5</v>
      </c>
      <c r="H2253" t="n">
        <v>0</v>
      </c>
      <c r="I2253" t="n">
        <v>0</v>
      </c>
      <c r="J2253" t="n">
        <v>0</v>
      </c>
      <c r="K2253" t="n">
        <v>0</v>
      </c>
      <c r="L2253" t="n">
        <v>0</v>
      </c>
      <c r="M2253" t="n">
        <v>0</v>
      </c>
      <c r="N2253" t="n">
        <v>0</v>
      </c>
      <c r="O2253" t="n">
        <v>0</v>
      </c>
      <c r="P2253" t="n">
        <v>0</v>
      </c>
      <c r="Q2253" t="n">
        <v>0</v>
      </c>
      <c r="R2253" s="2" t="inlineStr"/>
    </row>
    <row r="2254" ht="15" customHeight="1">
      <c r="A2254" t="inlineStr">
        <is>
          <t>A 12213-2025</t>
        </is>
      </c>
      <c r="B2254" s="1" t="n">
        <v>45729.53497685185</v>
      </c>
      <c r="C2254" s="1" t="n">
        <v>45884</v>
      </c>
      <c r="D2254" t="inlineStr">
        <is>
          <t>KALMAR LÄN</t>
        </is>
      </c>
      <c r="E2254" t="inlineStr">
        <is>
          <t>NYBRO</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49878-2022</t>
        </is>
      </c>
      <c r="B2255" s="1" t="n">
        <v>44864</v>
      </c>
      <c r="C2255" s="1" t="n">
        <v>45884</v>
      </c>
      <c r="D2255" t="inlineStr">
        <is>
          <t>KALMAR LÄN</t>
        </is>
      </c>
      <c r="E2255" t="inlineStr">
        <is>
          <t>KALMAR</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4925-2022</t>
        </is>
      </c>
      <c r="B2256" s="1" t="n">
        <v>44593</v>
      </c>
      <c r="C2256" s="1" t="n">
        <v>45884</v>
      </c>
      <c r="D2256" t="inlineStr">
        <is>
          <t>KALMAR LÄN</t>
        </is>
      </c>
      <c r="E2256" t="inlineStr">
        <is>
          <t>TORSÅS</t>
        </is>
      </c>
      <c r="G2256" t="n">
        <v>4.4</v>
      </c>
      <c r="H2256" t="n">
        <v>0</v>
      </c>
      <c r="I2256" t="n">
        <v>0</v>
      </c>
      <c r="J2256" t="n">
        <v>0</v>
      </c>
      <c r="K2256" t="n">
        <v>0</v>
      </c>
      <c r="L2256" t="n">
        <v>0</v>
      </c>
      <c r="M2256" t="n">
        <v>0</v>
      </c>
      <c r="N2256" t="n">
        <v>0</v>
      </c>
      <c r="O2256" t="n">
        <v>0</v>
      </c>
      <c r="P2256" t="n">
        <v>0</v>
      </c>
      <c r="Q2256" t="n">
        <v>0</v>
      </c>
      <c r="R2256" s="2" t="inlineStr"/>
    </row>
    <row r="2257" ht="15" customHeight="1">
      <c r="A2257" t="inlineStr">
        <is>
          <t>A 42069-2020</t>
        </is>
      </c>
      <c r="B2257" s="1" t="n">
        <v>44075</v>
      </c>
      <c r="C2257" s="1" t="n">
        <v>45884</v>
      </c>
      <c r="D2257" t="inlineStr">
        <is>
          <t>KALMAR LÄN</t>
        </is>
      </c>
      <c r="E2257" t="inlineStr">
        <is>
          <t>HULTSFRED</t>
        </is>
      </c>
      <c r="G2257" t="n">
        <v>6</v>
      </c>
      <c r="H2257" t="n">
        <v>0</v>
      </c>
      <c r="I2257" t="n">
        <v>0</v>
      </c>
      <c r="J2257" t="n">
        <v>0</v>
      </c>
      <c r="K2257" t="n">
        <v>0</v>
      </c>
      <c r="L2257" t="n">
        <v>0</v>
      </c>
      <c r="M2257" t="n">
        <v>0</v>
      </c>
      <c r="N2257" t="n">
        <v>0</v>
      </c>
      <c r="O2257" t="n">
        <v>0</v>
      </c>
      <c r="P2257" t="n">
        <v>0</v>
      </c>
      <c r="Q2257" t="n">
        <v>0</v>
      </c>
      <c r="R2257" s="2" t="inlineStr"/>
    </row>
    <row r="2258" ht="15" customHeight="1">
      <c r="A2258" t="inlineStr">
        <is>
          <t>A 57924-2024</t>
        </is>
      </c>
      <c r="B2258" s="1" t="n">
        <v>45631.51325231481</v>
      </c>
      <c r="C2258" s="1" t="n">
        <v>45884</v>
      </c>
      <c r="D2258" t="inlineStr">
        <is>
          <t>KALMAR LÄN</t>
        </is>
      </c>
      <c r="E2258" t="inlineStr">
        <is>
          <t>VÄSTERVIK</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43560-2023</t>
        </is>
      </c>
      <c r="B2259" s="1" t="n">
        <v>45184</v>
      </c>
      <c r="C2259" s="1" t="n">
        <v>45884</v>
      </c>
      <c r="D2259" t="inlineStr">
        <is>
          <t>KALMAR LÄN</t>
        </is>
      </c>
      <c r="E2259" t="inlineStr">
        <is>
          <t>HULTSFRED</t>
        </is>
      </c>
      <c r="G2259" t="n">
        <v>10.2</v>
      </c>
      <c r="H2259" t="n">
        <v>0</v>
      </c>
      <c r="I2259" t="n">
        <v>0</v>
      </c>
      <c r="J2259" t="n">
        <v>0</v>
      </c>
      <c r="K2259" t="n">
        <v>0</v>
      </c>
      <c r="L2259" t="n">
        <v>0</v>
      </c>
      <c r="M2259" t="n">
        <v>0</v>
      </c>
      <c r="N2259" t="n">
        <v>0</v>
      </c>
      <c r="O2259" t="n">
        <v>0</v>
      </c>
      <c r="P2259" t="n">
        <v>0</v>
      </c>
      <c r="Q2259" t="n">
        <v>0</v>
      </c>
      <c r="R2259" s="2" t="inlineStr"/>
    </row>
    <row r="2260" ht="15" customHeight="1">
      <c r="A2260" t="inlineStr">
        <is>
          <t>A 39101-2023</t>
        </is>
      </c>
      <c r="B2260" s="1" t="n">
        <v>45164.64883101852</v>
      </c>
      <c r="C2260" s="1" t="n">
        <v>45884</v>
      </c>
      <c r="D2260" t="inlineStr">
        <is>
          <t>KALMAR LÄN</t>
        </is>
      </c>
      <c r="E2260" t="inlineStr">
        <is>
          <t>EMMABODA</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69212-2021</t>
        </is>
      </c>
      <c r="B2261" s="1" t="n">
        <v>44531.36721064815</v>
      </c>
      <c r="C2261" s="1" t="n">
        <v>45884</v>
      </c>
      <c r="D2261" t="inlineStr">
        <is>
          <t>KALMAR LÄN</t>
        </is>
      </c>
      <c r="E2261" t="inlineStr">
        <is>
          <t>HULTSFRED</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64299-2020</t>
        </is>
      </c>
      <c r="B2262" s="1" t="n">
        <v>44168.46537037037</v>
      </c>
      <c r="C2262" s="1" t="n">
        <v>45884</v>
      </c>
      <c r="D2262" t="inlineStr">
        <is>
          <t>KALMAR LÄN</t>
        </is>
      </c>
      <c r="E2262" t="inlineStr">
        <is>
          <t>TORSÅS</t>
        </is>
      </c>
      <c r="G2262" t="n">
        <v>5.1</v>
      </c>
      <c r="H2262" t="n">
        <v>0</v>
      </c>
      <c r="I2262" t="n">
        <v>0</v>
      </c>
      <c r="J2262" t="n">
        <v>0</v>
      </c>
      <c r="K2262" t="n">
        <v>0</v>
      </c>
      <c r="L2262" t="n">
        <v>0</v>
      </c>
      <c r="M2262" t="n">
        <v>0</v>
      </c>
      <c r="N2262" t="n">
        <v>0</v>
      </c>
      <c r="O2262" t="n">
        <v>0</v>
      </c>
      <c r="P2262" t="n">
        <v>0</v>
      </c>
      <c r="Q2262" t="n">
        <v>0</v>
      </c>
      <c r="R2262" s="2" t="inlineStr"/>
    </row>
    <row r="2263" ht="15" customHeight="1">
      <c r="A2263" t="inlineStr">
        <is>
          <t>A 10472-2023</t>
        </is>
      </c>
      <c r="B2263" s="1" t="n">
        <v>44987</v>
      </c>
      <c r="C2263" s="1" t="n">
        <v>45884</v>
      </c>
      <c r="D2263" t="inlineStr">
        <is>
          <t>KALMAR LÄN</t>
        </is>
      </c>
      <c r="E2263" t="inlineStr">
        <is>
          <t>TORSÅS</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10211-2025</t>
        </is>
      </c>
      <c r="B2264" s="1" t="n">
        <v>45719.84378472222</v>
      </c>
      <c r="C2264" s="1" t="n">
        <v>45884</v>
      </c>
      <c r="D2264" t="inlineStr">
        <is>
          <t>KALMAR LÄN</t>
        </is>
      </c>
      <c r="E2264" t="inlineStr">
        <is>
          <t>VIMMERBY</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49809-2021</t>
        </is>
      </c>
      <c r="B2265" s="1" t="n">
        <v>44455</v>
      </c>
      <c r="C2265" s="1" t="n">
        <v>45884</v>
      </c>
      <c r="D2265" t="inlineStr">
        <is>
          <t>KALMAR LÄN</t>
        </is>
      </c>
      <c r="E2265" t="inlineStr">
        <is>
          <t>MÖNSTERÅS</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10139-2021</t>
        </is>
      </c>
      <c r="B2266" s="1" t="n">
        <v>44256</v>
      </c>
      <c r="C2266" s="1" t="n">
        <v>45884</v>
      </c>
      <c r="D2266" t="inlineStr">
        <is>
          <t>KALMAR LÄN</t>
        </is>
      </c>
      <c r="E2266" t="inlineStr">
        <is>
          <t>EMMABODA</t>
        </is>
      </c>
      <c r="G2266" t="n">
        <v>2.9</v>
      </c>
      <c r="H2266" t="n">
        <v>0</v>
      </c>
      <c r="I2266" t="n">
        <v>0</v>
      </c>
      <c r="J2266" t="n">
        <v>0</v>
      </c>
      <c r="K2266" t="n">
        <v>0</v>
      </c>
      <c r="L2266" t="n">
        <v>0</v>
      </c>
      <c r="M2266" t="n">
        <v>0</v>
      </c>
      <c r="N2266" t="n">
        <v>0</v>
      </c>
      <c r="O2266" t="n">
        <v>0</v>
      </c>
      <c r="P2266" t="n">
        <v>0</v>
      </c>
      <c r="Q2266" t="n">
        <v>0</v>
      </c>
      <c r="R2266" s="2" t="inlineStr"/>
    </row>
    <row r="2267" ht="15" customHeight="1">
      <c r="A2267" t="inlineStr">
        <is>
          <t>A 39217-2023</t>
        </is>
      </c>
      <c r="B2267" s="1" t="n">
        <v>45166</v>
      </c>
      <c r="C2267" s="1" t="n">
        <v>45884</v>
      </c>
      <c r="D2267" t="inlineStr">
        <is>
          <t>KALMAR LÄN</t>
        </is>
      </c>
      <c r="E2267" t="inlineStr">
        <is>
          <t>EMMABODA</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39230-2023</t>
        </is>
      </c>
      <c r="B2268" s="1" t="n">
        <v>45166</v>
      </c>
      <c r="C2268" s="1" t="n">
        <v>45884</v>
      </c>
      <c r="D2268" t="inlineStr">
        <is>
          <t>KALMAR LÄN</t>
        </is>
      </c>
      <c r="E2268" t="inlineStr">
        <is>
          <t>EMMABODA</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10930-2023</t>
        </is>
      </c>
      <c r="B2269" s="1" t="n">
        <v>44991.5237037037</v>
      </c>
      <c r="C2269" s="1" t="n">
        <v>45884</v>
      </c>
      <c r="D2269" t="inlineStr">
        <is>
          <t>KALMAR LÄN</t>
        </is>
      </c>
      <c r="E2269" t="inlineStr">
        <is>
          <t>KALMAR</t>
        </is>
      </c>
      <c r="G2269" t="n">
        <v>9.6</v>
      </c>
      <c r="H2269" t="n">
        <v>0</v>
      </c>
      <c r="I2269" t="n">
        <v>0</v>
      </c>
      <c r="J2269" t="n">
        <v>0</v>
      </c>
      <c r="K2269" t="n">
        <v>0</v>
      </c>
      <c r="L2269" t="n">
        <v>0</v>
      </c>
      <c r="M2269" t="n">
        <v>0</v>
      </c>
      <c r="N2269" t="n">
        <v>0</v>
      </c>
      <c r="O2269" t="n">
        <v>0</v>
      </c>
      <c r="P2269" t="n">
        <v>0</v>
      </c>
      <c r="Q2269" t="n">
        <v>0</v>
      </c>
      <c r="R2269" s="2" t="inlineStr"/>
    </row>
    <row r="2270" ht="15" customHeight="1">
      <c r="A2270" t="inlineStr">
        <is>
          <t>A 32006-2024</t>
        </is>
      </c>
      <c r="B2270" s="1" t="n">
        <v>45510</v>
      </c>
      <c r="C2270" s="1" t="n">
        <v>45884</v>
      </c>
      <c r="D2270" t="inlineStr">
        <is>
          <t>KALMAR LÄN</t>
        </is>
      </c>
      <c r="E2270" t="inlineStr">
        <is>
          <t>VÄSTERVIK</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58551-2024</t>
        </is>
      </c>
      <c r="B2271" s="1" t="n">
        <v>45635.46313657407</v>
      </c>
      <c r="C2271" s="1" t="n">
        <v>45884</v>
      </c>
      <c r="D2271" t="inlineStr">
        <is>
          <t>KALMAR LÄN</t>
        </is>
      </c>
      <c r="E2271" t="inlineStr">
        <is>
          <t>NYBRO</t>
        </is>
      </c>
      <c r="G2271" t="n">
        <v>2.7</v>
      </c>
      <c r="H2271" t="n">
        <v>0</v>
      </c>
      <c r="I2271" t="n">
        <v>0</v>
      </c>
      <c r="J2271" t="n">
        <v>0</v>
      </c>
      <c r="K2271" t="n">
        <v>0</v>
      </c>
      <c r="L2271" t="n">
        <v>0</v>
      </c>
      <c r="M2271" t="n">
        <v>0</v>
      </c>
      <c r="N2271" t="n">
        <v>0</v>
      </c>
      <c r="O2271" t="n">
        <v>0</v>
      </c>
      <c r="P2271" t="n">
        <v>0</v>
      </c>
      <c r="Q2271" t="n">
        <v>0</v>
      </c>
      <c r="R2271" s="2" t="inlineStr"/>
    </row>
    <row r="2272" ht="15" customHeight="1">
      <c r="A2272" t="inlineStr">
        <is>
          <t>A 13457-2021</t>
        </is>
      </c>
      <c r="B2272" s="1" t="n">
        <v>44273</v>
      </c>
      <c r="C2272" s="1" t="n">
        <v>45884</v>
      </c>
      <c r="D2272" t="inlineStr">
        <is>
          <t>KALMAR LÄN</t>
        </is>
      </c>
      <c r="E2272" t="inlineStr">
        <is>
          <t>VIMMERBY</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13180-2022</t>
        </is>
      </c>
      <c r="B2273" s="1" t="n">
        <v>44644</v>
      </c>
      <c r="C2273" s="1" t="n">
        <v>45884</v>
      </c>
      <c r="D2273" t="inlineStr">
        <is>
          <t>KALMAR LÄN</t>
        </is>
      </c>
      <c r="E2273" t="inlineStr">
        <is>
          <t>VIMMERBY</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61676-2022</t>
        </is>
      </c>
      <c r="B2274" s="1" t="n">
        <v>44917.35297453704</v>
      </c>
      <c r="C2274" s="1" t="n">
        <v>45884</v>
      </c>
      <c r="D2274" t="inlineStr">
        <is>
          <t>KALMAR LÄN</t>
        </is>
      </c>
      <c r="E2274" t="inlineStr">
        <is>
          <t>OSKARSHAMN</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5539-2021</t>
        </is>
      </c>
      <c r="B2275" s="1" t="n">
        <v>44230</v>
      </c>
      <c r="C2275" s="1" t="n">
        <v>45884</v>
      </c>
      <c r="D2275" t="inlineStr">
        <is>
          <t>KALMAR LÄN</t>
        </is>
      </c>
      <c r="E2275" t="inlineStr">
        <is>
          <t>HÖGSBY</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22539-2022</t>
        </is>
      </c>
      <c r="B2276" s="1" t="n">
        <v>44713</v>
      </c>
      <c r="C2276" s="1" t="n">
        <v>45884</v>
      </c>
      <c r="D2276" t="inlineStr">
        <is>
          <t>KALMAR LÄN</t>
        </is>
      </c>
      <c r="E2276" t="inlineStr">
        <is>
          <t>OSKARSHAMN</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29924-2023</t>
        </is>
      </c>
      <c r="B2277" s="1" t="n">
        <v>45107.72561342592</v>
      </c>
      <c r="C2277" s="1" t="n">
        <v>45884</v>
      </c>
      <c r="D2277" t="inlineStr">
        <is>
          <t>KALMAR LÄN</t>
        </is>
      </c>
      <c r="E2277" t="inlineStr">
        <is>
          <t>NYBRO</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64303-2023</t>
        </is>
      </c>
      <c r="B2278" s="1" t="n">
        <v>45280</v>
      </c>
      <c r="C2278" s="1" t="n">
        <v>45884</v>
      </c>
      <c r="D2278" t="inlineStr">
        <is>
          <t>KALMAR LÄN</t>
        </is>
      </c>
      <c r="E2278" t="inlineStr">
        <is>
          <t>BORGHOLM</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19644-2021</t>
        </is>
      </c>
      <c r="B2279" s="1" t="n">
        <v>44312</v>
      </c>
      <c r="C2279" s="1" t="n">
        <v>45884</v>
      </c>
      <c r="D2279" t="inlineStr">
        <is>
          <t>KALMAR LÄN</t>
        </is>
      </c>
      <c r="E2279" t="inlineStr">
        <is>
          <t>VÄSTERVIK</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19694-2021</t>
        </is>
      </c>
      <c r="B2280" s="1" t="n">
        <v>44312.72291666667</v>
      </c>
      <c r="C2280" s="1" t="n">
        <v>45884</v>
      </c>
      <c r="D2280" t="inlineStr">
        <is>
          <t>KALMAR LÄN</t>
        </is>
      </c>
      <c r="E2280" t="inlineStr">
        <is>
          <t>HÖGSBY</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26132-2023</t>
        </is>
      </c>
      <c r="B2281" s="1" t="n">
        <v>45091</v>
      </c>
      <c r="C2281" s="1" t="n">
        <v>45884</v>
      </c>
      <c r="D2281" t="inlineStr">
        <is>
          <t>KALMAR LÄN</t>
        </is>
      </c>
      <c r="E2281" t="inlineStr">
        <is>
          <t>OSKARSHAMN</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10904-2024</t>
        </is>
      </c>
      <c r="B2282" s="1" t="n">
        <v>45370.3781712963</v>
      </c>
      <c r="C2282" s="1" t="n">
        <v>45884</v>
      </c>
      <c r="D2282" t="inlineStr">
        <is>
          <t>KALMAR LÄN</t>
        </is>
      </c>
      <c r="E2282" t="inlineStr">
        <is>
          <t>HULTSFRED</t>
        </is>
      </c>
      <c r="G2282" t="n">
        <v>7.8</v>
      </c>
      <c r="H2282" t="n">
        <v>0</v>
      </c>
      <c r="I2282" t="n">
        <v>0</v>
      </c>
      <c r="J2282" t="n">
        <v>0</v>
      </c>
      <c r="K2282" t="n">
        <v>0</v>
      </c>
      <c r="L2282" t="n">
        <v>0</v>
      </c>
      <c r="M2282" t="n">
        <v>0</v>
      </c>
      <c r="N2282" t="n">
        <v>0</v>
      </c>
      <c r="O2282" t="n">
        <v>0</v>
      </c>
      <c r="P2282" t="n">
        <v>0</v>
      </c>
      <c r="Q2282" t="n">
        <v>0</v>
      </c>
      <c r="R2282" s="2" t="inlineStr"/>
    </row>
    <row r="2283" ht="15" customHeight="1">
      <c r="A2283" t="inlineStr">
        <is>
          <t>A 14278-2021</t>
        </is>
      </c>
      <c r="B2283" s="1" t="n">
        <v>44278.63479166666</v>
      </c>
      <c r="C2283" s="1" t="n">
        <v>45884</v>
      </c>
      <c r="D2283" t="inlineStr">
        <is>
          <t>KALMAR LÄN</t>
        </is>
      </c>
      <c r="E2283" t="inlineStr">
        <is>
          <t>VIMMERBY</t>
        </is>
      </c>
      <c r="F2283" t="inlineStr">
        <is>
          <t>Övriga statliga verk och myndigheter</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14280-2021</t>
        </is>
      </c>
      <c r="B2284" s="1" t="n">
        <v>44278</v>
      </c>
      <c r="C2284" s="1" t="n">
        <v>45884</v>
      </c>
      <c r="D2284" t="inlineStr">
        <is>
          <t>KALMAR LÄN</t>
        </is>
      </c>
      <c r="E2284" t="inlineStr">
        <is>
          <t>HULTSFRED</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22278-2022</t>
        </is>
      </c>
      <c r="B2285" s="1" t="n">
        <v>44712.65084490741</v>
      </c>
      <c r="C2285" s="1" t="n">
        <v>45884</v>
      </c>
      <c r="D2285" t="inlineStr">
        <is>
          <t>KALMAR LÄN</t>
        </is>
      </c>
      <c r="E2285" t="inlineStr">
        <is>
          <t>OSKARSHAMN</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57402-2022</t>
        </is>
      </c>
      <c r="B2286" s="1" t="n">
        <v>44896.4815625</v>
      </c>
      <c r="C2286" s="1" t="n">
        <v>45884</v>
      </c>
      <c r="D2286" t="inlineStr">
        <is>
          <t>KALMAR LÄN</t>
        </is>
      </c>
      <c r="E2286" t="inlineStr">
        <is>
          <t>EMMABODA</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15018-2024</t>
        </is>
      </c>
      <c r="B2287" s="1" t="n">
        <v>45399.44796296296</v>
      </c>
      <c r="C2287" s="1" t="n">
        <v>45884</v>
      </c>
      <c r="D2287" t="inlineStr">
        <is>
          <t>KALMAR LÄN</t>
        </is>
      </c>
      <c r="E2287" t="inlineStr">
        <is>
          <t>HULTSFRED</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2859-2025</t>
        </is>
      </c>
      <c r="B2288" s="1" t="n">
        <v>45677.67003472222</v>
      </c>
      <c r="C2288" s="1" t="n">
        <v>45884</v>
      </c>
      <c r="D2288" t="inlineStr">
        <is>
          <t>KALMAR LÄN</t>
        </is>
      </c>
      <c r="E2288" t="inlineStr">
        <is>
          <t>VÄSTERVIK</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2870-2025</t>
        </is>
      </c>
      <c r="B2289" s="1" t="n">
        <v>45677.68149305556</v>
      </c>
      <c r="C2289" s="1" t="n">
        <v>45884</v>
      </c>
      <c r="D2289" t="inlineStr">
        <is>
          <t>KALMAR LÄN</t>
        </is>
      </c>
      <c r="E2289" t="inlineStr">
        <is>
          <t>VÄSTERVIK</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19789-2023</t>
        </is>
      </c>
      <c r="B2290" s="1" t="n">
        <v>45051.65592592592</v>
      </c>
      <c r="C2290" s="1" t="n">
        <v>45884</v>
      </c>
      <c r="D2290" t="inlineStr">
        <is>
          <t>KALMAR LÄN</t>
        </is>
      </c>
      <c r="E2290" t="inlineStr">
        <is>
          <t>TORSÅS</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27873-2024</t>
        </is>
      </c>
      <c r="B2291" s="1" t="n">
        <v>45475.72082175926</v>
      </c>
      <c r="C2291" s="1" t="n">
        <v>45884</v>
      </c>
      <c r="D2291" t="inlineStr">
        <is>
          <t>KALMAR LÄN</t>
        </is>
      </c>
      <c r="E2291" t="inlineStr">
        <is>
          <t>NYBRO</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27881-2024</t>
        </is>
      </c>
      <c r="B2292" s="1" t="n">
        <v>45475.76681712963</v>
      </c>
      <c r="C2292" s="1" t="n">
        <v>45884</v>
      </c>
      <c r="D2292" t="inlineStr">
        <is>
          <t>KALMAR LÄN</t>
        </is>
      </c>
      <c r="E2292" t="inlineStr">
        <is>
          <t>NYBRO</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12339-2025</t>
        </is>
      </c>
      <c r="B2293" s="1" t="n">
        <v>45730.33476851852</v>
      </c>
      <c r="C2293" s="1" t="n">
        <v>45884</v>
      </c>
      <c r="D2293" t="inlineStr">
        <is>
          <t>KALMAR LÄN</t>
        </is>
      </c>
      <c r="E2293" t="inlineStr">
        <is>
          <t>HULTSFRED</t>
        </is>
      </c>
      <c r="F2293" t="inlineStr">
        <is>
          <t>Sveaskog</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35421-2021</t>
        </is>
      </c>
      <c r="B2294" s="1" t="n">
        <v>44385</v>
      </c>
      <c r="C2294" s="1" t="n">
        <v>45884</v>
      </c>
      <c r="D2294" t="inlineStr">
        <is>
          <t>KALMAR LÄN</t>
        </is>
      </c>
      <c r="E2294" t="inlineStr">
        <is>
          <t>KALMAR</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47444-2021</t>
        </is>
      </c>
      <c r="B2295" s="1" t="n">
        <v>44447.62274305556</v>
      </c>
      <c r="C2295" s="1" t="n">
        <v>45884</v>
      </c>
      <c r="D2295" t="inlineStr">
        <is>
          <t>KALMAR LÄN</t>
        </is>
      </c>
      <c r="E2295" t="inlineStr">
        <is>
          <t>TORSÅS</t>
        </is>
      </c>
      <c r="G2295" t="n">
        <v>2.4</v>
      </c>
      <c r="H2295" t="n">
        <v>0</v>
      </c>
      <c r="I2295" t="n">
        <v>0</v>
      </c>
      <c r="J2295" t="n">
        <v>0</v>
      </c>
      <c r="K2295" t="n">
        <v>0</v>
      </c>
      <c r="L2295" t="n">
        <v>0</v>
      </c>
      <c r="M2295" t="n">
        <v>0</v>
      </c>
      <c r="N2295" t="n">
        <v>0</v>
      </c>
      <c r="O2295" t="n">
        <v>0</v>
      </c>
      <c r="P2295" t="n">
        <v>0</v>
      </c>
      <c r="Q2295" t="n">
        <v>0</v>
      </c>
      <c r="R2295" s="2" t="inlineStr"/>
    </row>
    <row r="2296" ht="15" customHeight="1">
      <c r="A2296" t="inlineStr">
        <is>
          <t>A 41071-2023</t>
        </is>
      </c>
      <c r="B2296" s="1" t="n">
        <v>45173.64986111111</v>
      </c>
      <c r="C2296" s="1" t="n">
        <v>45884</v>
      </c>
      <c r="D2296" t="inlineStr">
        <is>
          <t>KALMAR LÄN</t>
        </is>
      </c>
      <c r="E2296" t="inlineStr">
        <is>
          <t>KALMAR</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41080-2023</t>
        </is>
      </c>
      <c r="B2297" s="1" t="n">
        <v>45173.65681712963</v>
      </c>
      <c r="C2297" s="1" t="n">
        <v>45884</v>
      </c>
      <c r="D2297" t="inlineStr">
        <is>
          <t>KALMAR LÄN</t>
        </is>
      </c>
      <c r="E2297" t="inlineStr">
        <is>
          <t>KALMAR</t>
        </is>
      </c>
      <c r="G2297" t="n">
        <v>6.8</v>
      </c>
      <c r="H2297" t="n">
        <v>0</v>
      </c>
      <c r="I2297" t="n">
        <v>0</v>
      </c>
      <c r="J2297" t="n">
        <v>0</v>
      </c>
      <c r="K2297" t="n">
        <v>0</v>
      </c>
      <c r="L2297" t="n">
        <v>0</v>
      </c>
      <c r="M2297" t="n">
        <v>0</v>
      </c>
      <c r="N2297" t="n">
        <v>0</v>
      </c>
      <c r="O2297" t="n">
        <v>0</v>
      </c>
      <c r="P2297" t="n">
        <v>0</v>
      </c>
      <c r="Q2297" t="n">
        <v>0</v>
      </c>
      <c r="R2297" s="2" t="inlineStr"/>
    </row>
    <row r="2298" ht="15" customHeight="1">
      <c r="A2298" t="inlineStr">
        <is>
          <t>A 47797-2024</t>
        </is>
      </c>
      <c r="B2298" s="1" t="n">
        <v>45588.60645833334</v>
      </c>
      <c r="C2298" s="1" t="n">
        <v>45884</v>
      </c>
      <c r="D2298" t="inlineStr">
        <is>
          <t>KALMAR LÄN</t>
        </is>
      </c>
      <c r="E2298" t="inlineStr">
        <is>
          <t>HÖGSBY</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49631-2020</t>
        </is>
      </c>
      <c r="B2299" s="1" t="n">
        <v>44106</v>
      </c>
      <c r="C2299" s="1" t="n">
        <v>45884</v>
      </c>
      <c r="D2299" t="inlineStr">
        <is>
          <t>KALMAR LÄN</t>
        </is>
      </c>
      <c r="E2299" t="inlineStr">
        <is>
          <t>HÖGSBY</t>
        </is>
      </c>
      <c r="F2299" t="inlineStr">
        <is>
          <t>Sveaskog</t>
        </is>
      </c>
      <c r="G2299" t="n">
        <v>7.5</v>
      </c>
      <c r="H2299" t="n">
        <v>0</v>
      </c>
      <c r="I2299" t="n">
        <v>0</v>
      </c>
      <c r="J2299" t="n">
        <v>0</v>
      </c>
      <c r="K2299" t="n">
        <v>0</v>
      </c>
      <c r="L2299" t="n">
        <v>0</v>
      </c>
      <c r="M2299" t="n">
        <v>0</v>
      </c>
      <c r="N2299" t="n">
        <v>0</v>
      </c>
      <c r="O2299" t="n">
        <v>0</v>
      </c>
      <c r="P2299" t="n">
        <v>0</v>
      </c>
      <c r="Q2299" t="n">
        <v>0</v>
      </c>
      <c r="R2299" s="2" t="inlineStr"/>
    </row>
    <row r="2300" ht="15" customHeight="1">
      <c r="A2300" t="inlineStr">
        <is>
          <t>A 37753-2021</t>
        </is>
      </c>
      <c r="B2300" s="1" t="n">
        <v>44400.63810185185</v>
      </c>
      <c r="C2300" s="1" t="n">
        <v>45884</v>
      </c>
      <c r="D2300" t="inlineStr">
        <is>
          <t>KALMAR LÄN</t>
        </is>
      </c>
      <c r="E2300" t="inlineStr">
        <is>
          <t>VÄSTERVIK</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11388-2023</t>
        </is>
      </c>
      <c r="B2301" s="1" t="n">
        <v>44993</v>
      </c>
      <c r="C2301" s="1" t="n">
        <v>45884</v>
      </c>
      <c r="D2301" t="inlineStr">
        <is>
          <t>KALMAR LÄN</t>
        </is>
      </c>
      <c r="E2301" t="inlineStr">
        <is>
          <t>KALMAR</t>
        </is>
      </c>
      <c r="G2301" t="n">
        <v>3.7</v>
      </c>
      <c r="H2301" t="n">
        <v>0</v>
      </c>
      <c r="I2301" t="n">
        <v>0</v>
      </c>
      <c r="J2301" t="n">
        <v>0</v>
      </c>
      <c r="K2301" t="n">
        <v>0</v>
      </c>
      <c r="L2301" t="n">
        <v>0</v>
      </c>
      <c r="M2301" t="n">
        <v>0</v>
      </c>
      <c r="N2301" t="n">
        <v>0</v>
      </c>
      <c r="O2301" t="n">
        <v>0</v>
      </c>
      <c r="P2301" t="n">
        <v>0</v>
      </c>
      <c r="Q2301" t="n">
        <v>0</v>
      </c>
      <c r="R2301" s="2" t="inlineStr"/>
    </row>
    <row r="2302" ht="15" customHeight="1">
      <c r="A2302" t="inlineStr">
        <is>
          <t>A 18470-2021</t>
        </is>
      </c>
      <c r="B2302" s="1" t="n">
        <v>44306.31681712963</v>
      </c>
      <c r="C2302" s="1" t="n">
        <v>45884</v>
      </c>
      <c r="D2302" t="inlineStr">
        <is>
          <t>KALMAR LÄN</t>
        </is>
      </c>
      <c r="E2302" t="inlineStr">
        <is>
          <t>VÄSTERVIK</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21280-2021</t>
        </is>
      </c>
      <c r="B2303" s="1" t="n">
        <v>44320</v>
      </c>
      <c r="C2303" s="1" t="n">
        <v>45884</v>
      </c>
      <c r="D2303" t="inlineStr">
        <is>
          <t>KALMAR LÄN</t>
        </is>
      </c>
      <c r="E2303" t="inlineStr">
        <is>
          <t>HULTSFRED</t>
        </is>
      </c>
      <c r="G2303" t="n">
        <v>0.3</v>
      </c>
      <c r="H2303" t="n">
        <v>0</v>
      </c>
      <c r="I2303" t="n">
        <v>0</v>
      </c>
      <c r="J2303" t="n">
        <v>0</v>
      </c>
      <c r="K2303" t="n">
        <v>0</v>
      </c>
      <c r="L2303" t="n">
        <v>0</v>
      </c>
      <c r="M2303" t="n">
        <v>0</v>
      </c>
      <c r="N2303" t="n">
        <v>0</v>
      </c>
      <c r="O2303" t="n">
        <v>0</v>
      </c>
      <c r="P2303" t="n">
        <v>0</v>
      </c>
      <c r="Q2303" t="n">
        <v>0</v>
      </c>
      <c r="R2303" s="2" t="inlineStr"/>
    </row>
    <row r="2304" ht="15" customHeight="1">
      <c r="A2304" t="inlineStr">
        <is>
          <t>A 24611-2024</t>
        </is>
      </c>
      <c r="B2304" s="1" t="n">
        <v>45460.48354166667</v>
      </c>
      <c r="C2304" s="1" t="n">
        <v>45884</v>
      </c>
      <c r="D2304" t="inlineStr">
        <is>
          <t>KALMAR LÄN</t>
        </is>
      </c>
      <c r="E2304" t="inlineStr">
        <is>
          <t>HÖGSBY</t>
        </is>
      </c>
      <c r="F2304" t="inlineStr">
        <is>
          <t>Sveaskog</t>
        </is>
      </c>
      <c r="G2304" t="n">
        <v>3.3</v>
      </c>
      <c r="H2304" t="n">
        <v>0</v>
      </c>
      <c r="I2304" t="n">
        <v>0</v>
      </c>
      <c r="J2304" t="n">
        <v>0</v>
      </c>
      <c r="K2304" t="n">
        <v>0</v>
      </c>
      <c r="L2304" t="n">
        <v>0</v>
      </c>
      <c r="M2304" t="n">
        <v>0</v>
      </c>
      <c r="N2304" t="n">
        <v>0</v>
      </c>
      <c r="O2304" t="n">
        <v>0</v>
      </c>
      <c r="P2304" t="n">
        <v>0</v>
      </c>
      <c r="Q2304" t="n">
        <v>0</v>
      </c>
      <c r="R2304" s="2" t="inlineStr"/>
    </row>
    <row r="2305" ht="15" customHeight="1">
      <c r="A2305" t="inlineStr">
        <is>
          <t>A 22524-2024</t>
        </is>
      </c>
      <c r="B2305" s="1" t="n">
        <v>45447.43503472222</v>
      </c>
      <c r="C2305" s="1" t="n">
        <v>45884</v>
      </c>
      <c r="D2305" t="inlineStr">
        <is>
          <t>KALMAR LÄN</t>
        </is>
      </c>
      <c r="E2305" t="inlineStr">
        <is>
          <t>HÖGSBY</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34079-2022</t>
        </is>
      </c>
      <c r="B2306" s="1" t="n">
        <v>44791</v>
      </c>
      <c r="C2306" s="1" t="n">
        <v>45884</v>
      </c>
      <c r="D2306" t="inlineStr">
        <is>
          <t>KALMAR LÄN</t>
        </is>
      </c>
      <c r="E2306" t="inlineStr">
        <is>
          <t>MÖNSTERÅS</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65314-2021</t>
        </is>
      </c>
      <c r="B2307" s="1" t="n">
        <v>44515.62549768519</v>
      </c>
      <c r="C2307" s="1" t="n">
        <v>45884</v>
      </c>
      <c r="D2307" t="inlineStr">
        <is>
          <t>KALMAR LÄN</t>
        </is>
      </c>
      <c r="E2307" t="inlineStr">
        <is>
          <t>OSKARSHAMN</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29783-2024</t>
        </is>
      </c>
      <c r="B2308" s="1" t="n">
        <v>45485.45778935185</v>
      </c>
      <c r="C2308" s="1" t="n">
        <v>45884</v>
      </c>
      <c r="D2308" t="inlineStr">
        <is>
          <t>KALMAR LÄN</t>
        </is>
      </c>
      <c r="E2308" t="inlineStr">
        <is>
          <t>VIMMERBY</t>
        </is>
      </c>
      <c r="G2308" t="n">
        <v>3.1</v>
      </c>
      <c r="H2308" t="n">
        <v>0</v>
      </c>
      <c r="I2308" t="n">
        <v>0</v>
      </c>
      <c r="J2308" t="n">
        <v>0</v>
      </c>
      <c r="K2308" t="n">
        <v>0</v>
      </c>
      <c r="L2308" t="n">
        <v>0</v>
      </c>
      <c r="M2308" t="n">
        <v>0</v>
      </c>
      <c r="N2308" t="n">
        <v>0</v>
      </c>
      <c r="O2308" t="n">
        <v>0</v>
      </c>
      <c r="P2308" t="n">
        <v>0</v>
      </c>
      <c r="Q2308" t="n">
        <v>0</v>
      </c>
      <c r="R2308" s="2" t="inlineStr"/>
    </row>
    <row r="2309" ht="15" customHeight="1">
      <c r="A2309" t="inlineStr">
        <is>
          <t>A 36560-2023</t>
        </is>
      </c>
      <c r="B2309" s="1" t="n">
        <v>45153.41537037037</v>
      </c>
      <c r="C2309" s="1" t="n">
        <v>45884</v>
      </c>
      <c r="D2309" t="inlineStr">
        <is>
          <t>KALMAR LÄN</t>
        </is>
      </c>
      <c r="E2309" t="inlineStr">
        <is>
          <t>KALMAR</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38520-2023</t>
        </is>
      </c>
      <c r="B2310" s="1" t="n">
        <v>45162</v>
      </c>
      <c r="C2310" s="1" t="n">
        <v>45884</v>
      </c>
      <c r="D2310" t="inlineStr">
        <is>
          <t>KALMAR LÄN</t>
        </is>
      </c>
      <c r="E2310" t="inlineStr">
        <is>
          <t>HÖGSBY</t>
        </is>
      </c>
      <c r="G2310" t="n">
        <v>5.9</v>
      </c>
      <c r="H2310" t="n">
        <v>0</v>
      </c>
      <c r="I2310" t="n">
        <v>0</v>
      </c>
      <c r="J2310" t="n">
        <v>0</v>
      </c>
      <c r="K2310" t="n">
        <v>0</v>
      </c>
      <c r="L2310" t="n">
        <v>0</v>
      </c>
      <c r="M2310" t="n">
        <v>0</v>
      </c>
      <c r="N2310" t="n">
        <v>0</v>
      </c>
      <c r="O2310" t="n">
        <v>0</v>
      </c>
      <c r="P2310" t="n">
        <v>0</v>
      </c>
      <c r="Q2310" t="n">
        <v>0</v>
      </c>
      <c r="R2310" s="2" t="inlineStr"/>
    </row>
    <row r="2311" ht="15" customHeight="1">
      <c r="A2311" t="inlineStr">
        <is>
          <t>A 40095-2022</t>
        </is>
      </c>
      <c r="B2311" s="1" t="n">
        <v>44820</v>
      </c>
      <c r="C2311" s="1" t="n">
        <v>45884</v>
      </c>
      <c r="D2311" t="inlineStr">
        <is>
          <t>KALMAR LÄN</t>
        </is>
      </c>
      <c r="E2311" t="inlineStr">
        <is>
          <t>VIMMERBY</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39158-2022</t>
        </is>
      </c>
      <c r="B2312" s="1" t="n">
        <v>44817</v>
      </c>
      <c r="C2312" s="1" t="n">
        <v>45884</v>
      </c>
      <c r="D2312" t="inlineStr">
        <is>
          <t>KALMAR LÄN</t>
        </is>
      </c>
      <c r="E2312" t="inlineStr">
        <is>
          <t>MÖNSTERÅS</t>
        </is>
      </c>
      <c r="G2312" t="n">
        <v>2.4</v>
      </c>
      <c r="H2312" t="n">
        <v>0</v>
      </c>
      <c r="I2312" t="n">
        <v>0</v>
      </c>
      <c r="J2312" t="n">
        <v>0</v>
      </c>
      <c r="K2312" t="n">
        <v>0</v>
      </c>
      <c r="L2312" t="n">
        <v>0</v>
      </c>
      <c r="M2312" t="n">
        <v>0</v>
      </c>
      <c r="N2312" t="n">
        <v>0</v>
      </c>
      <c r="O2312" t="n">
        <v>0</v>
      </c>
      <c r="P2312" t="n">
        <v>0</v>
      </c>
      <c r="Q2312" t="n">
        <v>0</v>
      </c>
      <c r="R2312" s="2" t="inlineStr"/>
    </row>
    <row r="2313" ht="15" customHeight="1">
      <c r="A2313" t="inlineStr">
        <is>
          <t>A 40902-2022</t>
        </is>
      </c>
      <c r="B2313" s="1" t="n">
        <v>44825.37355324074</v>
      </c>
      <c r="C2313" s="1" t="n">
        <v>45884</v>
      </c>
      <c r="D2313" t="inlineStr">
        <is>
          <t>KALMAR LÄN</t>
        </is>
      </c>
      <c r="E2313" t="inlineStr">
        <is>
          <t>NYBRO</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27710-2024</t>
        </is>
      </c>
      <c r="B2314" s="1" t="n">
        <v>45475.36554398148</v>
      </c>
      <c r="C2314" s="1" t="n">
        <v>45884</v>
      </c>
      <c r="D2314" t="inlineStr">
        <is>
          <t>KALMAR LÄN</t>
        </is>
      </c>
      <c r="E2314" t="inlineStr">
        <is>
          <t>EMMABODA</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32137-2024</t>
        </is>
      </c>
      <c r="B2315" s="1" t="n">
        <v>45511</v>
      </c>
      <c r="C2315" s="1" t="n">
        <v>45884</v>
      </c>
      <c r="D2315" t="inlineStr">
        <is>
          <t>KALMAR LÄN</t>
        </is>
      </c>
      <c r="E2315" t="inlineStr">
        <is>
          <t>VÄSTERVIK</t>
        </is>
      </c>
      <c r="F2315" t="inlineStr">
        <is>
          <t>Övriga Aktiebolag</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33017-2021</t>
        </is>
      </c>
      <c r="B2316" s="1" t="n">
        <v>44376</v>
      </c>
      <c r="C2316" s="1" t="n">
        <v>45884</v>
      </c>
      <c r="D2316" t="inlineStr">
        <is>
          <t>KALMAR LÄN</t>
        </is>
      </c>
      <c r="E2316" t="inlineStr">
        <is>
          <t>NYBRO</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73297-2021</t>
        </is>
      </c>
      <c r="B2317" s="1" t="n">
        <v>44551</v>
      </c>
      <c r="C2317" s="1" t="n">
        <v>45884</v>
      </c>
      <c r="D2317" t="inlineStr">
        <is>
          <t>KALMAR LÄN</t>
        </is>
      </c>
      <c r="E2317" t="inlineStr">
        <is>
          <t>NYBRO</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23996-2021</t>
        </is>
      </c>
      <c r="B2318" s="1" t="n">
        <v>44335.88916666667</v>
      </c>
      <c r="C2318" s="1" t="n">
        <v>45884</v>
      </c>
      <c r="D2318" t="inlineStr">
        <is>
          <t>KALMAR LÄN</t>
        </is>
      </c>
      <c r="E2318" t="inlineStr">
        <is>
          <t>VÄSTERVIK</t>
        </is>
      </c>
      <c r="F2318" t="inlineStr">
        <is>
          <t>Sveaskog</t>
        </is>
      </c>
      <c r="G2318" t="n">
        <v>2.5</v>
      </c>
      <c r="H2318" t="n">
        <v>0</v>
      </c>
      <c r="I2318" t="n">
        <v>0</v>
      </c>
      <c r="J2318" t="n">
        <v>0</v>
      </c>
      <c r="K2318" t="n">
        <v>0</v>
      </c>
      <c r="L2318" t="n">
        <v>0</v>
      </c>
      <c r="M2318" t="n">
        <v>0</v>
      </c>
      <c r="N2318" t="n">
        <v>0</v>
      </c>
      <c r="O2318" t="n">
        <v>0</v>
      </c>
      <c r="P2318" t="n">
        <v>0</v>
      </c>
      <c r="Q2318" t="n">
        <v>0</v>
      </c>
      <c r="R2318" s="2" t="inlineStr"/>
    </row>
    <row r="2319" ht="15" customHeight="1">
      <c r="A2319" t="inlineStr">
        <is>
          <t>A 45493-2021</t>
        </is>
      </c>
      <c r="B2319" s="1" t="n">
        <v>44440</v>
      </c>
      <c r="C2319" s="1" t="n">
        <v>45884</v>
      </c>
      <c r="D2319" t="inlineStr">
        <is>
          <t>KALMAR LÄN</t>
        </is>
      </c>
      <c r="E2319" t="inlineStr">
        <is>
          <t>OSKARSHAMN</t>
        </is>
      </c>
      <c r="G2319" t="n">
        <v>3.6</v>
      </c>
      <c r="H2319" t="n">
        <v>0</v>
      </c>
      <c r="I2319" t="n">
        <v>0</v>
      </c>
      <c r="J2319" t="n">
        <v>0</v>
      </c>
      <c r="K2319" t="n">
        <v>0</v>
      </c>
      <c r="L2319" t="n">
        <v>0</v>
      </c>
      <c r="M2319" t="n">
        <v>0</v>
      </c>
      <c r="N2319" t="n">
        <v>0</v>
      </c>
      <c r="O2319" t="n">
        <v>0</v>
      </c>
      <c r="P2319" t="n">
        <v>0</v>
      </c>
      <c r="Q2319" t="n">
        <v>0</v>
      </c>
      <c r="R2319" s="2" t="inlineStr"/>
    </row>
    <row r="2320" ht="15" customHeight="1">
      <c r="A2320" t="inlineStr">
        <is>
          <t>A 2665-2022</t>
        </is>
      </c>
      <c r="B2320" s="1" t="n">
        <v>44580.56461805556</v>
      </c>
      <c r="C2320" s="1" t="n">
        <v>45884</v>
      </c>
      <c r="D2320" t="inlineStr">
        <is>
          <t>KALMAR LÄN</t>
        </is>
      </c>
      <c r="E2320" t="inlineStr">
        <is>
          <t>TORSÅS</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26696-2023</t>
        </is>
      </c>
      <c r="B2321" s="1" t="n">
        <v>45093</v>
      </c>
      <c r="C2321" s="1" t="n">
        <v>45884</v>
      </c>
      <c r="D2321" t="inlineStr">
        <is>
          <t>KALMAR LÄN</t>
        </is>
      </c>
      <c r="E2321" t="inlineStr">
        <is>
          <t>TORSÅS</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23664-2021</t>
        </is>
      </c>
      <c r="B2322" s="1" t="n">
        <v>44334.61043981482</v>
      </c>
      <c r="C2322" s="1" t="n">
        <v>45884</v>
      </c>
      <c r="D2322" t="inlineStr">
        <is>
          <t>KALMAR LÄN</t>
        </is>
      </c>
      <c r="E2322" t="inlineStr">
        <is>
          <t>EMMABODA</t>
        </is>
      </c>
      <c r="G2322" t="n">
        <v>8.6</v>
      </c>
      <c r="H2322" t="n">
        <v>0</v>
      </c>
      <c r="I2322" t="n">
        <v>0</v>
      </c>
      <c r="J2322" t="n">
        <v>0</v>
      </c>
      <c r="K2322" t="n">
        <v>0</v>
      </c>
      <c r="L2322" t="n">
        <v>0</v>
      </c>
      <c r="M2322" t="n">
        <v>0</v>
      </c>
      <c r="N2322" t="n">
        <v>0</v>
      </c>
      <c r="O2322" t="n">
        <v>0</v>
      </c>
      <c r="P2322" t="n">
        <v>0</v>
      </c>
      <c r="Q2322" t="n">
        <v>0</v>
      </c>
      <c r="R2322" s="2" t="inlineStr"/>
    </row>
    <row r="2323" ht="15" customHeight="1">
      <c r="A2323" t="inlineStr">
        <is>
          <t>A 23720-2022</t>
        </is>
      </c>
      <c r="B2323" s="1" t="n">
        <v>44722</v>
      </c>
      <c r="C2323" s="1" t="n">
        <v>45884</v>
      </c>
      <c r="D2323" t="inlineStr">
        <is>
          <t>KALMAR LÄN</t>
        </is>
      </c>
      <c r="E2323" t="inlineStr">
        <is>
          <t>MÖNSTERÅS</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8453-2022</t>
        </is>
      </c>
      <c r="B2324" s="1" t="n">
        <v>44612.86554398148</v>
      </c>
      <c r="C2324" s="1" t="n">
        <v>45884</v>
      </c>
      <c r="D2324" t="inlineStr">
        <is>
          <t>KALMAR LÄN</t>
        </is>
      </c>
      <c r="E2324" t="inlineStr">
        <is>
          <t>VIMMERBY</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26486-2022</t>
        </is>
      </c>
      <c r="B2325" s="1" t="n">
        <v>44739.37986111111</v>
      </c>
      <c r="C2325" s="1" t="n">
        <v>45884</v>
      </c>
      <c r="D2325" t="inlineStr">
        <is>
          <t>KALMAR LÄN</t>
        </is>
      </c>
      <c r="E2325" t="inlineStr">
        <is>
          <t>EMMABODA</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26707-2023</t>
        </is>
      </c>
      <c r="B2326" s="1" t="n">
        <v>45093.37421296296</v>
      </c>
      <c r="C2326" s="1" t="n">
        <v>45884</v>
      </c>
      <c r="D2326" t="inlineStr">
        <is>
          <t>KALMAR LÄN</t>
        </is>
      </c>
      <c r="E2326" t="inlineStr">
        <is>
          <t>TORSÅS</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51568-2020</t>
        </is>
      </c>
      <c r="B2327" s="1" t="n">
        <v>44109</v>
      </c>
      <c r="C2327" s="1" t="n">
        <v>45884</v>
      </c>
      <c r="D2327" t="inlineStr">
        <is>
          <t>KALMAR LÄN</t>
        </is>
      </c>
      <c r="E2327" t="inlineStr">
        <is>
          <t>OSKARSHAMN</t>
        </is>
      </c>
      <c r="G2327" t="n">
        <v>16.3</v>
      </c>
      <c r="H2327" t="n">
        <v>0</v>
      </c>
      <c r="I2327" t="n">
        <v>0</v>
      </c>
      <c r="J2327" t="n">
        <v>0</v>
      </c>
      <c r="K2327" t="n">
        <v>0</v>
      </c>
      <c r="L2327" t="n">
        <v>0</v>
      </c>
      <c r="M2327" t="n">
        <v>0</v>
      </c>
      <c r="N2327" t="n">
        <v>0</v>
      </c>
      <c r="O2327" t="n">
        <v>0</v>
      </c>
      <c r="P2327" t="n">
        <v>0</v>
      </c>
      <c r="Q2327" t="n">
        <v>0</v>
      </c>
      <c r="R2327" s="2" t="inlineStr"/>
    </row>
    <row r="2328" ht="15" customHeight="1">
      <c r="A2328" t="inlineStr">
        <is>
          <t>A 61529-2022</t>
        </is>
      </c>
      <c r="B2328" s="1" t="n">
        <v>44910</v>
      </c>
      <c r="C2328" s="1" t="n">
        <v>45884</v>
      </c>
      <c r="D2328" t="inlineStr">
        <is>
          <t>KALMAR LÄN</t>
        </is>
      </c>
      <c r="E2328" t="inlineStr">
        <is>
          <t>VÄSTERVIK</t>
        </is>
      </c>
      <c r="G2328" t="n">
        <v>6.5</v>
      </c>
      <c r="H2328" t="n">
        <v>0</v>
      </c>
      <c r="I2328" t="n">
        <v>0</v>
      </c>
      <c r="J2328" t="n">
        <v>0</v>
      </c>
      <c r="K2328" t="n">
        <v>0</v>
      </c>
      <c r="L2328" t="n">
        <v>0</v>
      </c>
      <c r="M2328" t="n">
        <v>0</v>
      </c>
      <c r="N2328" t="n">
        <v>0</v>
      </c>
      <c r="O2328" t="n">
        <v>0</v>
      </c>
      <c r="P2328" t="n">
        <v>0</v>
      </c>
      <c r="Q2328" t="n">
        <v>0</v>
      </c>
      <c r="R2328" s="2" t="inlineStr"/>
    </row>
    <row r="2329" ht="15" customHeight="1">
      <c r="A2329" t="inlineStr">
        <is>
          <t>A 52433-2021</t>
        </is>
      </c>
      <c r="B2329" s="1" t="n">
        <v>44466.34726851852</v>
      </c>
      <c r="C2329" s="1" t="n">
        <v>45884</v>
      </c>
      <c r="D2329" t="inlineStr">
        <is>
          <t>KALMAR LÄN</t>
        </is>
      </c>
      <c r="E2329" t="inlineStr">
        <is>
          <t>VIMMERBY</t>
        </is>
      </c>
      <c r="G2329" t="n">
        <v>3.5</v>
      </c>
      <c r="H2329" t="n">
        <v>0</v>
      </c>
      <c r="I2329" t="n">
        <v>0</v>
      </c>
      <c r="J2329" t="n">
        <v>0</v>
      </c>
      <c r="K2329" t="n">
        <v>0</v>
      </c>
      <c r="L2329" t="n">
        <v>0</v>
      </c>
      <c r="M2329" t="n">
        <v>0</v>
      </c>
      <c r="N2329" t="n">
        <v>0</v>
      </c>
      <c r="O2329" t="n">
        <v>0</v>
      </c>
      <c r="P2329" t="n">
        <v>0</v>
      </c>
      <c r="Q2329" t="n">
        <v>0</v>
      </c>
      <c r="R2329" s="2" t="inlineStr"/>
    </row>
    <row r="2330" ht="15" customHeight="1">
      <c r="A2330" t="inlineStr">
        <is>
          <t>A 7176-2025</t>
        </is>
      </c>
      <c r="B2330" s="1" t="n">
        <v>45702.42196759259</v>
      </c>
      <c r="C2330" s="1" t="n">
        <v>45884</v>
      </c>
      <c r="D2330" t="inlineStr">
        <is>
          <t>KALMAR LÄN</t>
        </is>
      </c>
      <c r="E2330" t="inlineStr">
        <is>
          <t>OSKARSHAMN</t>
        </is>
      </c>
      <c r="G2330" t="n">
        <v>4.2</v>
      </c>
      <c r="H2330" t="n">
        <v>0</v>
      </c>
      <c r="I2330" t="n">
        <v>0</v>
      </c>
      <c r="J2330" t="n">
        <v>0</v>
      </c>
      <c r="K2330" t="n">
        <v>0</v>
      </c>
      <c r="L2330" t="n">
        <v>0</v>
      </c>
      <c r="M2330" t="n">
        <v>0</v>
      </c>
      <c r="N2330" t="n">
        <v>0</v>
      </c>
      <c r="O2330" t="n">
        <v>0</v>
      </c>
      <c r="P2330" t="n">
        <v>0</v>
      </c>
      <c r="Q2330" t="n">
        <v>0</v>
      </c>
      <c r="R2330" s="2" t="inlineStr"/>
    </row>
    <row r="2331" ht="15" customHeight="1">
      <c r="A2331" t="inlineStr">
        <is>
          <t>A 60710-2022</t>
        </is>
      </c>
      <c r="B2331" s="1" t="n">
        <v>44912</v>
      </c>
      <c r="C2331" s="1" t="n">
        <v>45884</v>
      </c>
      <c r="D2331" t="inlineStr">
        <is>
          <t>KALMAR LÄN</t>
        </is>
      </c>
      <c r="E2331" t="inlineStr">
        <is>
          <t>VÄSTERVIK</t>
        </is>
      </c>
      <c r="F2331" t="inlineStr">
        <is>
          <t>Övriga Aktiebolag</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62283-2022</t>
        </is>
      </c>
      <c r="B2332" s="1" t="n">
        <v>44923</v>
      </c>
      <c r="C2332" s="1" t="n">
        <v>45884</v>
      </c>
      <c r="D2332" t="inlineStr">
        <is>
          <t>KALMAR LÄN</t>
        </is>
      </c>
      <c r="E2332" t="inlineStr">
        <is>
          <t>MÖNSTERÅS</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36098-2023</t>
        </is>
      </c>
      <c r="B2333" s="1" t="n">
        <v>45149</v>
      </c>
      <c r="C2333" s="1" t="n">
        <v>45884</v>
      </c>
      <c r="D2333" t="inlineStr">
        <is>
          <t>KALMAR LÄN</t>
        </is>
      </c>
      <c r="E2333" t="inlineStr">
        <is>
          <t>NYBRO</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50621-2022</t>
        </is>
      </c>
      <c r="B2334" s="1" t="n">
        <v>44866.81100694444</v>
      </c>
      <c r="C2334" s="1" t="n">
        <v>45884</v>
      </c>
      <c r="D2334" t="inlineStr">
        <is>
          <t>KALMAR LÄN</t>
        </is>
      </c>
      <c r="E2334" t="inlineStr">
        <is>
          <t>VIMMERBY</t>
        </is>
      </c>
      <c r="F2334" t="inlineStr">
        <is>
          <t>Övriga Aktiebolag</t>
        </is>
      </c>
      <c r="G2334" t="n">
        <v>5.1</v>
      </c>
      <c r="H2334" t="n">
        <v>0</v>
      </c>
      <c r="I2334" t="n">
        <v>0</v>
      </c>
      <c r="J2334" t="n">
        <v>0</v>
      </c>
      <c r="K2334" t="n">
        <v>0</v>
      </c>
      <c r="L2334" t="n">
        <v>0</v>
      </c>
      <c r="M2334" t="n">
        <v>0</v>
      </c>
      <c r="N2334" t="n">
        <v>0</v>
      </c>
      <c r="O2334" t="n">
        <v>0</v>
      </c>
      <c r="P2334" t="n">
        <v>0</v>
      </c>
      <c r="Q2334" t="n">
        <v>0</v>
      </c>
      <c r="R2334" s="2" t="inlineStr"/>
    </row>
    <row r="2335" ht="15" customHeight="1">
      <c r="A2335" t="inlineStr">
        <is>
          <t>A 14415-2024</t>
        </is>
      </c>
      <c r="B2335" s="1" t="n">
        <v>45394.41221064814</v>
      </c>
      <c r="C2335" s="1" t="n">
        <v>45884</v>
      </c>
      <c r="D2335" t="inlineStr">
        <is>
          <t>KALMAR LÄN</t>
        </is>
      </c>
      <c r="E2335" t="inlineStr">
        <is>
          <t>EMMABODA</t>
        </is>
      </c>
      <c r="G2335" t="n">
        <v>3.2</v>
      </c>
      <c r="H2335" t="n">
        <v>0</v>
      </c>
      <c r="I2335" t="n">
        <v>0</v>
      </c>
      <c r="J2335" t="n">
        <v>0</v>
      </c>
      <c r="K2335" t="n">
        <v>0</v>
      </c>
      <c r="L2335" t="n">
        <v>0</v>
      </c>
      <c r="M2335" t="n">
        <v>0</v>
      </c>
      <c r="N2335" t="n">
        <v>0</v>
      </c>
      <c r="O2335" t="n">
        <v>0</v>
      </c>
      <c r="P2335" t="n">
        <v>0</v>
      </c>
      <c r="Q2335" t="n">
        <v>0</v>
      </c>
      <c r="R2335" s="2" t="inlineStr"/>
    </row>
    <row r="2336" ht="15" customHeight="1">
      <c r="A2336" t="inlineStr">
        <is>
          <t>A 50085-2023</t>
        </is>
      </c>
      <c r="B2336" s="1" t="n">
        <v>45215.5959375</v>
      </c>
      <c r="C2336" s="1" t="n">
        <v>45884</v>
      </c>
      <c r="D2336" t="inlineStr">
        <is>
          <t>KALMAR LÄN</t>
        </is>
      </c>
      <c r="E2336" t="inlineStr">
        <is>
          <t>VIMMERBY</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50087-2023</t>
        </is>
      </c>
      <c r="B2337" s="1" t="n">
        <v>45215.59743055556</v>
      </c>
      <c r="C2337" s="1" t="n">
        <v>45884</v>
      </c>
      <c r="D2337" t="inlineStr">
        <is>
          <t>KALMAR LÄN</t>
        </is>
      </c>
      <c r="E2337" t="inlineStr">
        <is>
          <t>VIMMERBY</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68174-2020</t>
        </is>
      </c>
      <c r="B2338" s="1" t="n">
        <v>44183</v>
      </c>
      <c r="C2338" s="1" t="n">
        <v>45884</v>
      </c>
      <c r="D2338" t="inlineStr">
        <is>
          <t>KALMAR LÄN</t>
        </is>
      </c>
      <c r="E2338" t="inlineStr">
        <is>
          <t>NYBRO</t>
        </is>
      </c>
      <c r="F2338" t="inlineStr">
        <is>
          <t>Sveaskog</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9424-2021</t>
        </is>
      </c>
      <c r="B2339" s="1" t="n">
        <v>44251</v>
      </c>
      <c r="C2339" s="1" t="n">
        <v>45884</v>
      </c>
      <c r="D2339" t="inlineStr">
        <is>
          <t>KALMAR LÄN</t>
        </is>
      </c>
      <c r="E2339" t="inlineStr">
        <is>
          <t>OSKARSHAMN</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8167-2024</t>
        </is>
      </c>
      <c r="B2340" s="1" t="n">
        <v>45351.6062962963</v>
      </c>
      <c r="C2340" s="1" t="n">
        <v>45884</v>
      </c>
      <c r="D2340" t="inlineStr">
        <is>
          <t>KALMAR LÄN</t>
        </is>
      </c>
      <c r="E2340" t="inlineStr">
        <is>
          <t>VIMMERBY</t>
        </is>
      </c>
      <c r="G2340" t="n">
        <v>3.8</v>
      </c>
      <c r="H2340" t="n">
        <v>0</v>
      </c>
      <c r="I2340" t="n">
        <v>0</v>
      </c>
      <c r="J2340" t="n">
        <v>0</v>
      </c>
      <c r="K2340" t="n">
        <v>0</v>
      </c>
      <c r="L2340" t="n">
        <v>0</v>
      </c>
      <c r="M2340" t="n">
        <v>0</v>
      </c>
      <c r="N2340" t="n">
        <v>0</v>
      </c>
      <c r="O2340" t="n">
        <v>0</v>
      </c>
      <c r="P2340" t="n">
        <v>0</v>
      </c>
      <c r="Q2340" t="n">
        <v>0</v>
      </c>
      <c r="R2340" s="2" t="inlineStr"/>
    </row>
    <row r="2341" ht="15" customHeight="1">
      <c r="A2341" t="inlineStr">
        <is>
          <t>A 58800-2024</t>
        </is>
      </c>
      <c r="B2341" s="1" t="n">
        <v>45636.32344907407</v>
      </c>
      <c r="C2341" s="1" t="n">
        <v>45884</v>
      </c>
      <c r="D2341" t="inlineStr">
        <is>
          <t>KALMAR LÄN</t>
        </is>
      </c>
      <c r="E2341" t="inlineStr">
        <is>
          <t>KALMAR</t>
        </is>
      </c>
      <c r="G2341" t="n">
        <v>6.3</v>
      </c>
      <c r="H2341" t="n">
        <v>0</v>
      </c>
      <c r="I2341" t="n">
        <v>0</v>
      </c>
      <c r="J2341" t="n">
        <v>0</v>
      </c>
      <c r="K2341" t="n">
        <v>0</v>
      </c>
      <c r="L2341" t="n">
        <v>0</v>
      </c>
      <c r="M2341" t="n">
        <v>0</v>
      </c>
      <c r="N2341" t="n">
        <v>0</v>
      </c>
      <c r="O2341" t="n">
        <v>0</v>
      </c>
      <c r="P2341" t="n">
        <v>0</v>
      </c>
      <c r="Q2341" t="n">
        <v>0</v>
      </c>
      <c r="R2341" s="2" t="inlineStr"/>
    </row>
    <row r="2342" ht="15" customHeight="1">
      <c r="A2342" t="inlineStr">
        <is>
          <t>A 32034-2021</t>
        </is>
      </c>
      <c r="B2342" s="1" t="n">
        <v>44370</v>
      </c>
      <c r="C2342" s="1" t="n">
        <v>45884</v>
      </c>
      <c r="D2342" t="inlineStr">
        <is>
          <t>KALMAR LÄN</t>
        </is>
      </c>
      <c r="E2342" t="inlineStr">
        <is>
          <t>MÖNSTERÅS</t>
        </is>
      </c>
      <c r="G2342" t="n">
        <v>3.6</v>
      </c>
      <c r="H2342" t="n">
        <v>0</v>
      </c>
      <c r="I2342" t="n">
        <v>0</v>
      </c>
      <c r="J2342" t="n">
        <v>0</v>
      </c>
      <c r="K2342" t="n">
        <v>0</v>
      </c>
      <c r="L2342" t="n">
        <v>0</v>
      </c>
      <c r="M2342" t="n">
        <v>0</v>
      </c>
      <c r="N2342" t="n">
        <v>0</v>
      </c>
      <c r="O2342" t="n">
        <v>0</v>
      </c>
      <c r="P2342" t="n">
        <v>0</v>
      </c>
      <c r="Q2342" t="n">
        <v>0</v>
      </c>
      <c r="R2342" s="2" t="inlineStr"/>
    </row>
    <row r="2343" ht="15" customHeight="1">
      <c r="A2343" t="inlineStr">
        <is>
          <t>A 51650-2024</t>
        </is>
      </c>
      <c r="B2343" s="1" t="n">
        <v>45606.57038194445</v>
      </c>
      <c r="C2343" s="1" t="n">
        <v>45884</v>
      </c>
      <c r="D2343" t="inlineStr">
        <is>
          <t>KALMAR LÄN</t>
        </is>
      </c>
      <c r="E2343" t="inlineStr">
        <is>
          <t>EMMABODA</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13105-2025</t>
        </is>
      </c>
      <c r="B2344" s="1" t="n">
        <v>45734.68493055556</v>
      </c>
      <c r="C2344" s="1" t="n">
        <v>45884</v>
      </c>
      <c r="D2344" t="inlineStr">
        <is>
          <t>KALMAR LÄN</t>
        </is>
      </c>
      <c r="E2344" t="inlineStr">
        <is>
          <t>VÄSTERVIK</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46021-2023</t>
        </is>
      </c>
      <c r="B2345" s="1" t="n">
        <v>45189</v>
      </c>
      <c r="C2345" s="1" t="n">
        <v>45884</v>
      </c>
      <c r="D2345" t="inlineStr">
        <is>
          <t>KALMAR LÄN</t>
        </is>
      </c>
      <c r="E2345" t="inlineStr">
        <is>
          <t>NYBRO</t>
        </is>
      </c>
      <c r="F2345" t="inlineStr">
        <is>
          <t>Kyrkan</t>
        </is>
      </c>
      <c r="G2345" t="n">
        <v>7.1</v>
      </c>
      <c r="H2345" t="n">
        <v>0</v>
      </c>
      <c r="I2345" t="n">
        <v>0</v>
      </c>
      <c r="J2345" t="n">
        <v>0</v>
      </c>
      <c r="K2345" t="n">
        <v>0</v>
      </c>
      <c r="L2345" t="n">
        <v>0</v>
      </c>
      <c r="M2345" t="n">
        <v>0</v>
      </c>
      <c r="N2345" t="n">
        <v>0</v>
      </c>
      <c r="O2345" t="n">
        <v>0</v>
      </c>
      <c r="P2345" t="n">
        <v>0</v>
      </c>
      <c r="Q2345" t="n">
        <v>0</v>
      </c>
      <c r="R2345" s="2" t="inlineStr"/>
    </row>
    <row r="2346" ht="15" customHeight="1">
      <c r="A2346" t="inlineStr">
        <is>
          <t>A 980-2025</t>
        </is>
      </c>
      <c r="B2346" s="1" t="n">
        <v>45666.41087962963</v>
      </c>
      <c r="C2346" s="1" t="n">
        <v>45884</v>
      </c>
      <c r="D2346" t="inlineStr">
        <is>
          <t>KALMAR LÄN</t>
        </is>
      </c>
      <c r="E2346" t="inlineStr">
        <is>
          <t>NYBRO</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54065-2021</t>
        </is>
      </c>
      <c r="B2347" s="1" t="n">
        <v>44470.44232638889</v>
      </c>
      <c r="C2347" s="1" t="n">
        <v>45884</v>
      </c>
      <c r="D2347" t="inlineStr">
        <is>
          <t>KALMAR LÄN</t>
        </is>
      </c>
      <c r="E2347" t="inlineStr">
        <is>
          <t>VIMMERBY</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49307-2021</t>
        </is>
      </c>
      <c r="B2348" s="1" t="n">
        <v>44454</v>
      </c>
      <c r="C2348" s="1" t="n">
        <v>45884</v>
      </c>
      <c r="D2348" t="inlineStr">
        <is>
          <t>KALMAR LÄN</t>
        </is>
      </c>
      <c r="E2348" t="inlineStr">
        <is>
          <t>EMMABODA</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29932-2022</t>
        </is>
      </c>
      <c r="B2349" s="1" t="n">
        <v>44756.58146990741</v>
      </c>
      <c r="C2349" s="1" t="n">
        <v>45884</v>
      </c>
      <c r="D2349" t="inlineStr">
        <is>
          <t>KALMAR LÄN</t>
        </is>
      </c>
      <c r="E2349" t="inlineStr">
        <is>
          <t>OSKARSHAMN</t>
        </is>
      </c>
      <c r="G2349" t="n">
        <v>6.3</v>
      </c>
      <c r="H2349" t="n">
        <v>0</v>
      </c>
      <c r="I2349" t="n">
        <v>0</v>
      </c>
      <c r="J2349" t="n">
        <v>0</v>
      </c>
      <c r="K2349" t="n">
        <v>0</v>
      </c>
      <c r="L2349" t="n">
        <v>0</v>
      </c>
      <c r="M2349" t="n">
        <v>0</v>
      </c>
      <c r="N2349" t="n">
        <v>0</v>
      </c>
      <c r="O2349" t="n">
        <v>0</v>
      </c>
      <c r="P2349" t="n">
        <v>0</v>
      </c>
      <c r="Q2349" t="n">
        <v>0</v>
      </c>
      <c r="R2349" s="2" t="inlineStr"/>
    </row>
    <row r="2350" ht="15" customHeight="1">
      <c r="A2350" t="inlineStr">
        <is>
          <t>A 29941-2022</t>
        </is>
      </c>
      <c r="B2350" s="1" t="n">
        <v>44756.60337962963</v>
      </c>
      <c r="C2350" s="1" t="n">
        <v>45884</v>
      </c>
      <c r="D2350" t="inlineStr">
        <is>
          <t>KALMAR LÄN</t>
        </is>
      </c>
      <c r="E2350" t="inlineStr">
        <is>
          <t>OSKARSHAMN</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34238-2022</t>
        </is>
      </c>
      <c r="B2351" s="1" t="n">
        <v>44791</v>
      </c>
      <c r="C2351" s="1" t="n">
        <v>45884</v>
      </c>
      <c r="D2351" t="inlineStr">
        <is>
          <t>KALMAR LÄN</t>
        </is>
      </c>
      <c r="E2351" t="inlineStr">
        <is>
          <t>OSKARSHAMN</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31824-2022</t>
        </is>
      </c>
      <c r="B2352" s="1" t="n">
        <v>44776</v>
      </c>
      <c r="C2352" s="1" t="n">
        <v>45884</v>
      </c>
      <c r="D2352" t="inlineStr">
        <is>
          <t>KALMAR LÄN</t>
        </is>
      </c>
      <c r="E2352" t="inlineStr">
        <is>
          <t>VIMMERBY</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51574-2022</t>
        </is>
      </c>
      <c r="B2353" s="1" t="n">
        <v>44870.4822337963</v>
      </c>
      <c r="C2353" s="1" t="n">
        <v>45884</v>
      </c>
      <c r="D2353" t="inlineStr">
        <is>
          <t>KALMAR LÄN</t>
        </is>
      </c>
      <c r="E2353" t="inlineStr">
        <is>
          <t>NYBRO</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22229-2022</t>
        </is>
      </c>
      <c r="B2354" s="1" t="n">
        <v>44712</v>
      </c>
      <c r="C2354" s="1" t="n">
        <v>45884</v>
      </c>
      <c r="D2354" t="inlineStr">
        <is>
          <t>KALMAR LÄN</t>
        </is>
      </c>
      <c r="E2354" t="inlineStr">
        <is>
          <t>HULTSFRED</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9760-2024</t>
        </is>
      </c>
      <c r="B2355" s="1" t="n">
        <v>45362</v>
      </c>
      <c r="C2355" s="1" t="n">
        <v>45884</v>
      </c>
      <c r="D2355" t="inlineStr">
        <is>
          <t>KALMAR LÄN</t>
        </is>
      </c>
      <c r="E2355" t="inlineStr">
        <is>
          <t>VÄSTERVIK</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12306-2024</t>
        </is>
      </c>
      <c r="B2356" s="1" t="n">
        <v>45378.62289351852</v>
      </c>
      <c r="C2356" s="1" t="n">
        <v>45884</v>
      </c>
      <c r="D2356" t="inlineStr">
        <is>
          <t>KALMAR LÄN</t>
        </is>
      </c>
      <c r="E2356" t="inlineStr">
        <is>
          <t>HULTSFRED</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33606-2022</t>
        </is>
      </c>
      <c r="B2357" s="1" t="n">
        <v>44789</v>
      </c>
      <c r="C2357" s="1" t="n">
        <v>45884</v>
      </c>
      <c r="D2357" t="inlineStr">
        <is>
          <t>KALMAR LÄN</t>
        </is>
      </c>
      <c r="E2357" t="inlineStr">
        <is>
          <t>OSKARSHAMN</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11819-2022</t>
        </is>
      </c>
      <c r="B2358" s="1" t="n">
        <v>44634</v>
      </c>
      <c r="C2358" s="1" t="n">
        <v>45884</v>
      </c>
      <c r="D2358" t="inlineStr">
        <is>
          <t>KALMAR LÄN</t>
        </is>
      </c>
      <c r="E2358" t="inlineStr">
        <is>
          <t>NYBRO</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11828-2022</t>
        </is>
      </c>
      <c r="B2359" s="1" t="n">
        <v>44634</v>
      </c>
      <c r="C2359" s="1" t="n">
        <v>45884</v>
      </c>
      <c r="D2359" t="inlineStr">
        <is>
          <t>KALMAR LÄN</t>
        </is>
      </c>
      <c r="E2359" t="inlineStr">
        <is>
          <t>NYBRO</t>
        </is>
      </c>
      <c r="G2359" t="n">
        <v>0.1</v>
      </c>
      <c r="H2359" t="n">
        <v>0</v>
      </c>
      <c r="I2359" t="n">
        <v>0</v>
      </c>
      <c r="J2359" t="n">
        <v>0</v>
      </c>
      <c r="K2359" t="n">
        <v>0</v>
      </c>
      <c r="L2359" t="n">
        <v>0</v>
      </c>
      <c r="M2359" t="n">
        <v>0</v>
      </c>
      <c r="N2359" t="n">
        <v>0</v>
      </c>
      <c r="O2359" t="n">
        <v>0</v>
      </c>
      <c r="P2359" t="n">
        <v>0</v>
      </c>
      <c r="Q2359" t="n">
        <v>0</v>
      </c>
      <c r="R2359" s="2" t="inlineStr"/>
    </row>
    <row r="2360" ht="15" customHeight="1">
      <c r="A2360" t="inlineStr">
        <is>
          <t>A 18631-2025</t>
        </is>
      </c>
      <c r="B2360" s="1" t="n">
        <v>45763.53839120371</v>
      </c>
      <c r="C2360" s="1" t="n">
        <v>45884</v>
      </c>
      <c r="D2360" t="inlineStr">
        <is>
          <t>KALMAR LÄN</t>
        </is>
      </c>
      <c r="E2360" t="inlineStr">
        <is>
          <t>OSKARSHAMN</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40428-2021</t>
        </is>
      </c>
      <c r="B2361" s="1" t="n">
        <v>44419</v>
      </c>
      <c r="C2361" s="1" t="n">
        <v>45884</v>
      </c>
      <c r="D2361" t="inlineStr">
        <is>
          <t>KALMAR LÄN</t>
        </is>
      </c>
      <c r="E2361" t="inlineStr">
        <is>
          <t>HULTSFRED</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28592-2022</t>
        </is>
      </c>
      <c r="B2362" s="1" t="n">
        <v>44748</v>
      </c>
      <c r="C2362" s="1" t="n">
        <v>45884</v>
      </c>
      <c r="D2362" t="inlineStr">
        <is>
          <t>KALMAR LÄN</t>
        </is>
      </c>
      <c r="E2362" t="inlineStr">
        <is>
          <t>TORSÅS</t>
        </is>
      </c>
      <c r="G2362" t="n">
        <v>0.1</v>
      </c>
      <c r="H2362" t="n">
        <v>0</v>
      </c>
      <c r="I2362" t="n">
        <v>0</v>
      </c>
      <c r="J2362" t="n">
        <v>0</v>
      </c>
      <c r="K2362" t="n">
        <v>0</v>
      </c>
      <c r="L2362" t="n">
        <v>0</v>
      </c>
      <c r="M2362" t="n">
        <v>0</v>
      </c>
      <c r="N2362" t="n">
        <v>0</v>
      </c>
      <c r="O2362" t="n">
        <v>0</v>
      </c>
      <c r="P2362" t="n">
        <v>0</v>
      </c>
      <c r="Q2362" t="n">
        <v>0</v>
      </c>
      <c r="R2362" s="2" t="inlineStr"/>
    </row>
    <row r="2363" ht="15" customHeight="1">
      <c r="A2363" t="inlineStr">
        <is>
          <t>A 11733-2022</t>
        </is>
      </c>
      <c r="B2363" s="1" t="n">
        <v>44634</v>
      </c>
      <c r="C2363" s="1" t="n">
        <v>45884</v>
      </c>
      <c r="D2363" t="inlineStr">
        <is>
          <t>KALMAR LÄN</t>
        </is>
      </c>
      <c r="E2363" t="inlineStr">
        <is>
          <t>VIMMERBY</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46018-2022</t>
        </is>
      </c>
      <c r="B2364" s="1" t="n">
        <v>44846</v>
      </c>
      <c r="C2364" s="1" t="n">
        <v>45884</v>
      </c>
      <c r="D2364" t="inlineStr">
        <is>
          <t>KALMAR LÄN</t>
        </is>
      </c>
      <c r="E2364" t="inlineStr">
        <is>
          <t>VÄSTERVIK</t>
        </is>
      </c>
      <c r="F2364" t="inlineStr">
        <is>
          <t>Holmen skog AB</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9387-2023</t>
        </is>
      </c>
      <c r="B2365" s="1" t="n">
        <v>44981.40186342593</v>
      </c>
      <c r="C2365" s="1" t="n">
        <v>45884</v>
      </c>
      <c r="D2365" t="inlineStr">
        <is>
          <t>KALMAR LÄN</t>
        </is>
      </c>
      <c r="E2365" t="inlineStr">
        <is>
          <t>HULTSFRED</t>
        </is>
      </c>
      <c r="G2365" t="n">
        <v>7.6</v>
      </c>
      <c r="H2365" t="n">
        <v>0</v>
      </c>
      <c r="I2365" t="n">
        <v>0</v>
      </c>
      <c r="J2365" t="n">
        <v>0</v>
      </c>
      <c r="K2365" t="n">
        <v>0</v>
      </c>
      <c r="L2365" t="n">
        <v>0</v>
      </c>
      <c r="M2365" t="n">
        <v>0</v>
      </c>
      <c r="N2365" t="n">
        <v>0</v>
      </c>
      <c r="O2365" t="n">
        <v>0</v>
      </c>
      <c r="P2365" t="n">
        <v>0</v>
      </c>
      <c r="Q2365" t="n">
        <v>0</v>
      </c>
      <c r="R2365" s="2" t="inlineStr"/>
    </row>
    <row r="2366" ht="15" customHeight="1">
      <c r="A2366" t="inlineStr">
        <is>
          <t>A 35198-2023</t>
        </is>
      </c>
      <c r="B2366" s="1" t="n">
        <v>45145</v>
      </c>
      <c r="C2366" s="1" t="n">
        <v>45884</v>
      </c>
      <c r="D2366" t="inlineStr">
        <is>
          <t>KALMAR LÄN</t>
        </is>
      </c>
      <c r="E2366" t="inlineStr">
        <is>
          <t>VIMMERBY</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9427-2023</t>
        </is>
      </c>
      <c r="B2367" s="1" t="n">
        <v>44981</v>
      </c>
      <c r="C2367" s="1" t="n">
        <v>45884</v>
      </c>
      <c r="D2367" t="inlineStr">
        <is>
          <t>KALMAR LÄN</t>
        </is>
      </c>
      <c r="E2367" t="inlineStr">
        <is>
          <t>HÖGSBY</t>
        </is>
      </c>
      <c r="F2367" t="inlineStr">
        <is>
          <t>Övriga Aktiebolag</t>
        </is>
      </c>
      <c r="G2367" t="n">
        <v>8.300000000000001</v>
      </c>
      <c r="H2367" t="n">
        <v>0</v>
      </c>
      <c r="I2367" t="n">
        <v>0</v>
      </c>
      <c r="J2367" t="n">
        <v>0</v>
      </c>
      <c r="K2367" t="n">
        <v>0</v>
      </c>
      <c r="L2367" t="n">
        <v>0</v>
      </c>
      <c r="M2367" t="n">
        <v>0</v>
      </c>
      <c r="N2367" t="n">
        <v>0</v>
      </c>
      <c r="O2367" t="n">
        <v>0</v>
      </c>
      <c r="P2367" t="n">
        <v>0</v>
      </c>
      <c r="Q2367" t="n">
        <v>0</v>
      </c>
      <c r="R2367" s="2" t="inlineStr"/>
    </row>
    <row r="2368" ht="15" customHeight="1">
      <c r="A2368" t="inlineStr">
        <is>
          <t>A 37916-2022</t>
        </is>
      </c>
      <c r="B2368" s="1" t="n">
        <v>44811.44258101852</v>
      </c>
      <c r="C2368" s="1" t="n">
        <v>45884</v>
      </c>
      <c r="D2368" t="inlineStr">
        <is>
          <t>KALMAR LÄN</t>
        </is>
      </c>
      <c r="E2368" t="inlineStr">
        <is>
          <t>HULTSFRED</t>
        </is>
      </c>
      <c r="G2368" t="n">
        <v>3.8</v>
      </c>
      <c r="H2368" t="n">
        <v>0</v>
      </c>
      <c r="I2368" t="n">
        <v>0</v>
      </c>
      <c r="J2368" t="n">
        <v>0</v>
      </c>
      <c r="K2368" t="n">
        <v>0</v>
      </c>
      <c r="L2368" t="n">
        <v>0</v>
      </c>
      <c r="M2368" t="n">
        <v>0</v>
      </c>
      <c r="N2368" t="n">
        <v>0</v>
      </c>
      <c r="O2368" t="n">
        <v>0</v>
      </c>
      <c r="P2368" t="n">
        <v>0</v>
      </c>
      <c r="Q2368" t="n">
        <v>0</v>
      </c>
      <c r="R2368" s="2" t="inlineStr"/>
    </row>
    <row r="2369" ht="15" customHeight="1">
      <c r="A2369" t="inlineStr">
        <is>
          <t>A 32381-2024</t>
        </is>
      </c>
      <c r="B2369" s="1" t="n">
        <v>45512</v>
      </c>
      <c r="C2369" s="1" t="n">
        <v>45884</v>
      </c>
      <c r="D2369" t="inlineStr">
        <is>
          <t>KALMAR LÄN</t>
        </is>
      </c>
      <c r="E2369" t="inlineStr">
        <is>
          <t>HULTSFRED</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61060-2021</t>
        </is>
      </c>
      <c r="B2370" s="1" t="n">
        <v>44497</v>
      </c>
      <c r="C2370" s="1" t="n">
        <v>45884</v>
      </c>
      <c r="D2370" t="inlineStr">
        <is>
          <t>KALMAR LÄN</t>
        </is>
      </c>
      <c r="E2370" t="inlineStr">
        <is>
          <t>NYBRO</t>
        </is>
      </c>
      <c r="G2370" t="n">
        <v>6.4</v>
      </c>
      <c r="H2370" t="n">
        <v>0</v>
      </c>
      <c r="I2370" t="n">
        <v>0</v>
      </c>
      <c r="J2370" t="n">
        <v>0</v>
      </c>
      <c r="K2370" t="n">
        <v>0</v>
      </c>
      <c r="L2370" t="n">
        <v>0</v>
      </c>
      <c r="M2370" t="n">
        <v>0</v>
      </c>
      <c r="N2370" t="n">
        <v>0</v>
      </c>
      <c r="O2370" t="n">
        <v>0</v>
      </c>
      <c r="P2370" t="n">
        <v>0</v>
      </c>
      <c r="Q2370" t="n">
        <v>0</v>
      </c>
      <c r="R2370" s="2" t="inlineStr"/>
    </row>
    <row r="2371" ht="15" customHeight="1">
      <c r="A2371" t="inlineStr">
        <is>
          <t>A 4109-2022</t>
        </is>
      </c>
      <c r="B2371" s="1" t="n">
        <v>44587</v>
      </c>
      <c r="C2371" s="1" t="n">
        <v>45884</v>
      </c>
      <c r="D2371" t="inlineStr">
        <is>
          <t>KALMAR LÄN</t>
        </is>
      </c>
      <c r="E2371" t="inlineStr">
        <is>
          <t>NYBRO</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6892-2025</t>
        </is>
      </c>
      <c r="B2372" s="1" t="n">
        <v>45701.37699074074</v>
      </c>
      <c r="C2372" s="1" t="n">
        <v>45884</v>
      </c>
      <c r="D2372" t="inlineStr">
        <is>
          <t>KALMAR LÄN</t>
        </is>
      </c>
      <c r="E2372" t="inlineStr">
        <is>
          <t>OSKARSHAMN</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55047-2024</t>
        </is>
      </c>
      <c r="B2373" s="1" t="n">
        <v>45621.39516203704</v>
      </c>
      <c r="C2373" s="1" t="n">
        <v>45884</v>
      </c>
      <c r="D2373" t="inlineStr">
        <is>
          <t>KALMAR LÄN</t>
        </is>
      </c>
      <c r="E2373" t="inlineStr">
        <is>
          <t>VÄSTERVIK</t>
        </is>
      </c>
      <c r="F2373" t="inlineStr">
        <is>
          <t>Sveaskog</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12060-2022</t>
        </is>
      </c>
      <c r="B2374" s="1" t="n">
        <v>44636.42491898148</v>
      </c>
      <c r="C2374" s="1" t="n">
        <v>45884</v>
      </c>
      <c r="D2374" t="inlineStr">
        <is>
          <t>KALMAR LÄN</t>
        </is>
      </c>
      <c r="E2374" t="inlineStr">
        <is>
          <t>TORSÅS</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24573-2022</t>
        </is>
      </c>
      <c r="B2375" s="1" t="n">
        <v>44727</v>
      </c>
      <c r="C2375" s="1" t="n">
        <v>45884</v>
      </c>
      <c r="D2375" t="inlineStr">
        <is>
          <t>KALMAR LÄN</t>
        </is>
      </c>
      <c r="E2375" t="inlineStr">
        <is>
          <t>NYBRO</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13473-2022</t>
        </is>
      </c>
      <c r="B2376" s="1" t="n">
        <v>44645</v>
      </c>
      <c r="C2376" s="1" t="n">
        <v>45884</v>
      </c>
      <c r="D2376" t="inlineStr">
        <is>
          <t>KALMAR LÄN</t>
        </is>
      </c>
      <c r="E2376" t="inlineStr">
        <is>
          <t>HULTSFRED</t>
        </is>
      </c>
      <c r="G2376" t="n">
        <v>0.4</v>
      </c>
      <c r="H2376" t="n">
        <v>0</v>
      </c>
      <c r="I2376" t="n">
        <v>0</v>
      </c>
      <c r="J2376" t="n">
        <v>0</v>
      </c>
      <c r="K2376" t="n">
        <v>0</v>
      </c>
      <c r="L2376" t="n">
        <v>0</v>
      </c>
      <c r="M2376" t="n">
        <v>0</v>
      </c>
      <c r="N2376" t="n">
        <v>0</v>
      </c>
      <c r="O2376" t="n">
        <v>0</v>
      </c>
      <c r="P2376" t="n">
        <v>0</v>
      </c>
      <c r="Q2376" t="n">
        <v>0</v>
      </c>
      <c r="R2376" s="2" t="inlineStr"/>
    </row>
    <row r="2377" ht="15" customHeight="1">
      <c r="A2377" t="inlineStr">
        <is>
          <t>A 40131-2024</t>
        </is>
      </c>
      <c r="B2377" s="1" t="n">
        <v>45554</v>
      </c>
      <c r="C2377" s="1" t="n">
        <v>45884</v>
      </c>
      <c r="D2377" t="inlineStr">
        <is>
          <t>KALMAR LÄN</t>
        </is>
      </c>
      <c r="E2377" t="inlineStr">
        <is>
          <t>NYBRO</t>
        </is>
      </c>
      <c r="F2377" t="inlineStr">
        <is>
          <t>Kyrkan</t>
        </is>
      </c>
      <c r="G2377" t="n">
        <v>6.8</v>
      </c>
      <c r="H2377" t="n">
        <v>0</v>
      </c>
      <c r="I2377" t="n">
        <v>0</v>
      </c>
      <c r="J2377" t="n">
        <v>0</v>
      </c>
      <c r="K2377" t="n">
        <v>0</v>
      </c>
      <c r="L2377" t="n">
        <v>0</v>
      </c>
      <c r="M2377" t="n">
        <v>0</v>
      </c>
      <c r="N2377" t="n">
        <v>0</v>
      </c>
      <c r="O2377" t="n">
        <v>0</v>
      </c>
      <c r="P2377" t="n">
        <v>0</v>
      </c>
      <c r="Q2377" t="n">
        <v>0</v>
      </c>
      <c r="R2377" s="2" t="inlineStr"/>
    </row>
    <row r="2378" ht="15" customHeight="1">
      <c r="A2378" t="inlineStr">
        <is>
          <t>A 40135-2024</t>
        </is>
      </c>
      <c r="B2378" s="1" t="n">
        <v>45554.47412037037</v>
      </c>
      <c r="C2378" s="1" t="n">
        <v>45884</v>
      </c>
      <c r="D2378" t="inlineStr">
        <is>
          <t>KALMAR LÄN</t>
        </is>
      </c>
      <c r="E2378" t="inlineStr">
        <is>
          <t>HÖGSBY</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3337-2023</t>
        </is>
      </c>
      <c r="B2379" s="1" t="n">
        <v>44949.44762731482</v>
      </c>
      <c r="C2379" s="1" t="n">
        <v>45884</v>
      </c>
      <c r="D2379" t="inlineStr">
        <is>
          <t>KALMAR LÄN</t>
        </is>
      </c>
      <c r="E2379" t="inlineStr">
        <is>
          <t>HULTSFRED</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3344-2023</t>
        </is>
      </c>
      <c r="B2380" s="1" t="n">
        <v>44949</v>
      </c>
      <c r="C2380" s="1" t="n">
        <v>45884</v>
      </c>
      <c r="D2380" t="inlineStr">
        <is>
          <t>KALMAR LÄN</t>
        </is>
      </c>
      <c r="E2380" t="inlineStr">
        <is>
          <t>EMMABODA</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33061-2023</t>
        </is>
      </c>
      <c r="B2381" s="1" t="n">
        <v>45126</v>
      </c>
      <c r="C2381" s="1" t="n">
        <v>45884</v>
      </c>
      <c r="D2381" t="inlineStr">
        <is>
          <t>KALMAR LÄN</t>
        </is>
      </c>
      <c r="E2381" t="inlineStr">
        <is>
          <t>EMMABODA</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40929-2024</t>
        </is>
      </c>
      <c r="B2382" s="1" t="n">
        <v>45558.64021990741</v>
      </c>
      <c r="C2382" s="1" t="n">
        <v>45884</v>
      </c>
      <c r="D2382" t="inlineStr">
        <is>
          <t>KALMAR LÄN</t>
        </is>
      </c>
      <c r="E2382" t="inlineStr">
        <is>
          <t>KALMAR</t>
        </is>
      </c>
      <c r="G2382" t="n">
        <v>4.1</v>
      </c>
      <c r="H2382" t="n">
        <v>0</v>
      </c>
      <c r="I2382" t="n">
        <v>0</v>
      </c>
      <c r="J2382" t="n">
        <v>0</v>
      </c>
      <c r="K2382" t="n">
        <v>0</v>
      </c>
      <c r="L2382" t="n">
        <v>0</v>
      </c>
      <c r="M2382" t="n">
        <v>0</v>
      </c>
      <c r="N2382" t="n">
        <v>0</v>
      </c>
      <c r="O2382" t="n">
        <v>0</v>
      </c>
      <c r="P2382" t="n">
        <v>0</v>
      </c>
      <c r="Q2382" t="n">
        <v>0</v>
      </c>
      <c r="R2382" s="2" t="inlineStr"/>
    </row>
    <row r="2383" ht="15" customHeight="1">
      <c r="A2383" t="inlineStr">
        <is>
          <t>A 15636-2025</t>
        </is>
      </c>
      <c r="B2383" s="1" t="n">
        <v>45748.37739583333</v>
      </c>
      <c r="C2383" s="1" t="n">
        <v>45884</v>
      </c>
      <c r="D2383" t="inlineStr">
        <is>
          <t>KALMAR LÄN</t>
        </is>
      </c>
      <c r="E2383" t="inlineStr">
        <is>
          <t>HULTSFRED</t>
        </is>
      </c>
      <c r="G2383" t="n">
        <v>2.9</v>
      </c>
      <c r="H2383" t="n">
        <v>0</v>
      </c>
      <c r="I2383" t="n">
        <v>0</v>
      </c>
      <c r="J2383" t="n">
        <v>0</v>
      </c>
      <c r="K2383" t="n">
        <v>0</v>
      </c>
      <c r="L2383" t="n">
        <v>0</v>
      </c>
      <c r="M2383" t="n">
        <v>0</v>
      </c>
      <c r="N2383" t="n">
        <v>0</v>
      </c>
      <c r="O2383" t="n">
        <v>0</v>
      </c>
      <c r="P2383" t="n">
        <v>0</v>
      </c>
      <c r="Q2383" t="n">
        <v>0</v>
      </c>
      <c r="R2383" s="2" t="inlineStr"/>
    </row>
    <row r="2384" ht="15" customHeight="1">
      <c r="A2384" t="inlineStr">
        <is>
          <t>A 39633-2022</t>
        </is>
      </c>
      <c r="B2384" s="1" t="n">
        <v>44818</v>
      </c>
      <c r="C2384" s="1" t="n">
        <v>45884</v>
      </c>
      <c r="D2384" t="inlineStr">
        <is>
          <t>KALMAR LÄN</t>
        </is>
      </c>
      <c r="E2384" t="inlineStr">
        <is>
          <t>OSKARSHAMN</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39677-2022</t>
        </is>
      </c>
      <c r="B2385" s="1" t="n">
        <v>44818</v>
      </c>
      <c r="C2385" s="1" t="n">
        <v>45884</v>
      </c>
      <c r="D2385" t="inlineStr">
        <is>
          <t>KALMAR LÄN</t>
        </is>
      </c>
      <c r="E2385" t="inlineStr">
        <is>
          <t>OSKARSHAMN</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57689-2021</t>
        </is>
      </c>
      <c r="B2386" s="1" t="n">
        <v>44484</v>
      </c>
      <c r="C2386" s="1" t="n">
        <v>45884</v>
      </c>
      <c r="D2386" t="inlineStr">
        <is>
          <t>KALMAR LÄN</t>
        </is>
      </c>
      <c r="E2386" t="inlineStr">
        <is>
          <t>HULTSFRED</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16772-2025</t>
        </is>
      </c>
      <c r="B2387" s="1" t="n">
        <v>45754.5805787037</v>
      </c>
      <c r="C2387" s="1" t="n">
        <v>45884</v>
      </c>
      <c r="D2387" t="inlineStr">
        <is>
          <t>KALMAR LÄN</t>
        </is>
      </c>
      <c r="E2387" t="inlineStr">
        <is>
          <t>NYBRO</t>
        </is>
      </c>
      <c r="F2387" t="inlineStr">
        <is>
          <t>Sveaskog</t>
        </is>
      </c>
      <c r="G2387" t="n">
        <v>4</v>
      </c>
      <c r="H2387" t="n">
        <v>0</v>
      </c>
      <c r="I2387" t="n">
        <v>0</v>
      </c>
      <c r="J2387" t="n">
        <v>0</v>
      </c>
      <c r="K2387" t="n">
        <v>0</v>
      </c>
      <c r="L2387" t="n">
        <v>0</v>
      </c>
      <c r="M2387" t="n">
        <v>0</v>
      </c>
      <c r="N2387" t="n">
        <v>0</v>
      </c>
      <c r="O2387" t="n">
        <v>0</v>
      </c>
      <c r="P2387" t="n">
        <v>0</v>
      </c>
      <c r="Q2387" t="n">
        <v>0</v>
      </c>
      <c r="R2387" s="2" t="inlineStr"/>
    </row>
    <row r="2388" ht="15" customHeight="1">
      <c r="A2388" t="inlineStr">
        <is>
          <t>A 48130-2020</t>
        </is>
      </c>
      <c r="B2388" s="1" t="n">
        <v>44102</v>
      </c>
      <c r="C2388" s="1" t="n">
        <v>45884</v>
      </c>
      <c r="D2388" t="inlineStr">
        <is>
          <t>KALMAR LÄN</t>
        </is>
      </c>
      <c r="E2388" t="inlineStr">
        <is>
          <t>TORSÅS</t>
        </is>
      </c>
      <c r="G2388" t="n">
        <v>4</v>
      </c>
      <c r="H2388" t="n">
        <v>0</v>
      </c>
      <c r="I2388" t="n">
        <v>0</v>
      </c>
      <c r="J2388" t="n">
        <v>0</v>
      </c>
      <c r="K2388" t="n">
        <v>0</v>
      </c>
      <c r="L2388" t="n">
        <v>0</v>
      </c>
      <c r="M2388" t="n">
        <v>0</v>
      </c>
      <c r="N2388" t="n">
        <v>0</v>
      </c>
      <c r="O2388" t="n">
        <v>0</v>
      </c>
      <c r="P2388" t="n">
        <v>0</v>
      </c>
      <c r="Q2388" t="n">
        <v>0</v>
      </c>
      <c r="R2388" s="2" t="inlineStr"/>
    </row>
    <row r="2389" ht="15" customHeight="1">
      <c r="A2389" t="inlineStr">
        <is>
          <t>A 10800-2022</t>
        </is>
      </c>
      <c r="B2389" s="1" t="n">
        <v>44627</v>
      </c>
      <c r="C2389" s="1" t="n">
        <v>45884</v>
      </c>
      <c r="D2389" t="inlineStr">
        <is>
          <t>KALMAR LÄN</t>
        </is>
      </c>
      <c r="E2389" t="inlineStr">
        <is>
          <t>OSKARSHAMN</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5769-2023</t>
        </is>
      </c>
      <c r="B2390" s="1" t="n">
        <v>44963.37194444444</v>
      </c>
      <c r="C2390" s="1" t="n">
        <v>45884</v>
      </c>
      <c r="D2390" t="inlineStr">
        <is>
          <t>KALMAR LÄN</t>
        </is>
      </c>
      <c r="E2390" t="inlineStr">
        <is>
          <t>VÄSTERVIK</t>
        </is>
      </c>
      <c r="F2390" t="inlineStr">
        <is>
          <t>Holmen skog AB</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33060-2023</t>
        </is>
      </c>
      <c r="B2391" s="1" t="n">
        <v>45126.36510416667</v>
      </c>
      <c r="C2391" s="1" t="n">
        <v>45884</v>
      </c>
      <c r="D2391" t="inlineStr">
        <is>
          <t>KALMAR LÄN</t>
        </is>
      </c>
      <c r="E2391" t="inlineStr">
        <is>
          <t>EMMABODA</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33083-2023</t>
        </is>
      </c>
      <c r="B2392" s="1" t="n">
        <v>45126.47646990741</v>
      </c>
      <c r="C2392" s="1" t="n">
        <v>45884</v>
      </c>
      <c r="D2392" t="inlineStr">
        <is>
          <t>KALMAR LÄN</t>
        </is>
      </c>
      <c r="E2392" t="inlineStr">
        <is>
          <t>EMMABODA</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33112-2023</t>
        </is>
      </c>
      <c r="B2393" s="1" t="n">
        <v>45126</v>
      </c>
      <c r="C2393" s="1" t="n">
        <v>45884</v>
      </c>
      <c r="D2393" t="inlineStr">
        <is>
          <t>KALMAR LÄN</t>
        </is>
      </c>
      <c r="E2393" t="inlineStr">
        <is>
          <t>HÖGSBY</t>
        </is>
      </c>
      <c r="G2393" t="n">
        <v>4.5</v>
      </c>
      <c r="H2393" t="n">
        <v>0</v>
      </c>
      <c r="I2393" t="n">
        <v>0</v>
      </c>
      <c r="J2393" t="n">
        <v>0</v>
      </c>
      <c r="K2393" t="n">
        <v>0</v>
      </c>
      <c r="L2393" t="n">
        <v>0</v>
      </c>
      <c r="M2393" t="n">
        <v>0</v>
      </c>
      <c r="N2393" t="n">
        <v>0</v>
      </c>
      <c r="O2393" t="n">
        <v>0</v>
      </c>
      <c r="P2393" t="n">
        <v>0</v>
      </c>
      <c r="Q2393" t="n">
        <v>0</v>
      </c>
      <c r="R2393" s="2" t="inlineStr"/>
    </row>
    <row r="2394" ht="15" customHeight="1">
      <c r="A2394" t="inlineStr">
        <is>
          <t>A 32500-2022</t>
        </is>
      </c>
      <c r="B2394" s="1" t="n">
        <v>44782.66065972222</v>
      </c>
      <c r="C2394" s="1" t="n">
        <v>45884</v>
      </c>
      <c r="D2394" t="inlineStr">
        <is>
          <t>KALMAR LÄN</t>
        </is>
      </c>
      <c r="E2394" t="inlineStr">
        <is>
          <t>KALMAR</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43853-2023</t>
        </is>
      </c>
      <c r="B2395" s="1" t="n">
        <v>45187.60813657408</v>
      </c>
      <c r="C2395" s="1" t="n">
        <v>45884</v>
      </c>
      <c r="D2395" t="inlineStr">
        <is>
          <t>KALMAR LÄN</t>
        </is>
      </c>
      <c r="E2395" t="inlineStr">
        <is>
          <t>VIMMERBY</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15109-2022</t>
        </is>
      </c>
      <c r="B2396" s="1" t="n">
        <v>44658</v>
      </c>
      <c r="C2396" s="1" t="n">
        <v>45884</v>
      </c>
      <c r="D2396" t="inlineStr">
        <is>
          <t>KALMAR LÄN</t>
        </is>
      </c>
      <c r="E2396" t="inlineStr">
        <is>
          <t>TORSÅS</t>
        </is>
      </c>
      <c r="G2396" t="n">
        <v>0.4</v>
      </c>
      <c r="H2396" t="n">
        <v>0</v>
      </c>
      <c r="I2396" t="n">
        <v>0</v>
      </c>
      <c r="J2396" t="n">
        <v>0</v>
      </c>
      <c r="K2396" t="n">
        <v>0</v>
      </c>
      <c r="L2396" t="n">
        <v>0</v>
      </c>
      <c r="M2396" t="n">
        <v>0</v>
      </c>
      <c r="N2396" t="n">
        <v>0</v>
      </c>
      <c r="O2396" t="n">
        <v>0</v>
      </c>
      <c r="P2396" t="n">
        <v>0</v>
      </c>
      <c r="Q2396" t="n">
        <v>0</v>
      </c>
      <c r="R2396" s="2" t="inlineStr"/>
    </row>
    <row r="2397" ht="15" customHeight="1">
      <c r="A2397" t="inlineStr">
        <is>
          <t>A 18511-2025</t>
        </is>
      </c>
      <c r="B2397" s="1" t="n">
        <v>45763.38137731481</v>
      </c>
      <c r="C2397" s="1" t="n">
        <v>45884</v>
      </c>
      <c r="D2397" t="inlineStr">
        <is>
          <t>KALMAR LÄN</t>
        </is>
      </c>
      <c r="E2397" t="inlineStr">
        <is>
          <t>NYBRO</t>
        </is>
      </c>
      <c r="F2397" t="inlineStr">
        <is>
          <t>Sveaskog</t>
        </is>
      </c>
      <c r="G2397" t="n">
        <v>3</v>
      </c>
      <c r="H2397" t="n">
        <v>0</v>
      </c>
      <c r="I2397" t="n">
        <v>0</v>
      </c>
      <c r="J2397" t="n">
        <v>0</v>
      </c>
      <c r="K2397" t="n">
        <v>0</v>
      </c>
      <c r="L2397" t="n">
        <v>0</v>
      </c>
      <c r="M2397" t="n">
        <v>0</v>
      </c>
      <c r="N2397" t="n">
        <v>0</v>
      </c>
      <c r="O2397" t="n">
        <v>0</v>
      </c>
      <c r="P2397" t="n">
        <v>0</v>
      </c>
      <c r="Q2397" t="n">
        <v>0</v>
      </c>
      <c r="R2397" s="2" t="inlineStr"/>
    </row>
    <row r="2398" ht="15" customHeight="1">
      <c r="A2398" t="inlineStr">
        <is>
          <t>A 52645-2021</t>
        </is>
      </c>
      <c r="B2398" s="1" t="n">
        <v>44466</v>
      </c>
      <c r="C2398" s="1" t="n">
        <v>45884</v>
      </c>
      <c r="D2398" t="inlineStr">
        <is>
          <t>KALMAR LÄN</t>
        </is>
      </c>
      <c r="E2398" t="inlineStr">
        <is>
          <t>VÄSTERVIK</t>
        </is>
      </c>
      <c r="G2398" t="n">
        <v>5</v>
      </c>
      <c r="H2398" t="n">
        <v>0</v>
      </c>
      <c r="I2398" t="n">
        <v>0</v>
      </c>
      <c r="J2398" t="n">
        <v>0</v>
      </c>
      <c r="K2398" t="n">
        <v>0</v>
      </c>
      <c r="L2398" t="n">
        <v>0</v>
      </c>
      <c r="M2398" t="n">
        <v>0</v>
      </c>
      <c r="N2398" t="n">
        <v>0</v>
      </c>
      <c r="O2398" t="n">
        <v>0</v>
      </c>
      <c r="P2398" t="n">
        <v>0</v>
      </c>
      <c r="Q2398" t="n">
        <v>0</v>
      </c>
      <c r="R2398" s="2" t="inlineStr"/>
    </row>
    <row r="2399" ht="15" customHeight="1">
      <c r="A2399" t="inlineStr">
        <is>
          <t>A 66722-2021</t>
        </is>
      </c>
      <c r="B2399" s="1" t="n">
        <v>44519.98293981481</v>
      </c>
      <c r="C2399" s="1" t="n">
        <v>45884</v>
      </c>
      <c r="D2399" t="inlineStr">
        <is>
          <t>KALMAR LÄN</t>
        </is>
      </c>
      <c r="E2399" t="inlineStr">
        <is>
          <t>HULTSFRED</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5794-2024</t>
        </is>
      </c>
      <c r="B2400" s="1" t="n">
        <v>45335.45155092593</v>
      </c>
      <c r="C2400" s="1" t="n">
        <v>45884</v>
      </c>
      <c r="D2400" t="inlineStr">
        <is>
          <t>KALMAR LÄN</t>
        </is>
      </c>
      <c r="E2400" t="inlineStr">
        <is>
          <t>HULTSFRED</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5845-2023</t>
        </is>
      </c>
      <c r="B2401" s="1" t="n">
        <v>44963</v>
      </c>
      <c r="C2401" s="1" t="n">
        <v>45884</v>
      </c>
      <c r="D2401" t="inlineStr">
        <is>
          <t>KALMAR LÄN</t>
        </is>
      </c>
      <c r="E2401" t="inlineStr">
        <is>
          <t>OSKARSHAMN</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37966-2022</t>
        </is>
      </c>
      <c r="B2402" s="1" t="n">
        <v>44811</v>
      </c>
      <c r="C2402" s="1" t="n">
        <v>45884</v>
      </c>
      <c r="D2402" t="inlineStr">
        <is>
          <t>KALMAR LÄN</t>
        </is>
      </c>
      <c r="E2402" t="inlineStr">
        <is>
          <t>TORSÅS</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37968-2022</t>
        </is>
      </c>
      <c r="B2403" s="1" t="n">
        <v>44811</v>
      </c>
      <c r="C2403" s="1" t="n">
        <v>45884</v>
      </c>
      <c r="D2403" t="inlineStr">
        <is>
          <t>KALMAR LÄN</t>
        </is>
      </c>
      <c r="E2403" t="inlineStr">
        <is>
          <t>TORSÅS</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54369-2021</t>
        </is>
      </c>
      <c r="B2404" s="1" t="n">
        <v>44473</v>
      </c>
      <c r="C2404" s="1" t="n">
        <v>45884</v>
      </c>
      <c r="D2404" t="inlineStr">
        <is>
          <t>KALMAR LÄN</t>
        </is>
      </c>
      <c r="E2404" t="inlineStr">
        <is>
          <t>HULTSFRED</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64376-2021</t>
        </is>
      </c>
      <c r="B2405" s="1" t="n">
        <v>44511</v>
      </c>
      <c r="C2405" s="1" t="n">
        <v>45884</v>
      </c>
      <c r="D2405" t="inlineStr">
        <is>
          <t>KALMAR LÄN</t>
        </is>
      </c>
      <c r="E2405" t="inlineStr">
        <is>
          <t>KALMAR</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68952-2021</t>
        </is>
      </c>
      <c r="B2406" s="1" t="n">
        <v>44530</v>
      </c>
      <c r="C2406" s="1" t="n">
        <v>45884</v>
      </c>
      <c r="D2406" t="inlineStr">
        <is>
          <t>KALMAR LÄN</t>
        </is>
      </c>
      <c r="E2406" t="inlineStr">
        <is>
          <t>EMMABODA</t>
        </is>
      </c>
      <c r="G2406" t="n">
        <v>3.9</v>
      </c>
      <c r="H2406" t="n">
        <v>0</v>
      </c>
      <c r="I2406" t="n">
        <v>0</v>
      </c>
      <c r="J2406" t="n">
        <v>0</v>
      </c>
      <c r="K2406" t="n">
        <v>0</v>
      </c>
      <c r="L2406" t="n">
        <v>0</v>
      </c>
      <c r="M2406" t="n">
        <v>0</v>
      </c>
      <c r="N2406" t="n">
        <v>0</v>
      </c>
      <c r="O2406" t="n">
        <v>0</v>
      </c>
      <c r="P2406" t="n">
        <v>0</v>
      </c>
      <c r="Q2406" t="n">
        <v>0</v>
      </c>
      <c r="R2406" s="2" t="inlineStr"/>
    </row>
    <row r="2407" ht="15" customHeight="1">
      <c r="A2407" t="inlineStr">
        <is>
          <t>A 7804-2022</t>
        </is>
      </c>
      <c r="B2407" s="1" t="n">
        <v>44608.50458333334</v>
      </c>
      <c r="C2407" s="1" t="n">
        <v>45884</v>
      </c>
      <c r="D2407" t="inlineStr">
        <is>
          <t>KALMAR LÄN</t>
        </is>
      </c>
      <c r="E2407" t="inlineStr">
        <is>
          <t>VIMMERBY</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3982-2023</t>
        </is>
      </c>
      <c r="B2408" s="1" t="n">
        <v>44950</v>
      </c>
      <c r="C2408" s="1" t="n">
        <v>45884</v>
      </c>
      <c r="D2408" t="inlineStr">
        <is>
          <t>KALMAR LÄN</t>
        </is>
      </c>
      <c r="E2408" t="inlineStr">
        <is>
          <t>HÖGSBY</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15222-2023</t>
        </is>
      </c>
      <c r="B2409" s="1" t="n">
        <v>45019</v>
      </c>
      <c r="C2409" s="1" t="n">
        <v>45884</v>
      </c>
      <c r="D2409" t="inlineStr">
        <is>
          <t>KALMAR LÄN</t>
        </is>
      </c>
      <c r="E2409" t="inlineStr">
        <is>
          <t>OSKARSHAMN</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56921-2024</t>
        </is>
      </c>
      <c r="B2410" s="1" t="n">
        <v>45628.6009837963</v>
      </c>
      <c r="C2410" s="1" t="n">
        <v>45884</v>
      </c>
      <c r="D2410" t="inlineStr">
        <is>
          <t>KALMAR LÄN</t>
        </is>
      </c>
      <c r="E2410" t="inlineStr">
        <is>
          <t>KALMAR</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61876-2022</t>
        </is>
      </c>
      <c r="B2411" s="1" t="n">
        <v>44917</v>
      </c>
      <c r="C2411" s="1" t="n">
        <v>45884</v>
      </c>
      <c r="D2411" t="inlineStr">
        <is>
          <t>KALMAR LÄN</t>
        </is>
      </c>
      <c r="E2411" t="inlineStr">
        <is>
          <t>MÖNSTERÅS</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43199-2024</t>
        </is>
      </c>
      <c r="B2412" s="1" t="n">
        <v>45567.68774305555</v>
      </c>
      <c r="C2412" s="1" t="n">
        <v>45884</v>
      </c>
      <c r="D2412" t="inlineStr">
        <is>
          <t>KALMAR LÄN</t>
        </is>
      </c>
      <c r="E2412" t="inlineStr">
        <is>
          <t>VÄSTERVIK</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39042-2022</t>
        </is>
      </c>
      <c r="B2413" s="1" t="n">
        <v>44817</v>
      </c>
      <c r="C2413" s="1" t="n">
        <v>45884</v>
      </c>
      <c r="D2413" t="inlineStr">
        <is>
          <t>KALMAR LÄN</t>
        </is>
      </c>
      <c r="E2413" t="inlineStr">
        <is>
          <t>VIMMERBY</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19679-2024</t>
        </is>
      </c>
      <c r="B2414" s="1" t="n">
        <v>45432</v>
      </c>
      <c r="C2414" s="1" t="n">
        <v>45884</v>
      </c>
      <c r="D2414" t="inlineStr">
        <is>
          <t>KALMAR LÄN</t>
        </is>
      </c>
      <c r="E2414" t="inlineStr">
        <is>
          <t>HULTSFRED</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58095-2022</t>
        </is>
      </c>
      <c r="B2415" s="1" t="n">
        <v>44900</v>
      </c>
      <c r="C2415" s="1" t="n">
        <v>45884</v>
      </c>
      <c r="D2415" t="inlineStr">
        <is>
          <t>KALMAR LÄN</t>
        </is>
      </c>
      <c r="E2415" t="inlineStr">
        <is>
          <t>OSKARSHAMN</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18163-2021</t>
        </is>
      </c>
      <c r="B2416" s="1" t="n">
        <v>44302.60905092592</v>
      </c>
      <c r="C2416" s="1" t="n">
        <v>45884</v>
      </c>
      <c r="D2416" t="inlineStr">
        <is>
          <t>KALMAR LÄN</t>
        </is>
      </c>
      <c r="E2416" t="inlineStr">
        <is>
          <t>NYBRO</t>
        </is>
      </c>
      <c r="G2416" t="n">
        <v>3.2</v>
      </c>
      <c r="H2416" t="n">
        <v>0</v>
      </c>
      <c r="I2416" t="n">
        <v>0</v>
      </c>
      <c r="J2416" t="n">
        <v>0</v>
      </c>
      <c r="K2416" t="n">
        <v>0</v>
      </c>
      <c r="L2416" t="n">
        <v>0</v>
      </c>
      <c r="M2416" t="n">
        <v>0</v>
      </c>
      <c r="N2416" t="n">
        <v>0</v>
      </c>
      <c r="O2416" t="n">
        <v>0</v>
      </c>
      <c r="P2416" t="n">
        <v>0</v>
      </c>
      <c r="Q2416" t="n">
        <v>0</v>
      </c>
      <c r="R2416" s="2" t="inlineStr"/>
    </row>
    <row r="2417" ht="15" customHeight="1">
      <c r="A2417" t="inlineStr">
        <is>
          <t>A 53976-2022</t>
        </is>
      </c>
      <c r="B2417" s="1" t="n">
        <v>44881.33478009259</v>
      </c>
      <c r="C2417" s="1" t="n">
        <v>45884</v>
      </c>
      <c r="D2417" t="inlineStr">
        <is>
          <t>KALMAR LÄN</t>
        </is>
      </c>
      <c r="E2417" t="inlineStr">
        <is>
          <t>TORSÅS</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37199-2023</t>
        </is>
      </c>
      <c r="B2418" s="1" t="n">
        <v>45155</v>
      </c>
      <c r="C2418" s="1" t="n">
        <v>45884</v>
      </c>
      <c r="D2418" t="inlineStr">
        <is>
          <t>KALMAR LÄN</t>
        </is>
      </c>
      <c r="E2418" t="inlineStr">
        <is>
          <t>EMMABODA</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10005-2024</t>
        </is>
      </c>
      <c r="B2419" s="1" t="n">
        <v>45363.79693287037</v>
      </c>
      <c r="C2419" s="1" t="n">
        <v>45884</v>
      </c>
      <c r="D2419" t="inlineStr">
        <is>
          <t>KALMAR LÄN</t>
        </is>
      </c>
      <c r="E2419" t="inlineStr">
        <is>
          <t>NYBRO</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9858-2024</t>
        </is>
      </c>
      <c r="B2420" s="1" t="n">
        <v>45363.41396990741</v>
      </c>
      <c r="C2420" s="1" t="n">
        <v>45884</v>
      </c>
      <c r="D2420" t="inlineStr">
        <is>
          <t>KALMAR LÄN</t>
        </is>
      </c>
      <c r="E2420" t="inlineStr">
        <is>
          <t>KALMAR</t>
        </is>
      </c>
      <c r="G2420" t="n">
        <v>1.8</v>
      </c>
      <c r="H2420" t="n">
        <v>0</v>
      </c>
      <c r="I2420" t="n">
        <v>0</v>
      </c>
      <c r="J2420" t="n">
        <v>0</v>
      </c>
      <c r="K2420" t="n">
        <v>0</v>
      </c>
      <c r="L2420" t="n">
        <v>0</v>
      </c>
      <c r="M2420" t="n">
        <v>0</v>
      </c>
      <c r="N2420" t="n">
        <v>0</v>
      </c>
      <c r="O2420" t="n">
        <v>0</v>
      </c>
      <c r="P2420" t="n">
        <v>0</v>
      </c>
      <c r="Q2420" t="n">
        <v>0</v>
      </c>
      <c r="R2420" s="2" t="inlineStr"/>
      <c r="U2420">
        <f>HYPERLINK("https://klasma.github.io/Logging_0880/knärot/A 9858-2024 karta knärot.png", "A 9858-2024")</f>
        <v/>
      </c>
      <c r="V2420">
        <f>HYPERLINK("https://klasma.github.io/Logging_0880/klagomål/A 9858-2024 FSC-klagomål.docx", "A 9858-2024")</f>
        <v/>
      </c>
      <c r="W2420">
        <f>HYPERLINK("https://klasma.github.io/Logging_0880/klagomålsmail/A 9858-2024 FSC-klagomål mail.docx", "A 9858-2024")</f>
        <v/>
      </c>
      <c r="X2420">
        <f>HYPERLINK("https://klasma.github.io/Logging_0880/tillsyn/A 9858-2024 tillsynsbegäran.docx", "A 9858-2024")</f>
        <v/>
      </c>
      <c r="Y2420">
        <f>HYPERLINK("https://klasma.github.io/Logging_0880/tillsynsmail/A 9858-2024 tillsynsbegäran mail.docx", "A 9858-2024")</f>
        <v/>
      </c>
    </row>
    <row r="2421" ht="15" customHeight="1">
      <c r="A2421" t="inlineStr">
        <is>
          <t>A 2604-2025</t>
        </is>
      </c>
      <c r="B2421" s="1" t="n">
        <v>45674.74094907408</v>
      </c>
      <c r="C2421" s="1" t="n">
        <v>45884</v>
      </c>
      <c r="D2421" t="inlineStr">
        <is>
          <t>KALMAR LÄN</t>
        </is>
      </c>
      <c r="E2421" t="inlineStr">
        <is>
          <t>VIMMERBY</t>
        </is>
      </c>
      <c r="G2421" t="n">
        <v>7.6</v>
      </c>
      <c r="H2421" t="n">
        <v>0</v>
      </c>
      <c r="I2421" t="n">
        <v>0</v>
      </c>
      <c r="J2421" t="n">
        <v>0</v>
      </c>
      <c r="K2421" t="n">
        <v>0</v>
      </c>
      <c r="L2421" t="n">
        <v>0</v>
      </c>
      <c r="M2421" t="n">
        <v>0</v>
      </c>
      <c r="N2421" t="n">
        <v>0</v>
      </c>
      <c r="O2421" t="n">
        <v>0</v>
      </c>
      <c r="P2421" t="n">
        <v>0</v>
      </c>
      <c r="Q2421" t="n">
        <v>0</v>
      </c>
      <c r="R2421" s="2" t="inlineStr"/>
    </row>
    <row r="2422" ht="15" customHeight="1">
      <c r="A2422" t="inlineStr">
        <is>
          <t>A 8481-2024</t>
        </is>
      </c>
      <c r="B2422" s="1" t="n">
        <v>45355.42155092592</v>
      </c>
      <c r="C2422" s="1" t="n">
        <v>45884</v>
      </c>
      <c r="D2422" t="inlineStr">
        <is>
          <t>KALMAR LÄN</t>
        </is>
      </c>
      <c r="E2422" t="inlineStr">
        <is>
          <t>EMMABODA</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45292-2023</t>
        </is>
      </c>
      <c r="B2423" s="1" t="n">
        <v>45188</v>
      </c>
      <c r="C2423" s="1" t="n">
        <v>45884</v>
      </c>
      <c r="D2423" t="inlineStr">
        <is>
          <t>KALMAR LÄN</t>
        </is>
      </c>
      <c r="E2423" t="inlineStr">
        <is>
          <t>EMMABODA</t>
        </is>
      </c>
      <c r="F2423" t="inlineStr">
        <is>
          <t>Kyrkan</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42072-2024</t>
        </is>
      </c>
      <c r="B2424" s="1" t="n">
        <v>45562.28719907408</v>
      </c>
      <c r="C2424" s="1" t="n">
        <v>45884</v>
      </c>
      <c r="D2424" t="inlineStr">
        <is>
          <t>KALMAR LÄN</t>
        </is>
      </c>
      <c r="E2424" t="inlineStr">
        <is>
          <t>HÖGSBY</t>
        </is>
      </c>
      <c r="F2424" t="inlineStr">
        <is>
          <t>Sveaskog</t>
        </is>
      </c>
      <c r="G2424" t="n">
        <v>2.8</v>
      </c>
      <c r="H2424" t="n">
        <v>0</v>
      </c>
      <c r="I2424" t="n">
        <v>0</v>
      </c>
      <c r="J2424" t="n">
        <v>0</v>
      </c>
      <c r="K2424" t="n">
        <v>0</v>
      </c>
      <c r="L2424" t="n">
        <v>0</v>
      </c>
      <c r="M2424" t="n">
        <v>0</v>
      </c>
      <c r="N2424" t="n">
        <v>0</v>
      </c>
      <c r="O2424" t="n">
        <v>0</v>
      </c>
      <c r="P2424" t="n">
        <v>0</v>
      </c>
      <c r="Q2424" t="n">
        <v>0</v>
      </c>
      <c r="R2424" s="2" t="inlineStr"/>
    </row>
    <row r="2425" ht="15" customHeight="1">
      <c r="A2425" t="inlineStr">
        <is>
          <t>A 18291-2024</t>
        </is>
      </c>
      <c r="B2425" s="1" t="n">
        <v>45422.39476851852</v>
      </c>
      <c r="C2425" s="1" t="n">
        <v>45884</v>
      </c>
      <c r="D2425" t="inlineStr">
        <is>
          <t>KALMAR LÄN</t>
        </is>
      </c>
      <c r="E2425" t="inlineStr">
        <is>
          <t>EMMABODA</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11883-2024</t>
        </is>
      </c>
      <c r="B2426" s="1" t="n">
        <v>45376.49780092593</v>
      </c>
      <c r="C2426" s="1" t="n">
        <v>45884</v>
      </c>
      <c r="D2426" t="inlineStr">
        <is>
          <t>KALMAR LÄN</t>
        </is>
      </c>
      <c r="E2426" t="inlineStr">
        <is>
          <t>HULTSFRED</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37281-2023</t>
        </is>
      </c>
      <c r="B2427" s="1" t="n">
        <v>45156</v>
      </c>
      <c r="C2427" s="1" t="n">
        <v>45884</v>
      </c>
      <c r="D2427" t="inlineStr">
        <is>
          <t>KALMAR LÄN</t>
        </is>
      </c>
      <c r="E2427" t="inlineStr">
        <is>
          <t>HULTSFRED</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52212-2023</t>
        </is>
      </c>
      <c r="B2428" s="1" t="n">
        <v>45224.44408564815</v>
      </c>
      <c r="C2428" s="1" t="n">
        <v>45884</v>
      </c>
      <c r="D2428" t="inlineStr">
        <is>
          <t>KALMAR LÄN</t>
        </is>
      </c>
      <c r="E2428" t="inlineStr">
        <is>
          <t>OSKARSHAMN</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22676-2022</t>
        </is>
      </c>
      <c r="B2429" s="1" t="n">
        <v>44714</v>
      </c>
      <c r="C2429" s="1" t="n">
        <v>45884</v>
      </c>
      <c r="D2429" t="inlineStr">
        <is>
          <t>KALMAR LÄN</t>
        </is>
      </c>
      <c r="E2429" t="inlineStr">
        <is>
          <t>HULTSFRED</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22131-2022</t>
        </is>
      </c>
      <c r="B2430" s="1" t="n">
        <v>44712.36024305555</v>
      </c>
      <c r="C2430" s="1" t="n">
        <v>45884</v>
      </c>
      <c r="D2430" t="inlineStr">
        <is>
          <t>KALMAR LÄN</t>
        </is>
      </c>
      <c r="E2430" t="inlineStr">
        <is>
          <t>KALMAR</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42850-2022</t>
        </is>
      </c>
      <c r="B2431" s="1" t="n">
        <v>44832.67608796297</v>
      </c>
      <c r="C2431" s="1" t="n">
        <v>45884</v>
      </c>
      <c r="D2431" t="inlineStr">
        <is>
          <t>KALMAR LÄN</t>
        </is>
      </c>
      <c r="E2431" t="inlineStr">
        <is>
          <t>VIMMERBY</t>
        </is>
      </c>
      <c r="G2431" t="n">
        <v>5.9</v>
      </c>
      <c r="H2431" t="n">
        <v>0</v>
      </c>
      <c r="I2431" t="n">
        <v>0</v>
      </c>
      <c r="J2431" t="n">
        <v>0</v>
      </c>
      <c r="K2431" t="n">
        <v>0</v>
      </c>
      <c r="L2431" t="n">
        <v>0</v>
      </c>
      <c r="M2431" t="n">
        <v>0</v>
      </c>
      <c r="N2431" t="n">
        <v>0</v>
      </c>
      <c r="O2431" t="n">
        <v>0</v>
      </c>
      <c r="P2431" t="n">
        <v>0</v>
      </c>
      <c r="Q2431" t="n">
        <v>0</v>
      </c>
      <c r="R2431" s="2" t="inlineStr"/>
    </row>
    <row r="2432" ht="15" customHeight="1">
      <c r="A2432" t="inlineStr">
        <is>
          <t>A 38151-2022</t>
        </is>
      </c>
      <c r="B2432" s="1" t="n">
        <v>44812</v>
      </c>
      <c r="C2432" s="1" t="n">
        <v>45884</v>
      </c>
      <c r="D2432" t="inlineStr">
        <is>
          <t>KALMAR LÄN</t>
        </is>
      </c>
      <c r="E2432" t="inlineStr">
        <is>
          <t>TORSÅS</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4659-2024</t>
        </is>
      </c>
      <c r="B2433" s="1" t="n">
        <v>45328.46377314815</v>
      </c>
      <c r="C2433" s="1" t="n">
        <v>45884</v>
      </c>
      <c r="D2433" t="inlineStr">
        <is>
          <t>KALMAR LÄN</t>
        </is>
      </c>
      <c r="E2433" t="inlineStr">
        <is>
          <t>HULTSFRED</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31429-2023</t>
        </is>
      </c>
      <c r="B2434" s="1" t="n">
        <v>45114.61946759259</v>
      </c>
      <c r="C2434" s="1" t="n">
        <v>45884</v>
      </c>
      <c r="D2434" t="inlineStr">
        <is>
          <t>KALMAR LÄN</t>
        </is>
      </c>
      <c r="E2434" t="inlineStr">
        <is>
          <t>HÖGSBY</t>
        </is>
      </c>
      <c r="G2434" t="n">
        <v>2.8</v>
      </c>
      <c r="H2434" t="n">
        <v>0</v>
      </c>
      <c r="I2434" t="n">
        <v>0</v>
      </c>
      <c r="J2434" t="n">
        <v>0</v>
      </c>
      <c r="K2434" t="n">
        <v>0</v>
      </c>
      <c r="L2434" t="n">
        <v>0</v>
      </c>
      <c r="M2434" t="n">
        <v>0</v>
      </c>
      <c r="N2434" t="n">
        <v>0</v>
      </c>
      <c r="O2434" t="n">
        <v>0</v>
      </c>
      <c r="P2434" t="n">
        <v>0</v>
      </c>
      <c r="Q2434" t="n">
        <v>0</v>
      </c>
      <c r="R2434" s="2" t="inlineStr"/>
    </row>
    <row r="2435" ht="15" customHeight="1">
      <c r="A2435" t="inlineStr">
        <is>
          <t>A 4729-2024</t>
        </is>
      </c>
      <c r="B2435" s="1" t="n">
        <v>45328</v>
      </c>
      <c r="C2435" s="1" t="n">
        <v>45884</v>
      </c>
      <c r="D2435" t="inlineStr">
        <is>
          <t>KALMAR LÄN</t>
        </is>
      </c>
      <c r="E2435" t="inlineStr">
        <is>
          <t>TORSÅS</t>
        </is>
      </c>
      <c r="G2435" t="n">
        <v>4.7</v>
      </c>
      <c r="H2435" t="n">
        <v>0</v>
      </c>
      <c r="I2435" t="n">
        <v>0</v>
      </c>
      <c r="J2435" t="n">
        <v>0</v>
      </c>
      <c r="K2435" t="n">
        <v>0</v>
      </c>
      <c r="L2435" t="n">
        <v>0</v>
      </c>
      <c r="M2435" t="n">
        <v>0</v>
      </c>
      <c r="N2435" t="n">
        <v>0</v>
      </c>
      <c r="O2435" t="n">
        <v>0</v>
      </c>
      <c r="P2435" t="n">
        <v>0</v>
      </c>
      <c r="Q2435" t="n">
        <v>0</v>
      </c>
      <c r="R2435" s="2" t="inlineStr"/>
    </row>
    <row r="2436" ht="15" customHeight="1">
      <c r="A2436" t="inlineStr">
        <is>
          <t>A 61549-2022</t>
        </is>
      </c>
      <c r="B2436" s="1" t="n">
        <v>44916.57162037037</v>
      </c>
      <c r="C2436" s="1" t="n">
        <v>45884</v>
      </c>
      <c r="D2436" t="inlineStr">
        <is>
          <t>KALMAR LÄN</t>
        </is>
      </c>
      <c r="E2436" t="inlineStr">
        <is>
          <t>HULTSFRED</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23231-2023</t>
        </is>
      </c>
      <c r="B2437" s="1" t="n">
        <v>45075</v>
      </c>
      <c r="C2437" s="1" t="n">
        <v>45884</v>
      </c>
      <c r="D2437" t="inlineStr">
        <is>
          <t>KALMAR LÄN</t>
        </is>
      </c>
      <c r="E2437" t="inlineStr">
        <is>
          <t>KALMAR</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38153-2020</t>
        </is>
      </c>
      <c r="B2438" s="1" t="n">
        <v>44060</v>
      </c>
      <c r="C2438" s="1" t="n">
        <v>45884</v>
      </c>
      <c r="D2438" t="inlineStr">
        <is>
          <t>KALMAR LÄN</t>
        </is>
      </c>
      <c r="E2438" t="inlineStr">
        <is>
          <t>VIMMERBY</t>
        </is>
      </c>
      <c r="G2438" t="n">
        <v>6</v>
      </c>
      <c r="H2438" t="n">
        <v>0</v>
      </c>
      <c r="I2438" t="n">
        <v>0</v>
      </c>
      <c r="J2438" t="n">
        <v>0</v>
      </c>
      <c r="K2438" t="n">
        <v>0</v>
      </c>
      <c r="L2438" t="n">
        <v>0</v>
      </c>
      <c r="M2438" t="n">
        <v>0</v>
      </c>
      <c r="N2438" t="n">
        <v>0</v>
      </c>
      <c r="O2438" t="n">
        <v>0</v>
      </c>
      <c r="P2438" t="n">
        <v>0</v>
      </c>
      <c r="Q2438" t="n">
        <v>0</v>
      </c>
      <c r="R2438" s="2" t="inlineStr"/>
    </row>
    <row r="2439" ht="15" customHeight="1">
      <c r="A2439" t="inlineStr">
        <is>
          <t>A 23255-2023</t>
        </is>
      </c>
      <c r="B2439" s="1" t="n">
        <v>45071</v>
      </c>
      <c r="C2439" s="1" t="n">
        <v>45884</v>
      </c>
      <c r="D2439" t="inlineStr">
        <is>
          <t>KALMAR LÄN</t>
        </is>
      </c>
      <c r="E2439" t="inlineStr">
        <is>
          <t>NYBRO</t>
        </is>
      </c>
      <c r="G2439" t="n">
        <v>4</v>
      </c>
      <c r="H2439" t="n">
        <v>0</v>
      </c>
      <c r="I2439" t="n">
        <v>0</v>
      </c>
      <c r="J2439" t="n">
        <v>0</v>
      </c>
      <c r="K2439" t="n">
        <v>0</v>
      </c>
      <c r="L2439" t="n">
        <v>0</v>
      </c>
      <c r="M2439" t="n">
        <v>0</v>
      </c>
      <c r="N2439" t="n">
        <v>0</v>
      </c>
      <c r="O2439" t="n">
        <v>0</v>
      </c>
      <c r="P2439" t="n">
        <v>0</v>
      </c>
      <c r="Q2439" t="n">
        <v>0</v>
      </c>
      <c r="R2439" s="2" t="inlineStr"/>
    </row>
    <row r="2440" ht="15" customHeight="1">
      <c r="A2440" t="inlineStr">
        <is>
          <t>A 69064-2020</t>
        </is>
      </c>
      <c r="B2440" s="1" t="n">
        <v>44188.47537037037</v>
      </c>
      <c r="C2440" s="1" t="n">
        <v>45884</v>
      </c>
      <c r="D2440" t="inlineStr">
        <is>
          <t>KALMAR LÄN</t>
        </is>
      </c>
      <c r="E2440" t="inlineStr">
        <is>
          <t>VÄSTERVIK</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29283-2024</t>
        </is>
      </c>
      <c r="B2441" s="1" t="n">
        <v>45482.97067129629</v>
      </c>
      <c r="C2441" s="1" t="n">
        <v>45884</v>
      </c>
      <c r="D2441" t="inlineStr">
        <is>
          <t>KALMAR LÄN</t>
        </is>
      </c>
      <c r="E2441" t="inlineStr">
        <is>
          <t>OSKARSHAMN</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6670-2024</t>
        </is>
      </c>
      <c r="B2442" s="1" t="n">
        <v>45341.80892361111</v>
      </c>
      <c r="C2442" s="1" t="n">
        <v>45884</v>
      </c>
      <c r="D2442" t="inlineStr">
        <is>
          <t>KALMAR LÄN</t>
        </is>
      </c>
      <c r="E2442" t="inlineStr">
        <is>
          <t>OSKARSHAMN</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43066-2024</t>
        </is>
      </c>
      <c r="B2443" s="1" t="n">
        <v>45567.47046296296</v>
      </c>
      <c r="C2443" s="1" t="n">
        <v>45884</v>
      </c>
      <c r="D2443" t="inlineStr">
        <is>
          <t>KALMAR LÄN</t>
        </is>
      </c>
      <c r="E2443" t="inlineStr">
        <is>
          <t>TORSÅS</t>
        </is>
      </c>
      <c r="G2443" t="n">
        <v>4.6</v>
      </c>
      <c r="H2443" t="n">
        <v>0</v>
      </c>
      <c r="I2443" t="n">
        <v>0</v>
      </c>
      <c r="J2443" t="n">
        <v>0</v>
      </c>
      <c r="K2443" t="n">
        <v>0</v>
      </c>
      <c r="L2443" t="n">
        <v>0</v>
      </c>
      <c r="M2443" t="n">
        <v>0</v>
      </c>
      <c r="N2443" t="n">
        <v>0</v>
      </c>
      <c r="O2443" t="n">
        <v>0</v>
      </c>
      <c r="P2443" t="n">
        <v>0</v>
      </c>
      <c r="Q2443" t="n">
        <v>0</v>
      </c>
      <c r="R2443" s="2" t="inlineStr"/>
    </row>
    <row r="2444" ht="15" customHeight="1">
      <c r="A2444" t="inlineStr">
        <is>
          <t>A 16288-2021</t>
        </is>
      </c>
      <c r="B2444" s="1" t="n">
        <v>44292</v>
      </c>
      <c r="C2444" s="1" t="n">
        <v>45884</v>
      </c>
      <c r="D2444" t="inlineStr">
        <is>
          <t>KALMAR LÄN</t>
        </is>
      </c>
      <c r="E2444" t="inlineStr">
        <is>
          <t>VIMMERBY</t>
        </is>
      </c>
      <c r="F2444" t="inlineStr">
        <is>
          <t>Övriga Aktiebolag</t>
        </is>
      </c>
      <c r="G2444" t="n">
        <v>27.6</v>
      </c>
      <c r="H2444" t="n">
        <v>0</v>
      </c>
      <c r="I2444" t="n">
        <v>0</v>
      </c>
      <c r="J2444" t="n">
        <v>0</v>
      </c>
      <c r="K2444" t="n">
        <v>0</v>
      </c>
      <c r="L2444" t="n">
        <v>0</v>
      </c>
      <c r="M2444" t="n">
        <v>0</v>
      </c>
      <c r="N2444" t="n">
        <v>0</v>
      </c>
      <c r="O2444" t="n">
        <v>0</v>
      </c>
      <c r="P2444" t="n">
        <v>0</v>
      </c>
      <c r="Q2444" t="n">
        <v>0</v>
      </c>
      <c r="R2444" s="2" t="inlineStr"/>
    </row>
    <row r="2445" ht="15" customHeight="1">
      <c r="A2445" t="inlineStr">
        <is>
          <t>A 58675-2020</t>
        </is>
      </c>
      <c r="B2445" s="1" t="n">
        <v>44145</v>
      </c>
      <c r="C2445" s="1" t="n">
        <v>45884</v>
      </c>
      <c r="D2445" t="inlineStr">
        <is>
          <t>KALMAR LÄN</t>
        </is>
      </c>
      <c r="E2445" t="inlineStr">
        <is>
          <t>EMMABODA</t>
        </is>
      </c>
      <c r="G2445" t="n">
        <v>2.6</v>
      </c>
      <c r="H2445" t="n">
        <v>0</v>
      </c>
      <c r="I2445" t="n">
        <v>0</v>
      </c>
      <c r="J2445" t="n">
        <v>0</v>
      </c>
      <c r="K2445" t="n">
        <v>0</v>
      </c>
      <c r="L2445" t="n">
        <v>0</v>
      </c>
      <c r="M2445" t="n">
        <v>0</v>
      </c>
      <c r="N2445" t="n">
        <v>0</v>
      </c>
      <c r="O2445" t="n">
        <v>0</v>
      </c>
      <c r="P2445" t="n">
        <v>0</v>
      </c>
      <c r="Q2445" t="n">
        <v>0</v>
      </c>
      <c r="R2445" s="2" t="inlineStr"/>
    </row>
    <row r="2446" ht="15" customHeight="1">
      <c r="A2446" t="inlineStr">
        <is>
          <t>A 51155-2023</t>
        </is>
      </c>
      <c r="B2446" s="1" t="n">
        <v>45219.37208333334</v>
      </c>
      <c r="C2446" s="1" t="n">
        <v>45884</v>
      </c>
      <c r="D2446" t="inlineStr">
        <is>
          <t>KALMAR LÄN</t>
        </is>
      </c>
      <c r="E2446" t="inlineStr">
        <is>
          <t>KALMAR</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4011-2021</t>
        </is>
      </c>
      <c r="B2447" s="1" t="n">
        <v>44222</v>
      </c>
      <c r="C2447" s="1" t="n">
        <v>45884</v>
      </c>
      <c r="D2447" t="inlineStr">
        <is>
          <t>KALMAR LÄN</t>
        </is>
      </c>
      <c r="E2447" t="inlineStr">
        <is>
          <t>NYBRO</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51274-2023</t>
        </is>
      </c>
      <c r="B2448" s="1" t="n">
        <v>45219.5134375</v>
      </c>
      <c r="C2448" s="1" t="n">
        <v>45884</v>
      </c>
      <c r="D2448" t="inlineStr">
        <is>
          <t>KALMAR LÄN</t>
        </is>
      </c>
      <c r="E2448" t="inlineStr">
        <is>
          <t>TORSÅS</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51275-2023</t>
        </is>
      </c>
      <c r="B2449" s="1" t="n">
        <v>45219</v>
      </c>
      <c r="C2449" s="1" t="n">
        <v>45884</v>
      </c>
      <c r="D2449" t="inlineStr">
        <is>
          <t>KALMAR LÄN</t>
        </is>
      </c>
      <c r="E2449" t="inlineStr">
        <is>
          <t>TORSÅS</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52649-2022</t>
        </is>
      </c>
      <c r="B2450" s="1" t="n">
        <v>44874.7847337963</v>
      </c>
      <c r="C2450" s="1" t="n">
        <v>45884</v>
      </c>
      <c r="D2450" t="inlineStr">
        <is>
          <t>KALMAR LÄN</t>
        </is>
      </c>
      <c r="E2450" t="inlineStr">
        <is>
          <t>MÖNSTERÅS</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10699-2024</t>
        </is>
      </c>
      <c r="B2451" s="1" t="n">
        <v>45369.42106481481</v>
      </c>
      <c r="C2451" s="1" t="n">
        <v>45884</v>
      </c>
      <c r="D2451" t="inlineStr">
        <is>
          <t>KALMAR LÄN</t>
        </is>
      </c>
      <c r="E2451" t="inlineStr">
        <is>
          <t>EMMABODA</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33457-2022</t>
        </is>
      </c>
      <c r="B2452" s="1" t="n">
        <v>44788.66310185185</v>
      </c>
      <c r="C2452" s="1" t="n">
        <v>45884</v>
      </c>
      <c r="D2452" t="inlineStr">
        <is>
          <t>KALMAR LÄN</t>
        </is>
      </c>
      <c r="E2452" t="inlineStr">
        <is>
          <t>EMMABODA</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63111-2023</t>
        </is>
      </c>
      <c r="B2453" s="1" t="n">
        <v>45273.43420138889</v>
      </c>
      <c r="C2453" s="1" t="n">
        <v>45884</v>
      </c>
      <c r="D2453" t="inlineStr">
        <is>
          <t>KALMAR LÄN</t>
        </is>
      </c>
      <c r="E2453" t="inlineStr">
        <is>
          <t>NYBRO</t>
        </is>
      </c>
      <c r="G2453" t="n">
        <v>2.7</v>
      </c>
      <c r="H2453" t="n">
        <v>0</v>
      </c>
      <c r="I2453" t="n">
        <v>0</v>
      </c>
      <c r="J2453" t="n">
        <v>0</v>
      </c>
      <c r="K2453" t="n">
        <v>0</v>
      </c>
      <c r="L2453" t="n">
        <v>0</v>
      </c>
      <c r="M2453" t="n">
        <v>0</v>
      </c>
      <c r="N2453" t="n">
        <v>0</v>
      </c>
      <c r="O2453" t="n">
        <v>0</v>
      </c>
      <c r="P2453" t="n">
        <v>0</v>
      </c>
      <c r="Q2453" t="n">
        <v>0</v>
      </c>
      <c r="R2453" s="2" t="inlineStr"/>
    </row>
    <row r="2454" ht="15" customHeight="1">
      <c r="A2454" t="inlineStr">
        <is>
          <t>A 9511-2023</t>
        </is>
      </c>
      <c r="B2454" s="1" t="n">
        <v>44981.64725694444</v>
      </c>
      <c r="C2454" s="1" t="n">
        <v>45884</v>
      </c>
      <c r="D2454" t="inlineStr">
        <is>
          <t>KALMAR LÄN</t>
        </is>
      </c>
      <c r="E2454" t="inlineStr">
        <is>
          <t>VIMMERBY</t>
        </is>
      </c>
      <c r="G2454" t="n">
        <v>3.5</v>
      </c>
      <c r="H2454" t="n">
        <v>0</v>
      </c>
      <c r="I2454" t="n">
        <v>0</v>
      </c>
      <c r="J2454" t="n">
        <v>0</v>
      </c>
      <c r="K2454" t="n">
        <v>0</v>
      </c>
      <c r="L2454" t="n">
        <v>0</v>
      </c>
      <c r="M2454" t="n">
        <v>0</v>
      </c>
      <c r="N2454" t="n">
        <v>0</v>
      </c>
      <c r="O2454" t="n">
        <v>0</v>
      </c>
      <c r="P2454" t="n">
        <v>0</v>
      </c>
      <c r="Q2454" t="n">
        <v>0</v>
      </c>
      <c r="R2454" s="2" t="inlineStr"/>
    </row>
    <row r="2455" ht="15" customHeight="1">
      <c r="A2455" t="inlineStr">
        <is>
          <t>A 9577-2023</t>
        </is>
      </c>
      <c r="B2455" s="1" t="n">
        <v>44982.67675925926</v>
      </c>
      <c r="C2455" s="1" t="n">
        <v>45884</v>
      </c>
      <c r="D2455" t="inlineStr">
        <is>
          <t>KALMAR LÄN</t>
        </is>
      </c>
      <c r="E2455" t="inlineStr">
        <is>
          <t>EMMABODA</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9581-2023</t>
        </is>
      </c>
      <c r="B2456" s="1" t="n">
        <v>44982.82561342593</v>
      </c>
      <c r="C2456" s="1" t="n">
        <v>45884</v>
      </c>
      <c r="D2456" t="inlineStr">
        <is>
          <t>KALMAR LÄN</t>
        </is>
      </c>
      <c r="E2456" t="inlineStr">
        <is>
          <t>NYBRO</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1033-2023</t>
        </is>
      </c>
      <c r="B2457" s="1" t="n">
        <v>44935</v>
      </c>
      <c r="C2457" s="1" t="n">
        <v>45884</v>
      </c>
      <c r="D2457" t="inlineStr">
        <is>
          <t>KALMAR LÄN</t>
        </is>
      </c>
      <c r="E2457" t="inlineStr">
        <is>
          <t>HULTSFRED</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6727-2024</t>
        </is>
      </c>
      <c r="B2458" s="1" t="n">
        <v>45341</v>
      </c>
      <c r="C2458" s="1" t="n">
        <v>45884</v>
      </c>
      <c r="D2458" t="inlineStr">
        <is>
          <t>KALMAR LÄN</t>
        </is>
      </c>
      <c r="E2458" t="inlineStr">
        <is>
          <t>NYBRO</t>
        </is>
      </c>
      <c r="G2458" t="n">
        <v>3.2</v>
      </c>
      <c r="H2458" t="n">
        <v>0</v>
      </c>
      <c r="I2458" t="n">
        <v>0</v>
      </c>
      <c r="J2458" t="n">
        <v>0</v>
      </c>
      <c r="K2458" t="n">
        <v>0</v>
      </c>
      <c r="L2458" t="n">
        <v>0</v>
      </c>
      <c r="M2458" t="n">
        <v>0</v>
      </c>
      <c r="N2458" t="n">
        <v>0</v>
      </c>
      <c r="O2458" t="n">
        <v>0</v>
      </c>
      <c r="P2458" t="n">
        <v>0</v>
      </c>
      <c r="Q2458" t="n">
        <v>0</v>
      </c>
      <c r="R2458" s="2" t="inlineStr"/>
    </row>
    <row r="2459" ht="15" customHeight="1">
      <c r="A2459" t="inlineStr">
        <is>
          <t>A 13449-2025</t>
        </is>
      </c>
      <c r="B2459" s="1" t="n">
        <v>45736</v>
      </c>
      <c r="C2459" s="1" t="n">
        <v>45884</v>
      </c>
      <c r="D2459" t="inlineStr">
        <is>
          <t>KALMAR LÄN</t>
        </is>
      </c>
      <c r="E2459" t="inlineStr">
        <is>
          <t>HULTSFRED</t>
        </is>
      </c>
      <c r="G2459" t="n">
        <v>5.4</v>
      </c>
      <c r="H2459" t="n">
        <v>0</v>
      </c>
      <c r="I2459" t="n">
        <v>0</v>
      </c>
      <c r="J2459" t="n">
        <v>0</v>
      </c>
      <c r="K2459" t="n">
        <v>0</v>
      </c>
      <c r="L2459" t="n">
        <v>0</v>
      </c>
      <c r="M2459" t="n">
        <v>0</v>
      </c>
      <c r="N2459" t="n">
        <v>0</v>
      </c>
      <c r="O2459" t="n">
        <v>0</v>
      </c>
      <c r="P2459" t="n">
        <v>0</v>
      </c>
      <c r="Q2459" t="n">
        <v>0</v>
      </c>
      <c r="R2459" s="2" t="inlineStr"/>
    </row>
    <row r="2460" ht="15" customHeight="1">
      <c r="A2460" t="inlineStr">
        <is>
          <t>A 9246-2023</t>
        </is>
      </c>
      <c r="B2460" s="1" t="n">
        <v>44980</v>
      </c>
      <c r="C2460" s="1" t="n">
        <v>45884</v>
      </c>
      <c r="D2460" t="inlineStr">
        <is>
          <t>KALMAR LÄN</t>
        </is>
      </c>
      <c r="E2460" t="inlineStr">
        <is>
          <t>EMMABODA</t>
        </is>
      </c>
      <c r="G2460" t="n">
        <v>7.8</v>
      </c>
      <c r="H2460" t="n">
        <v>0</v>
      </c>
      <c r="I2460" t="n">
        <v>0</v>
      </c>
      <c r="J2460" t="n">
        <v>0</v>
      </c>
      <c r="K2460" t="n">
        <v>0</v>
      </c>
      <c r="L2460" t="n">
        <v>0</v>
      </c>
      <c r="M2460" t="n">
        <v>0</v>
      </c>
      <c r="N2460" t="n">
        <v>0</v>
      </c>
      <c r="O2460" t="n">
        <v>0</v>
      </c>
      <c r="P2460" t="n">
        <v>0</v>
      </c>
      <c r="Q2460" t="n">
        <v>0</v>
      </c>
      <c r="R2460" s="2" t="inlineStr"/>
    </row>
    <row r="2461" ht="15" customHeight="1">
      <c r="A2461" t="inlineStr">
        <is>
          <t>A 2776-2025</t>
        </is>
      </c>
      <c r="B2461" s="1" t="n">
        <v>45677</v>
      </c>
      <c r="C2461" s="1" t="n">
        <v>45884</v>
      </c>
      <c r="D2461" t="inlineStr">
        <is>
          <t>KALMAR LÄN</t>
        </is>
      </c>
      <c r="E2461" t="inlineStr">
        <is>
          <t>HULTSFRED</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2830-2025</t>
        </is>
      </c>
      <c r="B2462" s="1" t="n">
        <v>45677.62704861111</v>
      </c>
      <c r="C2462" s="1" t="n">
        <v>45884</v>
      </c>
      <c r="D2462" t="inlineStr">
        <is>
          <t>KALMAR LÄN</t>
        </is>
      </c>
      <c r="E2462" t="inlineStr">
        <is>
          <t>VÄSTERVIK</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28644-2023</t>
        </is>
      </c>
      <c r="B2463" s="1" t="n">
        <v>45103.64168981482</v>
      </c>
      <c r="C2463" s="1" t="n">
        <v>45884</v>
      </c>
      <c r="D2463" t="inlineStr">
        <is>
          <t>KALMAR LÄN</t>
        </is>
      </c>
      <c r="E2463" t="inlineStr">
        <is>
          <t>HULTSFRED</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23936-2023</t>
        </is>
      </c>
      <c r="B2464" s="1" t="n">
        <v>45078.5972337963</v>
      </c>
      <c r="C2464" s="1" t="n">
        <v>45884</v>
      </c>
      <c r="D2464" t="inlineStr">
        <is>
          <t>KALMAR LÄN</t>
        </is>
      </c>
      <c r="E2464" t="inlineStr">
        <is>
          <t>EMMABODA</t>
        </is>
      </c>
      <c r="F2464" t="inlineStr">
        <is>
          <t>Sveaskog</t>
        </is>
      </c>
      <c r="G2464" t="n">
        <v>4.6</v>
      </c>
      <c r="H2464" t="n">
        <v>0</v>
      </c>
      <c r="I2464" t="n">
        <v>0</v>
      </c>
      <c r="J2464" t="n">
        <v>0</v>
      </c>
      <c r="K2464" t="n">
        <v>0</v>
      </c>
      <c r="L2464" t="n">
        <v>0</v>
      </c>
      <c r="M2464" t="n">
        <v>0</v>
      </c>
      <c r="N2464" t="n">
        <v>0</v>
      </c>
      <c r="O2464" t="n">
        <v>0</v>
      </c>
      <c r="P2464" t="n">
        <v>0</v>
      </c>
      <c r="Q2464" t="n">
        <v>0</v>
      </c>
      <c r="R2464" s="2" t="inlineStr"/>
    </row>
    <row r="2465" ht="15" customHeight="1">
      <c r="A2465" t="inlineStr">
        <is>
          <t>A 23939-2023</t>
        </is>
      </c>
      <c r="B2465" s="1" t="n">
        <v>45078.59965277778</v>
      </c>
      <c r="C2465" s="1" t="n">
        <v>45884</v>
      </c>
      <c r="D2465" t="inlineStr">
        <is>
          <t>KALMAR LÄN</t>
        </is>
      </c>
      <c r="E2465" t="inlineStr">
        <is>
          <t>EMMABODA</t>
        </is>
      </c>
      <c r="F2465" t="inlineStr">
        <is>
          <t>Sveaskog</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46457-2023</t>
        </is>
      </c>
      <c r="B2466" s="1" t="n">
        <v>45197.60594907407</v>
      </c>
      <c r="C2466" s="1" t="n">
        <v>45884</v>
      </c>
      <c r="D2466" t="inlineStr">
        <is>
          <t>KALMAR LÄN</t>
        </is>
      </c>
      <c r="E2466" t="inlineStr">
        <is>
          <t>HULTSFRED</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39029-2020</t>
        </is>
      </c>
      <c r="B2467" s="1" t="n">
        <v>44062</v>
      </c>
      <c r="C2467" s="1" t="n">
        <v>45884</v>
      </c>
      <c r="D2467" t="inlineStr">
        <is>
          <t>KALMAR LÄN</t>
        </is>
      </c>
      <c r="E2467" t="inlineStr">
        <is>
          <t>KALMAR</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38757-2023</t>
        </is>
      </c>
      <c r="B2468" s="1" t="n">
        <v>45163.41376157408</v>
      </c>
      <c r="C2468" s="1" t="n">
        <v>45884</v>
      </c>
      <c r="D2468" t="inlineStr">
        <is>
          <t>KALMAR LÄN</t>
        </is>
      </c>
      <c r="E2468" t="inlineStr">
        <is>
          <t>VIMMERBY</t>
        </is>
      </c>
      <c r="G2468" t="n">
        <v>2.5</v>
      </c>
      <c r="H2468" t="n">
        <v>0</v>
      </c>
      <c r="I2468" t="n">
        <v>0</v>
      </c>
      <c r="J2468" t="n">
        <v>0</v>
      </c>
      <c r="K2468" t="n">
        <v>0</v>
      </c>
      <c r="L2468" t="n">
        <v>0</v>
      </c>
      <c r="M2468" t="n">
        <v>0</v>
      </c>
      <c r="N2468" t="n">
        <v>0</v>
      </c>
      <c r="O2468" t="n">
        <v>0</v>
      </c>
      <c r="P2468" t="n">
        <v>0</v>
      </c>
      <c r="Q2468" t="n">
        <v>0</v>
      </c>
      <c r="R2468" s="2" t="inlineStr"/>
    </row>
    <row r="2469" ht="15" customHeight="1">
      <c r="A2469" t="inlineStr">
        <is>
          <t>A 46543-2023</t>
        </is>
      </c>
      <c r="B2469" s="1" t="n">
        <v>45189</v>
      </c>
      <c r="C2469" s="1" t="n">
        <v>45884</v>
      </c>
      <c r="D2469" t="inlineStr">
        <is>
          <t>KALMAR LÄN</t>
        </is>
      </c>
      <c r="E2469" t="inlineStr">
        <is>
          <t>NYBRO</t>
        </is>
      </c>
      <c r="F2469" t="inlineStr">
        <is>
          <t>Kyrkan</t>
        </is>
      </c>
      <c r="G2469" t="n">
        <v>0.2</v>
      </c>
      <c r="H2469" t="n">
        <v>0</v>
      </c>
      <c r="I2469" t="n">
        <v>0</v>
      </c>
      <c r="J2469" t="n">
        <v>0</v>
      </c>
      <c r="K2469" t="n">
        <v>0</v>
      </c>
      <c r="L2469" t="n">
        <v>0</v>
      </c>
      <c r="M2469" t="n">
        <v>0</v>
      </c>
      <c r="N2469" t="n">
        <v>0</v>
      </c>
      <c r="O2469" t="n">
        <v>0</v>
      </c>
      <c r="P2469" t="n">
        <v>0</v>
      </c>
      <c r="Q2469" t="n">
        <v>0</v>
      </c>
      <c r="R2469" s="2" t="inlineStr"/>
    </row>
    <row r="2470" ht="15" customHeight="1">
      <c r="A2470" t="inlineStr">
        <is>
          <t>A 24584-2024</t>
        </is>
      </c>
      <c r="B2470" s="1" t="n">
        <v>45460</v>
      </c>
      <c r="C2470" s="1" t="n">
        <v>45884</v>
      </c>
      <c r="D2470" t="inlineStr">
        <is>
          <t>KALMAR LÄN</t>
        </is>
      </c>
      <c r="E2470" t="inlineStr">
        <is>
          <t>VÄSTERVIK</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46603-2023</t>
        </is>
      </c>
      <c r="B2471" s="1" t="n">
        <v>45198</v>
      </c>
      <c r="C2471" s="1" t="n">
        <v>45884</v>
      </c>
      <c r="D2471" t="inlineStr">
        <is>
          <t>KALMAR LÄN</t>
        </is>
      </c>
      <c r="E2471" t="inlineStr">
        <is>
          <t>OSKARSHAMN</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46607-2023</t>
        </is>
      </c>
      <c r="B2472" s="1" t="n">
        <v>45198</v>
      </c>
      <c r="C2472" s="1" t="n">
        <v>45884</v>
      </c>
      <c r="D2472" t="inlineStr">
        <is>
          <t>KALMAR LÄN</t>
        </is>
      </c>
      <c r="E2472" t="inlineStr">
        <is>
          <t>TORSÅS</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14650-2021</t>
        </is>
      </c>
      <c r="B2473" s="1" t="n">
        <v>44280.38127314814</v>
      </c>
      <c r="C2473" s="1" t="n">
        <v>45884</v>
      </c>
      <c r="D2473" t="inlineStr">
        <is>
          <t>KALMAR LÄN</t>
        </is>
      </c>
      <c r="E2473" t="inlineStr">
        <is>
          <t>KALMAR</t>
        </is>
      </c>
      <c r="G2473" t="n">
        <v>0.4</v>
      </c>
      <c r="H2473" t="n">
        <v>0</v>
      </c>
      <c r="I2473" t="n">
        <v>0</v>
      </c>
      <c r="J2473" t="n">
        <v>0</v>
      </c>
      <c r="K2473" t="n">
        <v>0</v>
      </c>
      <c r="L2473" t="n">
        <v>0</v>
      </c>
      <c r="M2473" t="n">
        <v>0</v>
      </c>
      <c r="N2473" t="n">
        <v>0</v>
      </c>
      <c r="O2473" t="n">
        <v>0</v>
      </c>
      <c r="P2473" t="n">
        <v>0</v>
      </c>
      <c r="Q2473" t="n">
        <v>0</v>
      </c>
      <c r="R2473" s="2" t="inlineStr"/>
    </row>
    <row r="2474" ht="15" customHeight="1">
      <c r="A2474" t="inlineStr">
        <is>
          <t>A 4076-2022</t>
        </is>
      </c>
      <c r="B2474" s="1" t="n">
        <v>44588.37998842593</v>
      </c>
      <c r="C2474" s="1" t="n">
        <v>45884</v>
      </c>
      <c r="D2474" t="inlineStr">
        <is>
          <t>KALMAR LÄN</t>
        </is>
      </c>
      <c r="E2474" t="inlineStr">
        <is>
          <t>VIMMERBY</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4122-2022</t>
        </is>
      </c>
      <c r="B2475" s="1" t="n">
        <v>44588</v>
      </c>
      <c r="C2475" s="1" t="n">
        <v>45884</v>
      </c>
      <c r="D2475" t="inlineStr">
        <is>
          <t>KALMAR LÄN</t>
        </is>
      </c>
      <c r="E2475" t="inlineStr">
        <is>
          <t>VIMMERBY</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59170-2022</t>
        </is>
      </c>
      <c r="B2476" s="1" t="n">
        <v>44904.48152777777</v>
      </c>
      <c r="C2476" s="1" t="n">
        <v>45884</v>
      </c>
      <c r="D2476" t="inlineStr">
        <is>
          <t>KALMAR LÄN</t>
        </is>
      </c>
      <c r="E2476" t="inlineStr">
        <is>
          <t>VÄSTERVIK</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34471-2024</t>
        </is>
      </c>
      <c r="B2477" s="1" t="n">
        <v>45525.59111111111</v>
      </c>
      <c r="C2477" s="1" t="n">
        <v>45884</v>
      </c>
      <c r="D2477" t="inlineStr">
        <is>
          <t>KALMAR LÄN</t>
        </is>
      </c>
      <c r="E2477" t="inlineStr">
        <is>
          <t>VÄSTERVIK</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58357-2023</t>
        </is>
      </c>
      <c r="B2478" s="1" t="n">
        <v>45250.63819444444</v>
      </c>
      <c r="C2478" s="1" t="n">
        <v>45884</v>
      </c>
      <c r="D2478" t="inlineStr">
        <is>
          <t>KALMAR LÄN</t>
        </is>
      </c>
      <c r="E2478" t="inlineStr">
        <is>
          <t>KALMAR</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16811-2025</t>
        </is>
      </c>
      <c r="B2479" s="1" t="n">
        <v>45754.63101851852</v>
      </c>
      <c r="C2479" s="1" t="n">
        <v>45884</v>
      </c>
      <c r="D2479" t="inlineStr">
        <is>
          <t>KALMAR LÄN</t>
        </is>
      </c>
      <c r="E2479" t="inlineStr">
        <is>
          <t>OSKARSHAMN</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16817-2025</t>
        </is>
      </c>
      <c r="B2480" s="1" t="n">
        <v>45754.63701388889</v>
      </c>
      <c r="C2480" s="1" t="n">
        <v>45884</v>
      </c>
      <c r="D2480" t="inlineStr">
        <is>
          <t>KALMAR LÄN</t>
        </is>
      </c>
      <c r="E2480" t="inlineStr">
        <is>
          <t>OSKARSHAMN</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52659-2024</t>
        </is>
      </c>
      <c r="B2481" s="1" t="n">
        <v>45610.36018518519</v>
      </c>
      <c r="C2481" s="1" t="n">
        <v>45884</v>
      </c>
      <c r="D2481" t="inlineStr">
        <is>
          <t>KALMAR LÄN</t>
        </is>
      </c>
      <c r="E2481" t="inlineStr">
        <is>
          <t>TORSÅS</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50298-2023</t>
        </is>
      </c>
      <c r="B2482" s="1" t="n">
        <v>45209</v>
      </c>
      <c r="C2482" s="1" t="n">
        <v>45884</v>
      </c>
      <c r="D2482" t="inlineStr">
        <is>
          <t>KALMAR LÄN</t>
        </is>
      </c>
      <c r="E2482" t="inlineStr">
        <is>
          <t>MÖNSTERÅS</t>
        </is>
      </c>
      <c r="G2482" t="n">
        <v>6.1</v>
      </c>
      <c r="H2482" t="n">
        <v>0</v>
      </c>
      <c r="I2482" t="n">
        <v>0</v>
      </c>
      <c r="J2482" t="n">
        <v>0</v>
      </c>
      <c r="K2482" t="n">
        <v>0</v>
      </c>
      <c r="L2482" t="n">
        <v>0</v>
      </c>
      <c r="M2482" t="n">
        <v>0</v>
      </c>
      <c r="N2482" t="n">
        <v>0</v>
      </c>
      <c r="O2482" t="n">
        <v>0</v>
      </c>
      <c r="P2482" t="n">
        <v>0</v>
      </c>
      <c r="Q2482" t="n">
        <v>0</v>
      </c>
      <c r="R2482" s="2" t="inlineStr"/>
    </row>
    <row r="2483" ht="15" customHeight="1">
      <c r="A2483" t="inlineStr">
        <is>
          <t>A 20229-2025</t>
        </is>
      </c>
      <c r="B2483" s="1" t="n">
        <v>45772.66631944444</v>
      </c>
      <c r="C2483" s="1" t="n">
        <v>45884</v>
      </c>
      <c r="D2483" t="inlineStr">
        <is>
          <t>KALMAR LÄN</t>
        </is>
      </c>
      <c r="E2483" t="inlineStr">
        <is>
          <t>TORSÅS</t>
        </is>
      </c>
      <c r="G2483" t="n">
        <v>2.9</v>
      </c>
      <c r="H2483" t="n">
        <v>0</v>
      </c>
      <c r="I2483" t="n">
        <v>0</v>
      </c>
      <c r="J2483" t="n">
        <v>0</v>
      </c>
      <c r="K2483" t="n">
        <v>0</v>
      </c>
      <c r="L2483" t="n">
        <v>0</v>
      </c>
      <c r="M2483" t="n">
        <v>0</v>
      </c>
      <c r="N2483" t="n">
        <v>0</v>
      </c>
      <c r="O2483" t="n">
        <v>0</v>
      </c>
      <c r="P2483" t="n">
        <v>0</v>
      </c>
      <c r="Q2483" t="n">
        <v>0</v>
      </c>
      <c r="R2483" s="2" t="inlineStr"/>
    </row>
    <row r="2484" ht="15" customHeight="1">
      <c r="A2484" t="inlineStr">
        <is>
          <t>A 57000-2024</t>
        </is>
      </c>
      <c r="B2484" s="1" t="n">
        <v>45626</v>
      </c>
      <c r="C2484" s="1" t="n">
        <v>45884</v>
      </c>
      <c r="D2484" t="inlineStr">
        <is>
          <t>KALMAR LÄN</t>
        </is>
      </c>
      <c r="E2484" t="inlineStr">
        <is>
          <t>HÖGSBY</t>
        </is>
      </c>
      <c r="G2484" t="n">
        <v>5.1</v>
      </c>
      <c r="H2484" t="n">
        <v>0</v>
      </c>
      <c r="I2484" t="n">
        <v>0</v>
      </c>
      <c r="J2484" t="n">
        <v>0</v>
      </c>
      <c r="K2484" t="n">
        <v>0</v>
      </c>
      <c r="L2484" t="n">
        <v>0</v>
      </c>
      <c r="M2484" t="n">
        <v>0</v>
      </c>
      <c r="N2484" t="n">
        <v>0</v>
      </c>
      <c r="O2484" t="n">
        <v>0</v>
      </c>
      <c r="P2484" t="n">
        <v>0</v>
      </c>
      <c r="Q2484" t="n">
        <v>0</v>
      </c>
      <c r="R2484" s="2" t="inlineStr"/>
    </row>
    <row r="2485" ht="15" customHeight="1">
      <c r="A2485" t="inlineStr">
        <is>
          <t>A 58374-2024</t>
        </is>
      </c>
      <c r="B2485" s="1" t="n">
        <v>45632.72635416667</v>
      </c>
      <c r="C2485" s="1" t="n">
        <v>45884</v>
      </c>
      <c r="D2485" t="inlineStr">
        <is>
          <t>KALMAR LÄN</t>
        </is>
      </c>
      <c r="E2485" t="inlineStr">
        <is>
          <t>VIMMERBY</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43256-2022</t>
        </is>
      </c>
      <c r="B2486" s="1" t="n">
        <v>44834.45706018519</v>
      </c>
      <c r="C2486" s="1" t="n">
        <v>45884</v>
      </c>
      <c r="D2486" t="inlineStr">
        <is>
          <t>KALMAR LÄN</t>
        </is>
      </c>
      <c r="E2486" t="inlineStr">
        <is>
          <t>EMMABODA</t>
        </is>
      </c>
      <c r="G2486" t="n">
        <v>4.6</v>
      </c>
      <c r="H2486" t="n">
        <v>0</v>
      </c>
      <c r="I2486" t="n">
        <v>0</v>
      </c>
      <c r="J2486" t="n">
        <v>0</v>
      </c>
      <c r="K2486" t="n">
        <v>0</v>
      </c>
      <c r="L2486" t="n">
        <v>0</v>
      </c>
      <c r="M2486" t="n">
        <v>0</v>
      </c>
      <c r="N2486" t="n">
        <v>0</v>
      </c>
      <c r="O2486" t="n">
        <v>0</v>
      </c>
      <c r="P2486" t="n">
        <v>0</v>
      </c>
      <c r="Q2486" t="n">
        <v>0</v>
      </c>
      <c r="R2486" s="2" t="inlineStr"/>
    </row>
    <row r="2487" ht="15" customHeight="1">
      <c r="A2487" t="inlineStr">
        <is>
          <t>A 56100-2024</t>
        </is>
      </c>
      <c r="B2487" s="1" t="n">
        <v>45624.42489583333</v>
      </c>
      <c r="C2487" s="1" t="n">
        <v>45884</v>
      </c>
      <c r="D2487" t="inlineStr">
        <is>
          <t>KALMAR LÄN</t>
        </is>
      </c>
      <c r="E2487" t="inlineStr">
        <is>
          <t>HULTSFRED</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43118-2022</t>
        </is>
      </c>
      <c r="B2488" s="1" t="n">
        <v>44833.86636574074</v>
      </c>
      <c r="C2488" s="1" t="n">
        <v>45884</v>
      </c>
      <c r="D2488" t="inlineStr">
        <is>
          <t>KALMAR LÄN</t>
        </is>
      </c>
      <c r="E2488" t="inlineStr">
        <is>
          <t>NYBRO</t>
        </is>
      </c>
      <c r="G2488" t="n">
        <v>3.5</v>
      </c>
      <c r="H2488" t="n">
        <v>0</v>
      </c>
      <c r="I2488" t="n">
        <v>0</v>
      </c>
      <c r="J2488" t="n">
        <v>0</v>
      </c>
      <c r="K2488" t="n">
        <v>0</v>
      </c>
      <c r="L2488" t="n">
        <v>0</v>
      </c>
      <c r="M2488" t="n">
        <v>0</v>
      </c>
      <c r="N2488" t="n">
        <v>0</v>
      </c>
      <c r="O2488" t="n">
        <v>0</v>
      </c>
      <c r="P2488" t="n">
        <v>0</v>
      </c>
      <c r="Q2488" t="n">
        <v>0</v>
      </c>
      <c r="R2488" s="2" t="inlineStr"/>
    </row>
    <row r="2489" ht="15" customHeight="1">
      <c r="A2489" t="inlineStr">
        <is>
          <t>A 29973-2023</t>
        </is>
      </c>
      <c r="B2489" s="1" t="n">
        <v>45108.703125</v>
      </c>
      <c r="C2489" s="1" t="n">
        <v>45884</v>
      </c>
      <c r="D2489" t="inlineStr">
        <is>
          <t>KALMAR LÄN</t>
        </is>
      </c>
      <c r="E2489" t="inlineStr">
        <is>
          <t>VIMMERBY</t>
        </is>
      </c>
      <c r="G2489" t="n">
        <v>4</v>
      </c>
      <c r="H2489" t="n">
        <v>0</v>
      </c>
      <c r="I2489" t="n">
        <v>0</v>
      </c>
      <c r="J2489" t="n">
        <v>0</v>
      </c>
      <c r="K2489" t="n">
        <v>0</v>
      </c>
      <c r="L2489" t="n">
        <v>0</v>
      </c>
      <c r="M2489" t="n">
        <v>0</v>
      </c>
      <c r="N2489" t="n">
        <v>0</v>
      </c>
      <c r="O2489" t="n">
        <v>0</v>
      </c>
      <c r="P2489" t="n">
        <v>0</v>
      </c>
      <c r="Q2489" t="n">
        <v>0</v>
      </c>
      <c r="R2489" s="2" t="inlineStr"/>
    </row>
    <row r="2490" ht="15" customHeight="1">
      <c r="A2490" t="inlineStr">
        <is>
          <t>A 4612-2025</t>
        </is>
      </c>
      <c r="B2490" s="1" t="n">
        <v>45687.58510416667</v>
      </c>
      <c r="C2490" s="1" t="n">
        <v>45884</v>
      </c>
      <c r="D2490" t="inlineStr">
        <is>
          <t>KALMAR LÄN</t>
        </is>
      </c>
      <c r="E2490" t="inlineStr">
        <is>
          <t>NYBRO</t>
        </is>
      </c>
      <c r="G2490" t="n">
        <v>4.7</v>
      </c>
      <c r="H2490" t="n">
        <v>0</v>
      </c>
      <c r="I2490" t="n">
        <v>0</v>
      </c>
      <c r="J2490" t="n">
        <v>0</v>
      </c>
      <c r="K2490" t="n">
        <v>0</v>
      </c>
      <c r="L2490" t="n">
        <v>0</v>
      </c>
      <c r="M2490" t="n">
        <v>0</v>
      </c>
      <c r="N2490" t="n">
        <v>0</v>
      </c>
      <c r="O2490" t="n">
        <v>0</v>
      </c>
      <c r="P2490" t="n">
        <v>0</v>
      </c>
      <c r="Q2490" t="n">
        <v>0</v>
      </c>
      <c r="R2490" s="2" t="inlineStr"/>
    </row>
    <row r="2491" ht="15" customHeight="1">
      <c r="A2491" t="inlineStr">
        <is>
          <t>A 14670-2024</t>
        </is>
      </c>
      <c r="B2491" s="1" t="n">
        <v>45397.44292824074</v>
      </c>
      <c r="C2491" s="1" t="n">
        <v>45884</v>
      </c>
      <c r="D2491" t="inlineStr">
        <is>
          <t>KALMAR LÄN</t>
        </is>
      </c>
      <c r="E2491" t="inlineStr">
        <is>
          <t>EMMABODA</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15828-2023</t>
        </is>
      </c>
      <c r="B2492" s="1" t="n">
        <v>45022</v>
      </c>
      <c r="C2492" s="1" t="n">
        <v>45884</v>
      </c>
      <c r="D2492" t="inlineStr">
        <is>
          <t>KALMAR LÄN</t>
        </is>
      </c>
      <c r="E2492" t="inlineStr">
        <is>
          <t>NYBRO</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31952-2021</t>
        </is>
      </c>
      <c r="B2493" s="1" t="n">
        <v>44370</v>
      </c>
      <c r="C2493" s="1" t="n">
        <v>45884</v>
      </c>
      <c r="D2493" t="inlineStr">
        <is>
          <t>KALMAR LÄN</t>
        </is>
      </c>
      <c r="E2493" t="inlineStr">
        <is>
          <t>VÄSTERVIK</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53158-2020</t>
        </is>
      </c>
      <c r="B2494" s="1" t="n">
        <v>44120</v>
      </c>
      <c r="C2494" s="1" t="n">
        <v>45884</v>
      </c>
      <c r="D2494" t="inlineStr">
        <is>
          <t>KALMAR LÄN</t>
        </is>
      </c>
      <c r="E2494" t="inlineStr">
        <is>
          <t>NYBRO</t>
        </is>
      </c>
      <c r="G2494" t="n">
        <v>3.2</v>
      </c>
      <c r="H2494" t="n">
        <v>0</v>
      </c>
      <c r="I2494" t="n">
        <v>0</v>
      </c>
      <c r="J2494" t="n">
        <v>0</v>
      </c>
      <c r="K2494" t="n">
        <v>0</v>
      </c>
      <c r="L2494" t="n">
        <v>0</v>
      </c>
      <c r="M2494" t="n">
        <v>0</v>
      </c>
      <c r="N2494" t="n">
        <v>0</v>
      </c>
      <c r="O2494" t="n">
        <v>0</v>
      </c>
      <c r="P2494" t="n">
        <v>0</v>
      </c>
      <c r="Q2494" t="n">
        <v>0</v>
      </c>
      <c r="R2494" s="2" t="inlineStr"/>
    </row>
    <row r="2495" ht="15" customHeight="1">
      <c r="A2495" t="inlineStr">
        <is>
          <t>A 6287-2023</t>
        </is>
      </c>
      <c r="B2495" s="1" t="n">
        <v>44965</v>
      </c>
      <c r="C2495" s="1" t="n">
        <v>45884</v>
      </c>
      <c r="D2495" t="inlineStr">
        <is>
          <t>KALMAR LÄN</t>
        </is>
      </c>
      <c r="E2495" t="inlineStr">
        <is>
          <t>OSKARSHAMN</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62623-2021</t>
        </is>
      </c>
      <c r="B2496" s="1" t="n">
        <v>44503.73760416666</v>
      </c>
      <c r="C2496" s="1" t="n">
        <v>45884</v>
      </c>
      <c r="D2496" t="inlineStr">
        <is>
          <t>KALMAR LÄN</t>
        </is>
      </c>
      <c r="E2496" t="inlineStr">
        <is>
          <t>OSKARSHAMN</t>
        </is>
      </c>
      <c r="G2496" t="n">
        <v>0</v>
      </c>
      <c r="H2496" t="n">
        <v>0</v>
      </c>
      <c r="I2496" t="n">
        <v>0</v>
      </c>
      <c r="J2496" t="n">
        <v>0</v>
      </c>
      <c r="K2496" t="n">
        <v>0</v>
      </c>
      <c r="L2496" t="n">
        <v>0</v>
      </c>
      <c r="M2496" t="n">
        <v>0</v>
      </c>
      <c r="N2496" t="n">
        <v>0</v>
      </c>
      <c r="O2496" t="n">
        <v>0</v>
      </c>
      <c r="P2496" t="n">
        <v>0</v>
      </c>
      <c r="Q2496" t="n">
        <v>0</v>
      </c>
      <c r="R2496" s="2" t="inlineStr"/>
    </row>
    <row r="2497" ht="15" customHeight="1">
      <c r="A2497" t="inlineStr">
        <is>
          <t>A 17330-2025</t>
        </is>
      </c>
      <c r="B2497" s="1" t="n">
        <v>45756.64157407408</v>
      </c>
      <c r="C2497" s="1" t="n">
        <v>45884</v>
      </c>
      <c r="D2497" t="inlineStr">
        <is>
          <t>KALMAR LÄN</t>
        </is>
      </c>
      <c r="E2497" t="inlineStr">
        <is>
          <t>NYBRO</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26285-2024</t>
        </is>
      </c>
      <c r="B2498" s="1" t="n">
        <v>45468.70357638889</v>
      </c>
      <c r="C2498" s="1" t="n">
        <v>45884</v>
      </c>
      <c r="D2498" t="inlineStr">
        <is>
          <t>KALMAR LÄN</t>
        </is>
      </c>
      <c r="E2498" t="inlineStr">
        <is>
          <t>VÄSTERVIK</t>
        </is>
      </c>
      <c r="F2498" t="inlineStr">
        <is>
          <t>Holmen skog AB</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56317-2024</t>
        </is>
      </c>
      <c r="B2499" s="1" t="n">
        <v>45624.73905092593</v>
      </c>
      <c r="C2499" s="1" t="n">
        <v>45884</v>
      </c>
      <c r="D2499" t="inlineStr">
        <is>
          <t>KALMAR LÄN</t>
        </is>
      </c>
      <c r="E2499" t="inlineStr">
        <is>
          <t>TORSÅS</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51478-2022</t>
        </is>
      </c>
      <c r="B2500" s="1" t="n">
        <v>44869.57064814815</v>
      </c>
      <c r="C2500" s="1" t="n">
        <v>45884</v>
      </c>
      <c r="D2500" t="inlineStr">
        <is>
          <t>KALMAR LÄN</t>
        </is>
      </c>
      <c r="E2500" t="inlineStr">
        <is>
          <t>MÖNSTERÅS</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64143-2021</t>
        </is>
      </c>
      <c r="B2501" s="1" t="n">
        <v>44510.52157407408</v>
      </c>
      <c r="C2501" s="1" t="n">
        <v>45884</v>
      </c>
      <c r="D2501" t="inlineStr">
        <is>
          <t>KALMAR LÄN</t>
        </is>
      </c>
      <c r="E2501" t="inlineStr">
        <is>
          <t>VIMMERBY</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11417-2023</t>
        </is>
      </c>
      <c r="B2502" s="1" t="n">
        <v>44993.51064814815</v>
      </c>
      <c r="C2502" s="1" t="n">
        <v>45884</v>
      </c>
      <c r="D2502" t="inlineStr">
        <is>
          <t>KALMAR LÄN</t>
        </is>
      </c>
      <c r="E2502" t="inlineStr">
        <is>
          <t>KALMAR</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47219-2021</t>
        </is>
      </c>
      <c r="B2503" s="1" t="n">
        <v>44447</v>
      </c>
      <c r="C2503" s="1" t="n">
        <v>45884</v>
      </c>
      <c r="D2503" t="inlineStr">
        <is>
          <t>KALMAR LÄN</t>
        </is>
      </c>
      <c r="E2503" t="inlineStr">
        <is>
          <t>EMMABODA</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11478-2023</t>
        </is>
      </c>
      <c r="B2504" s="1" t="n">
        <v>44991</v>
      </c>
      <c r="C2504" s="1" t="n">
        <v>45884</v>
      </c>
      <c r="D2504" t="inlineStr">
        <is>
          <t>KALMAR LÄN</t>
        </is>
      </c>
      <c r="E2504" t="inlineStr">
        <is>
          <t>HÖGSBY</t>
        </is>
      </c>
      <c r="G2504" t="n">
        <v>3.7</v>
      </c>
      <c r="H2504" t="n">
        <v>0</v>
      </c>
      <c r="I2504" t="n">
        <v>0</v>
      </c>
      <c r="J2504" t="n">
        <v>0</v>
      </c>
      <c r="K2504" t="n">
        <v>0</v>
      </c>
      <c r="L2504" t="n">
        <v>0</v>
      </c>
      <c r="M2504" t="n">
        <v>0</v>
      </c>
      <c r="N2504" t="n">
        <v>0</v>
      </c>
      <c r="O2504" t="n">
        <v>0</v>
      </c>
      <c r="P2504" t="n">
        <v>0</v>
      </c>
      <c r="Q2504" t="n">
        <v>0</v>
      </c>
      <c r="R2504" s="2" t="inlineStr"/>
    </row>
    <row r="2505" ht="15" customHeight="1">
      <c r="A2505" t="inlineStr">
        <is>
          <t>A 35662-2023</t>
        </is>
      </c>
      <c r="B2505" s="1" t="n">
        <v>45147</v>
      </c>
      <c r="C2505" s="1" t="n">
        <v>45884</v>
      </c>
      <c r="D2505" t="inlineStr">
        <is>
          <t>KALMAR LÄN</t>
        </is>
      </c>
      <c r="E2505" t="inlineStr">
        <is>
          <t>VÄSTERVIK</t>
        </is>
      </c>
      <c r="G2505" t="n">
        <v>0.4</v>
      </c>
      <c r="H2505" t="n">
        <v>0</v>
      </c>
      <c r="I2505" t="n">
        <v>0</v>
      </c>
      <c r="J2505" t="n">
        <v>0</v>
      </c>
      <c r="K2505" t="n">
        <v>0</v>
      </c>
      <c r="L2505" t="n">
        <v>0</v>
      </c>
      <c r="M2505" t="n">
        <v>0</v>
      </c>
      <c r="N2505" t="n">
        <v>0</v>
      </c>
      <c r="O2505" t="n">
        <v>0</v>
      </c>
      <c r="P2505" t="n">
        <v>0</v>
      </c>
      <c r="Q2505" t="n">
        <v>0</v>
      </c>
      <c r="R2505" s="2" t="inlineStr"/>
    </row>
    <row r="2506" ht="15" customHeight="1">
      <c r="A2506" t="inlineStr">
        <is>
          <t>A 37192-2024</t>
        </is>
      </c>
      <c r="B2506" s="1" t="n">
        <v>45539.66027777778</v>
      </c>
      <c r="C2506" s="1" t="n">
        <v>45884</v>
      </c>
      <c r="D2506" t="inlineStr">
        <is>
          <t>KALMAR LÄN</t>
        </is>
      </c>
      <c r="E2506" t="inlineStr">
        <is>
          <t>VIMMERBY</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23933-2023</t>
        </is>
      </c>
      <c r="B2507" s="1" t="n">
        <v>45075</v>
      </c>
      <c r="C2507" s="1" t="n">
        <v>45884</v>
      </c>
      <c r="D2507" t="inlineStr">
        <is>
          <t>KALMAR LÄN</t>
        </is>
      </c>
      <c r="E2507" t="inlineStr">
        <is>
          <t>NYBRO</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41187-2024</t>
        </is>
      </c>
      <c r="B2508" s="1" t="n">
        <v>45559.50409722222</v>
      </c>
      <c r="C2508" s="1" t="n">
        <v>45884</v>
      </c>
      <c r="D2508" t="inlineStr">
        <is>
          <t>KALMAR LÄN</t>
        </is>
      </c>
      <c r="E2508" t="inlineStr">
        <is>
          <t>HULTSFRED</t>
        </is>
      </c>
      <c r="G2508" t="n">
        <v>0.4</v>
      </c>
      <c r="H2508" t="n">
        <v>0</v>
      </c>
      <c r="I2508" t="n">
        <v>0</v>
      </c>
      <c r="J2508" t="n">
        <v>0</v>
      </c>
      <c r="K2508" t="n">
        <v>0</v>
      </c>
      <c r="L2508" t="n">
        <v>0</v>
      </c>
      <c r="M2508" t="n">
        <v>0</v>
      </c>
      <c r="N2508" t="n">
        <v>0</v>
      </c>
      <c r="O2508" t="n">
        <v>0</v>
      </c>
      <c r="P2508" t="n">
        <v>0</v>
      </c>
      <c r="Q2508" t="n">
        <v>0</v>
      </c>
      <c r="R2508" s="2" t="inlineStr"/>
    </row>
    <row r="2509" ht="15" customHeight="1">
      <c r="A2509" t="inlineStr">
        <is>
          <t>A 20407-2025</t>
        </is>
      </c>
      <c r="B2509" s="1" t="n">
        <v>45773</v>
      </c>
      <c r="C2509" s="1" t="n">
        <v>45884</v>
      </c>
      <c r="D2509" t="inlineStr">
        <is>
          <t>KALMAR LÄN</t>
        </is>
      </c>
      <c r="E2509" t="inlineStr">
        <is>
          <t>NYBRO</t>
        </is>
      </c>
      <c r="G2509" t="n">
        <v>2.6</v>
      </c>
      <c r="H2509" t="n">
        <v>0</v>
      </c>
      <c r="I2509" t="n">
        <v>0</v>
      </c>
      <c r="J2509" t="n">
        <v>0</v>
      </c>
      <c r="K2509" t="n">
        <v>0</v>
      </c>
      <c r="L2509" t="n">
        <v>0</v>
      </c>
      <c r="M2509" t="n">
        <v>0</v>
      </c>
      <c r="N2509" t="n">
        <v>0</v>
      </c>
      <c r="O2509" t="n">
        <v>0</v>
      </c>
      <c r="P2509" t="n">
        <v>0</v>
      </c>
      <c r="Q2509" t="n">
        <v>0</v>
      </c>
      <c r="R2509" s="2" t="inlineStr"/>
    </row>
    <row r="2510" ht="15" customHeight="1">
      <c r="A2510" t="inlineStr">
        <is>
          <t>A 9591-2025</t>
        </is>
      </c>
      <c r="B2510" s="1" t="n">
        <v>45715.64194444445</v>
      </c>
      <c r="C2510" s="1" t="n">
        <v>45884</v>
      </c>
      <c r="D2510" t="inlineStr">
        <is>
          <t>KALMAR LÄN</t>
        </is>
      </c>
      <c r="E2510" t="inlineStr">
        <is>
          <t>HULTSFRED</t>
        </is>
      </c>
      <c r="F2510" t="inlineStr">
        <is>
          <t>Sveaskog</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9592-2025</t>
        </is>
      </c>
      <c r="B2511" s="1" t="n">
        <v>45715.64390046296</v>
      </c>
      <c r="C2511" s="1" t="n">
        <v>45884</v>
      </c>
      <c r="D2511" t="inlineStr">
        <is>
          <t>KALMAR LÄN</t>
        </is>
      </c>
      <c r="E2511" t="inlineStr">
        <is>
          <t>HULTSFRED</t>
        </is>
      </c>
      <c r="G2511" t="n">
        <v>2.8</v>
      </c>
      <c r="H2511" t="n">
        <v>0</v>
      </c>
      <c r="I2511" t="n">
        <v>0</v>
      </c>
      <c r="J2511" t="n">
        <v>0</v>
      </c>
      <c r="K2511" t="n">
        <v>0</v>
      </c>
      <c r="L2511" t="n">
        <v>0</v>
      </c>
      <c r="M2511" t="n">
        <v>0</v>
      </c>
      <c r="N2511" t="n">
        <v>0</v>
      </c>
      <c r="O2511" t="n">
        <v>0</v>
      </c>
      <c r="P2511" t="n">
        <v>0</v>
      </c>
      <c r="Q2511" t="n">
        <v>0</v>
      </c>
      <c r="R2511" s="2" t="inlineStr"/>
    </row>
    <row r="2512" ht="15" customHeight="1">
      <c r="A2512" t="inlineStr">
        <is>
          <t>A 34565-2022</t>
        </is>
      </c>
      <c r="B2512" s="1" t="n">
        <v>44794</v>
      </c>
      <c r="C2512" s="1" t="n">
        <v>45884</v>
      </c>
      <c r="D2512" t="inlineStr">
        <is>
          <t>KALMAR LÄN</t>
        </is>
      </c>
      <c r="E2512" t="inlineStr">
        <is>
          <t>HULTSFRED</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73938-2021</t>
        </is>
      </c>
      <c r="B2513" s="1" t="n">
        <v>44553</v>
      </c>
      <c r="C2513" s="1" t="n">
        <v>45884</v>
      </c>
      <c r="D2513" t="inlineStr">
        <is>
          <t>KALMAR LÄN</t>
        </is>
      </c>
      <c r="E2513" t="inlineStr">
        <is>
          <t>VIMMERBY</t>
        </is>
      </c>
      <c r="G2513" t="n">
        <v>3.2</v>
      </c>
      <c r="H2513" t="n">
        <v>0</v>
      </c>
      <c r="I2513" t="n">
        <v>0</v>
      </c>
      <c r="J2513" t="n">
        <v>0</v>
      </c>
      <c r="K2513" t="n">
        <v>0</v>
      </c>
      <c r="L2513" t="n">
        <v>0</v>
      </c>
      <c r="M2513" t="n">
        <v>0</v>
      </c>
      <c r="N2513" t="n">
        <v>0</v>
      </c>
      <c r="O2513" t="n">
        <v>0</v>
      </c>
      <c r="P2513" t="n">
        <v>0</v>
      </c>
      <c r="Q2513" t="n">
        <v>0</v>
      </c>
      <c r="R2513" s="2" t="inlineStr"/>
    </row>
    <row r="2514" ht="15" customHeight="1">
      <c r="A2514" t="inlineStr">
        <is>
          <t>A 34630-2022</t>
        </is>
      </c>
      <c r="B2514" s="1" t="n">
        <v>44795.44729166666</v>
      </c>
      <c r="C2514" s="1" t="n">
        <v>45884</v>
      </c>
      <c r="D2514" t="inlineStr">
        <is>
          <t>KALMAR LÄN</t>
        </is>
      </c>
      <c r="E2514" t="inlineStr">
        <is>
          <t>TORSÅS</t>
        </is>
      </c>
      <c r="G2514" t="n">
        <v>3</v>
      </c>
      <c r="H2514" t="n">
        <v>0</v>
      </c>
      <c r="I2514" t="n">
        <v>0</v>
      </c>
      <c r="J2514" t="n">
        <v>0</v>
      </c>
      <c r="K2514" t="n">
        <v>0</v>
      </c>
      <c r="L2514" t="n">
        <v>0</v>
      </c>
      <c r="M2514" t="n">
        <v>0</v>
      </c>
      <c r="N2514" t="n">
        <v>0</v>
      </c>
      <c r="O2514" t="n">
        <v>0</v>
      </c>
      <c r="P2514" t="n">
        <v>0</v>
      </c>
      <c r="Q2514" t="n">
        <v>0</v>
      </c>
      <c r="R2514" s="2" t="inlineStr"/>
    </row>
    <row r="2515" ht="15" customHeight="1">
      <c r="A2515" t="inlineStr">
        <is>
          <t>A 17330-2024</t>
        </is>
      </c>
      <c r="B2515" s="1" t="n">
        <v>45414</v>
      </c>
      <c r="C2515" s="1" t="n">
        <v>45884</v>
      </c>
      <c r="D2515" t="inlineStr">
        <is>
          <t>KALMAR LÄN</t>
        </is>
      </c>
      <c r="E2515" t="inlineStr">
        <is>
          <t>HULTSFRED</t>
        </is>
      </c>
      <c r="G2515" t="n">
        <v>2.5</v>
      </c>
      <c r="H2515" t="n">
        <v>0</v>
      </c>
      <c r="I2515" t="n">
        <v>0</v>
      </c>
      <c r="J2515" t="n">
        <v>0</v>
      </c>
      <c r="K2515" t="n">
        <v>0</v>
      </c>
      <c r="L2515" t="n">
        <v>0</v>
      </c>
      <c r="M2515" t="n">
        <v>0</v>
      </c>
      <c r="N2515" t="n">
        <v>0</v>
      </c>
      <c r="O2515" t="n">
        <v>0</v>
      </c>
      <c r="P2515" t="n">
        <v>0</v>
      </c>
      <c r="Q2515" t="n">
        <v>0</v>
      </c>
      <c r="R2515" s="2" t="inlineStr"/>
    </row>
    <row r="2516" ht="15" customHeight="1">
      <c r="A2516" t="inlineStr">
        <is>
          <t>A 14876-2022</t>
        </is>
      </c>
      <c r="B2516" s="1" t="n">
        <v>44656.73034722222</v>
      </c>
      <c r="C2516" s="1" t="n">
        <v>45884</v>
      </c>
      <c r="D2516" t="inlineStr">
        <is>
          <t>KALMAR LÄN</t>
        </is>
      </c>
      <c r="E2516" t="inlineStr">
        <is>
          <t>OSKARSHAMN</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20511-2025</t>
        </is>
      </c>
      <c r="B2517" s="1" t="n">
        <v>45775.59498842592</v>
      </c>
      <c r="C2517" s="1" t="n">
        <v>45884</v>
      </c>
      <c r="D2517" t="inlineStr">
        <is>
          <t>KALMAR LÄN</t>
        </is>
      </c>
      <c r="E2517" t="inlineStr">
        <is>
          <t>EMMABODA</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20536-2025</t>
        </is>
      </c>
      <c r="B2518" s="1" t="n">
        <v>45775.61712962963</v>
      </c>
      <c r="C2518" s="1" t="n">
        <v>45884</v>
      </c>
      <c r="D2518" t="inlineStr">
        <is>
          <t>KALMAR LÄN</t>
        </is>
      </c>
      <c r="E2518" t="inlineStr">
        <is>
          <t>NYBRO</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28224-2024</t>
        </is>
      </c>
      <c r="B2519" s="1" t="n">
        <v>45477.37200231481</v>
      </c>
      <c r="C2519" s="1" t="n">
        <v>45884</v>
      </c>
      <c r="D2519" t="inlineStr">
        <is>
          <t>KALMAR LÄN</t>
        </is>
      </c>
      <c r="E2519" t="inlineStr">
        <is>
          <t>HULTSFRED</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34032-2022</t>
        </is>
      </c>
      <c r="B2520" s="1" t="n">
        <v>44791.33793981482</v>
      </c>
      <c r="C2520" s="1" t="n">
        <v>45884</v>
      </c>
      <c r="D2520" t="inlineStr">
        <is>
          <t>KALMAR LÄN</t>
        </is>
      </c>
      <c r="E2520" t="inlineStr">
        <is>
          <t>EMMABODA</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47318-2022</t>
        </is>
      </c>
      <c r="B2521" s="1" t="n">
        <v>44853.35319444445</v>
      </c>
      <c r="C2521" s="1" t="n">
        <v>45884</v>
      </c>
      <c r="D2521" t="inlineStr">
        <is>
          <t>KALMAR LÄN</t>
        </is>
      </c>
      <c r="E2521" t="inlineStr">
        <is>
          <t>TORSÅS</t>
        </is>
      </c>
      <c r="G2521" t="n">
        <v>6.4</v>
      </c>
      <c r="H2521" t="n">
        <v>0</v>
      </c>
      <c r="I2521" t="n">
        <v>0</v>
      </c>
      <c r="J2521" t="n">
        <v>0</v>
      </c>
      <c r="K2521" t="n">
        <v>0</v>
      </c>
      <c r="L2521" t="n">
        <v>0</v>
      </c>
      <c r="M2521" t="n">
        <v>0</v>
      </c>
      <c r="N2521" t="n">
        <v>0</v>
      </c>
      <c r="O2521" t="n">
        <v>0</v>
      </c>
      <c r="P2521" t="n">
        <v>0</v>
      </c>
      <c r="Q2521" t="n">
        <v>0</v>
      </c>
      <c r="R2521" s="2" t="inlineStr"/>
    </row>
    <row r="2522" ht="15" customHeight="1">
      <c r="A2522" t="inlineStr">
        <is>
          <t>A 60622-2023</t>
        </is>
      </c>
      <c r="B2522" s="1" t="n">
        <v>45260</v>
      </c>
      <c r="C2522" s="1" t="n">
        <v>45884</v>
      </c>
      <c r="D2522" t="inlineStr">
        <is>
          <t>KALMAR LÄN</t>
        </is>
      </c>
      <c r="E2522" t="inlineStr">
        <is>
          <t>NYBRO</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21619-2023</t>
        </is>
      </c>
      <c r="B2523" s="1" t="n">
        <v>45063</v>
      </c>
      <c r="C2523" s="1" t="n">
        <v>45884</v>
      </c>
      <c r="D2523" t="inlineStr">
        <is>
          <t>KALMAR LÄN</t>
        </is>
      </c>
      <c r="E2523" t="inlineStr">
        <is>
          <t>HULTSFRED</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61401-2023</t>
        </is>
      </c>
      <c r="B2524" s="1" t="n">
        <v>45264</v>
      </c>
      <c r="C2524" s="1" t="n">
        <v>45884</v>
      </c>
      <c r="D2524" t="inlineStr">
        <is>
          <t>KALMAR LÄN</t>
        </is>
      </c>
      <c r="E2524" t="inlineStr">
        <is>
          <t>KALMAR</t>
        </is>
      </c>
      <c r="G2524" t="n">
        <v>1.9</v>
      </c>
      <c r="H2524" t="n">
        <v>0</v>
      </c>
      <c r="I2524" t="n">
        <v>0</v>
      </c>
      <c r="J2524" t="n">
        <v>0</v>
      </c>
      <c r="K2524" t="n">
        <v>0</v>
      </c>
      <c r="L2524" t="n">
        <v>0</v>
      </c>
      <c r="M2524" t="n">
        <v>0</v>
      </c>
      <c r="N2524" t="n">
        <v>0</v>
      </c>
      <c r="O2524" t="n">
        <v>0</v>
      </c>
      <c r="P2524" t="n">
        <v>0</v>
      </c>
      <c r="Q2524" t="n">
        <v>0</v>
      </c>
      <c r="R2524" s="2" t="inlineStr"/>
      <c r="U2524">
        <f>HYPERLINK("https://klasma.github.io/Logging_0880/knärot/A 61401-2023 karta knärot.png", "A 61401-2023")</f>
        <v/>
      </c>
      <c r="V2524">
        <f>HYPERLINK("https://klasma.github.io/Logging_0880/klagomål/A 61401-2023 FSC-klagomål.docx", "A 61401-2023")</f>
        <v/>
      </c>
      <c r="W2524">
        <f>HYPERLINK("https://klasma.github.io/Logging_0880/klagomålsmail/A 61401-2023 FSC-klagomål mail.docx", "A 61401-2023")</f>
        <v/>
      </c>
      <c r="X2524">
        <f>HYPERLINK("https://klasma.github.io/Logging_0880/tillsyn/A 61401-2023 tillsynsbegäran.docx", "A 61401-2023")</f>
        <v/>
      </c>
      <c r="Y2524">
        <f>HYPERLINK("https://klasma.github.io/Logging_0880/tillsynsmail/A 61401-2023 tillsynsbegäran mail.docx", "A 61401-2023")</f>
        <v/>
      </c>
    </row>
    <row r="2525" ht="15" customHeight="1">
      <c r="A2525" t="inlineStr">
        <is>
          <t>A 10398-2023</t>
        </is>
      </c>
      <c r="B2525" s="1" t="n">
        <v>44981</v>
      </c>
      <c r="C2525" s="1" t="n">
        <v>45884</v>
      </c>
      <c r="D2525" t="inlineStr">
        <is>
          <t>KALMAR LÄN</t>
        </is>
      </c>
      <c r="E2525" t="inlineStr">
        <is>
          <t>MÖNSTERÅS</t>
        </is>
      </c>
      <c r="G2525" t="n">
        <v>4.8</v>
      </c>
      <c r="H2525" t="n">
        <v>0</v>
      </c>
      <c r="I2525" t="n">
        <v>0</v>
      </c>
      <c r="J2525" t="n">
        <v>0</v>
      </c>
      <c r="K2525" t="n">
        <v>0</v>
      </c>
      <c r="L2525" t="n">
        <v>0</v>
      </c>
      <c r="M2525" t="n">
        <v>0</v>
      </c>
      <c r="N2525" t="n">
        <v>0</v>
      </c>
      <c r="O2525" t="n">
        <v>0</v>
      </c>
      <c r="P2525" t="n">
        <v>0</v>
      </c>
      <c r="Q2525" t="n">
        <v>0</v>
      </c>
      <c r="R2525" s="2" t="inlineStr"/>
    </row>
    <row r="2526" ht="15" customHeight="1">
      <c r="A2526" t="inlineStr">
        <is>
          <t>A 9545-2024</t>
        </is>
      </c>
      <c r="B2526" s="1" t="n">
        <v>45359</v>
      </c>
      <c r="C2526" s="1" t="n">
        <v>45884</v>
      </c>
      <c r="D2526" t="inlineStr">
        <is>
          <t>KALMAR LÄN</t>
        </is>
      </c>
      <c r="E2526" t="inlineStr">
        <is>
          <t>MÖNSTERÅS</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10413-2023</t>
        </is>
      </c>
      <c r="B2527" s="1" t="n">
        <v>44987.50263888889</v>
      </c>
      <c r="C2527" s="1" t="n">
        <v>45884</v>
      </c>
      <c r="D2527" t="inlineStr">
        <is>
          <t>KALMAR LÄN</t>
        </is>
      </c>
      <c r="E2527" t="inlineStr">
        <is>
          <t>HÖGSBY</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12958-2023</t>
        </is>
      </c>
      <c r="B2528" s="1" t="n">
        <v>45001.76833333333</v>
      </c>
      <c r="C2528" s="1" t="n">
        <v>45884</v>
      </c>
      <c r="D2528" t="inlineStr">
        <is>
          <t>KALMAR LÄN</t>
        </is>
      </c>
      <c r="E2528" t="inlineStr">
        <is>
          <t>TORSÅS</t>
        </is>
      </c>
      <c r="G2528" t="n">
        <v>2.9</v>
      </c>
      <c r="H2528" t="n">
        <v>0</v>
      </c>
      <c r="I2528" t="n">
        <v>0</v>
      </c>
      <c r="J2528" t="n">
        <v>0</v>
      </c>
      <c r="K2528" t="n">
        <v>0</v>
      </c>
      <c r="L2528" t="n">
        <v>0</v>
      </c>
      <c r="M2528" t="n">
        <v>0</v>
      </c>
      <c r="N2528" t="n">
        <v>0</v>
      </c>
      <c r="O2528" t="n">
        <v>0</v>
      </c>
      <c r="P2528" t="n">
        <v>0</v>
      </c>
      <c r="Q2528" t="n">
        <v>0</v>
      </c>
      <c r="R2528" s="2" t="inlineStr"/>
    </row>
    <row r="2529" ht="15" customHeight="1">
      <c r="A2529" t="inlineStr">
        <is>
          <t>A 38468-2024</t>
        </is>
      </c>
      <c r="B2529" s="1" t="n">
        <v>45546.47163194444</v>
      </c>
      <c r="C2529" s="1" t="n">
        <v>45884</v>
      </c>
      <c r="D2529" t="inlineStr">
        <is>
          <t>KALMAR LÄN</t>
        </is>
      </c>
      <c r="E2529" t="inlineStr">
        <is>
          <t>HULTSFRED</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49338-2022</t>
        </is>
      </c>
      <c r="B2530" s="1" t="n">
        <v>44861.56807870371</v>
      </c>
      <c r="C2530" s="1" t="n">
        <v>45884</v>
      </c>
      <c r="D2530" t="inlineStr">
        <is>
          <t>KALMAR LÄN</t>
        </is>
      </c>
      <c r="E2530" t="inlineStr">
        <is>
          <t>HÖGSBY</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62456-2022</t>
        </is>
      </c>
      <c r="B2531" s="1" t="n">
        <v>44924</v>
      </c>
      <c r="C2531" s="1" t="n">
        <v>45884</v>
      </c>
      <c r="D2531" t="inlineStr">
        <is>
          <t>KALMAR LÄN</t>
        </is>
      </c>
      <c r="E2531" t="inlineStr">
        <is>
          <t>KALMAR</t>
        </is>
      </c>
      <c r="G2531" t="n">
        <v>6.7</v>
      </c>
      <c r="H2531" t="n">
        <v>0</v>
      </c>
      <c r="I2531" t="n">
        <v>0</v>
      </c>
      <c r="J2531" t="n">
        <v>0</v>
      </c>
      <c r="K2531" t="n">
        <v>0</v>
      </c>
      <c r="L2531" t="n">
        <v>0</v>
      </c>
      <c r="M2531" t="n">
        <v>0</v>
      </c>
      <c r="N2531" t="n">
        <v>0</v>
      </c>
      <c r="O2531" t="n">
        <v>0</v>
      </c>
      <c r="P2531" t="n">
        <v>0</v>
      </c>
      <c r="Q2531" t="n">
        <v>0</v>
      </c>
      <c r="R2531" s="2" t="inlineStr"/>
    </row>
    <row r="2532" ht="15" customHeight="1">
      <c r="A2532" t="inlineStr">
        <is>
          <t>A 8150-2022</t>
        </is>
      </c>
      <c r="B2532" s="1" t="n">
        <v>44609.62754629629</v>
      </c>
      <c r="C2532" s="1" t="n">
        <v>45884</v>
      </c>
      <c r="D2532" t="inlineStr">
        <is>
          <t>KALMAR LÄN</t>
        </is>
      </c>
      <c r="E2532" t="inlineStr">
        <is>
          <t>NYBRO</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30000-2022</t>
        </is>
      </c>
      <c r="B2533" s="1" t="n">
        <v>44756.89907407408</v>
      </c>
      <c r="C2533" s="1" t="n">
        <v>45884</v>
      </c>
      <c r="D2533" t="inlineStr">
        <is>
          <t>KALMAR LÄN</t>
        </is>
      </c>
      <c r="E2533" t="inlineStr">
        <is>
          <t>OSKARSHAMN</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15448-2024</t>
        </is>
      </c>
      <c r="B2534" s="1" t="n">
        <v>45401.43559027778</v>
      </c>
      <c r="C2534" s="1" t="n">
        <v>45884</v>
      </c>
      <c r="D2534" t="inlineStr">
        <is>
          <t>KALMAR LÄN</t>
        </is>
      </c>
      <c r="E2534" t="inlineStr">
        <is>
          <t>EMMABODA</t>
        </is>
      </c>
      <c r="G2534" t="n">
        <v>3.2</v>
      </c>
      <c r="H2534" t="n">
        <v>0</v>
      </c>
      <c r="I2534" t="n">
        <v>0</v>
      </c>
      <c r="J2534" t="n">
        <v>0</v>
      </c>
      <c r="K2534" t="n">
        <v>0</v>
      </c>
      <c r="L2534" t="n">
        <v>0</v>
      </c>
      <c r="M2534" t="n">
        <v>0</v>
      </c>
      <c r="N2534" t="n">
        <v>0</v>
      </c>
      <c r="O2534" t="n">
        <v>0</v>
      </c>
      <c r="P2534" t="n">
        <v>0</v>
      </c>
      <c r="Q2534" t="n">
        <v>0</v>
      </c>
      <c r="R2534" s="2" t="inlineStr"/>
    </row>
    <row r="2535" ht="15" customHeight="1">
      <c r="A2535" t="inlineStr">
        <is>
          <t>A 8711-2023</t>
        </is>
      </c>
      <c r="B2535" s="1" t="n">
        <v>44978.39695601852</v>
      </c>
      <c r="C2535" s="1" t="n">
        <v>45884</v>
      </c>
      <c r="D2535" t="inlineStr">
        <is>
          <t>KALMAR LÄN</t>
        </is>
      </c>
      <c r="E2535" t="inlineStr">
        <is>
          <t>OSKARSHAMN</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49891-2024</t>
        </is>
      </c>
      <c r="B2536" s="1" t="n">
        <v>45597</v>
      </c>
      <c r="C2536" s="1" t="n">
        <v>45884</v>
      </c>
      <c r="D2536" t="inlineStr">
        <is>
          <t>KALMAR LÄN</t>
        </is>
      </c>
      <c r="E2536" t="inlineStr">
        <is>
          <t>HULTSFRED</t>
        </is>
      </c>
      <c r="F2536" t="inlineStr">
        <is>
          <t>Sveaskog</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18621-2025</t>
        </is>
      </c>
      <c r="B2537" s="1" t="n">
        <v>45763</v>
      </c>
      <c r="C2537" s="1" t="n">
        <v>45884</v>
      </c>
      <c r="D2537" t="inlineStr">
        <is>
          <t>KALMAR LÄN</t>
        </is>
      </c>
      <c r="E2537" t="inlineStr">
        <is>
          <t>EMMABODA</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46640-2022</t>
        </is>
      </c>
      <c r="B2538" s="1" t="n">
        <v>44849</v>
      </c>
      <c r="C2538" s="1" t="n">
        <v>45884</v>
      </c>
      <c r="D2538" t="inlineStr">
        <is>
          <t>KALMAR LÄN</t>
        </is>
      </c>
      <c r="E2538" t="inlineStr">
        <is>
          <t>TORSÅS</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18099-2023</t>
        </is>
      </c>
      <c r="B2539" s="1" t="n">
        <v>45040.67196759259</v>
      </c>
      <c r="C2539" s="1" t="n">
        <v>45884</v>
      </c>
      <c r="D2539" t="inlineStr">
        <is>
          <t>KALMAR LÄN</t>
        </is>
      </c>
      <c r="E2539" t="inlineStr">
        <is>
          <t>HÖGSBY</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30402-2023</t>
        </is>
      </c>
      <c r="B2540" s="1" t="n">
        <v>45111.48395833333</v>
      </c>
      <c r="C2540" s="1" t="n">
        <v>45884</v>
      </c>
      <c r="D2540" t="inlineStr">
        <is>
          <t>KALMAR LÄN</t>
        </is>
      </c>
      <c r="E2540" t="inlineStr">
        <is>
          <t>VIMMERBY</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3878-2023</t>
        </is>
      </c>
      <c r="B2541" s="1" t="n">
        <v>44951</v>
      </c>
      <c r="C2541" s="1" t="n">
        <v>45884</v>
      </c>
      <c r="D2541" t="inlineStr">
        <is>
          <t>KALMAR LÄN</t>
        </is>
      </c>
      <c r="E2541" t="inlineStr">
        <is>
          <t>BORGHOLM</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60263-2022</t>
        </is>
      </c>
      <c r="B2542" s="1" t="n">
        <v>44910.48520833333</v>
      </c>
      <c r="C2542" s="1" t="n">
        <v>45884</v>
      </c>
      <c r="D2542" t="inlineStr">
        <is>
          <t>KALMAR LÄN</t>
        </is>
      </c>
      <c r="E2542" t="inlineStr">
        <is>
          <t>VÄSTERVIK</t>
        </is>
      </c>
      <c r="F2542" t="inlineStr">
        <is>
          <t>Sveaskog</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51152-2023</t>
        </is>
      </c>
      <c r="B2543" s="1" t="n">
        <v>45219.3707175926</v>
      </c>
      <c r="C2543" s="1" t="n">
        <v>45884</v>
      </c>
      <c r="D2543" t="inlineStr">
        <is>
          <t>KALMAR LÄN</t>
        </is>
      </c>
      <c r="E2543" t="inlineStr">
        <is>
          <t>KALMAR</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1663-2023</t>
        </is>
      </c>
      <c r="B2544" s="1" t="n">
        <v>44938.35186342592</v>
      </c>
      <c r="C2544" s="1" t="n">
        <v>45884</v>
      </c>
      <c r="D2544" t="inlineStr">
        <is>
          <t>KALMAR LÄN</t>
        </is>
      </c>
      <c r="E2544" t="inlineStr">
        <is>
          <t>TORSÅS</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62810-2023</t>
        </is>
      </c>
      <c r="B2545" s="1" t="n">
        <v>45271.88459490741</v>
      </c>
      <c r="C2545" s="1" t="n">
        <v>45884</v>
      </c>
      <c r="D2545" t="inlineStr">
        <is>
          <t>KALMAR LÄN</t>
        </is>
      </c>
      <c r="E2545" t="inlineStr">
        <is>
          <t>HULTSFRED</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212-2024</t>
        </is>
      </c>
      <c r="B2546" s="1" t="n">
        <v>45294.67804398148</v>
      </c>
      <c r="C2546" s="1" t="n">
        <v>45884</v>
      </c>
      <c r="D2546" t="inlineStr">
        <is>
          <t>KALMAR LÄN</t>
        </is>
      </c>
      <c r="E2546" t="inlineStr">
        <is>
          <t>OSKARSHAMN</t>
        </is>
      </c>
      <c r="G2546" t="n">
        <v>7.4</v>
      </c>
      <c r="H2546" t="n">
        <v>0</v>
      </c>
      <c r="I2546" t="n">
        <v>0</v>
      </c>
      <c r="J2546" t="n">
        <v>0</v>
      </c>
      <c r="K2546" t="n">
        <v>0</v>
      </c>
      <c r="L2546" t="n">
        <v>0</v>
      </c>
      <c r="M2546" t="n">
        <v>0</v>
      </c>
      <c r="N2546" t="n">
        <v>0</v>
      </c>
      <c r="O2546" t="n">
        <v>0</v>
      </c>
      <c r="P2546" t="n">
        <v>0</v>
      </c>
      <c r="Q2546" t="n">
        <v>0</v>
      </c>
      <c r="R2546" s="2" t="inlineStr"/>
    </row>
    <row r="2547" ht="15" customHeight="1">
      <c r="A2547" t="inlineStr">
        <is>
          <t>A 31612-2023</t>
        </is>
      </c>
      <c r="B2547" s="1" t="n">
        <v>45117.52946759259</v>
      </c>
      <c r="C2547" s="1" t="n">
        <v>45884</v>
      </c>
      <c r="D2547" t="inlineStr">
        <is>
          <t>KALMAR LÄN</t>
        </is>
      </c>
      <c r="E2547" t="inlineStr">
        <is>
          <t>NYBRO</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42429-2024</t>
        </is>
      </c>
      <c r="B2548" s="1" t="n">
        <v>45565.40657407408</v>
      </c>
      <c r="C2548" s="1" t="n">
        <v>45884</v>
      </c>
      <c r="D2548" t="inlineStr">
        <is>
          <t>KALMAR LÄN</t>
        </is>
      </c>
      <c r="E2548" t="inlineStr">
        <is>
          <t>VIMMERBY</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43635-2024</t>
        </is>
      </c>
      <c r="B2549" s="1" t="n">
        <v>45569.49569444444</v>
      </c>
      <c r="C2549" s="1" t="n">
        <v>45884</v>
      </c>
      <c r="D2549" t="inlineStr">
        <is>
          <t>KALMAR LÄN</t>
        </is>
      </c>
      <c r="E2549" t="inlineStr">
        <is>
          <t>HULTSFRED</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40076-2021</t>
        </is>
      </c>
      <c r="B2550" s="1" t="n">
        <v>44418</v>
      </c>
      <c r="C2550" s="1" t="n">
        <v>45884</v>
      </c>
      <c r="D2550" t="inlineStr">
        <is>
          <t>KALMAR LÄN</t>
        </is>
      </c>
      <c r="E2550" t="inlineStr">
        <is>
          <t>VIMMERBY</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8697-2024</t>
        </is>
      </c>
      <c r="B2551" s="1" t="n">
        <v>45356.37466435185</v>
      </c>
      <c r="C2551" s="1" t="n">
        <v>45884</v>
      </c>
      <c r="D2551" t="inlineStr">
        <is>
          <t>KALMAR LÄN</t>
        </is>
      </c>
      <c r="E2551" t="inlineStr">
        <is>
          <t>NYBRO</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24588-2023</t>
        </is>
      </c>
      <c r="B2552" s="1" t="n">
        <v>45083</v>
      </c>
      <c r="C2552" s="1" t="n">
        <v>45884</v>
      </c>
      <c r="D2552" t="inlineStr">
        <is>
          <t>KALMAR LÄN</t>
        </is>
      </c>
      <c r="E2552" t="inlineStr">
        <is>
          <t>KALMAR</t>
        </is>
      </c>
      <c r="G2552" t="n">
        <v>3.3</v>
      </c>
      <c r="H2552" t="n">
        <v>0</v>
      </c>
      <c r="I2552" t="n">
        <v>0</v>
      </c>
      <c r="J2552" t="n">
        <v>0</v>
      </c>
      <c r="K2552" t="n">
        <v>0</v>
      </c>
      <c r="L2552" t="n">
        <v>0</v>
      </c>
      <c r="M2552" t="n">
        <v>0</v>
      </c>
      <c r="N2552" t="n">
        <v>0</v>
      </c>
      <c r="O2552" t="n">
        <v>0</v>
      </c>
      <c r="P2552" t="n">
        <v>0</v>
      </c>
      <c r="Q2552" t="n">
        <v>0</v>
      </c>
      <c r="R2552" s="2" t="inlineStr"/>
    </row>
    <row r="2553" ht="15" customHeight="1">
      <c r="A2553" t="inlineStr">
        <is>
          <t>A 71342-2021</t>
        </is>
      </c>
      <c r="B2553" s="1" t="n">
        <v>44539.87341435185</v>
      </c>
      <c r="C2553" s="1" t="n">
        <v>45884</v>
      </c>
      <c r="D2553" t="inlineStr">
        <is>
          <t>KALMAR LÄN</t>
        </is>
      </c>
      <c r="E2553" t="inlineStr">
        <is>
          <t>OSKARSHAMN</t>
        </is>
      </c>
      <c r="F2553" t="inlineStr">
        <is>
          <t>Sveaskog</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47953-2023</t>
        </is>
      </c>
      <c r="B2554" s="1" t="n">
        <v>45204.579375</v>
      </c>
      <c r="C2554" s="1" t="n">
        <v>45884</v>
      </c>
      <c r="D2554" t="inlineStr">
        <is>
          <t>KALMAR LÄN</t>
        </is>
      </c>
      <c r="E2554" t="inlineStr">
        <is>
          <t>OSKARSHAMN</t>
        </is>
      </c>
      <c r="G2554" t="n">
        <v>4.1</v>
      </c>
      <c r="H2554" t="n">
        <v>0</v>
      </c>
      <c r="I2554" t="n">
        <v>0</v>
      </c>
      <c r="J2554" t="n">
        <v>0</v>
      </c>
      <c r="K2554" t="n">
        <v>0</v>
      </c>
      <c r="L2554" t="n">
        <v>0</v>
      </c>
      <c r="M2554" t="n">
        <v>0</v>
      </c>
      <c r="N2554" t="n">
        <v>0</v>
      </c>
      <c r="O2554" t="n">
        <v>0</v>
      </c>
      <c r="P2554" t="n">
        <v>0</v>
      </c>
      <c r="Q2554" t="n">
        <v>0</v>
      </c>
      <c r="R2554" s="2" t="inlineStr"/>
    </row>
    <row r="2555" ht="15" customHeight="1">
      <c r="A2555" t="inlineStr">
        <is>
          <t>A 11235-2023</t>
        </is>
      </c>
      <c r="B2555" s="1" t="n">
        <v>44992.64321759259</v>
      </c>
      <c r="C2555" s="1" t="n">
        <v>45884</v>
      </c>
      <c r="D2555" t="inlineStr">
        <is>
          <t>KALMAR LÄN</t>
        </is>
      </c>
      <c r="E2555" t="inlineStr">
        <is>
          <t>HULTSFRED</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8456-2023</t>
        </is>
      </c>
      <c r="B2556" s="1" t="n">
        <v>44977</v>
      </c>
      <c r="C2556" s="1" t="n">
        <v>45884</v>
      </c>
      <c r="D2556" t="inlineStr">
        <is>
          <t>KALMAR LÄN</t>
        </is>
      </c>
      <c r="E2556" t="inlineStr">
        <is>
          <t>VÄSTERVIK</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29180-2024</t>
        </is>
      </c>
      <c r="B2557" s="1" t="n">
        <v>45482.54108796296</v>
      </c>
      <c r="C2557" s="1" t="n">
        <v>45884</v>
      </c>
      <c r="D2557" t="inlineStr">
        <is>
          <t>KALMAR LÄN</t>
        </is>
      </c>
      <c r="E2557" t="inlineStr">
        <is>
          <t>VIMMERBY</t>
        </is>
      </c>
      <c r="G2557" t="n">
        <v>3.8</v>
      </c>
      <c r="H2557" t="n">
        <v>0</v>
      </c>
      <c r="I2557" t="n">
        <v>0</v>
      </c>
      <c r="J2557" t="n">
        <v>0</v>
      </c>
      <c r="K2557" t="n">
        <v>0</v>
      </c>
      <c r="L2557" t="n">
        <v>0</v>
      </c>
      <c r="M2557" t="n">
        <v>0</v>
      </c>
      <c r="N2557" t="n">
        <v>0</v>
      </c>
      <c r="O2557" t="n">
        <v>0</v>
      </c>
      <c r="P2557" t="n">
        <v>0</v>
      </c>
      <c r="Q2557" t="n">
        <v>0</v>
      </c>
      <c r="R2557" s="2" t="inlineStr"/>
    </row>
    <row r="2558" ht="15" customHeight="1">
      <c r="A2558" t="inlineStr">
        <is>
          <t>A 9465-2025</t>
        </is>
      </c>
      <c r="B2558" s="1" t="n">
        <v>45715.46703703704</v>
      </c>
      <c r="C2558" s="1" t="n">
        <v>45884</v>
      </c>
      <c r="D2558" t="inlineStr">
        <is>
          <t>KALMAR LÄN</t>
        </is>
      </c>
      <c r="E2558" t="inlineStr">
        <is>
          <t>OSKARSHAMN</t>
        </is>
      </c>
      <c r="G2558" t="n">
        <v>4.5</v>
      </c>
      <c r="H2558" t="n">
        <v>0</v>
      </c>
      <c r="I2558" t="n">
        <v>0</v>
      </c>
      <c r="J2558" t="n">
        <v>0</v>
      </c>
      <c r="K2558" t="n">
        <v>0</v>
      </c>
      <c r="L2558" t="n">
        <v>0</v>
      </c>
      <c r="M2558" t="n">
        <v>0</v>
      </c>
      <c r="N2558" t="n">
        <v>0</v>
      </c>
      <c r="O2558" t="n">
        <v>0</v>
      </c>
      <c r="P2558" t="n">
        <v>0</v>
      </c>
      <c r="Q2558" t="n">
        <v>0</v>
      </c>
      <c r="R2558" s="2" t="inlineStr"/>
    </row>
    <row r="2559" ht="15" customHeight="1">
      <c r="A2559" t="inlineStr">
        <is>
          <t>A 41632-2023</t>
        </is>
      </c>
      <c r="B2559" s="1" t="n">
        <v>45175.79483796296</v>
      </c>
      <c r="C2559" s="1" t="n">
        <v>45884</v>
      </c>
      <c r="D2559" t="inlineStr">
        <is>
          <t>KALMAR LÄN</t>
        </is>
      </c>
      <c r="E2559" t="inlineStr">
        <is>
          <t>NYBRO</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44549-2023</t>
        </is>
      </c>
      <c r="B2560" s="1" t="n">
        <v>45189</v>
      </c>
      <c r="C2560" s="1" t="n">
        <v>45884</v>
      </c>
      <c r="D2560" t="inlineStr">
        <is>
          <t>KALMAR LÄN</t>
        </is>
      </c>
      <c r="E2560" t="inlineStr">
        <is>
          <t>KALMAR</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38971-2022</t>
        </is>
      </c>
      <c r="B2561" s="1" t="n">
        <v>44816.82284722223</v>
      </c>
      <c r="C2561" s="1" t="n">
        <v>45884</v>
      </c>
      <c r="D2561" t="inlineStr">
        <is>
          <t>KALMAR LÄN</t>
        </is>
      </c>
      <c r="E2561" t="inlineStr">
        <is>
          <t>HULTSFRED</t>
        </is>
      </c>
      <c r="G2561" t="n">
        <v>2.6</v>
      </c>
      <c r="H2561" t="n">
        <v>0</v>
      </c>
      <c r="I2561" t="n">
        <v>0</v>
      </c>
      <c r="J2561" t="n">
        <v>0</v>
      </c>
      <c r="K2561" t="n">
        <v>0</v>
      </c>
      <c r="L2561" t="n">
        <v>0</v>
      </c>
      <c r="M2561" t="n">
        <v>0</v>
      </c>
      <c r="N2561" t="n">
        <v>0</v>
      </c>
      <c r="O2561" t="n">
        <v>0</v>
      </c>
      <c r="P2561" t="n">
        <v>0</v>
      </c>
      <c r="Q2561" t="n">
        <v>0</v>
      </c>
      <c r="R2561" s="2" t="inlineStr"/>
    </row>
    <row r="2562" ht="15" customHeight="1">
      <c r="A2562" t="inlineStr">
        <is>
          <t>A 45066-2024</t>
        </is>
      </c>
      <c r="B2562" s="1" t="n">
        <v>45575.56173611111</v>
      </c>
      <c r="C2562" s="1" t="n">
        <v>45884</v>
      </c>
      <c r="D2562" t="inlineStr">
        <is>
          <t>KALMAR LÄN</t>
        </is>
      </c>
      <c r="E2562" t="inlineStr">
        <is>
          <t>MÖNSTERÅS</t>
        </is>
      </c>
      <c r="G2562" t="n">
        <v>5.1</v>
      </c>
      <c r="H2562" t="n">
        <v>0</v>
      </c>
      <c r="I2562" t="n">
        <v>0</v>
      </c>
      <c r="J2562" t="n">
        <v>0</v>
      </c>
      <c r="K2562" t="n">
        <v>0</v>
      </c>
      <c r="L2562" t="n">
        <v>0</v>
      </c>
      <c r="M2562" t="n">
        <v>0</v>
      </c>
      <c r="N2562" t="n">
        <v>0</v>
      </c>
      <c r="O2562" t="n">
        <v>0</v>
      </c>
      <c r="P2562" t="n">
        <v>0</v>
      </c>
      <c r="Q2562" t="n">
        <v>0</v>
      </c>
      <c r="R2562" s="2" t="inlineStr"/>
    </row>
    <row r="2563" ht="15" customHeight="1">
      <c r="A2563" t="inlineStr">
        <is>
          <t>A 4172-2023</t>
        </is>
      </c>
      <c r="B2563" s="1" t="n">
        <v>44953</v>
      </c>
      <c r="C2563" s="1" t="n">
        <v>45884</v>
      </c>
      <c r="D2563" t="inlineStr">
        <is>
          <t>KALMAR LÄN</t>
        </is>
      </c>
      <c r="E2563" t="inlineStr">
        <is>
          <t>NYBRO</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4173-2023</t>
        </is>
      </c>
      <c r="B2564" s="1" t="n">
        <v>44953</v>
      </c>
      <c r="C2564" s="1" t="n">
        <v>45884</v>
      </c>
      <c r="D2564" t="inlineStr">
        <is>
          <t>KALMAR LÄN</t>
        </is>
      </c>
      <c r="E2564" t="inlineStr">
        <is>
          <t>EMMABODA</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13383-2023</t>
        </is>
      </c>
      <c r="B2565" s="1" t="n">
        <v>45005</v>
      </c>
      <c r="C2565" s="1" t="n">
        <v>45884</v>
      </c>
      <c r="D2565" t="inlineStr">
        <is>
          <t>KALMAR LÄN</t>
        </is>
      </c>
      <c r="E2565" t="inlineStr">
        <is>
          <t>BORGHOLM</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22150-2024</t>
        </is>
      </c>
      <c r="B2566" s="1" t="n">
        <v>45445.39274305556</v>
      </c>
      <c r="C2566" s="1" t="n">
        <v>45884</v>
      </c>
      <c r="D2566" t="inlineStr">
        <is>
          <t>KALMAR LÄN</t>
        </is>
      </c>
      <c r="E2566" t="inlineStr">
        <is>
          <t>EMMABODA</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35456-2024</t>
        </is>
      </c>
      <c r="B2567" s="1" t="n">
        <v>45531</v>
      </c>
      <c r="C2567" s="1" t="n">
        <v>45884</v>
      </c>
      <c r="D2567" t="inlineStr">
        <is>
          <t>KALMAR LÄN</t>
        </is>
      </c>
      <c r="E2567" t="inlineStr">
        <is>
          <t>VÄSTERVIK</t>
        </is>
      </c>
      <c r="G2567" t="n">
        <v>5.8</v>
      </c>
      <c r="H2567" t="n">
        <v>0</v>
      </c>
      <c r="I2567" t="n">
        <v>0</v>
      </c>
      <c r="J2567" t="n">
        <v>0</v>
      </c>
      <c r="K2567" t="n">
        <v>0</v>
      </c>
      <c r="L2567" t="n">
        <v>0</v>
      </c>
      <c r="M2567" t="n">
        <v>0</v>
      </c>
      <c r="N2567" t="n">
        <v>0</v>
      </c>
      <c r="O2567" t="n">
        <v>0</v>
      </c>
      <c r="P2567" t="n">
        <v>0</v>
      </c>
      <c r="Q2567" t="n">
        <v>0</v>
      </c>
      <c r="R2567" s="2" t="inlineStr"/>
    </row>
    <row r="2568" ht="15" customHeight="1">
      <c r="A2568" t="inlineStr">
        <is>
          <t>A 36638-2024</t>
        </is>
      </c>
      <c r="B2568" s="1" t="n">
        <v>45537.59931712963</v>
      </c>
      <c r="C2568" s="1" t="n">
        <v>45884</v>
      </c>
      <c r="D2568" t="inlineStr">
        <is>
          <t>KALMAR LÄN</t>
        </is>
      </c>
      <c r="E2568" t="inlineStr">
        <is>
          <t>HULTSFRED</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17969-2025</t>
        </is>
      </c>
      <c r="B2569" s="1" t="n">
        <v>45761.36119212963</v>
      </c>
      <c r="C2569" s="1" t="n">
        <v>45884</v>
      </c>
      <c r="D2569" t="inlineStr">
        <is>
          <t>KALMAR LÄN</t>
        </is>
      </c>
      <c r="E2569" t="inlineStr">
        <is>
          <t>NYBRO</t>
        </is>
      </c>
      <c r="G2569" t="n">
        <v>2.4</v>
      </c>
      <c r="H2569" t="n">
        <v>0</v>
      </c>
      <c r="I2569" t="n">
        <v>0</v>
      </c>
      <c r="J2569" t="n">
        <v>0</v>
      </c>
      <c r="K2569" t="n">
        <v>0</v>
      </c>
      <c r="L2569" t="n">
        <v>0</v>
      </c>
      <c r="M2569" t="n">
        <v>0</v>
      </c>
      <c r="N2569" t="n">
        <v>0</v>
      </c>
      <c r="O2569" t="n">
        <v>0</v>
      </c>
      <c r="P2569" t="n">
        <v>0</v>
      </c>
      <c r="Q2569" t="n">
        <v>0</v>
      </c>
      <c r="R2569" s="2" t="inlineStr"/>
    </row>
    <row r="2570" ht="15" customHeight="1">
      <c r="A2570" t="inlineStr">
        <is>
          <t>A 21908-2022</t>
        </is>
      </c>
      <c r="B2570" s="1" t="n">
        <v>44711</v>
      </c>
      <c r="C2570" s="1" t="n">
        <v>45884</v>
      </c>
      <c r="D2570" t="inlineStr">
        <is>
          <t>KALMAR LÄN</t>
        </is>
      </c>
      <c r="E2570" t="inlineStr">
        <is>
          <t>BORGHOLM</t>
        </is>
      </c>
      <c r="G2570" t="n">
        <v>4.7</v>
      </c>
      <c r="H2570" t="n">
        <v>0</v>
      </c>
      <c r="I2570" t="n">
        <v>0</v>
      </c>
      <c r="J2570" t="n">
        <v>0</v>
      </c>
      <c r="K2570" t="n">
        <v>0</v>
      </c>
      <c r="L2570" t="n">
        <v>0</v>
      </c>
      <c r="M2570" t="n">
        <v>0</v>
      </c>
      <c r="N2570" t="n">
        <v>0</v>
      </c>
      <c r="O2570" t="n">
        <v>0</v>
      </c>
      <c r="P2570" t="n">
        <v>0</v>
      </c>
      <c r="Q2570" t="n">
        <v>0</v>
      </c>
      <c r="R2570" s="2" t="inlineStr"/>
    </row>
    <row r="2571" ht="15" customHeight="1">
      <c r="A2571" t="inlineStr">
        <is>
          <t>A 65157-2023</t>
        </is>
      </c>
      <c r="B2571" s="1" t="n">
        <v>45288.611875</v>
      </c>
      <c r="C2571" s="1" t="n">
        <v>45884</v>
      </c>
      <c r="D2571" t="inlineStr">
        <is>
          <t>KALMAR LÄN</t>
        </is>
      </c>
      <c r="E2571" t="inlineStr">
        <is>
          <t>TORSÅS</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65159-2023</t>
        </is>
      </c>
      <c r="B2572" s="1" t="n">
        <v>45288.61378472222</v>
      </c>
      <c r="C2572" s="1" t="n">
        <v>45884</v>
      </c>
      <c r="D2572" t="inlineStr">
        <is>
          <t>KALMAR LÄN</t>
        </is>
      </c>
      <c r="E2572" t="inlineStr">
        <is>
          <t>TORSÅS</t>
        </is>
      </c>
      <c r="G2572" t="n">
        <v>6.3</v>
      </c>
      <c r="H2572" t="n">
        <v>0</v>
      </c>
      <c r="I2572" t="n">
        <v>0</v>
      </c>
      <c r="J2572" t="n">
        <v>0</v>
      </c>
      <c r="K2572" t="n">
        <v>0</v>
      </c>
      <c r="L2572" t="n">
        <v>0</v>
      </c>
      <c r="M2572" t="n">
        <v>0</v>
      </c>
      <c r="N2572" t="n">
        <v>0</v>
      </c>
      <c r="O2572" t="n">
        <v>0</v>
      </c>
      <c r="P2572" t="n">
        <v>0</v>
      </c>
      <c r="Q2572" t="n">
        <v>0</v>
      </c>
      <c r="R2572" s="2" t="inlineStr"/>
    </row>
    <row r="2573" ht="15" customHeight="1">
      <c r="A2573" t="inlineStr">
        <is>
          <t>A 9812-2024</t>
        </is>
      </c>
      <c r="B2573" s="1" t="n">
        <v>45362.96539351852</v>
      </c>
      <c r="C2573" s="1" t="n">
        <v>45884</v>
      </c>
      <c r="D2573" t="inlineStr">
        <is>
          <t>KALMAR LÄN</t>
        </is>
      </c>
      <c r="E2573" t="inlineStr">
        <is>
          <t>EMMABODA</t>
        </is>
      </c>
      <c r="G2573" t="n">
        <v>3</v>
      </c>
      <c r="H2573" t="n">
        <v>0</v>
      </c>
      <c r="I2573" t="n">
        <v>0</v>
      </c>
      <c r="J2573" t="n">
        <v>0</v>
      </c>
      <c r="K2573" t="n">
        <v>0</v>
      </c>
      <c r="L2573" t="n">
        <v>0</v>
      </c>
      <c r="M2573" t="n">
        <v>0</v>
      </c>
      <c r="N2573" t="n">
        <v>0</v>
      </c>
      <c r="O2573" t="n">
        <v>0</v>
      </c>
      <c r="P2573" t="n">
        <v>0</v>
      </c>
      <c r="Q2573" t="n">
        <v>0</v>
      </c>
      <c r="R2573" s="2" t="inlineStr"/>
    </row>
    <row r="2574" ht="15" customHeight="1">
      <c r="A2574" t="inlineStr">
        <is>
          <t>A 50648-2023</t>
        </is>
      </c>
      <c r="B2574" s="1" t="n">
        <v>45217.47834490741</v>
      </c>
      <c r="C2574" s="1" t="n">
        <v>45884</v>
      </c>
      <c r="D2574" t="inlineStr">
        <is>
          <t>KALMAR LÄN</t>
        </is>
      </c>
      <c r="E2574" t="inlineStr">
        <is>
          <t>VIMMERBY</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43431-2024</t>
        </is>
      </c>
      <c r="B2575" s="1" t="n">
        <v>45568.64324074074</v>
      </c>
      <c r="C2575" s="1" t="n">
        <v>45884</v>
      </c>
      <c r="D2575" t="inlineStr">
        <is>
          <t>KALMAR LÄN</t>
        </is>
      </c>
      <c r="E2575" t="inlineStr">
        <is>
          <t>MÖNSTERÅS</t>
        </is>
      </c>
      <c r="F2575" t="inlineStr">
        <is>
          <t>Övriga Aktiebolag</t>
        </is>
      </c>
      <c r="G2575" t="n">
        <v>2.7</v>
      </c>
      <c r="H2575" t="n">
        <v>0</v>
      </c>
      <c r="I2575" t="n">
        <v>0</v>
      </c>
      <c r="J2575" t="n">
        <v>0</v>
      </c>
      <c r="K2575" t="n">
        <v>0</v>
      </c>
      <c r="L2575" t="n">
        <v>0</v>
      </c>
      <c r="M2575" t="n">
        <v>0</v>
      </c>
      <c r="N2575" t="n">
        <v>0</v>
      </c>
      <c r="O2575" t="n">
        <v>0</v>
      </c>
      <c r="P2575" t="n">
        <v>0</v>
      </c>
      <c r="Q2575" t="n">
        <v>0</v>
      </c>
      <c r="R2575" s="2" t="inlineStr"/>
    </row>
    <row r="2576" ht="15" customHeight="1">
      <c r="A2576" t="inlineStr">
        <is>
          <t>A 56010-2021</t>
        </is>
      </c>
      <c r="B2576" s="1" t="n">
        <v>44477.44094907407</v>
      </c>
      <c r="C2576" s="1" t="n">
        <v>45884</v>
      </c>
      <c r="D2576" t="inlineStr">
        <is>
          <t>KALMAR LÄN</t>
        </is>
      </c>
      <c r="E2576" t="inlineStr">
        <is>
          <t>KALMAR</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59696-2023</t>
        </is>
      </c>
      <c r="B2577" s="1" t="n">
        <v>45256.85211805555</v>
      </c>
      <c r="C2577" s="1" t="n">
        <v>45884</v>
      </c>
      <c r="D2577" t="inlineStr">
        <is>
          <t>KALMAR LÄN</t>
        </is>
      </c>
      <c r="E2577" t="inlineStr">
        <is>
          <t>VÄSTERVIK</t>
        </is>
      </c>
      <c r="F2577" t="inlineStr">
        <is>
          <t>Sveaskog</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59697-2023</t>
        </is>
      </c>
      <c r="B2578" s="1" t="n">
        <v>45256.86208333333</v>
      </c>
      <c r="C2578" s="1" t="n">
        <v>45884</v>
      </c>
      <c r="D2578" t="inlineStr">
        <is>
          <t>KALMAR LÄN</t>
        </is>
      </c>
      <c r="E2578" t="inlineStr">
        <is>
          <t>OSKARSHAMN</t>
        </is>
      </c>
      <c r="G2578" t="n">
        <v>11.9</v>
      </c>
      <c r="H2578" t="n">
        <v>0</v>
      </c>
      <c r="I2578" t="n">
        <v>0</v>
      </c>
      <c r="J2578" t="n">
        <v>0</v>
      </c>
      <c r="K2578" t="n">
        <v>0</v>
      </c>
      <c r="L2578" t="n">
        <v>0</v>
      </c>
      <c r="M2578" t="n">
        <v>0</v>
      </c>
      <c r="N2578" t="n">
        <v>0</v>
      </c>
      <c r="O2578" t="n">
        <v>0</v>
      </c>
      <c r="P2578" t="n">
        <v>0</v>
      </c>
      <c r="Q2578" t="n">
        <v>0</v>
      </c>
      <c r="R2578" s="2" t="inlineStr"/>
    </row>
    <row r="2579" ht="15" customHeight="1">
      <c r="A2579" t="inlineStr">
        <is>
          <t>A 5766-2024</t>
        </is>
      </c>
      <c r="B2579" s="1" t="n">
        <v>45335</v>
      </c>
      <c r="C2579" s="1" t="n">
        <v>45884</v>
      </c>
      <c r="D2579" t="inlineStr">
        <is>
          <t>KALMAR LÄN</t>
        </is>
      </c>
      <c r="E2579" t="inlineStr">
        <is>
          <t>NYBRO</t>
        </is>
      </c>
      <c r="G2579" t="n">
        <v>3.5</v>
      </c>
      <c r="H2579" t="n">
        <v>0</v>
      </c>
      <c r="I2579" t="n">
        <v>0</v>
      </c>
      <c r="J2579" t="n">
        <v>0</v>
      </c>
      <c r="K2579" t="n">
        <v>0</v>
      </c>
      <c r="L2579" t="n">
        <v>0</v>
      </c>
      <c r="M2579" t="n">
        <v>0</v>
      </c>
      <c r="N2579" t="n">
        <v>0</v>
      </c>
      <c r="O2579" t="n">
        <v>0</v>
      </c>
      <c r="P2579" t="n">
        <v>0</v>
      </c>
      <c r="Q2579" t="n">
        <v>0</v>
      </c>
      <c r="R2579" s="2" t="inlineStr"/>
    </row>
    <row r="2580" ht="15" customHeight="1">
      <c r="A2580" t="inlineStr">
        <is>
          <t>A 5803-2024</t>
        </is>
      </c>
      <c r="B2580" s="1" t="n">
        <v>45335</v>
      </c>
      <c r="C2580" s="1" t="n">
        <v>45884</v>
      </c>
      <c r="D2580" t="inlineStr">
        <is>
          <t>KALMAR LÄN</t>
        </is>
      </c>
      <c r="E2580" t="inlineStr">
        <is>
          <t>NYBRO</t>
        </is>
      </c>
      <c r="F2580" t="inlineStr">
        <is>
          <t>Sveaskog</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21921-2022</t>
        </is>
      </c>
      <c r="B2581" s="1" t="n">
        <v>44711</v>
      </c>
      <c r="C2581" s="1" t="n">
        <v>45884</v>
      </c>
      <c r="D2581" t="inlineStr">
        <is>
          <t>KALMAR LÄN</t>
        </is>
      </c>
      <c r="E2581" t="inlineStr">
        <is>
          <t>OSKARSHAMN</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62940-2023</t>
        </is>
      </c>
      <c r="B2582" s="1" t="n">
        <v>45272</v>
      </c>
      <c r="C2582" s="1" t="n">
        <v>45884</v>
      </c>
      <c r="D2582" t="inlineStr">
        <is>
          <t>KALMAR LÄN</t>
        </is>
      </c>
      <c r="E2582" t="inlineStr">
        <is>
          <t>KALMAR</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61796-2024</t>
        </is>
      </c>
      <c r="B2583" s="1" t="n">
        <v>45649.55618055556</v>
      </c>
      <c r="C2583" s="1" t="n">
        <v>45884</v>
      </c>
      <c r="D2583" t="inlineStr">
        <is>
          <t>KALMAR LÄN</t>
        </is>
      </c>
      <c r="E2583" t="inlineStr">
        <is>
          <t>NYBRO</t>
        </is>
      </c>
      <c r="G2583" t="n">
        <v>4.8</v>
      </c>
      <c r="H2583" t="n">
        <v>0</v>
      </c>
      <c r="I2583" t="n">
        <v>0</v>
      </c>
      <c r="J2583" t="n">
        <v>0</v>
      </c>
      <c r="K2583" t="n">
        <v>0</v>
      </c>
      <c r="L2583" t="n">
        <v>0</v>
      </c>
      <c r="M2583" t="n">
        <v>0</v>
      </c>
      <c r="N2583" t="n">
        <v>0</v>
      </c>
      <c r="O2583" t="n">
        <v>0</v>
      </c>
      <c r="P2583" t="n">
        <v>0</v>
      </c>
      <c r="Q2583" t="n">
        <v>0</v>
      </c>
      <c r="R2583" s="2" t="inlineStr"/>
    </row>
    <row r="2584" ht="15" customHeight="1">
      <c r="A2584" t="inlineStr">
        <is>
          <t>A 4268-2025</t>
        </is>
      </c>
      <c r="B2584" s="1" t="n">
        <v>45685.62289351852</v>
      </c>
      <c r="C2584" s="1" t="n">
        <v>45884</v>
      </c>
      <c r="D2584" t="inlineStr">
        <is>
          <t>KALMAR LÄN</t>
        </is>
      </c>
      <c r="E2584" t="inlineStr">
        <is>
          <t>MÖNSTERÅS</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38847-2023</t>
        </is>
      </c>
      <c r="B2585" s="1" t="n">
        <v>45163</v>
      </c>
      <c r="C2585" s="1" t="n">
        <v>45884</v>
      </c>
      <c r="D2585" t="inlineStr">
        <is>
          <t>KALMAR LÄN</t>
        </is>
      </c>
      <c r="E2585" t="inlineStr">
        <is>
          <t>TORSÅS</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38850-2023</t>
        </is>
      </c>
      <c r="B2586" s="1" t="n">
        <v>45163.48689814815</v>
      </c>
      <c r="C2586" s="1" t="n">
        <v>45884</v>
      </c>
      <c r="D2586" t="inlineStr">
        <is>
          <t>KALMAR LÄN</t>
        </is>
      </c>
      <c r="E2586" t="inlineStr">
        <is>
          <t>TORSÅS</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38862-2023</t>
        </is>
      </c>
      <c r="B2587" s="1" t="n">
        <v>45163.50626157408</v>
      </c>
      <c r="C2587" s="1" t="n">
        <v>45884</v>
      </c>
      <c r="D2587" t="inlineStr">
        <is>
          <t>KALMAR LÄN</t>
        </is>
      </c>
      <c r="E2587" t="inlineStr">
        <is>
          <t>OSKARSHAMN</t>
        </is>
      </c>
      <c r="G2587" t="n">
        <v>5.1</v>
      </c>
      <c r="H2587" t="n">
        <v>0</v>
      </c>
      <c r="I2587" t="n">
        <v>0</v>
      </c>
      <c r="J2587" t="n">
        <v>0</v>
      </c>
      <c r="K2587" t="n">
        <v>0</v>
      </c>
      <c r="L2587" t="n">
        <v>0</v>
      </c>
      <c r="M2587" t="n">
        <v>0</v>
      </c>
      <c r="N2587" t="n">
        <v>0</v>
      </c>
      <c r="O2587" t="n">
        <v>0</v>
      </c>
      <c r="P2587" t="n">
        <v>0</v>
      </c>
      <c r="Q2587" t="n">
        <v>0</v>
      </c>
      <c r="R2587" s="2" t="inlineStr"/>
    </row>
    <row r="2588" ht="15" customHeight="1">
      <c r="A2588" t="inlineStr">
        <is>
          <t>A 45846-2023</t>
        </is>
      </c>
      <c r="B2588" s="1" t="n">
        <v>45195.58452546296</v>
      </c>
      <c r="C2588" s="1" t="n">
        <v>45884</v>
      </c>
      <c r="D2588" t="inlineStr">
        <is>
          <t>KALMAR LÄN</t>
        </is>
      </c>
      <c r="E2588" t="inlineStr">
        <is>
          <t>VIMMERBY</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61816-2024</t>
        </is>
      </c>
      <c r="B2589" s="1" t="n">
        <v>45649.59947916667</v>
      </c>
      <c r="C2589" s="1" t="n">
        <v>45884</v>
      </c>
      <c r="D2589" t="inlineStr">
        <is>
          <t>KALMAR LÄN</t>
        </is>
      </c>
      <c r="E2589" t="inlineStr">
        <is>
          <t>NYBRO</t>
        </is>
      </c>
      <c r="G2589" t="n">
        <v>6.3</v>
      </c>
      <c r="H2589" t="n">
        <v>0</v>
      </c>
      <c r="I2589" t="n">
        <v>0</v>
      </c>
      <c r="J2589" t="n">
        <v>0</v>
      </c>
      <c r="K2589" t="n">
        <v>0</v>
      </c>
      <c r="L2589" t="n">
        <v>0</v>
      </c>
      <c r="M2589" t="n">
        <v>0</v>
      </c>
      <c r="N2589" t="n">
        <v>0</v>
      </c>
      <c r="O2589" t="n">
        <v>0</v>
      </c>
      <c r="P2589" t="n">
        <v>0</v>
      </c>
      <c r="Q2589" t="n">
        <v>0</v>
      </c>
      <c r="R2589" s="2" t="inlineStr"/>
    </row>
    <row r="2590" ht="15" customHeight="1">
      <c r="A2590" t="inlineStr">
        <is>
          <t>A 5450-2022</t>
        </is>
      </c>
      <c r="B2590" s="1" t="n">
        <v>44595</v>
      </c>
      <c r="C2590" s="1" t="n">
        <v>45884</v>
      </c>
      <c r="D2590" t="inlineStr">
        <is>
          <t>KALMAR LÄN</t>
        </is>
      </c>
      <c r="E2590" t="inlineStr">
        <is>
          <t>VÄSTERVIK</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5460-2022</t>
        </is>
      </c>
      <c r="B2591" s="1" t="n">
        <v>44595</v>
      </c>
      <c r="C2591" s="1" t="n">
        <v>45884</v>
      </c>
      <c r="D2591" t="inlineStr">
        <is>
          <t>KALMAR LÄN</t>
        </is>
      </c>
      <c r="E2591" t="inlineStr">
        <is>
          <t>KALMAR</t>
        </is>
      </c>
      <c r="G2591" t="n">
        <v>0.4</v>
      </c>
      <c r="H2591" t="n">
        <v>0</v>
      </c>
      <c r="I2591" t="n">
        <v>0</v>
      </c>
      <c r="J2591" t="n">
        <v>0</v>
      </c>
      <c r="K2591" t="n">
        <v>0</v>
      </c>
      <c r="L2591" t="n">
        <v>0</v>
      </c>
      <c r="M2591" t="n">
        <v>0</v>
      </c>
      <c r="N2591" t="n">
        <v>0</v>
      </c>
      <c r="O2591" t="n">
        <v>0</v>
      </c>
      <c r="P2591" t="n">
        <v>0</v>
      </c>
      <c r="Q2591" t="n">
        <v>0</v>
      </c>
      <c r="R2591" s="2" t="inlineStr"/>
    </row>
    <row r="2592" ht="15" customHeight="1">
      <c r="A2592" t="inlineStr">
        <is>
          <t>A 529-2022</t>
        </is>
      </c>
      <c r="B2592" s="1" t="n">
        <v>44566</v>
      </c>
      <c r="C2592" s="1" t="n">
        <v>45884</v>
      </c>
      <c r="D2592" t="inlineStr">
        <is>
          <t>KALMAR LÄN</t>
        </is>
      </c>
      <c r="E2592" t="inlineStr">
        <is>
          <t>VIMMERBY</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18947-2022</t>
        </is>
      </c>
      <c r="B2593" s="1" t="n">
        <v>44690.6797337963</v>
      </c>
      <c r="C2593" s="1" t="n">
        <v>45884</v>
      </c>
      <c r="D2593" t="inlineStr">
        <is>
          <t>KALMAR LÄN</t>
        </is>
      </c>
      <c r="E2593" t="inlineStr">
        <is>
          <t>EMMABODA</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58318-2021</t>
        </is>
      </c>
      <c r="B2594" s="1" t="n">
        <v>44488.35878472222</v>
      </c>
      <c r="C2594" s="1" t="n">
        <v>45884</v>
      </c>
      <c r="D2594" t="inlineStr">
        <is>
          <t>KALMAR LÄN</t>
        </is>
      </c>
      <c r="E2594" t="inlineStr">
        <is>
          <t>VIMMERBY</t>
        </is>
      </c>
      <c r="G2594" t="n">
        <v>4</v>
      </c>
      <c r="H2594" t="n">
        <v>0</v>
      </c>
      <c r="I2594" t="n">
        <v>0</v>
      </c>
      <c r="J2594" t="n">
        <v>0</v>
      </c>
      <c r="K2594" t="n">
        <v>0</v>
      </c>
      <c r="L2594" t="n">
        <v>0</v>
      </c>
      <c r="M2594" t="n">
        <v>0</v>
      </c>
      <c r="N2594" t="n">
        <v>0</v>
      </c>
      <c r="O2594" t="n">
        <v>0</v>
      </c>
      <c r="P2594" t="n">
        <v>0</v>
      </c>
      <c r="Q2594" t="n">
        <v>0</v>
      </c>
      <c r="R2594" s="2" t="inlineStr"/>
    </row>
    <row r="2595" ht="15" customHeight="1">
      <c r="A2595" t="inlineStr">
        <is>
          <t>A 24228-2023</t>
        </is>
      </c>
      <c r="B2595" s="1" t="n">
        <v>45079</v>
      </c>
      <c r="C2595" s="1" t="n">
        <v>45884</v>
      </c>
      <c r="D2595" t="inlineStr">
        <is>
          <t>KALMAR LÄN</t>
        </is>
      </c>
      <c r="E2595" t="inlineStr">
        <is>
          <t>EMMABODA</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808-2023</t>
        </is>
      </c>
      <c r="B2596" s="1" t="n">
        <v>44931</v>
      </c>
      <c r="C2596" s="1" t="n">
        <v>45884</v>
      </c>
      <c r="D2596" t="inlineStr">
        <is>
          <t>KALMAR LÄN</t>
        </is>
      </c>
      <c r="E2596" t="inlineStr">
        <is>
          <t>VÄSTERVIK</t>
        </is>
      </c>
      <c r="F2596" t="inlineStr">
        <is>
          <t>Holmen skog AB</t>
        </is>
      </c>
      <c r="G2596" t="n">
        <v>0.3</v>
      </c>
      <c r="H2596" t="n">
        <v>0</v>
      </c>
      <c r="I2596" t="n">
        <v>0</v>
      </c>
      <c r="J2596" t="n">
        <v>0</v>
      </c>
      <c r="K2596" t="n">
        <v>0</v>
      </c>
      <c r="L2596" t="n">
        <v>0</v>
      </c>
      <c r="M2596" t="n">
        <v>0</v>
      </c>
      <c r="N2596" t="n">
        <v>0</v>
      </c>
      <c r="O2596" t="n">
        <v>0</v>
      </c>
      <c r="P2596" t="n">
        <v>0</v>
      </c>
      <c r="Q2596" t="n">
        <v>0</v>
      </c>
      <c r="R2596" s="2" t="inlineStr"/>
    </row>
    <row r="2597" ht="15" customHeight="1">
      <c r="A2597" t="inlineStr">
        <is>
          <t>A 89-2023</t>
        </is>
      </c>
      <c r="B2597" s="1" t="n">
        <v>44918</v>
      </c>
      <c r="C2597" s="1" t="n">
        <v>45884</v>
      </c>
      <c r="D2597" t="inlineStr">
        <is>
          <t>KALMAR LÄN</t>
        </is>
      </c>
      <c r="E2597" t="inlineStr">
        <is>
          <t>VIMMERBY</t>
        </is>
      </c>
      <c r="G2597" t="n">
        <v>16.1</v>
      </c>
      <c r="H2597" t="n">
        <v>0</v>
      </c>
      <c r="I2597" t="n">
        <v>0</v>
      </c>
      <c r="J2597" t="n">
        <v>0</v>
      </c>
      <c r="K2597" t="n">
        <v>0</v>
      </c>
      <c r="L2597" t="n">
        <v>0</v>
      </c>
      <c r="M2597" t="n">
        <v>0</v>
      </c>
      <c r="N2597" t="n">
        <v>0</v>
      </c>
      <c r="O2597" t="n">
        <v>0</v>
      </c>
      <c r="P2597" t="n">
        <v>0</v>
      </c>
      <c r="Q2597" t="n">
        <v>0</v>
      </c>
      <c r="R2597" s="2" t="inlineStr"/>
    </row>
    <row r="2598" ht="15" customHeight="1">
      <c r="A2598" t="inlineStr">
        <is>
          <t>A 16020-2023</t>
        </is>
      </c>
      <c r="B2598" s="1" t="n">
        <v>45026.82216435186</v>
      </c>
      <c r="C2598" s="1" t="n">
        <v>45884</v>
      </c>
      <c r="D2598" t="inlineStr">
        <is>
          <t>KALMAR LÄN</t>
        </is>
      </c>
      <c r="E2598" t="inlineStr">
        <is>
          <t>VIMMERBY</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8336-2025</t>
        </is>
      </c>
      <c r="B2599" s="1" t="n">
        <v>45708</v>
      </c>
      <c r="C2599" s="1" t="n">
        <v>45884</v>
      </c>
      <c r="D2599" t="inlineStr">
        <is>
          <t>KALMAR LÄN</t>
        </is>
      </c>
      <c r="E2599" t="inlineStr">
        <is>
          <t>HÖGSBY</t>
        </is>
      </c>
      <c r="G2599" t="n">
        <v>2.9</v>
      </c>
      <c r="H2599" t="n">
        <v>0</v>
      </c>
      <c r="I2599" t="n">
        <v>0</v>
      </c>
      <c r="J2599" t="n">
        <v>0</v>
      </c>
      <c r="K2599" t="n">
        <v>0</v>
      </c>
      <c r="L2599" t="n">
        <v>0</v>
      </c>
      <c r="M2599" t="n">
        <v>0</v>
      </c>
      <c r="N2599" t="n">
        <v>0</v>
      </c>
      <c r="O2599" t="n">
        <v>0</v>
      </c>
      <c r="P2599" t="n">
        <v>0</v>
      </c>
      <c r="Q2599" t="n">
        <v>0</v>
      </c>
      <c r="R2599" s="2" t="inlineStr"/>
    </row>
    <row r="2600" ht="15" customHeight="1">
      <c r="A2600" t="inlineStr">
        <is>
          <t>A 8341-2025</t>
        </is>
      </c>
      <c r="B2600" s="1" t="n">
        <v>45708</v>
      </c>
      <c r="C2600" s="1" t="n">
        <v>45884</v>
      </c>
      <c r="D2600" t="inlineStr">
        <is>
          <t>KALMAR LÄN</t>
        </is>
      </c>
      <c r="E2600" t="inlineStr">
        <is>
          <t>HÖGSBY</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49584-2023</t>
        </is>
      </c>
      <c r="B2601" s="1" t="n">
        <v>45211.67291666667</v>
      </c>
      <c r="C2601" s="1" t="n">
        <v>45884</v>
      </c>
      <c r="D2601" t="inlineStr">
        <is>
          <t>KALMAR LÄN</t>
        </is>
      </c>
      <c r="E2601" t="inlineStr">
        <is>
          <t>EMMABODA</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70680-2021</t>
        </is>
      </c>
      <c r="B2602" s="1" t="n">
        <v>44537.56964120371</v>
      </c>
      <c r="C2602" s="1" t="n">
        <v>45884</v>
      </c>
      <c r="D2602" t="inlineStr">
        <is>
          <t>KALMAR LÄN</t>
        </is>
      </c>
      <c r="E2602" t="inlineStr">
        <is>
          <t>MÖNSTERÅS</t>
        </is>
      </c>
      <c r="G2602" t="n">
        <v>6.6</v>
      </c>
      <c r="H2602" t="n">
        <v>0</v>
      </c>
      <c r="I2602" t="n">
        <v>0</v>
      </c>
      <c r="J2602" t="n">
        <v>0</v>
      </c>
      <c r="K2602" t="n">
        <v>0</v>
      </c>
      <c r="L2602" t="n">
        <v>0</v>
      </c>
      <c r="M2602" t="n">
        <v>0</v>
      </c>
      <c r="N2602" t="n">
        <v>0</v>
      </c>
      <c r="O2602" t="n">
        <v>0</v>
      </c>
      <c r="P2602" t="n">
        <v>0</v>
      </c>
      <c r="Q2602" t="n">
        <v>0</v>
      </c>
      <c r="R2602" s="2" t="inlineStr"/>
    </row>
    <row r="2603" ht="15" customHeight="1">
      <c r="A2603" t="inlineStr">
        <is>
          <t>A 18689-2024</t>
        </is>
      </c>
      <c r="B2603" s="1" t="n">
        <v>45426</v>
      </c>
      <c r="C2603" s="1" t="n">
        <v>45884</v>
      </c>
      <c r="D2603" t="inlineStr">
        <is>
          <t>KALMAR LÄN</t>
        </is>
      </c>
      <c r="E2603" t="inlineStr">
        <is>
          <t>TORSÅS</t>
        </is>
      </c>
      <c r="G2603" t="n">
        <v>4.1</v>
      </c>
      <c r="H2603" t="n">
        <v>0</v>
      </c>
      <c r="I2603" t="n">
        <v>0</v>
      </c>
      <c r="J2603" t="n">
        <v>0</v>
      </c>
      <c r="K2603" t="n">
        <v>0</v>
      </c>
      <c r="L2603" t="n">
        <v>0</v>
      </c>
      <c r="M2603" t="n">
        <v>0</v>
      </c>
      <c r="N2603" t="n">
        <v>0</v>
      </c>
      <c r="O2603" t="n">
        <v>0</v>
      </c>
      <c r="P2603" t="n">
        <v>0</v>
      </c>
      <c r="Q2603" t="n">
        <v>0</v>
      </c>
      <c r="R2603" s="2" t="inlineStr"/>
    </row>
    <row r="2604" ht="15" customHeight="1">
      <c r="A2604" t="inlineStr">
        <is>
          <t>A 16134-2022</t>
        </is>
      </c>
      <c r="B2604" s="1" t="n">
        <v>44665.90422453704</v>
      </c>
      <c r="C2604" s="1" t="n">
        <v>45884</v>
      </c>
      <c r="D2604" t="inlineStr">
        <is>
          <t>KALMAR LÄN</t>
        </is>
      </c>
      <c r="E2604" t="inlineStr">
        <is>
          <t>EMMABODA</t>
        </is>
      </c>
      <c r="G2604" t="n">
        <v>2.5</v>
      </c>
      <c r="H2604" t="n">
        <v>0</v>
      </c>
      <c r="I2604" t="n">
        <v>0</v>
      </c>
      <c r="J2604" t="n">
        <v>0</v>
      </c>
      <c r="K2604" t="n">
        <v>0</v>
      </c>
      <c r="L2604" t="n">
        <v>0</v>
      </c>
      <c r="M2604" t="n">
        <v>0</v>
      </c>
      <c r="N2604" t="n">
        <v>0</v>
      </c>
      <c r="O2604" t="n">
        <v>0</v>
      </c>
      <c r="P2604" t="n">
        <v>0</v>
      </c>
      <c r="Q2604" t="n">
        <v>0</v>
      </c>
      <c r="R2604" s="2" t="inlineStr"/>
    </row>
    <row r="2605" ht="15" customHeight="1">
      <c r="A2605" t="inlineStr">
        <is>
          <t>A 23088-2024</t>
        </is>
      </c>
      <c r="B2605" s="1" t="n">
        <v>45450.51092592593</v>
      </c>
      <c r="C2605" s="1" t="n">
        <v>45884</v>
      </c>
      <c r="D2605" t="inlineStr">
        <is>
          <t>KALMAR LÄN</t>
        </is>
      </c>
      <c r="E2605" t="inlineStr">
        <is>
          <t>VIMMERBY</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31691-2023</t>
        </is>
      </c>
      <c r="B2606" s="1" t="n">
        <v>45117.72543981481</v>
      </c>
      <c r="C2606" s="1" t="n">
        <v>45884</v>
      </c>
      <c r="D2606" t="inlineStr">
        <is>
          <t>KALMAR LÄN</t>
        </is>
      </c>
      <c r="E2606" t="inlineStr">
        <is>
          <t>VÄSTERVIK</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16331-2023</t>
        </is>
      </c>
      <c r="B2607" s="1" t="n">
        <v>45028</v>
      </c>
      <c r="C2607" s="1" t="n">
        <v>45884</v>
      </c>
      <c r="D2607" t="inlineStr">
        <is>
          <t>KALMAR LÄN</t>
        </is>
      </c>
      <c r="E2607" t="inlineStr">
        <is>
          <t>KALMAR</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29557-2023</t>
        </is>
      </c>
      <c r="B2608" s="1" t="n">
        <v>45106.66513888889</v>
      </c>
      <c r="C2608" s="1" t="n">
        <v>45884</v>
      </c>
      <c r="D2608" t="inlineStr">
        <is>
          <t>KALMAR LÄN</t>
        </is>
      </c>
      <c r="E2608" t="inlineStr">
        <is>
          <t>NYBRO</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50905-2023</t>
        </is>
      </c>
      <c r="B2609" s="1" t="n">
        <v>45218.41752314815</v>
      </c>
      <c r="C2609" s="1" t="n">
        <v>45884</v>
      </c>
      <c r="D2609" t="inlineStr">
        <is>
          <t>KALMAR LÄN</t>
        </is>
      </c>
      <c r="E2609" t="inlineStr">
        <is>
          <t>NYBRO</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50913-2023</t>
        </is>
      </c>
      <c r="B2610" s="1" t="n">
        <v>45218</v>
      </c>
      <c r="C2610" s="1" t="n">
        <v>45884</v>
      </c>
      <c r="D2610" t="inlineStr">
        <is>
          <t>KALMAR LÄN</t>
        </is>
      </c>
      <c r="E2610" t="inlineStr">
        <is>
          <t>MÖNSTERÅS</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11609-2023</t>
        </is>
      </c>
      <c r="B2611" s="1" t="n">
        <v>44994.40635416667</v>
      </c>
      <c r="C2611" s="1" t="n">
        <v>45884</v>
      </c>
      <c r="D2611" t="inlineStr">
        <is>
          <t>KALMAR LÄN</t>
        </is>
      </c>
      <c r="E2611" t="inlineStr">
        <is>
          <t>VIMMERBY</t>
        </is>
      </c>
      <c r="G2611" t="n">
        <v>4.9</v>
      </c>
      <c r="H2611" t="n">
        <v>0</v>
      </c>
      <c r="I2611" t="n">
        <v>0</v>
      </c>
      <c r="J2611" t="n">
        <v>0</v>
      </c>
      <c r="K2611" t="n">
        <v>0</v>
      </c>
      <c r="L2611" t="n">
        <v>0</v>
      </c>
      <c r="M2611" t="n">
        <v>0</v>
      </c>
      <c r="N2611" t="n">
        <v>0</v>
      </c>
      <c r="O2611" t="n">
        <v>0</v>
      </c>
      <c r="P2611" t="n">
        <v>0</v>
      </c>
      <c r="Q2611" t="n">
        <v>0</v>
      </c>
      <c r="R2611" s="2" t="inlineStr"/>
    </row>
    <row r="2612" ht="15" customHeight="1">
      <c r="A2612" t="inlineStr">
        <is>
          <t>A 16804-2024</t>
        </is>
      </c>
      <c r="B2612" s="1" t="n">
        <v>45411.45290509259</v>
      </c>
      <c r="C2612" s="1" t="n">
        <v>45884</v>
      </c>
      <c r="D2612" t="inlineStr">
        <is>
          <t>KALMAR LÄN</t>
        </is>
      </c>
      <c r="E2612" t="inlineStr">
        <is>
          <t>KALMAR</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4514-2021</t>
        </is>
      </c>
      <c r="B2613" s="1" t="n">
        <v>44224</v>
      </c>
      <c r="C2613" s="1" t="n">
        <v>45884</v>
      </c>
      <c r="D2613" t="inlineStr">
        <is>
          <t>KALMAR LÄN</t>
        </is>
      </c>
      <c r="E2613" t="inlineStr">
        <is>
          <t>NYBRO</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30510-2023</t>
        </is>
      </c>
      <c r="B2614" s="1" t="n">
        <v>45111</v>
      </c>
      <c r="C2614" s="1" t="n">
        <v>45884</v>
      </c>
      <c r="D2614" t="inlineStr">
        <is>
          <t>KALMAR LÄN</t>
        </is>
      </c>
      <c r="E2614" t="inlineStr">
        <is>
          <t>NYBRO</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38761-2024</t>
        </is>
      </c>
      <c r="B2615" s="1" t="n">
        <v>45547.44084490741</v>
      </c>
      <c r="C2615" s="1" t="n">
        <v>45884</v>
      </c>
      <c r="D2615" t="inlineStr">
        <is>
          <t>KALMAR LÄN</t>
        </is>
      </c>
      <c r="E2615" t="inlineStr">
        <is>
          <t>NYBRO</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58894-2023</t>
        </is>
      </c>
      <c r="B2616" s="1" t="n">
        <v>45250</v>
      </c>
      <c r="C2616" s="1" t="n">
        <v>45884</v>
      </c>
      <c r="D2616" t="inlineStr">
        <is>
          <t>KALMAR LÄN</t>
        </is>
      </c>
      <c r="E2616" t="inlineStr">
        <is>
          <t>MÖNSTERÅS</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65961-2020</t>
        </is>
      </c>
      <c r="B2617" s="1" t="n">
        <v>44175.39748842592</v>
      </c>
      <c r="C2617" s="1" t="n">
        <v>45884</v>
      </c>
      <c r="D2617" t="inlineStr">
        <is>
          <t>KALMAR LÄN</t>
        </is>
      </c>
      <c r="E2617" t="inlineStr">
        <is>
          <t>VIMMERBY</t>
        </is>
      </c>
      <c r="G2617" t="n">
        <v>2.6</v>
      </c>
      <c r="H2617" t="n">
        <v>0</v>
      </c>
      <c r="I2617" t="n">
        <v>0</v>
      </c>
      <c r="J2617" t="n">
        <v>0</v>
      </c>
      <c r="K2617" t="n">
        <v>0</v>
      </c>
      <c r="L2617" t="n">
        <v>0</v>
      </c>
      <c r="M2617" t="n">
        <v>0</v>
      </c>
      <c r="N2617" t="n">
        <v>0</v>
      </c>
      <c r="O2617" t="n">
        <v>0</v>
      </c>
      <c r="P2617" t="n">
        <v>0</v>
      </c>
      <c r="Q2617" t="n">
        <v>0</v>
      </c>
      <c r="R2617" s="2" t="inlineStr"/>
    </row>
    <row r="2618" ht="15" customHeight="1">
      <c r="A2618" t="inlineStr">
        <is>
          <t>A 5348-2024</t>
        </is>
      </c>
      <c r="B2618" s="1" t="n">
        <v>45331</v>
      </c>
      <c r="C2618" s="1" t="n">
        <v>45884</v>
      </c>
      <c r="D2618" t="inlineStr">
        <is>
          <t>KALMAR LÄN</t>
        </is>
      </c>
      <c r="E2618" t="inlineStr">
        <is>
          <t>VÄSTERVIK</t>
        </is>
      </c>
      <c r="F2618" t="inlineStr">
        <is>
          <t>Övriga Aktiebolag</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41342-2023</t>
        </is>
      </c>
      <c r="B2619" s="1" t="n">
        <v>45174.72416666667</v>
      </c>
      <c r="C2619" s="1" t="n">
        <v>45884</v>
      </c>
      <c r="D2619" t="inlineStr">
        <is>
          <t>KALMAR LÄN</t>
        </is>
      </c>
      <c r="E2619" t="inlineStr">
        <is>
          <t>VÄSTERVIK</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33601-2023</t>
        </is>
      </c>
      <c r="B2620" s="1" t="n">
        <v>45132</v>
      </c>
      <c r="C2620" s="1" t="n">
        <v>45884</v>
      </c>
      <c r="D2620" t="inlineStr">
        <is>
          <t>KALMAR LÄN</t>
        </is>
      </c>
      <c r="E2620" t="inlineStr">
        <is>
          <t>HULTSFRED</t>
        </is>
      </c>
      <c r="G2620" t="n">
        <v>2.2</v>
      </c>
      <c r="H2620" t="n">
        <v>0</v>
      </c>
      <c r="I2620" t="n">
        <v>0</v>
      </c>
      <c r="J2620" t="n">
        <v>0</v>
      </c>
      <c r="K2620" t="n">
        <v>0</v>
      </c>
      <c r="L2620" t="n">
        <v>0</v>
      </c>
      <c r="M2620" t="n">
        <v>0</v>
      </c>
      <c r="N2620" t="n">
        <v>0</v>
      </c>
      <c r="O2620" t="n">
        <v>0</v>
      </c>
      <c r="P2620" t="n">
        <v>0</v>
      </c>
      <c r="Q2620" t="n">
        <v>0</v>
      </c>
      <c r="R2620" s="2" t="inlineStr"/>
    </row>
    <row r="2621" ht="15" customHeight="1">
      <c r="A2621" t="inlineStr">
        <is>
          <t>A 15179-2024</t>
        </is>
      </c>
      <c r="B2621" s="1" t="n">
        <v>45400.36533564814</v>
      </c>
      <c r="C2621" s="1" t="n">
        <v>45884</v>
      </c>
      <c r="D2621" t="inlineStr">
        <is>
          <t>KALMAR LÄN</t>
        </is>
      </c>
      <c r="E2621" t="inlineStr">
        <is>
          <t>KALMAR</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38851-2023</t>
        </is>
      </c>
      <c r="B2622" s="1" t="n">
        <v>45163</v>
      </c>
      <c r="C2622" s="1" t="n">
        <v>45884</v>
      </c>
      <c r="D2622" t="inlineStr">
        <is>
          <t>KALMAR LÄN</t>
        </is>
      </c>
      <c r="E2622" t="inlineStr">
        <is>
          <t>VIMMERBY</t>
        </is>
      </c>
      <c r="G2622" t="n">
        <v>4.3</v>
      </c>
      <c r="H2622" t="n">
        <v>0</v>
      </c>
      <c r="I2622" t="n">
        <v>0</v>
      </c>
      <c r="J2622" t="n">
        <v>0</v>
      </c>
      <c r="K2622" t="n">
        <v>0</v>
      </c>
      <c r="L2622" t="n">
        <v>0</v>
      </c>
      <c r="M2622" t="n">
        <v>0</v>
      </c>
      <c r="N2622" t="n">
        <v>0</v>
      </c>
      <c r="O2622" t="n">
        <v>0</v>
      </c>
      <c r="P2622" t="n">
        <v>0</v>
      </c>
      <c r="Q2622" t="n">
        <v>0</v>
      </c>
      <c r="R2622" s="2" t="inlineStr"/>
    </row>
    <row r="2623" ht="15" customHeight="1">
      <c r="A2623" t="inlineStr">
        <is>
          <t>A 57139-2023</t>
        </is>
      </c>
      <c r="B2623" s="1" t="n">
        <v>45239</v>
      </c>
      <c r="C2623" s="1" t="n">
        <v>45884</v>
      </c>
      <c r="D2623" t="inlineStr">
        <is>
          <t>KALMAR LÄN</t>
        </is>
      </c>
      <c r="E2623" t="inlineStr">
        <is>
          <t>KALMAR</t>
        </is>
      </c>
      <c r="F2623" t="inlineStr">
        <is>
          <t>Kyrkan</t>
        </is>
      </c>
      <c r="G2623" t="n">
        <v>3.3</v>
      </c>
      <c r="H2623" t="n">
        <v>0</v>
      </c>
      <c r="I2623" t="n">
        <v>0</v>
      </c>
      <c r="J2623" t="n">
        <v>0</v>
      </c>
      <c r="K2623" t="n">
        <v>0</v>
      </c>
      <c r="L2623" t="n">
        <v>0</v>
      </c>
      <c r="M2623" t="n">
        <v>0</v>
      </c>
      <c r="N2623" t="n">
        <v>0</v>
      </c>
      <c r="O2623" t="n">
        <v>0</v>
      </c>
      <c r="P2623" t="n">
        <v>0</v>
      </c>
      <c r="Q2623" t="n">
        <v>0</v>
      </c>
      <c r="R2623" s="2" t="inlineStr"/>
    </row>
    <row r="2624" ht="15" customHeight="1">
      <c r="A2624" t="inlineStr">
        <is>
          <t>A 10759-2023</t>
        </is>
      </c>
      <c r="B2624" s="1" t="n">
        <v>44988</v>
      </c>
      <c r="C2624" s="1" t="n">
        <v>45884</v>
      </c>
      <c r="D2624" t="inlineStr">
        <is>
          <t>KALMAR LÄN</t>
        </is>
      </c>
      <c r="E2624" t="inlineStr">
        <is>
          <t>VIMMERBY</t>
        </is>
      </c>
      <c r="G2624" t="n">
        <v>0.4</v>
      </c>
      <c r="H2624" t="n">
        <v>0</v>
      </c>
      <c r="I2624" t="n">
        <v>0</v>
      </c>
      <c r="J2624" t="n">
        <v>0</v>
      </c>
      <c r="K2624" t="n">
        <v>0</v>
      </c>
      <c r="L2624" t="n">
        <v>0</v>
      </c>
      <c r="M2624" t="n">
        <v>0</v>
      </c>
      <c r="N2624" t="n">
        <v>0</v>
      </c>
      <c r="O2624" t="n">
        <v>0</v>
      </c>
      <c r="P2624" t="n">
        <v>0</v>
      </c>
      <c r="Q2624" t="n">
        <v>0</v>
      </c>
      <c r="R2624" s="2" t="inlineStr"/>
    </row>
    <row r="2625" ht="15" customHeight="1">
      <c r="A2625" t="inlineStr">
        <is>
          <t>A 16983-2023</t>
        </is>
      </c>
      <c r="B2625" s="1" t="n">
        <v>45033.76043981482</v>
      </c>
      <c r="C2625" s="1" t="n">
        <v>45884</v>
      </c>
      <c r="D2625" t="inlineStr">
        <is>
          <t>KALMAR LÄN</t>
        </is>
      </c>
      <c r="E2625" t="inlineStr">
        <is>
          <t>VIMMERBY</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61820-2023</t>
        </is>
      </c>
      <c r="B2626" s="1" t="n">
        <v>45266.32614583334</v>
      </c>
      <c r="C2626" s="1" t="n">
        <v>45884</v>
      </c>
      <c r="D2626" t="inlineStr">
        <is>
          <t>KALMAR LÄN</t>
        </is>
      </c>
      <c r="E2626" t="inlineStr">
        <is>
          <t>VIMMERBY</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21697-2024</t>
        </is>
      </c>
      <c r="B2627" s="1" t="n">
        <v>45442.46103009259</v>
      </c>
      <c r="C2627" s="1" t="n">
        <v>45884</v>
      </c>
      <c r="D2627" t="inlineStr">
        <is>
          <t>KALMAR LÄN</t>
        </is>
      </c>
      <c r="E2627" t="inlineStr">
        <is>
          <t>HULTSFRED</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33011-2024</t>
        </is>
      </c>
      <c r="B2628" s="1" t="n">
        <v>45517.5049074074</v>
      </c>
      <c r="C2628" s="1" t="n">
        <v>45884</v>
      </c>
      <c r="D2628" t="inlineStr">
        <is>
          <t>KALMAR LÄN</t>
        </is>
      </c>
      <c r="E2628" t="inlineStr">
        <is>
          <t>NYBRO</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10807-2023</t>
        </is>
      </c>
      <c r="B2629" s="1" t="n">
        <v>44989.64261574074</v>
      </c>
      <c r="C2629" s="1" t="n">
        <v>45884</v>
      </c>
      <c r="D2629" t="inlineStr">
        <is>
          <t>KALMAR LÄN</t>
        </is>
      </c>
      <c r="E2629" t="inlineStr">
        <is>
          <t>VÄSTERVIK</t>
        </is>
      </c>
      <c r="G2629" t="n">
        <v>0.4</v>
      </c>
      <c r="H2629" t="n">
        <v>0</v>
      </c>
      <c r="I2629" t="n">
        <v>0</v>
      </c>
      <c r="J2629" t="n">
        <v>0</v>
      </c>
      <c r="K2629" t="n">
        <v>0</v>
      </c>
      <c r="L2629" t="n">
        <v>0</v>
      </c>
      <c r="M2629" t="n">
        <v>0</v>
      </c>
      <c r="N2629" t="n">
        <v>0</v>
      </c>
      <c r="O2629" t="n">
        <v>0</v>
      </c>
      <c r="P2629" t="n">
        <v>0</v>
      </c>
      <c r="Q2629" t="n">
        <v>0</v>
      </c>
      <c r="R2629" s="2" t="inlineStr"/>
    </row>
    <row r="2630" ht="15" customHeight="1">
      <c r="A2630" t="inlineStr">
        <is>
          <t>A 46438-2020</t>
        </is>
      </c>
      <c r="B2630" s="1" t="n">
        <v>44095</v>
      </c>
      <c r="C2630" s="1" t="n">
        <v>45884</v>
      </c>
      <c r="D2630" t="inlineStr">
        <is>
          <t>KALMAR LÄN</t>
        </is>
      </c>
      <c r="E2630" t="inlineStr">
        <is>
          <t>TORSÅS</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38114-2023</t>
        </is>
      </c>
      <c r="B2631" s="1" t="n">
        <v>45161.32863425926</v>
      </c>
      <c r="C2631" s="1" t="n">
        <v>45884</v>
      </c>
      <c r="D2631" t="inlineStr">
        <is>
          <t>KALMAR LÄN</t>
        </is>
      </c>
      <c r="E2631" t="inlineStr">
        <is>
          <t>TORSÅS</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26859-2023</t>
        </is>
      </c>
      <c r="B2632" s="1" t="n">
        <v>45093</v>
      </c>
      <c r="C2632" s="1" t="n">
        <v>45884</v>
      </c>
      <c r="D2632" t="inlineStr">
        <is>
          <t>KALMAR LÄN</t>
        </is>
      </c>
      <c r="E2632" t="inlineStr">
        <is>
          <t>NYBRO</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31371-2023</t>
        </is>
      </c>
      <c r="B2633" s="1" t="n">
        <v>45114</v>
      </c>
      <c r="C2633" s="1" t="n">
        <v>45884</v>
      </c>
      <c r="D2633" t="inlineStr">
        <is>
          <t>KALMAR LÄN</t>
        </is>
      </c>
      <c r="E2633" t="inlineStr">
        <is>
          <t>KALMAR</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26227-2021</t>
        </is>
      </c>
      <c r="B2634" s="1" t="n">
        <v>44347.43795138889</v>
      </c>
      <c r="C2634" s="1" t="n">
        <v>45884</v>
      </c>
      <c r="D2634" t="inlineStr">
        <is>
          <t>KALMAR LÄN</t>
        </is>
      </c>
      <c r="E2634" t="inlineStr">
        <is>
          <t>EMMABODA</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23824-2023</t>
        </is>
      </c>
      <c r="B2635" s="1" t="n">
        <v>45078</v>
      </c>
      <c r="C2635" s="1" t="n">
        <v>45884</v>
      </c>
      <c r="D2635" t="inlineStr">
        <is>
          <t>KALMAR LÄN</t>
        </is>
      </c>
      <c r="E2635" t="inlineStr">
        <is>
          <t>NYBRO</t>
        </is>
      </c>
      <c r="G2635" t="n">
        <v>4.8</v>
      </c>
      <c r="H2635" t="n">
        <v>0</v>
      </c>
      <c r="I2635" t="n">
        <v>0</v>
      </c>
      <c r="J2635" t="n">
        <v>0</v>
      </c>
      <c r="K2635" t="n">
        <v>0</v>
      </c>
      <c r="L2635" t="n">
        <v>0</v>
      </c>
      <c r="M2635" t="n">
        <v>0</v>
      </c>
      <c r="N2635" t="n">
        <v>0</v>
      </c>
      <c r="O2635" t="n">
        <v>0</v>
      </c>
      <c r="P2635" t="n">
        <v>0</v>
      </c>
      <c r="Q2635" t="n">
        <v>0</v>
      </c>
      <c r="R2635" s="2" t="inlineStr"/>
    </row>
    <row r="2636" ht="15" customHeight="1">
      <c r="A2636" t="inlineStr">
        <is>
          <t>A 30035-2023</t>
        </is>
      </c>
      <c r="B2636" s="1" t="n">
        <v>45110</v>
      </c>
      <c r="C2636" s="1" t="n">
        <v>45884</v>
      </c>
      <c r="D2636" t="inlineStr">
        <is>
          <t>KALMAR LÄN</t>
        </is>
      </c>
      <c r="E2636" t="inlineStr">
        <is>
          <t>VÄSTERVIK</t>
        </is>
      </c>
      <c r="F2636" t="inlineStr">
        <is>
          <t>Holmen skog AB</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63583-2023</t>
        </is>
      </c>
      <c r="B2637" s="1" t="n">
        <v>45275.41833333333</v>
      </c>
      <c r="C2637" s="1" t="n">
        <v>45884</v>
      </c>
      <c r="D2637" t="inlineStr">
        <is>
          <t>KALMAR LÄN</t>
        </is>
      </c>
      <c r="E2637" t="inlineStr">
        <is>
          <t>VIMMERBY</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38814-2022</t>
        </is>
      </c>
      <c r="B2638" s="1" t="n">
        <v>44816</v>
      </c>
      <c r="C2638" s="1" t="n">
        <v>45884</v>
      </c>
      <c r="D2638" t="inlineStr">
        <is>
          <t>KALMAR LÄN</t>
        </is>
      </c>
      <c r="E2638" t="inlineStr">
        <is>
          <t>NYBRO</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934-2021</t>
        </is>
      </c>
      <c r="B2639" s="1" t="n">
        <v>44207.35459490741</v>
      </c>
      <c r="C2639" s="1" t="n">
        <v>45884</v>
      </c>
      <c r="D2639" t="inlineStr">
        <is>
          <t>KALMAR LÄN</t>
        </is>
      </c>
      <c r="E2639" t="inlineStr">
        <is>
          <t>EMMABODA</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24666-2023</t>
        </is>
      </c>
      <c r="B2640" s="1" t="n">
        <v>45084.49240740741</v>
      </c>
      <c r="C2640" s="1" t="n">
        <v>45884</v>
      </c>
      <c r="D2640" t="inlineStr">
        <is>
          <t>KALMAR LÄN</t>
        </is>
      </c>
      <c r="E2640" t="inlineStr">
        <is>
          <t>TORSÅS</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40079-2023</t>
        </is>
      </c>
      <c r="B2641" s="1" t="n">
        <v>45168.89298611111</v>
      </c>
      <c r="C2641" s="1" t="n">
        <v>45884</v>
      </c>
      <c r="D2641" t="inlineStr">
        <is>
          <t>KALMAR LÄN</t>
        </is>
      </c>
      <c r="E2641" t="inlineStr">
        <is>
          <t>VIMMERBY</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40155-2023</t>
        </is>
      </c>
      <c r="B2642" s="1" t="n">
        <v>45168</v>
      </c>
      <c r="C2642" s="1" t="n">
        <v>45884</v>
      </c>
      <c r="D2642" t="inlineStr">
        <is>
          <t>KALMAR LÄN</t>
        </is>
      </c>
      <c r="E2642" t="inlineStr">
        <is>
          <t>HÖGSBY</t>
        </is>
      </c>
      <c r="F2642" t="inlineStr">
        <is>
          <t>Kommuner</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61865-2020</t>
        </is>
      </c>
      <c r="B2643" s="1" t="n">
        <v>44155</v>
      </c>
      <c r="C2643" s="1" t="n">
        <v>45884</v>
      </c>
      <c r="D2643" t="inlineStr">
        <is>
          <t>KALMAR LÄN</t>
        </is>
      </c>
      <c r="E2643" t="inlineStr">
        <is>
          <t>MÖRBYLÅNGA</t>
        </is>
      </c>
      <c r="G2643" t="n">
        <v>5</v>
      </c>
      <c r="H2643" t="n">
        <v>0</v>
      </c>
      <c r="I2643" t="n">
        <v>0</v>
      </c>
      <c r="J2643" t="n">
        <v>0</v>
      </c>
      <c r="K2643" t="n">
        <v>0</v>
      </c>
      <c r="L2643" t="n">
        <v>0</v>
      </c>
      <c r="M2643" t="n">
        <v>0</v>
      </c>
      <c r="N2643" t="n">
        <v>0</v>
      </c>
      <c r="O2643" t="n">
        <v>0</v>
      </c>
      <c r="P2643" t="n">
        <v>0</v>
      </c>
      <c r="Q2643" t="n">
        <v>0</v>
      </c>
      <c r="R2643" s="2" t="inlineStr"/>
    </row>
    <row r="2644" ht="15" customHeight="1">
      <c r="A2644" t="inlineStr">
        <is>
          <t>A 61838-2023</t>
        </is>
      </c>
      <c r="B2644" s="1" t="n">
        <v>45266.36511574074</v>
      </c>
      <c r="C2644" s="1" t="n">
        <v>45884</v>
      </c>
      <c r="D2644" t="inlineStr">
        <is>
          <t>KALMAR LÄN</t>
        </is>
      </c>
      <c r="E2644" t="inlineStr">
        <is>
          <t>HULTSFRED</t>
        </is>
      </c>
      <c r="F2644" t="inlineStr">
        <is>
          <t>Sveaskog</t>
        </is>
      </c>
      <c r="G2644" t="n">
        <v>12.8</v>
      </c>
      <c r="H2644" t="n">
        <v>0</v>
      </c>
      <c r="I2644" t="n">
        <v>0</v>
      </c>
      <c r="J2644" t="n">
        <v>0</v>
      </c>
      <c r="K2644" t="n">
        <v>0</v>
      </c>
      <c r="L2644" t="n">
        <v>0</v>
      </c>
      <c r="M2644" t="n">
        <v>0</v>
      </c>
      <c r="N2644" t="n">
        <v>0</v>
      </c>
      <c r="O2644" t="n">
        <v>0</v>
      </c>
      <c r="P2644" t="n">
        <v>0</v>
      </c>
      <c r="Q2644" t="n">
        <v>0</v>
      </c>
      <c r="R2644" s="2" t="inlineStr"/>
    </row>
    <row r="2645" ht="15" customHeight="1">
      <c r="A2645" t="inlineStr">
        <is>
          <t>A 43774-2023</t>
        </is>
      </c>
      <c r="B2645" s="1" t="n">
        <v>45187</v>
      </c>
      <c r="C2645" s="1" t="n">
        <v>45884</v>
      </c>
      <c r="D2645" t="inlineStr">
        <is>
          <t>KALMAR LÄN</t>
        </is>
      </c>
      <c r="E2645" t="inlineStr">
        <is>
          <t>VIMMERBY</t>
        </is>
      </c>
      <c r="G2645" t="n">
        <v>3.4</v>
      </c>
      <c r="H2645" t="n">
        <v>0</v>
      </c>
      <c r="I2645" t="n">
        <v>0</v>
      </c>
      <c r="J2645" t="n">
        <v>0</v>
      </c>
      <c r="K2645" t="n">
        <v>0</v>
      </c>
      <c r="L2645" t="n">
        <v>0</v>
      </c>
      <c r="M2645" t="n">
        <v>0</v>
      </c>
      <c r="N2645" t="n">
        <v>0</v>
      </c>
      <c r="O2645" t="n">
        <v>0</v>
      </c>
      <c r="P2645" t="n">
        <v>0</v>
      </c>
      <c r="Q2645" t="n">
        <v>0</v>
      </c>
      <c r="R2645" s="2" t="inlineStr"/>
    </row>
    <row r="2646" ht="15" customHeight="1">
      <c r="A2646" t="inlineStr">
        <is>
          <t>A 1731-2023</t>
        </is>
      </c>
      <c r="B2646" s="1" t="n">
        <v>44938</v>
      </c>
      <c r="C2646" s="1" t="n">
        <v>45884</v>
      </c>
      <c r="D2646" t="inlineStr">
        <is>
          <t>KALMAR LÄN</t>
        </is>
      </c>
      <c r="E2646" t="inlineStr">
        <is>
          <t>TORSÅS</t>
        </is>
      </c>
      <c r="G2646" t="n">
        <v>3.2</v>
      </c>
      <c r="H2646" t="n">
        <v>0</v>
      </c>
      <c r="I2646" t="n">
        <v>0</v>
      </c>
      <c r="J2646" t="n">
        <v>0</v>
      </c>
      <c r="K2646" t="n">
        <v>0</v>
      </c>
      <c r="L2646" t="n">
        <v>0</v>
      </c>
      <c r="M2646" t="n">
        <v>0</v>
      </c>
      <c r="N2646" t="n">
        <v>0</v>
      </c>
      <c r="O2646" t="n">
        <v>0</v>
      </c>
      <c r="P2646" t="n">
        <v>0</v>
      </c>
      <c r="Q2646" t="n">
        <v>0</v>
      </c>
      <c r="R2646" s="2" t="inlineStr"/>
    </row>
    <row r="2647" ht="15" customHeight="1">
      <c r="A2647" t="inlineStr">
        <is>
          <t>A 16677-2024</t>
        </is>
      </c>
      <c r="B2647" s="1" t="n">
        <v>45408.68166666666</v>
      </c>
      <c r="C2647" s="1" t="n">
        <v>45884</v>
      </c>
      <c r="D2647" t="inlineStr">
        <is>
          <t>KALMAR LÄN</t>
        </is>
      </c>
      <c r="E2647" t="inlineStr">
        <is>
          <t>OSKARSHAMN</t>
        </is>
      </c>
      <c r="G2647" t="n">
        <v>4.2</v>
      </c>
      <c r="H2647" t="n">
        <v>0</v>
      </c>
      <c r="I2647" t="n">
        <v>0</v>
      </c>
      <c r="J2647" t="n">
        <v>0</v>
      </c>
      <c r="K2647" t="n">
        <v>0</v>
      </c>
      <c r="L2647" t="n">
        <v>0</v>
      </c>
      <c r="M2647" t="n">
        <v>0</v>
      </c>
      <c r="N2647" t="n">
        <v>0</v>
      </c>
      <c r="O2647" t="n">
        <v>0</v>
      </c>
      <c r="P2647" t="n">
        <v>0</v>
      </c>
      <c r="Q2647" t="n">
        <v>0</v>
      </c>
      <c r="R2647" s="2" t="inlineStr"/>
    </row>
    <row r="2648" ht="15" customHeight="1">
      <c r="A2648" t="inlineStr">
        <is>
          <t>A 54941-2022</t>
        </is>
      </c>
      <c r="B2648" s="1" t="n">
        <v>44886.45516203704</v>
      </c>
      <c r="C2648" s="1" t="n">
        <v>45884</v>
      </c>
      <c r="D2648" t="inlineStr">
        <is>
          <t>KALMAR LÄN</t>
        </is>
      </c>
      <c r="E2648" t="inlineStr">
        <is>
          <t>HÖGSBY</t>
        </is>
      </c>
      <c r="F2648" t="inlineStr">
        <is>
          <t>Kyrkan</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46121-2023</t>
        </is>
      </c>
      <c r="B2649" s="1" t="n">
        <v>45196.55392361111</v>
      </c>
      <c r="C2649" s="1" t="n">
        <v>45884</v>
      </c>
      <c r="D2649" t="inlineStr">
        <is>
          <t>KALMAR LÄN</t>
        </is>
      </c>
      <c r="E2649" t="inlineStr">
        <is>
          <t>VÄSTERVIK</t>
        </is>
      </c>
      <c r="F2649" t="inlineStr">
        <is>
          <t>Sveaskog</t>
        </is>
      </c>
      <c r="G2649" t="n">
        <v>3.3</v>
      </c>
      <c r="H2649" t="n">
        <v>0</v>
      </c>
      <c r="I2649" t="n">
        <v>0</v>
      </c>
      <c r="J2649" t="n">
        <v>0</v>
      </c>
      <c r="K2649" t="n">
        <v>0</v>
      </c>
      <c r="L2649" t="n">
        <v>0</v>
      </c>
      <c r="M2649" t="n">
        <v>0</v>
      </c>
      <c r="N2649" t="n">
        <v>0</v>
      </c>
      <c r="O2649" t="n">
        <v>0</v>
      </c>
      <c r="P2649" t="n">
        <v>0</v>
      </c>
      <c r="Q2649" t="n">
        <v>0</v>
      </c>
      <c r="R2649" s="2" t="inlineStr"/>
    </row>
    <row r="2650" ht="15" customHeight="1">
      <c r="A2650" t="inlineStr">
        <is>
          <t>A 46144-2023</t>
        </is>
      </c>
      <c r="B2650" s="1" t="n">
        <v>45196.57247685185</v>
      </c>
      <c r="C2650" s="1" t="n">
        <v>45884</v>
      </c>
      <c r="D2650" t="inlineStr">
        <is>
          <t>KALMAR LÄN</t>
        </is>
      </c>
      <c r="E2650" t="inlineStr">
        <is>
          <t>VIMMERBY</t>
        </is>
      </c>
      <c r="G2650" t="n">
        <v>6.5</v>
      </c>
      <c r="H2650" t="n">
        <v>0</v>
      </c>
      <c r="I2650" t="n">
        <v>0</v>
      </c>
      <c r="J2650" t="n">
        <v>0</v>
      </c>
      <c r="K2650" t="n">
        <v>0</v>
      </c>
      <c r="L2650" t="n">
        <v>0</v>
      </c>
      <c r="M2650" t="n">
        <v>0</v>
      </c>
      <c r="N2650" t="n">
        <v>0</v>
      </c>
      <c r="O2650" t="n">
        <v>0</v>
      </c>
      <c r="P2650" t="n">
        <v>0</v>
      </c>
      <c r="Q2650" t="n">
        <v>0</v>
      </c>
      <c r="R2650" s="2" t="inlineStr"/>
    </row>
    <row r="2651" ht="15" customHeight="1">
      <c r="A2651" t="inlineStr">
        <is>
          <t>A 29616-2022</t>
        </is>
      </c>
      <c r="B2651" s="1" t="n">
        <v>44754</v>
      </c>
      <c r="C2651" s="1" t="n">
        <v>45884</v>
      </c>
      <c r="D2651" t="inlineStr">
        <is>
          <t>KALMAR LÄN</t>
        </is>
      </c>
      <c r="E2651" t="inlineStr">
        <is>
          <t>VIMMERBY</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46038-2023</t>
        </is>
      </c>
      <c r="B2652" s="1" t="n">
        <v>45196.43013888889</v>
      </c>
      <c r="C2652" s="1" t="n">
        <v>45884</v>
      </c>
      <c r="D2652" t="inlineStr">
        <is>
          <t>KALMAR LÄN</t>
        </is>
      </c>
      <c r="E2652" t="inlineStr">
        <is>
          <t>TORSÅS</t>
        </is>
      </c>
      <c r="G2652" t="n">
        <v>2.9</v>
      </c>
      <c r="H2652" t="n">
        <v>0</v>
      </c>
      <c r="I2652" t="n">
        <v>0</v>
      </c>
      <c r="J2652" t="n">
        <v>0</v>
      </c>
      <c r="K2652" t="n">
        <v>0</v>
      </c>
      <c r="L2652" t="n">
        <v>0</v>
      </c>
      <c r="M2652" t="n">
        <v>0</v>
      </c>
      <c r="N2652" t="n">
        <v>0</v>
      </c>
      <c r="O2652" t="n">
        <v>0</v>
      </c>
      <c r="P2652" t="n">
        <v>0</v>
      </c>
      <c r="Q2652" t="n">
        <v>0</v>
      </c>
      <c r="R2652" s="2" t="inlineStr"/>
    </row>
    <row r="2653" ht="15" customHeight="1">
      <c r="A2653" t="inlineStr">
        <is>
          <t>A 55361-2024</t>
        </is>
      </c>
      <c r="B2653" s="1" t="n">
        <v>45621.83300925926</v>
      </c>
      <c r="C2653" s="1" t="n">
        <v>45884</v>
      </c>
      <c r="D2653" t="inlineStr">
        <is>
          <t>KALMAR LÄN</t>
        </is>
      </c>
      <c r="E2653" t="inlineStr">
        <is>
          <t>VÄSTERVIK</t>
        </is>
      </c>
      <c r="F2653" t="inlineStr">
        <is>
          <t>Sveaskog</t>
        </is>
      </c>
      <c r="G2653" t="n">
        <v>2.4</v>
      </c>
      <c r="H2653" t="n">
        <v>0</v>
      </c>
      <c r="I2653" t="n">
        <v>0</v>
      </c>
      <c r="J2653" t="n">
        <v>0</v>
      </c>
      <c r="K2653" t="n">
        <v>0</v>
      </c>
      <c r="L2653" t="n">
        <v>0</v>
      </c>
      <c r="M2653" t="n">
        <v>0</v>
      </c>
      <c r="N2653" t="n">
        <v>0</v>
      </c>
      <c r="O2653" t="n">
        <v>0</v>
      </c>
      <c r="P2653" t="n">
        <v>0</v>
      </c>
      <c r="Q2653" t="n">
        <v>0</v>
      </c>
      <c r="R2653" s="2" t="inlineStr"/>
    </row>
    <row r="2654" ht="15" customHeight="1">
      <c r="A2654" t="inlineStr">
        <is>
          <t>A 55362-2024</t>
        </is>
      </c>
      <c r="B2654" s="1" t="n">
        <v>45621.83461805555</v>
      </c>
      <c r="C2654" s="1" t="n">
        <v>45884</v>
      </c>
      <c r="D2654" t="inlineStr">
        <is>
          <t>KALMAR LÄN</t>
        </is>
      </c>
      <c r="E2654" t="inlineStr">
        <is>
          <t>VÄSTERVIK</t>
        </is>
      </c>
      <c r="F2654" t="inlineStr">
        <is>
          <t>Sveaskog</t>
        </is>
      </c>
      <c r="G2654" t="n">
        <v>2.8</v>
      </c>
      <c r="H2654" t="n">
        <v>0</v>
      </c>
      <c r="I2654" t="n">
        <v>0</v>
      </c>
      <c r="J2654" t="n">
        <v>0</v>
      </c>
      <c r="K2654" t="n">
        <v>0</v>
      </c>
      <c r="L2654" t="n">
        <v>0</v>
      </c>
      <c r="M2654" t="n">
        <v>0</v>
      </c>
      <c r="N2654" t="n">
        <v>0</v>
      </c>
      <c r="O2654" t="n">
        <v>0</v>
      </c>
      <c r="P2654" t="n">
        <v>0</v>
      </c>
      <c r="Q2654" t="n">
        <v>0</v>
      </c>
      <c r="R2654" s="2" t="inlineStr"/>
    </row>
    <row r="2655" ht="15" customHeight="1">
      <c r="A2655" t="inlineStr">
        <is>
          <t>A 55367-2024</t>
        </is>
      </c>
      <c r="B2655" s="1" t="n">
        <v>45621.87075231481</v>
      </c>
      <c r="C2655" s="1" t="n">
        <v>45884</v>
      </c>
      <c r="D2655" t="inlineStr">
        <is>
          <t>KALMAR LÄN</t>
        </is>
      </c>
      <c r="E2655" t="inlineStr">
        <is>
          <t>BORGHOLM</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55406-2024</t>
        </is>
      </c>
      <c r="B2656" s="1" t="n">
        <v>45622.35957175926</v>
      </c>
      <c r="C2656" s="1" t="n">
        <v>45884</v>
      </c>
      <c r="D2656" t="inlineStr">
        <is>
          <t>KALMAR LÄN</t>
        </is>
      </c>
      <c r="E2656" t="inlineStr">
        <is>
          <t>HULTSFRED</t>
        </is>
      </c>
      <c r="F2656" t="inlineStr">
        <is>
          <t>Sveaskog</t>
        </is>
      </c>
      <c r="G2656" t="n">
        <v>2.6</v>
      </c>
      <c r="H2656" t="n">
        <v>0</v>
      </c>
      <c r="I2656" t="n">
        <v>0</v>
      </c>
      <c r="J2656" t="n">
        <v>0</v>
      </c>
      <c r="K2656" t="n">
        <v>0</v>
      </c>
      <c r="L2656" t="n">
        <v>0</v>
      </c>
      <c r="M2656" t="n">
        <v>0</v>
      </c>
      <c r="N2656" t="n">
        <v>0</v>
      </c>
      <c r="O2656" t="n">
        <v>0</v>
      </c>
      <c r="P2656" t="n">
        <v>0</v>
      </c>
      <c r="Q2656" t="n">
        <v>0</v>
      </c>
      <c r="R2656" s="2" t="inlineStr"/>
    </row>
    <row r="2657" ht="15" customHeight="1">
      <c r="A2657" t="inlineStr">
        <is>
          <t>A 11683-2025</t>
        </is>
      </c>
      <c r="B2657" s="1" t="n">
        <v>45727.54988425926</v>
      </c>
      <c r="C2657" s="1" t="n">
        <v>45884</v>
      </c>
      <c r="D2657" t="inlineStr">
        <is>
          <t>KALMAR LÄN</t>
        </is>
      </c>
      <c r="E2657" t="inlineStr">
        <is>
          <t>NYBRO</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29950-2024</t>
        </is>
      </c>
      <c r="B2658" s="1" t="n">
        <v>45488.44295138889</v>
      </c>
      <c r="C2658" s="1" t="n">
        <v>45884</v>
      </c>
      <c r="D2658" t="inlineStr">
        <is>
          <t>KALMAR LÄN</t>
        </is>
      </c>
      <c r="E2658" t="inlineStr">
        <is>
          <t>NYBRO</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8198-2022</t>
        </is>
      </c>
      <c r="B2659" s="1" t="n">
        <v>44609.71230324074</v>
      </c>
      <c r="C2659" s="1" t="n">
        <v>45884</v>
      </c>
      <c r="D2659" t="inlineStr">
        <is>
          <t>KALMAR LÄN</t>
        </is>
      </c>
      <c r="E2659" t="inlineStr">
        <is>
          <t>HULTSFRED</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50414-2024</t>
        </is>
      </c>
      <c r="B2660" s="1" t="n">
        <v>45600</v>
      </c>
      <c r="C2660" s="1" t="n">
        <v>45884</v>
      </c>
      <c r="D2660" t="inlineStr">
        <is>
          <t>KALMAR LÄN</t>
        </is>
      </c>
      <c r="E2660" t="inlineStr">
        <is>
          <t>HÖGSBY</t>
        </is>
      </c>
      <c r="G2660" t="n">
        <v>4.5</v>
      </c>
      <c r="H2660" t="n">
        <v>0</v>
      </c>
      <c r="I2660" t="n">
        <v>0</v>
      </c>
      <c r="J2660" t="n">
        <v>0</v>
      </c>
      <c r="K2660" t="n">
        <v>0</v>
      </c>
      <c r="L2660" t="n">
        <v>0</v>
      </c>
      <c r="M2660" t="n">
        <v>0</v>
      </c>
      <c r="N2660" t="n">
        <v>0</v>
      </c>
      <c r="O2660" t="n">
        <v>0</v>
      </c>
      <c r="P2660" t="n">
        <v>0</v>
      </c>
      <c r="Q2660" t="n">
        <v>0</v>
      </c>
      <c r="R2660" s="2" t="inlineStr"/>
    </row>
    <row r="2661" ht="15" customHeight="1">
      <c r="A2661" t="inlineStr">
        <is>
          <t>A 34528-2021</t>
        </is>
      </c>
      <c r="B2661" s="1" t="n">
        <v>44382</v>
      </c>
      <c r="C2661" s="1" t="n">
        <v>45884</v>
      </c>
      <c r="D2661" t="inlineStr">
        <is>
          <t>KALMAR LÄN</t>
        </is>
      </c>
      <c r="E2661" t="inlineStr">
        <is>
          <t>EMMABODA</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49841-2023</t>
        </is>
      </c>
      <c r="B2662" s="1" t="n">
        <v>45212.75959490741</v>
      </c>
      <c r="C2662" s="1" t="n">
        <v>45884</v>
      </c>
      <c r="D2662" t="inlineStr">
        <is>
          <t>KALMAR LÄN</t>
        </is>
      </c>
      <c r="E2662" t="inlineStr">
        <is>
          <t>OSKARSHAMN</t>
        </is>
      </c>
      <c r="G2662" t="n">
        <v>2.1</v>
      </c>
      <c r="H2662" t="n">
        <v>0</v>
      </c>
      <c r="I2662" t="n">
        <v>0</v>
      </c>
      <c r="J2662" t="n">
        <v>0</v>
      </c>
      <c r="K2662" t="n">
        <v>0</v>
      </c>
      <c r="L2662" t="n">
        <v>0</v>
      </c>
      <c r="M2662" t="n">
        <v>0</v>
      </c>
      <c r="N2662" t="n">
        <v>0</v>
      </c>
      <c r="O2662" t="n">
        <v>0</v>
      </c>
      <c r="P2662" t="n">
        <v>0</v>
      </c>
      <c r="Q2662" t="n">
        <v>0</v>
      </c>
      <c r="R2662" s="2" t="inlineStr"/>
    </row>
    <row r="2663" ht="15" customHeight="1">
      <c r="A2663" t="inlineStr">
        <is>
          <t>A 7962-2022</t>
        </is>
      </c>
      <c r="B2663" s="1" t="n">
        <v>44608</v>
      </c>
      <c r="C2663" s="1" t="n">
        <v>45884</v>
      </c>
      <c r="D2663" t="inlineStr">
        <is>
          <t>KALMAR LÄN</t>
        </is>
      </c>
      <c r="E2663" t="inlineStr">
        <is>
          <t>OSKARSHAMN</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19977-2025</t>
        </is>
      </c>
      <c r="B2664" s="1" t="n">
        <v>45771</v>
      </c>
      <c r="C2664" s="1" t="n">
        <v>45884</v>
      </c>
      <c r="D2664" t="inlineStr">
        <is>
          <t>KALMAR LÄN</t>
        </is>
      </c>
      <c r="E2664" t="inlineStr">
        <is>
          <t>KALMAR</t>
        </is>
      </c>
      <c r="G2664" t="n">
        <v>2.5</v>
      </c>
      <c r="H2664" t="n">
        <v>0</v>
      </c>
      <c r="I2664" t="n">
        <v>0</v>
      </c>
      <c r="J2664" t="n">
        <v>0</v>
      </c>
      <c r="K2664" t="n">
        <v>0</v>
      </c>
      <c r="L2664" t="n">
        <v>0</v>
      </c>
      <c r="M2664" t="n">
        <v>0</v>
      </c>
      <c r="N2664" t="n">
        <v>0</v>
      </c>
      <c r="O2664" t="n">
        <v>0</v>
      </c>
      <c r="P2664" t="n">
        <v>0</v>
      </c>
      <c r="Q2664" t="n">
        <v>0</v>
      </c>
      <c r="R2664" s="2" t="inlineStr"/>
    </row>
    <row r="2665" ht="15" customHeight="1">
      <c r="A2665" t="inlineStr">
        <is>
          <t>A 54525-2020</t>
        </is>
      </c>
      <c r="B2665" s="1" t="n">
        <v>44126</v>
      </c>
      <c r="C2665" s="1" t="n">
        <v>45884</v>
      </c>
      <c r="D2665" t="inlineStr">
        <is>
          <t>KALMAR LÄN</t>
        </is>
      </c>
      <c r="E2665" t="inlineStr">
        <is>
          <t>HULTSFRED</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1535-2025</t>
        </is>
      </c>
      <c r="B2666" s="1" t="n">
        <v>45670.48837962963</v>
      </c>
      <c r="C2666" s="1" t="n">
        <v>45884</v>
      </c>
      <c r="D2666" t="inlineStr">
        <is>
          <t>KALMAR LÄN</t>
        </is>
      </c>
      <c r="E2666" t="inlineStr">
        <is>
          <t>NYBRO</t>
        </is>
      </c>
      <c r="F2666" t="inlineStr">
        <is>
          <t>Sveaskog</t>
        </is>
      </c>
      <c r="G2666" t="n">
        <v>6.6</v>
      </c>
      <c r="H2666" t="n">
        <v>0</v>
      </c>
      <c r="I2666" t="n">
        <v>0</v>
      </c>
      <c r="J2666" t="n">
        <v>0</v>
      </c>
      <c r="K2666" t="n">
        <v>0</v>
      </c>
      <c r="L2666" t="n">
        <v>0</v>
      </c>
      <c r="M2666" t="n">
        <v>0</v>
      </c>
      <c r="N2666" t="n">
        <v>0</v>
      </c>
      <c r="O2666" t="n">
        <v>0</v>
      </c>
      <c r="P2666" t="n">
        <v>0</v>
      </c>
      <c r="Q2666" t="n">
        <v>0</v>
      </c>
      <c r="R2666" s="2" t="inlineStr"/>
    </row>
    <row r="2667" ht="15" customHeight="1">
      <c r="A2667" t="inlineStr">
        <is>
          <t>A 43377-2024</t>
        </is>
      </c>
      <c r="B2667" s="1" t="n">
        <v>45568</v>
      </c>
      <c r="C2667" s="1" t="n">
        <v>45884</v>
      </c>
      <c r="D2667" t="inlineStr">
        <is>
          <t>KALMAR LÄN</t>
        </is>
      </c>
      <c r="E2667" t="inlineStr">
        <is>
          <t>NYBRO</t>
        </is>
      </c>
      <c r="F2667" t="inlineStr">
        <is>
          <t>Kyrkan</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4175-2023</t>
        </is>
      </c>
      <c r="B2668" s="1" t="n">
        <v>44953</v>
      </c>
      <c r="C2668" s="1" t="n">
        <v>45884</v>
      </c>
      <c r="D2668" t="inlineStr">
        <is>
          <t>KALMAR LÄN</t>
        </is>
      </c>
      <c r="E2668" t="inlineStr">
        <is>
          <t>EMMABODA</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11848-2024</t>
        </is>
      </c>
      <c r="B2669" s="1" t="n">
        <v>45376.41653935185</v>
      </c>
      <c r="C2669" s="1" t="n">
        <v>45884</v>
      </c>
      <c r="D2669" t="inlineStr">
        <is>
          <t>KALMAR LÄN</t>
        </is>
      </c>
      <c r="E2669" t="inlineStr">
        <is>
          <t>VÄSTERVIK</t>
        </is>
      </c>
      <c r="F2669" t="inlineStr">
        <is>
          <t>Sveaskog</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55289-2022</t>
        </is>
      </c>
      <c r="B2670" s="1" t="n">
        <v>44882</v>
      </c>
      <c r="C2670" s="1" t="n">
        <v>45884</v>
      </c>
      <c r="D2670" t="inlineStr">
        <is>
          <t>KALMAR LÄN</t>
        </is>
      </c>
      <c r="E2670" t="inlineStr">
        <is>
          <t>NYBRO</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9683-2024</t>
        </is>
      </c>
      <c r="B2671" s="1" t="n">
        <v>45362.47046296296</v>
      </c>
      <c r="C2671" s="1" t="n">
        <v>45884</v>
      </c>
      <c r="D2671" t="inlineStr">
        <is>
          <t>KALMAR LÄN</t>
        </is>
      </c>
      <c r="E2671" t="inlineStr">
        <is>
          <t>TORSÅS</t>
        </is>
      </c>
      <c r="G2671" t="n">
        <v>3.6</v>
      </c>
      <c r="H2671" t="n">
        <v>0</v>
      </c>
      <c r="I2671" t="n">
        <v>0</v>
      </c>
      <c r="J2671" t="n">
        <v>0</v>
      </c>
      <c r="K2671" t="n">
        <v>0</v>
      </c>
      <c r="L2671" t="n">
        <v>0</v>
      </c>
      <c r="M2671" t="n">
        <v>0</v>
      </c>
      <c r="N2671" t="n">
        <v>0</v>
      </c>
      <c r="O2671" t="n">
        <v>0</v>
      </c>
      <c r="P2671" t="n">
        <v>0</v>
      </c>
      <c r="Q2671" t="n">
        <v>0</v>
      </c>
      <c r="R2671" s="2" t="inlineStr"/>
    </row>
    <row r="2672" ht="15" customHeight="1">
      <c r="A2672" t="inlineStr">
        <is>
          <t>A 25417-2023</t>
        </is>
      </c>
      <c r="B2672" s="1" t="n">
        <v>45089.38663194444</v>
      </c>
      <c r="C2672" s="1" t="n">
        <v>45884</v>
      </c>
      <c r="D2672" t="inlineStr">
        <is>
          <t>KALMAR LÄN</t>
        </is>
      </c>
      <c r="E2672" t="inlineStr">
        <is>
          <t>EMMABODA</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58689-2023</t>
        </is>
      </c>
      <c r="B2673" s="1" t="n">
        <v>45251.67181712963</v>
      </c>
      <c r="C2673" s="1" t="n">
        <v>45884</v>
      </c>
      <c r="D2673" t="inlineStr">
        <is>
          <t>KALMAR LÄN</t>
        </is>
      </c>
      <c r="E2673" t="inlineStr">
        <is>
          <t>EMMABODA</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58703-2023</t>
        </is>
      </c>
      <c r="B2674" s="1" t="n">
        <v>45251</v>
      </c>
      <c r="C2674" s="1" t="n">
        <v>45884</v>
      </c>
      <c r="D2674" t="inlineStr">
        <is>
          <t>KALMAR LÄN</t>
        </is>
      </c>
      <c r="E2674" t="inlineStr">
        <is>
          <t>VÄSTERVIK</t>
        </is>
      </c>
      <c r="F2674" t="inlineStr">
        <is>
          <t>Övriga Aktiebolag</t>
        </is>
      </c>
      <c r="G2674" t="n">
        <v>2.7</v>
      </c>
      <c r="H2674" t="n">
        <v>0</v>
      </c>
      <c r="I2674" t="n">
        <v>0</v>
      </c>
      <c r="J2674" t="n">
        <v>0</v>
      </c>
      <c r="K2674" t="n">
        <v>0</v>
      </c>
      <c r="L2674" t="n">
        <v>0</v>
      </c>
      <c r="M2674" t="n">
        <v>0</v>
      </c>
      <c r="N2674" t="n">
        <v>0</v>
      </c>
      <c r="O2674" t="n">
        <v>0</v>
      </c>
      <c r="P2674" t="n">
        <v>0</v>
      </c>
      <c r="Q2674" t="n">
        <v>0</v>
      </c>
      <c r="R2674" s="2" t="inlineStr"/>
    </row>
    <row r="2675" ht="15" customHeight="1">
      <c r="A2675" t="inlineStr">
        <is>
          <t>A 70644-2021</t>
        </is>
      </c>
      <c r="B2675" s="1" t="n">
        <v>44537.49385416666</v>
      </c>
      <c r="C2675" s="1" t="n">
        <v>45884</v>
      </c>
      <c r="D2675" t="inlineStr">
        <is>
          <t>KALMAR LÄN</t>
        </is>
      </c>
      <c r="E2675" t="inlineStr">
        <is>
          <t>MÖNSTERÅS</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5016-2025</t>
        </is>
      </c>
      <c r="B2676" s="1" t="n">
        <v>45691.38957175926</v>
      </c>
      <c r="C2676" s="1" t="n">
        <v>45884</v>
      </c>
      <c r="D2676" t="inlineStr">
        <is>
          <t>KALMAR LÄN</t>
        </is>
      </c>
      <c r="E2676" t="inlineStr">
        <is>
          <t>EMMABODA</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39596-2020</t>
        </is>
      </c>
      <c r="B2677" s="1" t="n">
        <v>44064</v>
      </c>
      <c r="C2677" s="1" t="n">
        <v>45884</v>
      </c>
      <c r="D2677" t="inlineStr">
        <is>
          <t>KALMAR LÄN</t>
        </is>
      </c>
      <c r="E2677" t="inlineStr">
        <is>
          <t>HULTSFRED</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24398-2023</t>
        </is>
      </c>
      <c r="B2678" s="1" t="n">
        <v>45082.42459490741</v>
      </c>
      <c r="C2678" s="1" t="n">
        <v>45884</v>
      </c>
      <c r="D2678" t="inlineStr">
        <is>
          <t>KALMAR LÄN</t>
        </is>
      </c>
      <c r="E2678" t="inlineStr">
        <is>
          <t>NYBRO</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39578-2024</t>
        </is>
      </c>
      <c r="B2679" s="1" t="n">
        <v>45552.36484953704</v>
      </c>
      <c r="C2679" s="1" t="n">
        <v>45884</v>
      </c>
      <c r="D2679" t="inlineStr">
        <is>
          <t>KALMAR LÄN</t>
        </is>
      </c>
      <c r="E2679" t="inlineStr">
        <is>
          <t>VIMMERBY</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24707-2024</t>
        </is>
      </c>
      <c r="B2680" s="1" t="n">
        <v>45460.62172453704</v>
      </c>
      <c r="C2680" s="1" t="n">
        <v>45884</v>
      </c>
      <c r="D2680" t="inlineStr">
        <is>
          <t>KALMAR LÄN</t>
        </is>
      </c>
      <c r="E2680" t="inlineStr">
        <is>
          <t>VIMMERBY</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35584-2023</t>
        </is>
      </c>
      <c r="B2681" s="1" t="n">
        <v>45147</v>
      </c>
      <c r="C2681" s="1" t="n">
        <v>45884</v>
      </c>
      <c r="D2681" t="inlineStr">
        <is>
          <t>KALMAR LÄN</t>
        </is>
      </c>
      <c r="E2681" t="inlineStr">
        <is>
          <t>OSKARSHAMN</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57367-2023</t>
        </is>
      </c>
      <c r="B2682" s="1" t="n">
        <v>45245</v>
      </c>
      <c r="C2682" s="1" t="n">
        <v>45884</v>
      </c>
      <c r="D2682" t="inlineStr">
        <is>
          <t>KALMAR LÄN</t>
        </is>
      </c>
      <c r="E2682" t="inlineStr">
        <is>
          <t>VÄSTERVIK</t>
        </is>
      </c>
      <c r="F2682" t="inlineStr">
        <is>
          <t>Sveaskog</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32499-2022</t>
        </is>
      </c>
      <c r="B2683" s="1" t="n">
        <v>44782.6562037037</v>
      </c>
      <c r="C2683" s="1" t="n">
        <v>45884</v>
      </c>
      <c r="D2683" t="inlineStr">
        <is>
          <t>KALMAR LÄN</t>
        </is>
      </c>
      <c r="E2683" t="inlineStr">
        <is>
          <t>KALMAR</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19522-2023</t>
        </is>
      </c>
      <c r="B2684" s="1" t="n">
        <v>45049</v>
      </c>
      <c r="C2684" s="1" t="n">
        <v>45884</v>
      </c>
      <c r="D2684" t="inlineStr">
        <is>
          <t>KALMAR LÄN</t>
        </is>
      </c>
      <c r="E2684" t="inlineStr">
        <is>
          <t>NYBRO</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32561-2022</t>
        </is>
      </c>
      <c r="B2685" s="1" t="n">
        <v>44783.34944444444</v>
      </c>
      <c r="C2685" s="1" t="n">
        <v>45884</v>
      </c>
      <c r="D2685" t="inlineStr">
        <is>
          <t>KALMAR LÄN</t>
        </is>
      </c>
      <c r="E2685" t="inlineStr">
        <is>
          <t>EMMABODA</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19587-2023</t>
        </is>
      </c>
      <c r="B2686" s="1" t="n">
        <v>45050.68993055556</v>
      </c>
      <c r="C2686" s="1" t="n">
        <v>45884</v>
      </c>
      <c r="D2686" t="inlineStr">
        <is>
          <t>KALMAR LÄN</t>
        </is>
      </c>
      <c r="E2686" t="inlineStr">
        <is>
          <t>TORSÅS</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51582-2023</t>
        </is>
      </c>
      <c r="B2687" s="1" t="n">
        <v>45222.46246527778</v>
      </c>
      <c r="C2687" s="1" t="n">
        <v>45884</v>
      </c>
      <c r="D2687" t="inlineStr">
        <is>
          <t>KALMAR LÄN</t>
        </is>
      </c>
      <c r="E2687" t="inlineStr">
        <is>
          <t>NYBRO</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51619-2023</t>
        </is>
      </c>
      <c r="B2688" s="1" t="n">
        <v>45222</v>
      </c>
      <c r="C2688" s="1" t="n">
        <v>45884</v>
      </c>
      <c r="D2688" t="inlineStr">
        <is>
          <t>KALMAR LÄN</t>
        </is>
      </c>
      <c r="E2688" t="inlineStr">
        <is>
          <t>HÖGSBY</t>
        </is>
      </c>
      <c r="F2688" t="inlineStr">
        <is>
          <t>Sveaskog</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51645-2023</t>
        </is>
      </c>
      <c r="B2689" s="1" t="n">
        <v>45222.55333333334</v>
      </c>
      <c r="C2689" s="1" t="n">
        <v>45884</v>
      </c>
      <c r="D2689" t="inlineStr">
        <is>
          <t>KALMAR LÄN</t>
        </is>
      </c>
      <c r="E2689" t="inlineStr">
        <is>
          <t>VÄSTERVIK</t>
        </is>
      </c>
      <c r="G2689" t="n">
        <v>3.7</v>
      </c>
      <c r="H2689" t="n">
        <v>0</v>
      </c>
      <c r="I2689" t="n">
        <v>0</v>
      </c>
      <c r="J2689" t="n">
        <v>0</v>
      </c>
      <c r="K2689" t="n">
        <v>0</v>
      </c>
      <c r="L2689" t="n">
        <v>0</v>
      </c>
      <c r="M2689" t="n">
        <v>0</v>
      </c>
      <c r="N2689" t="n">
        <v>0</v>
      </c>
      <c r="O2689" t="n">
        <v>0</v>
      </c>
      <c r="P2689" t="n">
        <v>0</v>
      </c>
      <c r="Q2689" t="n">
        <v>0</v>
      </c>
      <c r="R2689" s="2" t="inlineStr"/>
    </row>
    <row r="2690" ht="15" customHeight="1">
      <c r="A2690" t="inlineStr">
        <is>
          <t>A 56919-2022</t>
        </is>
      </c>
      <c r="B2690" s="1" t="n">
        <v>44894</v>
      </c>
      <c r="C2690" s="1" t="n">
        <v>45884</v>
      </c>
      <c r="D2690" t="inlineStr">
        <is>
          <t>KALMAR LÄN</t>
        </is>
      </c>
      <c r="E2690" t="inlineStr">
        <is>
          <t>HULTSFRED</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31382-2023</t>
        </is>
      </c>
      <c r="B2691" s="1" t="n">
        <v>45114.55136574074</v>
      </c>
      <c r="C2691" s="1" t="n">
        <v>45884</v>
      </c>
      <c r="D2691" t="inlineStr">
        <is>
          <t>KALMAR LÄN</t>
        </is>
      </c>
      <c r="E2691" t="inlineStr">
        <is>
          <t>VIMMERBY</t>
        </is>
      </c>
      <c r="G2691" t="n">
        <v>3.7</v>
      </c>
      <c r="H2691" t="n">
        <v>0</v>
      </c>
      <c r="I2691" t="n">
        <v>0</v>
      </c>
      <c r="J2691" t="n">
        <v>0</v>
      </c>
      <c r="K2691" t="n">
        <v>0</v>
      </c>
      <c r="L2691" t="n">
        <v>0</v>
      </c>
      <c r="M2691" t="n">
        <v>0</v>
      </c>
      <c r="N2691" t="n">
        <v>0</v>
      </c>
      <c r="O2691" t="n">
        <v>0</v>
      </c>
      <c r="P2691" t="n">
        <v>0</v>
      </c>
      <c r="Q2691" t="n">
        <v>0</v>
      </c>
      <c r="R2691" s="2" t="inlineStr"/>
    </row>
    <row r="2692" ht="15" customHeight="1">
      <c r="A2692" t="inlineStr">
        <is>
          <t>A 31384-2023</t>
        </is>
      </c>
      <c r="B2692" s="1" t="n">
        <v>45114</v>
      </c>
      <c r="C2692" s="1" t="n">
        <v>45884</v>
      </c>
      <c r="D2692" t="inlineStr">
        <is>
          <t>KALMAR LÄN</t>
        </is>
      </c>
      <c r="E2692" t="inlineStr">
        <is>
          <t>MÖNSTERÅS</t>
        </is>
      </c>
      <c r="F2692" t="inlineStr">
        <is>
          <t>Kommuner</t>
        </is>
      </c>
      <c r="G2692" t="n">
        <v>2.9</v>
      </c>
      <c r="H2692" t="n">
        <v>0</v>
      </c>
      <c r="I2692" t="n">
        <v>0</v>
      </c>
      <c r="J2692" t="n">
        <v>0</v>
      </c>
      <c r="K2692" t="n">
        <v>0</v>
      </c>
      <c r="L2692" t="n">
        <v>0</v>
      </c>
      <c r="M2692" t="n">
        <v>0</v>
      </c>
      <c r="N2692" t="n">
        <v>0</v>
      </c>
      <c r="O2692" t="n">
        <v>0</v>
      </c>
      <c r="P2692" t="n">
        <v>0</v>
      </c>
      <c r="Q2692" t="n">
        <v>0</v>
      </c>
      <c r="R2692" s="2" t="inlineStr"/>
    </row>
    <row r="2693" ht="15" customHeight="1">
      <c r="A2693" t="inlineStr">
        <is>
          <t>A 10630-2022</t>
        </is>
      </c>
      <c r="B2693" s="1" t="n">
        <v>44624.49346064815</v>
      </c>
      <c r="C2693" s="1" t="n">
        <v>45884</v>
      </c>
      <c r="D2693" t="inlineStr">
        <is>
          <t>KALMAR LÄN</t>
        </is>
      </c>
      <c r="E2693" t="inlineStr">
        <is>
          <t>OSKARSHAMN</t>
        </is>
      </c>
      <c r="G2693" t="n">
        <v>2.4</v>
      </c>
      <c r="H2693" t="n">
        <v>0</v>
      </c>
      <c r="I2693" t="n">
        <v>0</v>
      </c>
      <c r="J2693" t="n">
        <v>0</v>
      </c>
      <c r="K2693" t="n">
        <v>0</v>
      </c>
      <c r="L2693" t="n">
        <v>0</v>
      </c>
      <c r="M2693" t="n">
        <v>0</v>
      </c>
      <c r="N2693" t="n">
        <v>0</v>
      </c>
      <c r="O2693" t="n">
        <v>0</v>
      </c>
      <c r="P2693" t="n">
        <v>0</v>
      </c>
      <c r="Q2693" t="n">
        <v>0</v>
      </c>
      <c r="R2693" s="2" t="inlineStr"/>
    </row>
    <row r="2694" ht="15" customHeight="1">
      <c r="A2694" t="inlineStr">
        <is>
          <t>A 175-2023</t>
        </is>
      </c>
      <c r="B2694" s="1" t="n">
        <v>44928</v>
      </c>
      <c r="C2694" s="1" t="n">
        <v>45884</v>
      </c>
      <c r="D2694" t="inlineStr">
        <is>
          <t>KALMAR LÄN</t>
        </is>
      </c>
      <c r="E2694" t="inlineStr">
        <is>
          <t>NYBRO</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7840-2024</t>
        </is>
      </c>
      <c r="B2695" s="1" t="n">
        <v>45349.86459490741</v>
      </c>
      <c r="C2695" s="1" t="n">
        <v>45884</v>
      </c>
      <c r="D2695" t="inlineStr">
        <is>
          <t>KALMAR LÄN</t>
        </is>
      </c>
      <c r="E2695" t="inlineStr">
        <is>
          <t>EMMABODA</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24159-2022</t>
        </is>
      </c>
      <c r="B2696" s="1" t="n">
        <v>44725</v>
      </c>
      <c r="C2696" s="1" t="n">
        <v>45884</v>
      </c>
      <c r="D2696" t="inlineStr">
        <is>
          <t>KALMAR LÄN</t>
        </is>
      </c>
      <c r="E2696" t="inlineStr">
        <is>
          <t>TORSÅS</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56332-2024</t>
        </is>
      </c>
      <c r="B2697" s="1" t="n">
        <v>45624.79982638889</v>
      </c>
      <c r="C2697" s="1" t="n">
        <v>45884</v>
      </c>
      <c r="D2697" t="inlineStr">
        <is>
          <t>KALMAR LÄN</t>
        </is>
      </c>
      <c r="E2697" t="inlineStr">
        <is>
          <t>HÖGSBY</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6478-2022</t>
        </is>
      </c>
      <c r="B2698" s="1" t="n">
        <v>44601</v>
      </c>
      <c r="C2698" s="1" t="n">
        <v>45884</v>
      </c>
      <c r="D2698" t="inlineStr">
        <is>
          <t>KALMAR LÄN</t>
        </is>
      </c>
      <c r="E2698" t="inlineStr">
        <is>
          <t>HÖGSBY</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51243-2022</t>
        </is>
      </c>
      <c r="B2699" s="1" t="n">
        <v>44868.66078703704</v>
      </c>
      <c r="C2699" s="1" t="n">
        <v>45884</v>
      </c>
      <c r="D2699" t="inlineStr">
        <is>
          <t>KALMAR LÄN</t>
        </is>
      </c>
      <c r="E2699" t="inlineStr">
        <is>
          <t>HULTSFRED</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61438-2023</t>
        </is>
      </c>
      <c r="B2700" s="1" t="n">
        <v>45264</v>
      </c>
      <c r="C2700" s="1" t="n">
        <v>45884</v>
      </c>
      <c r="D2700" t="inlineStr">
        <is>
          <t>KALMAR LÄN</t>
        </is>
      </c>
      <c r="E2700" t="inlineStr">
        <is>
          <t>BORGHOLM</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56213-2024</t>
        </is>
      </c>
      <c r="B2701" s="1" t="n">
        <v>45624.60141203704</v>
      </c>
      <c r="C2701" s="1" t="n">
        <v>45884</v>
      </c>
      <c r="D2701" t="inlineStr">
        <is>
          <t>KALMAR LÄN</t>
        </is>
      </c>
      <c r="E2701" t="inlineStr">
        <is>
          <t>VIMMERBY</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60453-2024</t>
        </is>
      </c>
      <c r="B2702" s="1" t="n">
        <v>45643.60487268519</v>
      </c>
      <c r="C2702" s="1" t="n">
        <v>45884</v>
      </c>
      <c r="D2702" t="inlineStr">
        <is>
          <t>KALMAR LÄN</t>
        </is>
      </c>
      <c r="E2702" t="inlineStr">
        <is>
          <t>VÄSTERVIK</t>
        </is>
      </c>
      <c r="G2702" t="n">
        <v>7.1</v>
      </c>
      <c r="H2702" t="n">
        <v>0</v>
      </c>
      <c r="I2702" t="n">
        <v>0</v>
      </c>
      <c r="J2702" t="n">
        <v>0</v>
      </c>
      <c r="K2702" t="n">
        <v>0</v>
      </c>
      <c r="L2702" t="n">
        <v>0</v>
      </c>
      <c r="M2702" t="n">
        <v>0</v>
      </c>
      <c r="N2702" t="n">
        <v>0</v>
      </c>
      <c r="O2702" t="n">
        <v>0</v>
      </c>
      <c r="P2702" t="n">
        <v>0</v>
      </c>
      <c r="Q2702" t="n">
        <v>0</v>
      </c>
      <c r="R2702" s="2" t="inlineStr"/>
    </row>
    <row r="2703" ht="15" customHeight="1">
      <c r="A2703" t="inlineStr">
        <is>
          <t>A 12937-2022</t>
        </is>
      </c>
      <c r="B2703" s="1" t="n">
        <v>44642</v>
      </c>
      <c r="C2703" s="1" t="n">
        <v>45884</v>
      </c>
      <c r="D2703" t="inlineStr">
        <is>
          <t>KALMAR LÄN</t>
        </is>
      </c>
      <c r="E2703" t="inlineStr">
        <is>
          <t>BORGHOLM</t>
        </is>
      </c>
      <c r="F2703" t="inlineStr">
        <is>
          <t>Sveaskog</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4965-2025</t>
        </is>
      </c>
      <c r="B2704" s="1" t="n">
        <v>45690.4284375</v>
      </c>
      <c r="C2704" s="1" t="n">
        <v>45884</v>
      </c>
      <c r="D2704" t="inlineStr">
        <is>
          <t>KALMAR LÄN</t>
        </is>
      </c>
      <c r="E2704" t="inlineStr">
        <is>
          <t>HULTSFRED</t>
        </is>
      </c>
      <c r="F2704" t="inlineStr">
        <is>
          <t>Sveaskog</t>
        </is>
      </c>
      <c r="G2704" t="n">
        <v>5.9</v>
      </c>
      <c r="H2704" t="n">
        <v>0</v>
      </c>
      <c r="I2704" t="n">
        <v>0</v>
      </c>
      <c r="J2704" t="n">
        <v>0</v>
      </c>
      <c r="K2704" t="n">
        <v>0</v>
      </c>
      <c r="L2704" t="n">
        <v>0</v>
      </c>
      <c r="M2704" t="n">
        <v>0</v>
      </c>
      <c r="N2704" t="n">
        <v>0</v>
      </c>
      <c r="O2704" t="n">
        <v>0</v>
      </c>
      <c r="P2704" t="n">
        <v>0</v>
      </c>
      <c r="Q2704" t="n">
        <v>0</v>
      </c>
      <c r="R2704" s="2" t="inlineStr"/>
    </row>
    <row r="2705" ht="15" customHeight="1">
      <c r="A2705" t="inlineStr">
        <is>
          <t>A 54409-2024</t>
        </is>
      </c>
      <c r="B2705" s="1" t="n">
        <v>45617.47570601852</v>
      </c>
      <c r="C2705" s="1" t="n">
        <v>45884</v>
      </c>
      <c r="D2705" t="inlineStr">
        <is>
          <t>KALMAR LÄN</t>
        </is>
      </c>
      <c r="E2705" t="inlineStr">
        <is>
          <t>VIMMERBY</t>
        </is>
      </c>
      <c r="G2705" t="n">
        <v>4.3</v>
      </c>
      <c r="H2705" t="n">
        <v>0</v>
      </c>
      <c r="I2705" t="n">
        <v>0</v>
      </c>
      <c r="J2705" t="n">
        <v>0</v>
      </c>
      <c r="K2705" t="n">
        <v>0</v>
      </c>
      <c r="L2705" t="n">
        <v>0</v>
      </c>
      <c r="M2705" t="n">
        <v>0</v>
      </c>
      <c r="N2705" t="n">
        <v>0</v>
      </c>
      <c r="O2705" t="n">
        <v>0</v>
      </c>
      <c r="P2705" t="n">
        <v>0</v>
      </c>
      <c r="Q2705" t="n">
        <v>0</v>
      </c>
      <c r="R2705" s="2" t="inlineStr"/>
    </row>
    <row r="2706" ht="15" customHeight="1">
      <c r="A2706" t="inlineStr">
        <is>
          <t>A 20658-2023</t>
        </is>
      </c>
      <c r="B2706" s="1" t="n">
        <v>45058.34835648148</v>
      </c>
      <c r="C2706" s="1" t="n">
        <v>45884</v>
      </c>
      <c r="D2706" t="inlineStr">
        <is>
          <t>KALMAR LÄN</t>
        </is>
      </c>
      <c r="E2706" t="inlineStr">
        <is>
          <t>KALMAR</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44535-2024</t>
        </is>
      </c>
      <c r="B2707" s="1" t="n">
        <v>45574.45234953704</v>
      </c>
      <c r="C2707" s="1" t="n">
        <v>45884</v>
      </c>
      <c r="D2707" t="inlineStr">
        <is>
          <t>KALMAR LÄN</t>
        </is>
      </c>
      <c r="E2707" t="inlineStr">
        <is>
          <t>MÖNSTERÅS</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32822-2021</t>
        </is>
      </c>
      <c r="B2708" s="1" t="n">
        <v>44375</v>
      </c>
      <c r="C2708" s="1" t="n">
        <v>45884</v>
      </c>
      <c r="D2708" t="inlineStr">
        <is>
          <t>KALMAR LÄN</t>
        </is>
      </c>
      <c r="E2708" t="inlineStr">
        <is>
          <t>VÄSTERVIK</t>
        </is>
      </c>
      <c r="G2708" t="n">
        <v>5.1</v>
      </c>
      <c r="H2708" t="n">
        <v>0</v>
      </c>
      <c r="I2708" t="n">
        <v>0</v>
      </c>
      <c r="J2708" t="n">
        <v>0</v>
      </c>
      <c r="K2708" t="n">
        <v>0</v>
      </c>
      <c r="L2708" t="n">
        <v>0</v>
      </c>
      <c r="M2708" t="n">
        <v>0</v>
      </c>
      <c r="N2708" t="n">
        <v>0</v>
      </c>
      <c r="O2708" t="n">
        <v>0</v>
      </c>
      <c r="P2708" t="n">
        <v>0</v>
      </c>
      <c r="Q2708" t="n">
        <v>0</v>
      </c>
      <c r="R2708" s="2" t="inlineStr"/>
    </row>
    <row r="2709" ht="15" customHeight="1">
      <c r="A2709" t="inlineStr">
        <is>
          <t>A 35531-2024</t>
        </is>
      </c>
      <c r="B2709" s="1" t="n">
        <v>45531</v>
      </c>
      <c r="C2709" s="1" t="n">
        <v>45884</v>
      </c>
      <c r="D2709" t="inlineStr">
        <is>
          <t>KALMAR LÄN</t>
        </is>
      </c>
      <c r="E2709" t="inlineStr">
        <is>
          <t>OSKARSHAMN</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30869-2023</t>
        </is>
      </c>
      <c r="B2710" s="1" t="n">
        <v>45113.31606481481</v>
      </c>
      <c r="C2710" s="1" t="n">
        <v>45884</v>
      </c>
      <c r="D2710" t="inlineStr">
        <is>
          <t>KALMAR LÄN</t>
        </is>
      </c>
      <c r="E2710" t="inlineStr">
        <is>
          <t>TORSÅS</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61028-2024</t>
        </is>
      </c>
      <c r="B2711" s="1" t="n">
        <v>45645.45909722222</v>
      </c>
      <c r="C2711" s="1" t="n">
        <v>45884</v>
      </c>
      <c r="D2711" t="inlineStr">
        <is>
          <t>KALMAR LÄN</t>
        </is>
      </c>
      <c r="E2711" t="inlineStr">
        <is>
          <t>OSKARSHAMN</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6719-2021</t>
        </is>
      </c>
      <c r="B2712" s="1" t="n">
        <v>44236</v>
      </c>
      <c r="C2712" s="1" t="n">
        <v>45884</v>
      </c>
      <c r="D2712" t="inlineStr">
        <is>
          <t>KALMAR LÄN</t>
        </is>
      </c>
      <c r="E2712" t="inlineStr">
        <is>
          <t>KALMAR</t>
        </is>
      </c>
      <c r="G2712" t="n">
        <v>3.2</v>
      </c>
      <c r="H2712" t="n">
        <v>0</v>
      </c>
      <c r="I2712" t="n">
        <v>0</v>
      </c>
      <c r="J2712" t="n">
        <v>0</v>
      </c>
      <c r="K2712" t="n">
        <v>0</v>
      </c>
      <c r="L2712" t="n">
        <v>0</v>
      </c>
      <c r="M2712" t="n">
        <v>0</v>
      </c>
      <c r="N2712" t="n">
        <v>0</v>
      </c>
      <c r="O2712" t="n">
        <v>0</v>
      </c>
      <c r="P2712" t="n">
        <v>0</v>
      </c>
      <c r="Q2712" t="n">
        <v>0</v>
      </c>
      <c r="R2712" s="2" t="inlineStr"/>
    </row>
    <row r="2713" ht="15" customHeight="1">
      <c r="A2713" t="inlineStr">
        <is>
          <t>A 6732-2021</t>
        </is>
      </c>
      <c r="B2713" s="1" t="n">
        <v>44236</v>
      </c>
      <c r="C2713" s="1" t="n">
        <v>45884</v>
      </c>
      <c r="D2713" t="inlineStr">
        <is>
          <t>KALMAR LÄN</t>
        </is>
      </c>
      <c r="E2713" t="inlineStr">
        <is>
          <t>KALMAR</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54447-2024</t>
        </is>
      </c>
      <c r="B2714" s="1" t="n">
        <v>45617.52459490741</v>
      </c>
      <c r="C2714" s="1" t="n">
        <v>45884</v>
      </c>
      <c r="D2714" t="inlineStr">
        <is>
          <t>KALMAR LÄN</t>
        </is>
      </c>
      <c r="E2714" t="inlineStr">
        <is>
          <t>KALMAR</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21567-2024</t>
        </is>
      </c>
      <c r="B2715" s="1" t="n">
        <v>45441</v>
      </c>
      <c r="C2715" s="1" t="n">
        <v>45884</v>
      </c>
      <c r="D2715" t="inlineStr">
        <is>
          <t>KALMAR LÄN</t>
        </is>
      </c>
      <c r="E2715" t="inlineStr">
        <is>
          <t>MÖNSTERÅS</t>
        </is>
      </c>
      <c r="G2715" t="n">
        <v>3.5</v>
      </c>
      <c r="H2715" t="n">
        <v>0</v>
      </c>
      <c r="I2715" t="n">
        <v>0</v>
      </c>
      <c r="J2715" t="n">
        <v>0</v>
      </c>
      <c r="K2715" t="n">
        <v>0</v>
      </c>
      <c r="L2715" t="n">
        <v>0</v>
      </c>
      <c r="M2715" t="n">
        <v>0</v>
      </c>
      <c r="N2715" t="n">
        <v>0</v>
      </c>
      <c r="O2715" t="n">
        <v>0</v>
      </c>
      <c r="P2715" t="n">
        <v>0</v>
      </c>
      <c r="Q2715" t="n">
        <v>0</v>
      </c>
      <c r="R2715" s="2" t="inlineStr"/>
    </row>
    <row r="2716" ht="15" customHeight="1">
      <c r="A2716" t="inlineStr">
        <is>
          <t>A 9944-2025</t>
        </is>
      </c>
      <c r="B2716" s="1" t="n">
        <v>45719.30990740741</v>
      </c>
      <c r="C2716" s="1" t="n">
        <v>45884</v>
      </c>
      <c r="D2716" t="inlineStr">
        <is>
          <t>KALMAR LÄN</t>
        </is>
      </c>
      <c r="E2716" t="inlineStr">
        <is>
          <t>HULTSFRED</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6547-2021</t>
        </is>
      </c>
      <c r="B2717" s="1" t="n">
        <v>44236</v>
      </c>
      <c r="C2717" s="1" t="n">
        <v>45884</v>
      </c>
      <c r="D2717" t="inlineStr">
        <is>
          <t>KALMAR LÄN</t>
        </is>
      </c>
      <c r="E2717" t="inlineStr">
        <is>
          <t>HULTSFRED</t>
        </is>
      </c>
      <c r="F2717" t="inlineStr">
        <is>
          <t>Sveaskog</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31056-2022</t>
        </is>
      </c>
      <c r="B2718" s="1" t="n">
        <v>44769.45805555556</v>
      </c>
      <c r="C2718" s="1" t="n">
        <v>45884</v>
      </c>
      <c r="D2718" t="inlineStr">
        <is>
          <t>KALMAR LÄN</t>
        </is>
      </c>
      <c r="E2718" t="inlineStr">
        <is>
          <t>VIMMERBY</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32673-2023</t>
        </is>
      </c>
      <c r="B2719" s="1" t="n">
        <v>45121</v>
      </c>
      <c r="C2719" s="1" t="n">
        <v>45884</v>
      </c>
      <c r="D2719" t="inlineStr">
        <is>
          <t>KALMAR LÄN</t>
        </is>
      </c>
      <c r="E2719" t="inlineStr">
        <is>
          <t>NYBRO</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33383-2023</t>
        </is>
      </c>
      <c r="B2720" s="1" t="n">
        <v>45128.58414351852</v>
      </c>
      <c r="C2720" s="1" t="n">
        <v>45884</v>
      </c>
      <c r="D2720" t="inlineStr">
        <is>
          <t>KALMAR LÄN</t>
        </is>
      </c>
      <c r="E2720" t="inlineStr">
        <is>
          <t>VIMMERBY</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16805-2024</t>
        </is>
      </c>
      <c r="B2721" s="1" t="n">
        <v>45411.45418981482</v>
      </c>
      <c r="C2721" s="1" t="n">
        <v>45884</v>
      </c>
      <c r="D2721" t="inlineStr">
        <is>
          <t>KALMAR LÄN</t>
        </is>
      </c>
      <c r="E2721" t="inlineStr">
        <is>
          <t>EMMABODA</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16825-2024</t>
        </is>
      </c>
      <c r="B2722" s="1" t="n">
        <v>45411.47335648148</v>
      </c>
      <c r="C2722" s="1" t="n">
        <v>45884</v>
      </c>
      <c r="D2722" t="inlineStr">
        <is>
          <t>KALMAR LÄN</t>
        </is>
      </c>
      <c r="E2722" t="inlineStr">
        <is>
          <t>VIMMERBY</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2667-2022</t>
        </is>
      </c>
      <c r="B2723" s="1" t="n">
        <v>44580</v>
      </c>
      <c r="C2723" s="1" t="n">
        <v>45884</v>
      </c>
      <c r="D2723" t="inlineStr">
        <is>
          <t>KALMAR LÄN</t>
        </is>
      </c>
      <c r="E2723" t="inlineStr">
        <is>
          <t>TORSÅS</t>
        </is>
      </c>
      <c r="G2723" t="n">
        <v>3.1</v>
      </c>
      <c r="H2723" t="n">
        <v>0</v>
      </c>
      <c r="I2723" t="n">
        <v>0</v>
      </c>
      <c r="J2723" t="n">
        <v>0</v>
      </c>
      <c r="K2723" t="n">
        <v>0</v>
      </c>
      <c r="L2723" t="n">
        <v>0</v>
      </c>
      <c r="M2723" t="n">
        <v>0</v>
      </c>
      <c r="N2723" t="n">
        <v>0</v>
      </c>
      <c r="O2723" t="n">
        <v>0</v>
      </c>
      <c r="P2723" t="n">
        <v>0</v>
      </c>
      <c r="Q2723" t="n">
        <v>0</v>
      </c>
      <c r="R2723" s="2" t="inlineStr"/>
    </row>
    <row r="2724" ht="15" customHeight="1">
      <c r="A2724" t="inlineStr">
        <is>
          <t>A 13041-2024</t>
        </is>
      </c>
      <c r="B2724" s="1" t="n">
        <v>45385.60065972222</v>
      </c>
      <c r="C2724" s="1" t="n">
        <v>45884</v>
      </c>
      <c r="D2724" t="inlineStr">
        <is>
          <t>KALMAR LÄN</t>
        </is>
      </c>
      <c r="E2724" t="inlineStr">
        <is>
          <t>BORGHOLM</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17409-2024</t>
        </is>
      </c>
      <c r="B2725" s="1" t="n">
        <v>45414.88950231481</v>
      </c>
      <c r="C2725" s="1" t="n">
        <v>45884</v>
      </c>
      <c r="D2725" t="inlineStr">
        <is>
          <t>KALMAR LÄN</t>
        </is>
      </c>
      <c r="E2725" t="inlineStr">
        <is>
          <t>NYBRO</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30617-2021</t>
        </is>
      </c>
      <c r="B2726" s="1" t="n">
        <v>44364</v>
      </c>
      <c r="C2726" s="1" t="n">
        <v>45884</v>
      </c>
      <c r="D2726" t="inlineStr">
        <is>
          <t>KALMAR LÄN</t>
        </is>
      </c>
      <c r="E2726" t="inlineStr">
        <is>
          <t>NYBRO</t>
        </is>
      </c>
      <c r="G2726" t="n">
        <v>7.4</v>
      </c>
      <c r="H2726" t="n">
        <v>0</v>
      </c>
      <c r="I2726" t="n">
        <v>0</v>
      </c>
      <c r="J2726" t="n">
        <v>0</v>
      </c>
      <c r="K2726" t="n">
        <v>0</v>
      </c>
      <c r="L2726" t="n">
        <v>0</v>
      </c>
      <c r="M2726" t="n">
        <v>0</v>
      </c>
      <c r="N2726" t="n">
        <v>0</v>
      </c>
      <c r="O2726" t="n">
        <v>0</v>
      </c>
      <c r="P2726" t="n">
        <v>0</v>
      </c>
      <c r="Q2726" t="n">
        <v>0</v>
      </c>
      <c r="R2726" s="2" t="inlineStr"/>
    </row>
    <row r="2727" ht="15" customHeight="1">
      <c r="A2727" t="inlineStr">
        <is>
          <t>A 38180-2021</t>
        </is>
      </c>
      <c r="B2727" s="1" t="n">
        <v>44405</v>
      </c>
      <c r="C2727" s="1" t="n">
        <v>45884</v>
      </c>
      <c r="D2727" t="inlineStr">
        <is>
          <t>KALMAR LÄN</t>
        </is>
      </c>
      <c r="E2727" t="inlineStr">
        <is>
          <t>KALMAR</t>
        </is>
      </c>
      <c r="G2727" t="n">
        <v>3</v>
      </c>
      <c r="H2727" t="n">
        <v>0</v>
      </c>
      <c r="I2727" t="n">
        <v>0</v>
      </c>
      <c r="J2727" t="n">
        <v>0</v>
      </c>
      <c r="K2727" t="n">
        <v>0</v>
      </c>
      <c r="L2727" t="n">
        <v>0</v>
      </c>
      <c r="M2727" t="n">
        <v>0</v>
      </c>
      <c r="N2727" t="n">
        <v>0</v>
      </c>
      <c r="O2727" t="n">
        <v>0</v>
      </c>
      <c r="P2727" t="n">
        <v>0</v>
      </c>
      <c r="Q2727" t="n">
        <v>0</v>
      </c>
      <c r="R2727" s="2" t="inlineStr"/>
    </row>
    <row r="2728" ht="15" customHeight="1">
      <c r="A2728" t="inlineStr">
        <is>
          <t>A 5589-2025</t>
        </is>
      </c>
      <c r="B2728" s="1" t="n">
        <v>45693.56089120371</v>
      </c>
      <c r="C2728" s="1" t="n">
        <v>45884</v>
      </c>
      <c r="D2728" t="inlineStr">
        <is>
          <t>KALMAR LÄN</t>
        </is>
      </c>
      <c r="E2728" t="inlineStr">
        <is>
          <t>HULTSFRED</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58761-2021</t>
        </is>
      </c>
      <c r="B2729" s="1" t="n">
        <v>44489</v>
      </c>
      <c r="C2729" s="1" t="n">
        <v>45884</v>
      </c>
      <c r="D2729" t="inlineStr">
        <is>
          <t>KALMAR LÄN</t>
        </is>
      </c>
      <c r="E2729" t="inlineStr">
        <is>
          <t>NYBRO</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48500-2023</t>
        </is>
      </c>
      <c r="B2730" s="1" t="n">
        <v>45207</v>
      </c>
      <c r="C2730" s="1" t="n">
        <v>45884</v>
      </c>
      <c r="D2730" t="inlineStr">
        <is>
          <t>KALMAR LÄN</t>
        </is>
      </c>
      <c r="E2730" t="inlineStr">
        <is>
          <t>OSKARSHAMN</t>
        </is>
      </c>
      <c r="G2730" t="n">
        <v>4.4</v>
      </c>
      <c r="H2730" t="n">
        <v>0</v>
      </c>
      <c r="I2730" t="n">
        <v>0</v>
      </c>
      <c r="J2730" t="n">
        <v>0</v>
      </c>
      <c r="K2730" t="n">
        <v>0</v>
      </c>
      <c r="L2730" t="n">
        <v>0</v>
      </c>
      <c r="M2730" t="n">
        <v>0</v>
      </c>
      <c r="N2730" t="n">
        <v>0</v>
      </c>
      <c r="O2730" t="n">
        <v>0</v>
      </c>
      <c r="P2730" t="n">
        <v>0</v>
      </c>
      <c r="Q2730" t="n">
        <v>0</v>
      </c>
      <c r="R2730" s="2" t="inlineStr"/>
    </row>
    <row r="2731" ht="15" customHeight="1">
      <c r="A2731" t="inlineStr">
        <is>
          <t>A 48546-2023</t>
        </is>
      </c>
      <c r="B2731" s="1" t="n">
        <v>45208</v>
      </c>
      <c r="C2731" s="1" t="n">
        <v>45884</v>
      </c>
      <c r="D2731" t="inlineStr">
        <is>
          <t>KALMAR LÄN</t>
        </is>
      </c>
      <c r="E2731" t="inlineStr">
        <is>
          <t>TORSÅS</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41073-2023</t>
        </is>
      </c>
      <c r="B2732" s="1" t="n">
        <v>45173.65185185185</v>
      </c>
      <c r="C2732" s="1" t="n">
        <v>45884</v>
      </c>
      <c r="D2732" t="inlineStr">
        <is>
          <t>KALMAR LÄN</t>
        </is>
      </c>
      <c r="E2732" t="inlineStr">
        <is>
          <t>KALMAR</t>
        </is>
      </c>
      <c r="G2732" t="n">
        <v>3</v>
      </c>
      <c r="H2732" t="n">
        <v>0</v>
      </c>
      <c r="I2732" t="n">
        <v>0</v>
      </c>
      <c r="J2732" t="n">
        <v>0</v>
      </c>
      <c r="K2732" t="n">
        <v>0</v>
      </c>
      <c r="L2732" t="n">
        <v>0</v>
      </c>
      <c r="M2732" t="n">
        <v>0</v>
      </c>
      <c r="N2732" t="n">
        <v>0</v>
      </c>
      <c r="O2732" t="n">
        <v>0</v>
      </c>
      <c r="P2732" t="n">
        <v>0</v>
      </c>
      <c r="Q2732" t="n">
        <v>0</v>
      </c>
      <c r="R2732" s="2" t="inlineStr"/>
    </row>
    <row r="2733" ht="15" customHeight="1">
      <c r="A2733" t="inlineStr">
        <is>
          <t>A 7643-2022</t>
        </is>
      </c>
      <c r="B2733" s="1" t="n">
        <v>44607</v>
      </c>
      <c r="C2733" s="1" t="n">
        <v>45884</v>
      </c>
      <c r="D2733" t="inlineStr">
        <is>
          <t>KALMAR LÄN</t>
        </is>
      </c>
      <c r="E2733" t="inlineStr">
        <is>
          <t>VIMMERBY</t>
        </is>
      </c>
      <c r="G2733" t="n">
        <v>8.699999999999999</v>
      </c>
      <c r="H2733" t="n">
        <v>0</v>
      </c>
      <c r="I2733" t="n">
        <v>0</v>
      </c>
      <c r="J2733" t="n">
        <v>0</v>
      </c>
      <c r="K2733" t="n">
        <v>0</v>
      </c>
      <c r="L2733" t="n">
        <v>0</v>
      </c>
      <c r="M2733" t="n">
        <v>0</v>
      </c>
      <c r="N2733" t="n">
        <v>0</v>
      </c>
      <c r="O2733" t="n">
        <v>0</v>
      </c>
      <c r="P2733" t="n">
        <v>0</v>
      </c>
      <c r="Q2733" t="n">
        <v>0</v>
      </c>
      <c r="R2733" s="2" t="inlineStr"/>
    </row>
    <row r="2734" ht="15" customHeight="1">
      <c r="A2734" t="inlineStr">
        <is>
          <t>A 40828-2023</t>
        </is>
      </c>
      <c r="B2734" s="1" t="n">
        <v>45171.96248842592</v>
      </c>
      <c r="C2734" s="1" t="n">
        <v>45884</v>
      </c>
      <c r="D2734" t="inlineStr">
        <is>
          <t>KALMAR LÄN</t>
        </is>
      </c>
      <c r="E2734" t="inlineStr">
        <is>
          <t>VIMMERBY</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18727-2021</t>
        </is>
      </c>
      <c r="B2735" s="1" t="n">
        <v>44307.41146990741</v>
      </c>
      <c r="C2735" s="1" t="n">
        <v>45884</v>
      </c>
      <c r="D2735" t="inlineStr">
        <is>
          <t>KALMAR LÄN</t>
        </is>
      </c>
      <c r="E2735" t="inlineStr">
        <is>
          <t>NYBRO</t>
        </is>
      </c>
      <c r="G2735" t="n">
        <v>0.4</v>
      </c>
      <c r="H2735" t="n">
        <v>0</v>
      </c>
      <c r="I2735" t="n">
        <v>0</v>
      </c>
      <c r="J2735" t="n">
        <v>0</v>
      </c>
      <c r="K2735" t="n">
        <v>0</v>
      </c>
      <c r="L2735" t="n">
        <v>0</v>
      </c>
      <c r="M2735" t="n">
        <v>0</v>
      </c>
      <c r="N2735" t="n">
        <v>0</v>
      </c>
      <c r="O2735" t="n">
        <v>0</v>
      </c>
      <c r="P2735" t="n">
        <v>0</v>
      </c>
      <c r="Q2735" t="n">
        <v>0</v>
      </c>
      <c r="R2735" s="2" t="inlineStr"/>
    </row>
    <row r="2736" ht="15" customHeight="1">
      <c r="A2736" t="inlineStr">
        <is>
          <t>A 7107-2023</t>
        </is>
      </c>
      <c r="B2736" s="1" t="n">
        <v>44970</v>
      </c>
      <c r="C2736" s="1" t="n">
        <v>45884</v>
      </c>
      <c r="D2736" t="inlineStr">
        <is>
          <t>KALMAR LÄN</t>
        </is>
      </c>
      <c r="E2736" t="inlineStr">
        <is>
          <t>KALMAR</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45883-2024</t>
        </is>
      </c>
      <c r="B2737" s="1" t="n">
        <v>45580.40394675926</v>
      </c>
      <c r="C2737" s="1" t="n">
        <v>45884</v>
      </c>
      <c r="D2737" t="inlineStr">
        <is>
          <t>KALMAR LÄN</t>
        </is>
      </c>
      <c r="E2737" t="inlineStr">
        <is>
          <t>OSKARSHAMN</t>
        </is>
      </c>
      <c r="G2737" t="n">
        <v>3</v>
      </c>
      <c r="H2737" t="n">
        <v>0</v>
      </c>
      <c r="I2737" t="n">
        <v>0</v>
      </c>
      <c r="J2737" t="n">
        <v>0</v>
      </c>
      <c r="K2737" t="n">
        <v>0</v>
      </c>
      <c r="L2737" t="n">
        <v>0</v>
      </c>
      <c r="M2737" t="n">
        <v>0</v>
      </c>
      <c r="N2737" t="n">
        <v>0</v>
      </c>
      <c r="O2737" t="n">
        <v>0</v>
      </c>
      <c r="P2737" t="n">
        <v>0</v>
      </c>
      <c r="Q2737" t="n">
        <v>0</v>
      </c>
      <c r="R2737" s="2" t="inlineStr"/>
    </row>
    <row r="2738" ht="15" customHeight="1">
      <c r="A2738" t="inlineStr">
        <is>
          <t>A 45900-2024</t>
        </is>
      </c>
      <c r="B2738" s="1" t="n">
        <v>45580.43162037037</v>
      </c>
      <c r="C2738" s="1" t="n">
        <v>45884</v>
      </c>
      <c r="D2738" t="inlineStr">
        <is>
          <t>KALMAR LÄN</t>
        </is>
      </c>
      <c r="E2738" t="inlineStr">
        <is>
          <t>OSKARSHAMN</t>
        </is>
      </c>
      <c r="G2738" t="n">
        <v>6</v>
      </c>
      <c r="H2738" t="n">
        <v>0</v>
      </c>
      <c r="I2738" t="n">
        <v>0</v>
      </c>
      <c r="J2738" t="n">
        <v>0</v>
      </c>
      <c r="K2738" t="n">
        <v>0</v>
      </c>
      <c r="L2738" t="n">
        <v>0</v>
      </c>
      <c r="M2738" t="n">
        <v>0</v>
      </c>
      <c r="N2738" t="n">
        <v>0</v>
      </c>
      <c r="O2738" t="n">
        <v>0</v>
      </c>
      <c r="P2738" t="n">
        <v>0</v>
      </c>
      <c r="Q2738" t="n">
        <v>0</v>
      </c>
      <c r="R2738" s="2" t="inlineStr"/>
    </row>
    <row r="2739" ht="15" customHeight="1">
      <c r="A2739" t="inlineStr">
        <is>
          <t>A 8617-2024</t>
        </is>
      </c>
      <c r="B2739" s="1" t="n">
        <v>45355.72739583333</v>
      </c>
      <c r="C2739" s="1" t="n">
        <v>45884</v>
      </c>
      <c r="D2739" t="inlineStr">
        <is>
          <t>KALMAR LÄN</t>
        </is>
      </c>
      <c r="E2739" t="inlineStr">
        <is>
          <t>HÖGSBY</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20648-2022</t>
        </is>
      </c>
      <c r="B2740" s="1" t="n">
        <v>44700.61766203704</v>
      </c>
      <c r="C2740" s="1" t="n">
        <v>45884</v>
      </c>
      <c r="D2740" t="inlineStr">
        <is>
          <t>KALMAR LÄN</t>
        </is>
      </c>
      <c r="E2740" t="inlineStr">
        <is>
          <t>EMMABODA</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38596-2024</t>
        </is>
      </c>
      <c r="B2741" s="1" t="n">
        <v>45546.66493055555</v>
      </c>
      <c r="C2741" s="1" t="n">
        <v>45884</v>
      </c>
      <c r="D2741" t="inlineStr">
        <is>
          <t>KALMAR LÄN</t>
        </is>
      </c>
      <c r="E2741" t="inlineStr">
        <is>
          <t>HÖGSBY</t>
        </is>
      </c>
      <c r="F2741" t="inlineStr">
        <is>
          <t>Sveaskog</t>
        </is>
      </c>
      <c r="G2741" t="n">
        <v>3.9</v>
      </c>
      <c r="H2741" t="n">
        <v>0</v>
      </c>
      <c r="I2741" t="n">
        <v>0</v>
      </c>
      <c r="J2741" t="n">
        <v>0</v>
      </c>
      <c r="K2741" t="n">
        <v>0</v>
      </c>
      <c r="L2741" t="n">
        <v>0</v>
      </c>
      <c r="M2741" t="n">
        <v>0</v>
      </c>
      <c r="N2741" t="n">
        <v>0</v>
      </c>
      <c r="O2741" t="n">
        <v>0</v>
      </c>
      <c r="P2741" t="n">
        <v>0</v>
      </c>
      <c r="Q2741" t="n">
        <v>0</v>
      </c>
      <c r="R2741" s="2" t="inlineStr"/>
    </row>
    <row r="2742" ht="15" customHeight="1">
      <c r="A2742" t="inlineStr">
        <is>
          <t>A 38599-2024</t>
        </is>
      </c>
      <c r="B2742" s="1" t="n">
        <v>45546.67261574074</v>
      </c>
      <c r="C2742" s="1" t="n">
        <v>45884</v>
      </c>
      <c r="D2742" t="inlineStr">
        <is>
          <t>KALMAR LÄN</t>
        </is>
      </c>
      <c r="E2742" t="inlineStr">
        <is>
          <t>HULTSFRED</t>
        </is>
      </c>
      <c r="G2742" t="n">
        <v>8</v>
      </c>
      <c r="H2742" t="n">
        <v>0</v>
      </c>
      <c r="I2742" t="n">
        <v>0</v>
      </c>
      <c r="J2742" t="n">
        <v>0</v>
      </c>
      <c r="K2742" t="n">
        <v>0</v>
      </c>
      <c r="L2742" t="n">
        <v>0</v>
      </c>
      <c r="M2742" t="n">
        <v>0</v>
      </c>
      <c r="N2742" t="n">
        <v>0</v>
      </c>
      <c r="O2742" t="n">
        <v>0</v>
      </c>
      <c r="P2742" t="n">
        <v>0</v>
      </c>
      <c r="Q2742" t="n">
        <v>0</v>
      </c>
      <c r="R2742" s="2" t="inlineStr"/>
    </row>
    <row r="2743" ht="15" customHeight="1">
      <c r="A2743" t="inlineStr">
        <is>
          <t>A 35655-2023</t>
        </is>
      </c>
      <c r="B2743" s="1" t="n">
        <v>45147.59408564815</v>
      </c>
      <c r="C2743" s="1" t="n">
        <v>45884</v>
      </c>
      <c r="D2743" t="inlineStr">
        <is>
          <t>KALMAR LÄN</t>
        </is>
      </c>
      <c r="E2743" t="inlineStr">
        <is>
          <t>VÄSTERVIK</t>
        </is>
      </c>
      <c r="G2743" t="n">
        <v>3.3</v>
      </c>
      <c r="H2743" t="n">
        <v>0</v>
      </c>
      <c r="I2743" t="n">
        <v>0</v>
      </c>
      <c r="J2743" t="n">
        <v>0</v>
      </c>
      <c r="K2743" t="n">
        <v>0</v>
      </c>
      <c r="L2743" t="n">
        <v>0</v>
      </c>
      <c r="M2743" t="n">
        <v>0</v>
      </c>
      <c r="N2743" t="n">
        <v>0</v>
      </c>
      <c r="O2743" t="n">
        <v>0</v>
      </c>
      <c r="P2743" t="n">
        <v>0</v>
      </c>
      <c r="Q2743" t="n">
        <v>0</v>
      </c>
      <c r="R2743" s="2" t="inlineStr"/>
    </row>
    <row r="2744" ht="15" customHeight="1">
      <c r="A2744" t="inlineStr">
        <is>
          <t>A 58156-2021</t>
        </is>
      </c>
      <c r="B2744" s="1" t="n">
        <v>44487.60532407407</v>
      </c>
      <c r="C2744" s="1" t="n">
        <v>45884</v>
      </c>
      <c r="D2744" t="inlineStr">
        <is>
          <t>KALMAR LÄN</t>
        </is>
      </c>
      <c r="E2744" t="inlineStr">
        <is>
          <t>EMMABODA</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48352-2024</t>
        </is>
      </c>
      <c r="B2745" s="1" t="n">
        <v>45590.56064814814</v>
      </c>
      <c r="C2745" s="1" t="n">
        <v>45884</v>
      </c>
      <c r="D2745" t="inlineStr">
        <is>
          <t>KALMAR LÄN</t>
        </is>
      </c>
      <c r="E2745" t="inlineStr">
        <is>
          <t>EMMABODA</t>
        </is>
      </c>
      <c r="G2745" t="n">
        <v>0.4</v>
      </c>
      <c r="H2745" t="n">
        <v>0</v>
      </c>
      <c r="I2745" t="n">
        <v>0</v>
      </c>
      <c r="J2745" t="n">
        <v>0</v>
      </c>
      <c r="K2745" t="n">
        <v>0</v>
      </c>
      <c r="L2745" t="n">
        <v>0</v>
      </c>
      <c r="M2745" t="n">
        <v>0</v>
      </c>
      <c r="N2745" t="n">
        <v>0</v>
      </c>
      <c r="O2745" t="n">
        <v>0</v>
      </c>
      <c r="P2745" t="n">
        <v>0</v>
      </c>
      <c r="Q2745" t="n">
        <v>0</v>
      </c>
      <c r="R2745" s="2" t="inlineStr"/>
    </row>
    <row r="2746" ht="15" customHeight="1">
      <c r="A2746" t="inlineStr">
        <is>
          <t>A 9891-2024</t>
        </is>
      </c>
      <c r="B2746" s="1" t="n">
        <v>45363.47704861111</v>
      </c>
      <c r="C2746" s="1" t="n">
        <v>45884</v>
      </c>
      <c r="D2746" t="inlineStr">
        <is>
          <t>KALMAR LÄN</t>
        </is>
      </c>
      <c r="E2746" t="inlineStr">
        <is>
          <t>HULTSFRED</t>
        </is>
      </c>
      <c r="G2746" t="n">
        <v>0.4</v>
      </c>
      <c r="H2746" t="n">
        <v>0</v>
      </c>
      <c r="I2746" t="n">
        <v>0</v>
      </c>
      <c r="J2746" t="n">
        <v>0</v>
      </c>
      <c r="K2746" t="n">
        <v>0</v>
      </c>
      <c r="L2746" t="n">
        <v>0</v>
      </c>
      <c r="M2746" t="n">
        <v>0</v>
      </c>
      <c r="N2746" t="n">
        <v>0</v>
      </c>
      <c r="O2746" t="n">
        <v>0</v>
      </c>
      <c r="P2746" t="n">
        <v>0</v>
      </c>
      <c r="Q2746" t="n">
        <v>0</v>
      </c>
      <c r="R2746" s="2" t="inlineStr"/>
    </row>
    <row r="2747" ht="15" customHeight="1">
      <c r="A2747" t="inlineStr">
        <is>
          <t>A 37419-2024</t>
        </is>
      </c>
      <c r="B2747" s="1" t="n">
        <v>45540.63810185185</v>
      </c>
      <c r="C2747" s="1" t="n">
        <v>45884</v>
      </c>
      <c r="D2747" t="inlineStr">
        <is>
          <t>KALMAR LÄN</t>
        </is>
      </c>
      <c r="E2747" t="inlineStr">
        <is>
          <t>MÖNSTERÅS</t>
        </is>
      </c>
      <c r="G2747" t="n">
        <v>7.5</v>
      </c>
      <c r="H2747" t="n">
        <v>0</v>
      </c>
      <c r="I2747" t="n">
        <v>0</v>
      </c>
      <c r="J2747" t="n">
        <v>0</v>
      </c>
      <c r="K2747" t="n">
        <v>0</v>
      </c>
      <c r="L2747" t="n">
        <v>0</v>
      </c>
      <c r="M2747" t="n">
        <v>0</v>
      </c>
      <c r="N2747" t="n">
        <v>0</v>
      </c>
      <c r="O2747" t="n">
        <v>0</v>
      </c>
      <c r="P2747" t="n">
        <v>0</v>
      </c>
      <c r="Q2747" t="n">
        <v>0</v>
      </c>
      <c r="R2747" s="2" t="inlineStr"/>
    </row>
    <row r="2748" ht="15" customHeight="1">
      <c r="A2748" t="inlineStr">
        <is>
          <t>A 11027-2023</t>
        </is>
      </c>
      <c r="B2748" s="1" t="n">
        <v>44991.89657407408</v>
      </c>
      <c r="C2748" s="1" t="n">
        <v>45884</v>
      </c>
      <c r="D2748" t="inlineStr">
        <is>
          <t>KALMAR LÄN</t>
        </is>
      </c>
      <c r="E2748" t="inlineStr">
        <is>
          <t>VIMMERBY</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58136-2021</t>
        </is>
      </c>
      <c r="B2749" s="1" t="n">
        <v>44487</v>
      </c>
      <c r="C2749" s="1" t="n">
        <v>45884</v>
      </c>
      <c r="D2749" t="inlineStr">
        <is>
          <t>KALMAR LÄN</t>
        </is>
      </c>
      <c r="E2749" t="inlineStr">
        <is>
          <t>EMMABODA</t>
        </is>
      </c>
      <c r="F2749" t="inlineStr">
        <is>
          <t>Kommuner</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4368-2021</t>
        </is>
      </c>
      <c r="B2750" s="1" t="n">
        <v>44223</v>
      </c>
      <c r="C2750" s="1" t="n">
        <v>45884</v>
      </c>
      <c r="D2750" t="inlineStr">
        <is>
          <t>KALMAR LÄN</t>
        </is>
      </c>
      <c r="E2750" t="inlineStr">
        <is>
          <t>MÖNSTERÅS</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29719-2023</t>
        </is>
      </c>
      <c r="B2751" s="1" t="n">
        <v>45107</v>
      </c>
      <c r="C2751" s="1" t="n">
        <v>45884</v>
      </c>
      <c r="D2751" t="inlineStr">
        <is>
          <t>KALMAR LÄN</t>
        </is>
      </c>
      <c r="E2751" t="inlineStr">
        <is>
          <t>NYBRO</t>
        </is>
      </c>
      <c r="G2751" t="n">
        <v>4.8</v>
      </c>
      <c r="H2751" t="n">
        <v>0</v>
      </c>
      <c r="I2751" t="n">
        <v>0</v>
      </c>
      <c r="J2751" t="n">
        <v>0</v>
      </c>
      <c r="K2751" t="n">
        <v>0</v>
      </c>
      <c r="L2751" t="n">
        <v>0</v>
      </c>
      <c r="M2751" t="n">
        <v>0</v>
      </c>
      <c r="N2751" t="n">
        <v>0</v>
      </c>
      <c r="O2751" t="n">
        <v>0</v>
      </c>
      <c r="P2751" t="n">
        <v>0</v>
      </c>
      <c r="Q2751" t="n">
        <v>0</v>
      </c>
      <c r="R2751" s="2" t="inlineStr"/>
    </row>
    <row r="2752" ht="15" customHeight="1">
      <c r="A2752" t="inlineStr">
        <is>
          <t>A 56706-2023</t>
        </is>
      </c>
      <c r="B2752" s="1" t="n">
        <v>45244</v>
      </c>
      <c r="C2752" s="1" t="n">
        <v>45884</v>
      </c>
      <c r="D2752" t="inlineStr">
        <is>
          <t>KALMAR LÄN</t>
        </is>
      </c>
      <c r="E2752" t="inlineStr">
        <is>
          <t>HÖGSBY</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50426-2024</t>
        </is>
      </c>
      <c r="B2753" s="1" t="n">
        <v>45600</v>
      </c>
      <c r="C2753" s="1" t="n">
        <v>45884</v>
      </c>
      <c r="D2753" t="inlineStr">
        <is>
          <t>KALMAR LÄN</t>
        </is>
      </c>
      <c r="E2753" t="inlineStr">
        <is>
          <t>HÖGSBY</t>
        </is>
      </c>
      <c r="G2753" t="n">
        <v>4.2</v>
      </c>
      <c r="H2753" t="n">
        <v>0</v>
      </c>
      <c r="I2753" t="n">
        <v>0</v>
      </c>
      <c r="J2753" t="n">
        <v>0</v>
      </c>
      <c r="K2753" t="n">
        <v>0</v>
      </c>
      <c r="L2753" t="n">
        <v>0</v>
      </c>
      <c r="M2753" t="n">
        <v>0</v>
      </c>
      <c r="N2753" t="n">
        <v>0</v>
      </c>
      <c r="O2753" t="n">
        <v>0</v>
      </c>
      <c r="P2753" t="n">
        <v>0</v>
      </c>
      <c r="Q2753" t="n">
        <v>0</v>
      </c>
      <c r="R2753" s="2" t="inlineStr"/>
    </row>
    <row r="2754" ht="15" customHeight="1">
      <c r="A2754" t="inlineStr">
        <is>
          <t>A 43259-2024</t>
        </is>
      </c>
      <c r="B2754" s="1" t="n">
        <v>45568.35815972222</v>
      </c>
      <c r="C2754" s="1" t="n">
        <v>45884</v>
      </c>
      <c r="D2754" t="inlineStr">
        <is>
          <t>KALMAR LÄN</t>
        </is>
      </c>
      <c r="E2754" t="inlineStr">
        <is>
          <t>HULTSFRED</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61861-2024</t>
        </is>
      </c>
      <c r="B2755" s="1" t="n">
        <v>45650.37370370371</v>
      </c>
      <c r="C2755" s="1" t="n">
        <v>45884</v>
      </c>
      <c r="D2755" t="inlineStr">
        <is>
          <t>KALMAR LÄN</t>
        </is>
      </c>
      <c r="E2755" t="inlineStr">
        <is>
          <t>VIMMERBY</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60796-2020</t>
        </is>
      </c>
      <c r="B2756" s="1" t="n">
        <v>44154</v>
      </c>
      <c r="C2756" s="1" t="n">
        <v>45884</v>
      </c>
      <c r="D2756" t="inlineStr">
        <is>
          <t>KALMAR LÄN</t>
        </is>
      </c>
      <c r="E2756" t="inlineStr">
        <is>
          <t>KALMAR</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2778-2024</t>
        </is>
      </c>
      <c r="B2757" s="1" t="n">
        <v>45314.62943287037</v>
      </c>
      <c r="C2757" s="1" t="n">
        <v>45884</v>
      </c>
      <c r="D2757" t="inlineStr">
        <is>
          <t>KALMAR LÄN</t>
        </is>
      </c>
      <c r="E2757" t="inlineStr">
        <is>
          <t>OSKARSHAMN</t>
        </is>
      </c>
      <c r="G2757" t="n">
        <v>4.3</v>
      </c>
      <c r="H2757" t="n">
        <v>0</v>
      </c>
      <c r="I2757" t="n">
        <v>0</v>
      </c>
      <c r="J2757" t="n">
        <v>0</v>
      </c>
      <c r="K2757" t="n">
        <v>0</v>
      </c>
      <c r="L2757" t="n">
        <v>0</v>
      </c>
      <c r="M2757" t="n">
        <v>0</v>
      </c>
      <c r="N2757" t="n">
        <v>0</v>
      </c>
      <c r="O2757" t="n">
        <v>0</v>
      </c>
      <c r="P2757" t="n">
        <v>0</v>
      </c>
      <c r="Q2757" t="n">
        <v>0</v>
      </c>
      <c r="R2757" s="2" t="inlineStr"/>
    </row>
    <row r="2758" ht="15" customHeight="1">
      <c r="A2758" t="inlineStr">
        <is>
          <t>A 10457-2024</t>
        </is>
      </c>
      <c r="B2758" s="1" t="n">
        <v>45366.36186342593</v>
      </c>
      <c r="C2758" s="1" t="n">
        <v>45884</v>
      </c>
      <c r="D2758" t="inlineStr">
        <is>
          <t>KALMAR LÄN</t>
        </is>
      </c>
      <c r="E2758" t="inlineStr">
        <is>
          <t>NYBRO</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12849-2024</t>
        </is>
      </c>
      <c r="B2759" s="1" t="n">
        <v>45384.88273148148</v>
      </c>
      <c r="C2759" s="1" t="n">
        <v>45884</v>
      </c>
      <c r="D2759" t="inlineStr">
        <is>
          <t>KALMAR LÄN</t>
        </is>
      </c>
      <c r="E2759" t="inlineStr">
        <is>
          <t>OSKARSHAMN</t>
        </is>
      </c>
      <c r="F2759" t="inlineStr">
        <is>
          <t>Sveaskog</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12850-2024</t>
        </is>
      </c>
      <c r="B2760" s="1" t="n">
        <v>45384.88486111111</v>
      </c>
      <c r="C2760" s="1" t="n">
        <v>45884</v>
      </c>
      <c r="D2760" t="inlineStr">
        <is>
          <t>KALMAR LÄN</t>
        </is>
      </c>
      <c r="E2760" t="inlineStr">
        <is>
          <t>OSKARSHAMN</t>
        </is>
      </c>
      <c r="F2760" t="inlineStr">
        <is>
          <t>Sveaskog</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32757-2023</t>
        </is>
      </c>
      <c r="B2761" s="1" t="n">
        <v>45123.42461805556</v>
      </c>
      <c r="C2761" s="1" t="n">
        <v>45884</v>
      </c>
      <c r="D2761" t="inlineStr">
        <is>
          <t>KALMAR LÄN</t>
        </is>
      </c>
      <c r="E2761" t="inlineStr">
        <is>
          <t>NYBRO</t>
        </is>
      </c>
      <c r="G2761" t="n">
        <v>2.7</v>
      </c>
      <c r="H2761" t="n">
        <v>0</v>
      </c>
      <c r="I2761" t="n">
        <v>0</v>
      </c>
      <c r="J2761" t="n">
        <v>0</v>
      </c>
      <c r="K2761" t="n">
        <v>0</v>
      </c>
      <c r="L2761" t="n">
        <v>0</v>
      </c>
      <c r="M2761" t="n">
        <v>0</v>
      </c>
      <c r="N2761" t="n">
        <v>0</v>
      </c>
      <c r="O2761" t="n">
        <v>0</v>
      </c>
      <c r="P2761" t="n">
        <v>0</v>
      </c>
      <c r="Q2761" t="n">
        <v>0</v>
      </c>
      <c r="R2761" s="2" t="inlineStr"/>
    </row>
    <row r="2762" ht="15" customHeight="1">
      <c r="A2762" t="inlineStr">
        <is>
          <t>A 5073-2022</t>
        </is>
      </c>
      <c r="B2762" s="1" t="n">
        <v>44593.76921296296</v>
      </c>
      <c r="C2762" s="1" t="n">
        <v>45884</v>
      </c>
      <c r="D2762" t="inlineStr">
        <is>
          <t>KALMAR LÄN</t>
        </is>
      </c>
      <c r="E2762" t="inlineStr">
        <is>
          <t>EMMABODA</t>
        </is>
      </c>
      <c r="G2762" t="n">
        <v>0</v>
      </c>
      <c r="H2762" t="n">
        <v>0</v>
      </c>
      <c r="I2762" t="n">
        <v>0</v>
      </c>
      <c r="J2762" t="n">
        <v>0</v>
      </c>
      <c r="K2762" t="n">
        <v>0</v>
      </c>
      <c r="L2762" t="n">
        <v>0</v>
      </c>
      <c r="M2762" t="n">
        <v>0</v>
      </c>
      <c r="N2762" t="n">
        <v>0</v>
      </c>
      <c r="O2762" t="n">
        <v>0</v>
      </c>
      <c r="P2762" t="n">
        <v>0</v>
      </c>
      <c r="Q2762" t="n">
        <v>0</v>
      </c>
      <c r="R2762" s="2" t="inlineStr"/>
    </row>
    <row r="2763" ht="15" customHeight="1">
      <c r="A2763" t="inlineStr">
        <is>
          <t>A 61580-2022</t>
        </is>
      </c>
      <c r="B2763" s="1" t="n">
        <v>44916.62880787037</v>
      </c>
      <c r="C2763" s="1" t="n">
        <v>45884</v>
      </c>
      <c r="D2763" t="inlineStr">
        <is>
          <t>KALMAR LÄN</t>
        </is>
      </c>
      <c r="E2763" t="inlineStr">
        <is>
          <t>VÄSTERVIK</t>
        </is>
      </c>
      <c r="G2763" t="n">
        <v>3.5</v>
      </c>
      <c r="H2763" t="n">
        <v>0</v>
      </c>
      <c r="I2763" t="n">
        <v>0</v>
      </c>
      <c r="J2763" t="n">
        <v>0</v>
      </c>
      <c r="K2763" t="n">
        <v>0</v>
      </c>
      <c r="L2763" t="n">
        <v>0</v>
      </c>
      <c r="M2763" t="n">
        <v>0</v>
      </c>
      <c r="N2763" t="n">
        <v>0</v>
      </c>
      <c r="O2763" t="n">
        <v>0</v>
      </c>
      <c r="P2763" t="n">
        <v>0</v>
      </c>
      <c r="Q2763" t="n">
        <v>0</v>
      </c>
      <c r="R2763" s="2" t="inlineStr"/>
    </row>
    <row r="2764" ht="15" customHeight="1">
      <c r="A2764" t="inlineStr">
        <is>
          <t>A 21255-2021</t>
        </is>
      </c>
      <c r="B2764" s="1" t="n">
        <v>44320.5672337963</v>
      </c>
      <c r="C2764" s="1" t="n">
        <v>45884</v>
      </c>
      <c r="D2764" t="inlineStr">
        <is>
          <t>KALMAR LÄN</t>
        </is>
      </c>
      <c r="E2764" t="inlineStr">
        <is>
          <t>VÄSTERVIK</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17975-2023</t>
        </is>
      </c>
      <c r="B2765" s="1" t="n">
        <v>45040</v>
      </c>
      <c r="C2765" s="1" t="n">
        <v>45884</v>
      </c>
      <c r="D2765" t="inlineStr">
        <is>
          <t>KALMAR LÄN</t>
        </is>
      </c>
      <c r="E2765" t="inlineStr">
        <is>
          <t>EMMABODA</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8650-2022</t>
        </is>
      </c>
      <c r="B2766" s="1" t="n">
        <v>44613</v>
      </c>
      <c r="C2766" s="1" t="n">
        <v>45884</v>
      </c>
      <c r="D2766" t="inlineStr">
        <is>
          <t>KALMAR LÄN</t>
        </is>
      </c>
      <c r="E2766" t="inlineStr">
        <is>
          <t>VIMMERBY</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33340-2023</t>
        </is>
      </c>
      <c r="B2767" s="1" t="n">
        <v>45128.37305555555</v>
      </c>
      <c r="C2767" s="1" t="n">
        <v>45884</v>
      </c>
      <c r="D2767" t="inlineStr">
        <is>
          <t>KALMAR LÄN</t>
        </is>
      </c>
      <c r="E2767" t="inlineStr">
        <is>
          <t>VIMMERBY</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36980-2024</t>
        </is>
      </c>
      <c r="B2768" s="1" t="n">
        <v>45539.28254629629</v>
      </c>
      <c r="C2768" s="1" t="n">
        <v>45884</v>
      </c>
      <c r="D2768" t="inlineStr">
        <is>
          <t>KALMAR LÄN</t>
        </is>
      </c>
      <c r="E2768" t="inlineStr">
        <is>
          <t>EMMABODA</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50334-2023</t>
        </is>
      </c>
      <c r="B2769" s="1" t="n">
        <v>45216</v>
      </c>
      <c r="C2769" s="1" t="n">
        <v>45884</v>
      </c>
      <c r="D2769" t="inlineStr">
        <is>
          <t>KALMAR LÄN</t>
        </is>
      </c>
      <c r="E2769" t="inlineStr">
        <is>
          <t>HULTSFRED</t>
        </is>
      </c>
      <c r="G2769" t="n">
        <v>2.7</v>
      </c>
      <c r="H2769" t="n">
        <v>0</v>
      </c>
      <c r="I2769" t="n">
        <v>0</v>
      </c>
      <c r="J2769" t="n">
        <v>0</v>
      </c>
      <c r="K2769" t="n">
        <v>0</v>
      </c>
      <c r="L2769" t="n">
        <v>0</v>
      </c>
      <c r="M2769" t="n">
        <v>0</v>
      </c>
      <c r="N2769" t="n">
        <v>0</v>
      </c>
      <c r="O2769" t="n">
        <v>0</v>
      </c>
      <c r="P2769" t="n">
        <v>0</v>
      </c>
      <c r="Q2769" t="n">
        <v>0</v>
      </c>
      <c r="R2769" s="2" t="inlineStr"/>
    </row>
    <row r="2770" ht="15" customHeight="1">
      <c r="A2770" t="inlineStr">
        <is>
          <t>A 34420-2024</t>
        </is>
      </c>
      <c r="B2770" s="1" t="n">
        <v>45525.49710648148</v>
      </c>
      <c r="C2770" s="1" t="n">
        <v>45884</v>
      </c>
      <c r="D2770" t="inlineStr">
        <is>
          <t>KALMAR LÄN</t>
        </is>
      </c>
      <c r="E2770" t="inlineStr">
        <is>
          <t>VÄSTERVIK</t>
        </is>
      </c>
      <c r="F2770" t="inlineStr">
        <is>
          <t>Holmen skog AB</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44423-2023</t>
        </is>
      </c>
      <c r="B2771" s="1" t="n">
        <v>45189</v>
      </c>
      <c r="C2771" s="1" t="n">
        <v>45884</v>
      </c>
      <c r="D2771" t="inlineStr">
        <is>
          <t>KALMAR LÄN</t>
        </is>
      </c>
      <c r="E2771" t="inlineStr">
        <is>
          <t>VIMMERBY</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52727-2024</t>
        </is>
      </c>
      <c r="B2772" s="1" t="n">
        <v>45610.44954861111</v>
      </c>
      <c r="C2772" s="1" t="n">
        <v>45884</v>
      </c>
      <c r="D2772" t="inlineStr">
        <is>
          <t>KALMAR LÄN</t>
        </is>
      </c>
      <c r="E2772" t="inlineStr">
        <is>
          <t>OSKARSHAMN</t>
        </is>
      </c>
      <c r="G2772" t="n">
        <v>11.6</v>
      </c>
      <c r="H2772" t="n">
        <v>0</v>
      </c>
      <c r="I2772" t="n">
        <v>0</v>
      </c>
      <c r="J2772" t="n">
        <v>0</v>
      </c>
      <c r="K2772" t="n">
        <v>0</v>
      </c>
      <c r="L2772" t="n">
        <v>0</v>
      </c>
      <c r="M2772" t="n">
        <v>0</v>
      </c>
      <c r="N2772" t="n">
        <v>0</v>
      </c>
      <c r="O2772" t="n">
        <v>0</v>
      </c>
      <c r="P2772" t="n">
        <v>0</v>
      </c>
      <c r="Q2772" t="n">
        <v>0</v>
      </c>
      <c r="R2772" s="2" t="inlineStr"/>
    </row>
    <row r="2773" ht="15" customHeight="1">
      <c r="A2773" t="inlineStr">
        <is>
          <t>A 14385-2023</t>
        </is>
      </c>
      <c r="B2773" s="1" t="n">
        <v>45012</v>
      </c>
      <c r="C2773" s="1" t="n">
        <v>45884</v>
      </c>
      <c r="D2773" t="inlineStr">
        <is>
          <t>KALMAR LÄN</t>
        </is>
      </c>
      <c r="E2773" t="inlineStr">
        <is>
          <t>VÄSTERVIK</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14394-2023</t>
        </is>
      </c>
      <c r="B2774" s="1" t="n">
        <v>45012.47266203703</v>
      </c>
      <c r="C2774" s="1" t="n">
        <v>45884</v>
      </c>
      <c r="D2774" t="inlineStr">
        <is>
          <t>KALMAR LÄN</t>
        </is>
      </c>
      <c r="E2774" t="inlineStr">
        <is>
          <t>HÖGSBY</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38623-2023</t>
        </is>
      </c>
      <c r="B2775" s="1" t="n">
        <v>45162</v>
      </c>
      <c r="C2775" s="1" t="n">
        <v>45884</v>
      </c>
      <c r="D2775" t="inlineStr">
        <is>
          <t>KALMAR LÄN</t>
        </is>
      </c>
      <c r="E2775" t="inlineStr">
        <is>
          <t>NYBRO</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15700-2023</t>
        </is>
      </c>
      <c r="B2776" s="1" t="n">
        <v>45021.50942129629</v>
      </c>
      <c r="C2776" s="1" t="n">
        <v>45884</v>
      </c>
      <c r="D2776" t="inlineStr">
        <is>
          <t>KALMAR LÄN</t>
        </is>
      </c>
      <c r="E2776" t="inlineStr">
        <is>
          <t>EMMABODA</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14061-2024</t>
        </is>
      </c>
      <c r="B2777" s="1" t="n">
        <v>45392.56559027778</v>
      </c>
      <c r="C2777" s="1" t="n">
        <v>45884</v>
      </c>
      <c r="D2777" t="inlineStr">
        <is>
          <t>KALMAR LÄN</t>
        </is>
      </c>
      <c r="E2777" t="inlineStr">
        <is>
          <t>NYBRO</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59695-2023</t>
        </is>
      </c>
      <c r="B2778" s="1" t="n">
        <v>45256.85107638889</v>
      </c>
      <c r="C2778" s="1" t="n">
        <v>45884</v>
      </c>
      <c r="D2778" t="inlineStr">
        <is>
          <t>KALMAR LÄN</t>
        </is>
      </c>
      <c r="E2778" t="inlineStr">
        <is>
          <t>VÄSTERVIK</t>
        </is>
      </c>
      <c r="F2778" t="inlineStr">
        <is>
          <t>Sveaskog</t>
        </is>
      </c>
      <c r="G2778" t="n">
        <v>2.4</v>
      </c>
      <c r="H2778" t="n">
        <v>0</v>
      </c>
      <c r="I2778" t="n">
        <v>0</v>
      </c>
      <c r="J2778" t="n">
        <v>0</v>
      </c>
      <c r="K2778" t="n">
        <v>0</v>
      </c>
      <c r="L2778" t="n">
        <v>0</v>
      </c>
      <c r="M2778" t="n">
        <v>0</v>
      </c>
      <c r="N2778" t="n">
        <v>0</v>
      </c>
      <c r="O2778" t="n">
        <v>0</v>
      </c>
      <c r="P2778" t="n">
        <v>0</v>
      </c>
      <c r="Q2778" t="n">
        <v>0</v>
      </c>
      <c r="R2778" s="2" t="inlineStr"/>
    </row>
    <row r="2779" ht="15" customHeight="1">
      <c r="A2779" t="inlineStr">
        <is>
          <t>A 59699-2023</t>
        </is>
      </c>
      <c r="B2779" s="1" t="n">
        <v>45256.87429398148</v>
      </c>
      <c r="C2779" s="1" t="n">
        <v>45884</v>
      </c>
      <c r="D2779" t="inlineStr">
        <is>
          <t>KALMAR LÄN</t>
        </is>
      </c>
      <c r="E2779" t="inlineStr">
        <is>
          <t>OSKARSHAMN</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59700-2023</t>
        </is>
      </c>
      <c r="B2780" s="1" t="n">
        <v>45256.8952199074</v>
      </c>
      <c r="C2780" s="1" t="n">
        <v>45884</v>
      </c>
      <c r="D2780" t="inlineStr">
        <is>
          <t>KALMAR LÄN</t>
        </is>
      </c>
      <c r="E2780" t="inlineStr">
        <is>
          <t>HÖGSBY</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53483-2022</t>
        </is>
      </c>
      <c r="B2781" s="1" t="n">
        <v>44879.55940972222</v>
      </c>
      <c r="C2781" s="1" t="n">
        <v>45884</v>
      </c>
      <c r="D2781" t="inlineStr">
        <is>
          <t>KALMAR LÄN</t>
        </is>
      </c>
      <c r="E2781" t="inlineStr">
        <is>
          <t>VIMMERBY</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8597-2023</t>
        </is>
      </c>
      <c r="B2782" s="1" t="n">
        <v>44977</v>
      </c>
      <c r="C2782" s="1" t="n">
        <v>45884</v>
      </c>
      <c r="D2782" t="inlineStr">
        <is>
          <t>KALMAR LÄN</t>
        </is>
      </c>
      <c r="E2782" t="inlineStr">
        <is>
          <t>VÄSTERVIK</t>
        </is>
      </c>
      <c r="G2782" t="n">
        <v>0.2</v>
      </c>
      <c r="H2782" t="n">
        <v>0</v>
      </c>
      <c r="I2782" t="n">
        <v>0</v>
      </c>
      <c r="J2782" t="n">
        <v>0</v>
      </c>
      <c r="K2782" t="n">
        <v>0</v>
      </c>
      <c r="L2782" t="n">
        <v>0</v>
      </c>
      <c r="M2782" t="n">
        <v>0</v>
      </c>
      <c r="N2782" t="n">
        <v>0</v>
      </c>
      <c r="O2782" t="n">
        <v>0</v>
      </c>
      <c r="P2782" t="n">
        <v>0</v>
      </c>
      <c r="Q2782" t="n">
        <v>0</v>
      </c>
      <c r="R2782" s="2" t="inlineStr"/>
    </row>
    <row r="2783" ht="15" customHeight="1">
      <c r="A2783" t="inlineStr">
        <is>
          <t>A 18899-2025</t>
        </is>
      </c>
      <c r="B2783" s="1" t="n">
        <v>45764.44931712963</v>
      </c>
      <c r="C2783" s="1" t="n">
        <v>45884</v>
      </c>
      <c r="D2783" t="inlineStr">
        <is>
          <t>KALMAR LÄN</t>
        </is>
      </c>
      <c r="E2783" t="inlineStr">
        <is>
          <t>VIMMERBY</t>
        </is>
      </c>
      <c r="F2783" t="inlineStr">
        <is>
          <t>Kommuner</t>
        </is>
      </c>
      <c r="G2783" t="n">
        <v>4</v>
      </c>
      <c r="H2783" t="n">
        <v>0</v>
      </c>
      <c r="I2783" t="n">
        <v>0</v>
      </c>
      <c r="J2783" t="n">
        <v>0</v>
      </c>
      <c r="K2783" t="n">
        <v>0</v>
      </c>
      <c r="L2783" t="n">
        <v>0</v>
      </c>
      <c r="M2783" t="n">
        <v>0</v>
      </c>
      <c r="N2783" t="n">
        <v>0</v>
      </c>
      <c r="O2783" t="n">
        <v>0</v>
      </c>
      <c r="P2783" t="n">
        <v>0</v>
      </c>
      <c r="Q2783" t="n">
        <v>0</v>
      </c>
      <c r="R2783" s="2" t="inlineStr"/>
    </row>
    <row r="2784" ht="15" customHeight="1">
      <c r="A2784" t="inlineStr">
        <is>
          <t>A 53050-2021</t>
        </is>
      </c>
      <c r="B2784" s="1" t="n">
        <v>44467</v>
      </c>
      <c r="C2784" s="1" t="n">
        <v>45884</v>
      </c>
      <c r="D2784" t="inlineStr">
        <is>
          <t>KALMAR LÄN</t>
        </is>
      </c>
      <c r="E2784" t="inlineStr">
        <is>
          <t>BORGHOLM</t>
        </is>
      </c>
      <c r="G2784" t="n">
        <v>3.6</v>
      </c>
      <c r="H2784" t="n">
        <v>0</v>
      </c>
      <c r="I2784" t="n">
        <v>0</v>
      </c>
      <c r="J2784" t="n">
        <v>0</v>
      </c>
      <c r="K2784" t="n">
        <v>0</v>
      </c>
      <c r="L2784" t="n">
        <v>0</v>
      </c>
      <c r="M2784" t="n">
        <v>0</v>
      </c>
      <c r="N2784" t="n">
        <v>0</v>
      </c>
      <c r="O2784" t="n">
        <v>0</v>
      </c>
      <c r="P2784" t="n">
        <v>0</v>
      </c>
      <c r="Q2784" t="n">
        <v>0</v>
      </c>
      <c r="R2784" s="2" t="inlineStr"/>
    </row>
    <row r="2785" ht="15" customHeight="1">
      <c r="A2785" t="inlineStr">
        <is>
          <t>A 25878-2024</t>
        </is>
      </c>
      <c r="B2785" s="1" t="n">
        <v>45467.48708333333</v>
      </c>
      <c r="C2785" s="1" t="n">
        <v>45884</v>
      </c>
      <c r="D2785" t="inlineStr">
        <is>
          <t>KALMAR LÄN</t>
        </is>
      </c>
      <c r="E2785" t="inlineStr">
        <is>
          <t>HULTSFRED</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14658-2025</t>
        </is>
      </c>
      <c r="B2786" s="1" t="n">
        <v>45742.52042824074</v>
      </c>
      <c r="C2786" s="1" t="n">
        <v>45884</v>
      </c>
      <c r="D2786" t="inlineStr">
        <is>
          <t>KALMAR LÄN</t>
        </is>
      </c>
      <c r="E2786" t="inlineStr">
        <is>
          <t>HULTSFRED</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48223-2023</t>
        </is>
      </c>
      <c r="B2787" s="1" t="n">
        <v>45205.48995370371</v>
      </c>
      <c r="C2787" s="1" t="n">
        <v>45884</v>
      </c>
      <c r="D2787" t="inlineStr">
        <is>
          <t>KALMAR LÄN</t>
        </is>
      </c>
      <c r="E2787" t="inlineStr">
        <is>
          <t>KALMAR</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15765-2023</t>
        </is>
      </c>
      <c r="B2788" s="1" t="n">
        <v>45021</v>
      </c>
      <c r="C2788" s="1" t="n">
        <v>45884</v>
      </c>
      <c r="D2788" t="inlineStr">
        <is>
          <t>KALMAR LÄN</t>
        </is>
      </c>
      <c r="E2788" t="inlineStr">
        <is>
          <t>VÄSTERVIK</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13073-2024</t>
        </is>
      </c>
      <c r="B2789" s="1" t="n">
        <v>45385.65364583334</v>
      </c>
      <c r="C2789" s="1" t="n">
        <v>45884</v>
      </c>
      <c r="D2789" t="inlineStr">
        <is>
          <t>KALMAR LÄN</t>
        </is>
      </c>
      <c r="E2789" t="inlineStr">
        <is>
          <t>OSKARSHAMN</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20054-2023</t>
        </is>
      </c>
      <c r="B2790" s="1" t="n">
        <v>45054.6750462963</v>
      </c>
      <c r="C2790" s="1" t="n">
        <v>45884</v>
      </c>
      <c r="D2790" t="inlineStr">
        <is>
          <t>KALMAR LÄN</t>
        </is>
      </c>
      <c r="E2790" t="inlineStr">
        <is>
          <t>VIMMERBY</t>
        </is>
      </c>
      <c r="G2790" t="n">
        <v>2.4</v>
      </c>
      <c r="H2790" t="n">
        <v>0</v>
      </c>
      <c r="I2790" t="n">
        <v>0</v>
      </c>
      <c r="J2790" t="n">
        <v>0</v>
      </c>
      <c r="K2790" t="n">
        <v>0</v>
      </c>
      <c r="L2790" t="n">
        <v>0</v>
      </c>
      <c r="M2790" t="n">
        <v>0</v>
      </c>
      <c r="N2790" t="n">
        <v>0</v>
      </c>
      <c r="O2790" t="n">
        <v>0</v>
      </c>
      <c r="P2790" t="n">
        <v>0</v>
      </c>
      <c r="Q2790" t="n">
        <v>0</v>
      </c>
      <c r="R2790" s="2" t="inlineStr"/>
    </row>
    <row r="2791" ht="15" customHeight="1">
      <c r="A2791" t="inlineStr">
        <is>
          <t>A 45560-2021</t>
        </is>
      </c>
      <c r="B2791" s="1" t="n">
        <v>44440</v>
      </c>
      <c r="C2791" s="1" t="n">
        <v>45884</v>
      </c>
      <c r="D2791" t="inlineStr">
        <is>
          <t>KALMAR LÄN</t>
        </is>
      </c>
      <c r="E2791" t="inlineStr">
        <is>
          <t>VIMMERBY</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56836-2024</t>
        </is>
      </c>
      <c r="B2792" s="1" t="n">
        <v>45628.50152777778</v>
      </c>
      <c r="C2792" s="1" t="n">
        <v>45884</v>
      </c>
      <c r="D2792" t="inlineStr">
        <is>
          <t>KALMAR LÄN</t>
        </is>
      </c>
      <c r="E2792" t="inlineStr">
        <is>
          <t>TORSÅS</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20498-2023</t>
        </is>
      </c>
      <c r="B2793" s="1" t="n">
        <v>45057</v>
      </c>
      <c r="C2793" s="1" t="n">
        <v>45884</v>
      </c>
      <c r="D2793" t="inlineStr">
        <is>
          <t>KALMAR LÄN</t>
        </is>
      </c>
      <c r="E2793" t="inlineStr">
        <is>
          <t>MÖNSTERÅS</t>
        </is>
      </c>
      <c r="G2793" t="n">
        <v>6.5</v>
      </c>
      <c r="H2793" t="n">
        <v>0</v>
      </c>
      <c r="I2793" t="n">
        <v>0</v>
      </c>
      <c r="J2793" t="n">
        <v>0</v>
      </c>
      <c r="K2793" t="n">
        <v>0</v>
      </c>
      <c r="L2793" t="n">
        <v>0</v>
      </c>
      <c r="M2793" t="n">
        <v>0</v>
      </c>
      <c r="N2793" t="n">
        <v>0</v>
      </c>
      <c r="O2793" t="n">
        <v>0</v>
      </c>
      <c r="P2793" t="n">
        <v>0</v>
      </c>
      <c r="Q2793" t="n">
        <v>0</v>
      </c>
      <c r="R2793" s="2" t="inlineStr"/>
    </row>
    <row r="2794" ht="15" customHeight="1">
      <c r="A2794" t="inlineStr">
        <is>
          <t>A 58962-2022</t>
        </is>
      </c>
      <c r="B2794" s="1" t="n">
        <v>44903</v>
      </c>
      <c r="C2794" s="1" t="n">
        <v>45884</v>
      </c>
      <c r="D2794" t="inlineStr">
        <is>
          <t>KALMAR LÄN</t>
        </is>
      </c>
      <c r="E2794" t="inlineStr">
        <is>
          <t>VIMMERBY</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38285-2023</t>
        </is>
      </c>
      <c r="B2795" s="1" t="n">
        <v>45160</v>
      </c>
      <c r="C2795" s="1" t="n">
        <v>45884</v>
      </c>
      <c r="D2795" t="inlineStr">
        <is>
          <t>KALMAR LÄN</t>
        </is>
      </c>
      <c r="E2795" t="inlineStr">
        <is>
          <t>HÖGSBY</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61982-2024</t>
        </is>
      </c>
      <c r="B2796" s="1" t="n">
        <v>45653.66523148148</v>
      </c>
      <c r="C2796" s="1" t="n">
        <v>45884</v>
      </c>
      <c r="D2796" t="inlineStr">
        <is>
          <t>KALMAR LÄN</t>
        </is>
      </c>
      <c r="E2796" t="inlineStr">
        <is>
          <t>NYBRO</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62321-2023</t>
        </is>
      </c>
      <c r="B2797" s="1" t="n">
        <v>45267.81273148148</v>
      </c>
      <c r="C2797" s="1" t="n">
        <v>45884</v>
      </c>
      <c r="D2797" t="inlineStr">
        <is>
          <t>KALMAR LÄN</t>
        </is>
      </c>
      <c r="E2797" t="inlineStr">
        <is>
          <t>OSKARSHAMN</t>
        </is>
      </c>
      <c r="F2797" t="inlineStr">
        <is>
          <t>Sveaskog</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62326-2023</t>
        </is>
      </c>
      <c r="B2798" s="1" t="n">
        <v>45267.8203125</v>
      </c>
      <c r="C2798" s="1" t="n">
        <v>45884</v>
      </c>
      <c r="D2798" t="inlineStr">
        <is>
          <t>KALMAR LÄN</t>
        </is>
      </c>
      <c r="E2798" t="inlineStr">
        <is>
          <t>OSKARSHAMN</t>
        </is>
      </c>
      <c r="F2798" t="inlineStr">
        <is>
          <t>Sveaskog</t>
        </is>
      </c>
      <c r="G2798" t="n">
        <v>3.2</v>
      </c>
      <c r="H2798" t="n">
        <v>0</v>
      </c>
      <c r="I2798" t="n">
        <v>0</v>
      </c>
      <c r="J2798" t="n">
        <v>0</v>
      </c>
      <c r="K2798" t="n">
        <v>0</v>
      </c>
      <c r="L2798" t="n">
        <v>0</v>
      </c>
      <c r="M2798" t="n">
        <v>0</v>
      </c>
      <c r="N2798" t="n">
        <v>0</v>
      </c>
      <c r="O2798" t="n">
        <v>0</v>
      </c>
      <c r="P2798" t="n">
        <v>0</v>
      </c>
      <c r="Q2798" t="n">
        <v>0</v>
      </c>
      <c r="R2798" s="2" t="inlineStr"/>
    </row>
    <row r="2799" ht="15" customHeight="1">
      <c r="A2799" t="inlineStr">
        <is>
          <t>A 37323-2024</t>
        </is>
      </c>
      <c r="B2799" s="1" t="n">
        <v>45540.50098379629</v>
      </c>
      <c r="C2799" s="1" t="n">
        <v>45884</v>
      </c>
      <c r="D2799" t="inlineStr">
        <is>
          <t>KALMAR LÄN</t>
        </is>
      </c>
      <c r="E2799" t="inlineStr">
        <is>
          <t>VIMMERBY</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62328-2023</t>
        </is>
      </c>
      <c r="B2800" s="1" t="n">
        <v>45267</v>
      </c>
      <c r="C2800" s="1" t="n">
        <v>45884</v>
      </c>
      <c r="D2800" t="inlineStr">
        <is>
          <t>KALMAR LÄN</t>
        </is>
      </c>
      <c r="E2800" t="inlineStr">
        <is>
          <t>OSKARSHAMN</t>
        </is>
      </c>
      <c r="F2800" t="inlineStr">
        <is>
          <t>Sveaskog</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62329-2023</t>
        </is>
      </c>
      <c r="B2801" s="1" t="n">
        <v>45267</v>
      </c>
      <c r="C2801" s="1" t="n">
        <v>45884</v>
      </c>
      <c r="D2801" t="inlineStr">
        <is>
          <t>KALMAR LÄN</t>
        </is>
      </c>
      <c r="E2801" t="inlineStr">
        <is>
          <t>OSKARSHAMN</t>
        </is>
      </c>
      <c r="F2801" t="inlineStr">
        <is>
          <t>Sveaskog</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10365-2025</t>
        </is>
      </c>
      <c r="B2802" s="1" t="n">
        <v>45720.54586805555</v>
      </c>
      <c r="C2802" s="1" t="n">
        <v>45884</v>
      </c>
      <c r="D2802" t="inlineStr">
        <is>
          <t>KALMAR LÄN</t>
        </is>
      </c>
      <c r="E2802" t="inlineStr">
        <is>
          <t>KALMAR</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60603-2023</t>
        </is>
      </c>
      <c r="B2803" s="1" t="n">
        <v>45260</v>
      </c>
      <c r="C2803" s="1" t="n">
        <v>45884</v>
      </c>
      <c r="D2803" t="inlineStr">
        <is>
          <t>KALMAR LÄN</t>
        </is>
      </c>
      <c r="E2803" t="inlineStr">
        <is>
          <t>NYBRO</t>
        </is>
      </c>
      <c r="G2803" t="n">
        <v>2.4</v>
      </c>
      <c r="H2803" t="n">
        <v>0</v>
      </c>
      <c r="I2803" t="n">
        <v>0</v>
      </c>
      <c r="J2803" t="n">
        <v>0</v>
      </c>
      <c r="K2803" t="n">
        <v>0</v>
      </c>
      <c r="L2803" t="n">
        <v>0</v>
      </c>
      <c r="M2803" t="n">
        <v>0</v>
      </c>
      <c r="N2803" t="n">
        <v>0</v>
      </c>
      <c r="O2803" t="n">
        <v>0</v>
      </c>
      <c r="P2803" t="n">
        <v>0</v>
      </c>
      <c r="Q2803" t="n">
        <v>0</v>
      </c>
      <c r="R2803" s="2" t="inlineStr"/>
    </row>
    <row r="2804" ht="15" customHeight="1">
      <c r="A2804" t="inlineStr">
        <is>
          <t>A 7221-2023</t>
        </is>
      </c>
      <c r="B2804" s="1" t="n">
        <v>44970.58731481482</v>
      </c>
      <c r="C2804" s="1" t="n">
        <v>45884</v>
      </c>
      <c r="D2804" t="inlineStr">
        <is>
          <t>KALMAR LÄN</t>
        </is>
      </c>
      <c r="E2804" t="inlineStr">
        <is>
          <t>HULTSFRED</t>
        </is>
      </c>
      <c r="F2804" t="inlineStr">
        <is>
          <t>Sveaskog</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7310-2023</t>
        </is>
      </c>
      <c r="B2805" s="1" t="n">
        <v>44970.8662962963</v>
      </c>
      <c r="C2805" s="1" t="n">
        <v>45884</v>
      </c>
      <c r="D2805" t="inlineStr">
        <is>
          <t>KALMAR LÄN</t>
        </is>
      </c>
      <c r="E2805" t="inlineStr">
        <is>
          <t>HULTSFRED</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9973-2025</t>
        </is>
      </c>
      <c r="B2806" s="1" t="n">
        <v>45719.38739583334</v>
      </c>
      <c r="C2806" s="1" t="n">
        <v>45884</v>
      </c>
      <c r="D2806" t="inlineStr">
        <is>
          <t>KALMAR LÄN</t>
        </is>
      </c>
      <c r="E2806" t="inlineStr">
        <is>
          <t>VÄSTERVIK</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64514-2021</t>
        </is>
      </c>
      <c r="B2807" s="1" t="n">
        <v>44511</v>
      </c>
      <c r="C2807" s="1" t="n">
        <v>45884</v>
      </c>
      <c r="D2807" t="inlineStr">
        <is>
          <t>KALMAR LÄN</t>
        </is>
      </c>
      <c r="E2807" t="inlineStr">
        <is>
          <t>MÖNSTERÅS</t>
        </is>
      </c>
      <c r="G2807" t="n">
        <v>5.6</v>
      </c>
      <c r="H2807" t="n">
        <v>0</v>
      </c>
      <c r="I2807" t="n">
        <v>0</v>
      </c>
      <c r="J2807" t="n">
        <v>0</v>
      </c>
      <c r="K2807" t="n">
        <v>0</v>
      </c>
      <c r="L2807" t="n">
        <v>0</v>
      </c>
      <c r="M2807" t="n">
        <v>0</v>
      </c>
      <c r="N2807" t="n">
        <v>0</v>
      </c>
      <c r="O2807" t="n">
        <v>0</v>
      </c>
      <c r="P2807" t="n">
        <v>0</v>
      </c>
      <c r="Q2807" t="n">
        <v>0</v>
      </c>
      <c r="R2807" s="2" t="inlineStr"/>
    </row>
    <row r="2808" ht="15" customHeight="1">
      <c r="A2808" t="inlineStr">
        <is>
          <t>A 10725-2023</t>
        </is>
      </c>
      <c r="B2808" s="1" t="n">
        <v>44988.66966435185</v>
      </c>
      <c r="C2808" s="1" t="n">
        <v>45884</v>
      </c>
      <c r="D2808" t="inlineStr">
        <is>
          <t>KALMAR LÄN</t>
        </is>
      </c>
      <c r="E2808" t="inlineStr">
        <is>
          <t>VÄSTERVIK</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24716-2022</t>
        </is>
      </c>
      <c r="B2809" s="1" t="n">
        <v>44727</v>
      </c>
      <c r="C2809" s="1" t="n">
        <v>45884</v>
      </c>
      <c r="D2809" t="inlineStr">
        <is>
          <t>KALMAR LÄN</t>
        </is>
      </c>
      <c r="E2809" t="inlineStr">
        <is>
          <t>MÖNSTERÅS</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10614-2023</t>
        </is>
      </c>
      <c r="B2810" s="1" t="n">
        <v>44988</v>
      </c>
      <c r="C2810" s="1" t="n">
        <v>45884</v>
      </c>
      <c r="D2810" t="inlineStr">
        <is>
          <t>KALMAR LÄN</t>
        </is>
      </c>
      <c r="E2810" t="inlineStr">
        <is>
          <t>KALMAR</t>
        </is>
      </c>
      <c r="G2810" t="n">
        <v>2.5</v>
      </c>
      <c r="H2810" t="n">
        <v>0</v>
      </c>
      <c r="I2810" t="n">
        <v>0</v>
      </c>
      <c r="J2810" t="n">
        <v>0</v>
      </c>
      <c r="K2810" t="n">
        <v>0</v>
      </c>
      <c r="L2810" t="n">
        <v>0</v>
      </c>
      <c r="M2810" t="n">
        <v>0</v>
      </c>
      <c r="N2810" t="n">
        <v>0</v>
      </c>
      <c r="O2810" t="n">
        <v>0</v>
      </c>
      <c r="P2810" t="n">
        <v>0</v>
      </c>
      <c r="Q2810" t="n">
        <v>0</v>
      </c>
      <c r="R2810" s="2" t="inlineStr"/>
    </row>
    <row r="2811" ht="15" customHeight="1">
      <c r="A2811" t="inlineStr">
        <is>
          <t>A 10652-2023</t>
        </is>
      </c>
      <c r="B2811" s="1" t="n">
        <v>44988</v>
      </c>
      <c r="C2811" s="1" t="n">
        <v>45884</v>
      </c>
      <c r="D2811" t="inlineStr">
        <is>
          <t>KALMAR LÄN</t>
        </is>
      </c>
      <c r="E2811" t="inlineStr">
        <is>
          <t>TORSÅS</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53650-2023</t>
        </is>
      </c>
      <c r="B2812" s="1" t="n">
        <v>45230.60807870371</v>
      </c>
      <c r="C2812" s="1" t="n">
        <v>45884</v>
      </c>
      <c r="D2812" t="inlineStr">
        <is>
          <t>KALMAR LÄN</t>
        </is>
      </c>
      <c r="E2812" t="inlineStr">
        <is>
          <t>NYBRO</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57173-2022</t>
        </is>
      </c>
      <c r="B2813" s="1" t="n">
        <v>44895.60672453704</v>
      </c>
      <c r="C2813" s="1" t="n">
        <v>45884</v>
      </c>
      <c r="D2813" t="inlineStr">
        <is>
          <t>KALMAR LÄN</t>
        </is>
      </c>
      <c r="E2813" t="inlineStr">
        <is>
          <t>HÖGSBY</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45463-2024</t>
        </is>
      </c>
      <c r="B2814" s="1" t="n">
        <v>45576.69753472223</v>
      </c>
      <c r="C2814" s="1" t="n">
        <v>45884</v>
      </c>
      <c r="D2814" t="inlineStr">
        <is>
          <t>KALMAR LÄN</t>
        </is>
      </c>
      <c r="E2814" t="inlineStr">
        <is>
          <t>VÄSTERVIK</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27357-2021</t>
        </is>
      </c>
      <c r="B2815" s="1" t="n">
        <v>44351</v>
      </c>
      <c r="C2815" s="1" t="n">
        <v>45884</v>
      </c>
      <c r="D2815" t="inlineStr">
        <is>
          <t>KALMAR LÄN</t>
        </is>
      </c>
      <c r="E2815" t="inlineStr">
        <is>
          <t>NYBRO</t>
        </is>
      </c>
      <c r="G2815" t="n">
        <v>16.5</v>
      </c>
      <c r="H2815" t="n">
        <v>0</v>
      </c>
      <c r="I2815" t="n">
        <v>0</v>
      </c>
      <c r="J2815" t="n">
        <v>0</v>
      </c>
      <c r="K2815" t="n">
        <v>0</v>
      </c>
      <c r="L2815" t="n">
        <v>0</v>
      </c>
      <c r="M2815" t="n">
        <v>0</v>
      </c>
      <c r="N2815" t="n">
        <v>0</v>
      </c>
      <c r="O2815" t="n">
        <v>0</v>
      </c>
      <c r="P2815" t="n">
        <v>0</v>
      </c>
      <c r="Q2815" t="n">
        <v>0</v>
      </c>
      <c r="R2815" s="2" t="inlineStr"/>
    </row>
    <row r="2816" ht="15" customHeight="1">
      <c r="A2816" t="inlineStr">
        <is>
          <t>A 40256-2024</t>
        </is>
      </c>
      <c r="B2816" s="1" t="n">
        <v>45554.62944444444</v>
      </c>
      <c r="C2816" s="1" t="n">
        <v>45884</v>
      </c>
      <c r="D2816" t="inlineStr">
        <is>
          <t>KALMAR LÄN</t>
        </is>
      </c>
      <c r="E2816" t="inlineStr">
        <is>
          <t>VIMMERBY</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5989-2025</t>
        </is>
      </c>
      <c r="B2817" s="1" t="n">
        <v>45695.56203703704</v>
      </c>
      <c r="C2817" s="1" t="n">
        <v>45884</v>
      </c>
      <c r="D2817" t="inlineStr">
        <is>
          <t>KALMAR LÄN</t>
        </is>
      </c>
      <c r="E2817" t="inlineStr">
        <is>
          <t>HULTSFRED</t>
        </is>
      </c>
      <c r="F2817" t="inlineStr">
        <is>
          <t>Sveaskog</t>
        </is>
      </c>
      <c r="G2817" t="n">
        <v>5.9</v>
      </c>
      <c r="H2817" t="n">
        <v>0</v>
      </c>
      <c r="I2817" t="n">
        <v>0</v>
      </c>
      <c r="J2817" t="n">
        <v>0</v>
      </c>
      <c r="K2817" t="n">
        <v>0</v>
      </c>
      <c r="L2817" t="n">
        <v>0</v>
      </c>
      <c r="M2817" t="n">
        <v>0</v>
      </c>
      <c r="N2817" t="n">
        <v>0</v>
      </c>
      <c r="O2817" t="n">
        <v>0</v>
      </c>
      <c r="P2817" t="n">
        <v>0</v>
      </c>
      <c r="Q2817" t="n">
        <v>0</v>
      </c>
      <c r="R2817" s="2" t="inlineStr"/>
    </row>
    <row r="2818" ht="15" customHeight="1">
      <c r="A2818" t="inlineStr">
        <is>
          <t>A 5996-2025</t>
        </is>
      </c>
      <c r="B2818" s="1" t="n">
        <v>45695.5696875</v>
      </c>
      <c r="C2818" s="1" t="n">
        <v>45884</v>
      </c>
      <c r="D2818" t="inlineStr">
        <is>
          <t>KALMAR LÄN</t>
        </is>
      </c>
      <c r="E2818" t="inlineStr">
        <is>
          <t>HULTSFRED</t>
        </is>
      </c>
      <c r="F2818" t="inlineStr">
        <is>
          <t>Sveaskog</t>
        </is>
      </c>
      <c r="G2818" t="n">
        <v>4</v>
      </c>
      <c r="H2818" t="n">
        <v>0</v>
      </c>
      <c r="I2818" t="n">
        <v>0</v>
      </c>
      <c r="J2818" t="n">
        <v>0</v>
      </c>
      <c r="K2818" t="n">
        <v>0</v>
      </c>
      <c r="L2818" t="n">
        <v>0</v>
      </c>
      <c r="M2818" t="n">
        <v>0</v>
      </c>
      <c r="N2818" t="n">
        <v>0</v>
      </c>
      <c r="O2818" t="n">
        <v>0</v>
      </c>
      <c r="P2818" t="n">
        <v>0</v>
      </c>
      <c r="Q2818" t="n">
        <v>0</v>
      </c>
      <c r="R2818" s="2" t="inlineStr"/>
    </row>
    <row r="2819" ht="15" customHeight="1">
      <c r="A2819" t="inlineStr">
        <is>
          <t>A 26426-2023</t>
        </is>
      </c>
      <c r="B2819" s="1" t="n">
        <v>45092.3945949074</v>
      </c>
      <c r="C2819" s="1" t="n">
        <v>45884</v>
      </c>
      <c r="D2819" t="inlineStr">
        <is>
          <t>KALMAR LÄN</t>
        </is>
      </c>
      <c r="E2819" t="inlineStr">
        <is>
          <t>NYBRO</t>
        </is>
      </c>
      <c r="F2819" t="inlineStr">
        <is>
          <t>Kommuner</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10837-2023</t>
        </is>
      </c>
      <c r="B2820" s="1" t="n">
        <v>44991.30547453704</v>
      </c>
      <c r="C2820" s="1" t="n">
        <v>45884</v>
      </c>
      <c r="D2820" t="inlineStr">
        <is>
          <t>KALMAR LÄN</t>
        </is>
      </c>
      <c r="E2820" t="inlineStr">
        <is>
          <t>VIMMERBY</t>
        </is>
      </c>
      <c r="G2820" t="n">
        <v>7.3</v>
      </c>
      <c r="H2820" t="n">
        <v>0</v>
      </c>
      <c r="I2820" t="n">
        <v>0</v>
      </c>
      <c r="J2820" t="n">
        <v>0</v>
      </c>
      <c r="K2820" t="n">
        <v>0</v>
      </c>
      <c r="L2820" t="n">
        <v>0</v>
      </c>
      <c r="M2820" t="n">
        <v>0</v>
      </c>
      <c r="N2820" t="n">
        <v>0</v>
      </c>
      <c r="O2820" t="n">
        <v>0</v>
      </c>
      <c r="P2820" t="n">
        <v>0</v>
      </c>
      <c r="Q2820" t="n">
        <v>0</v>
      </c>
      <c r="R2820" s="2" t="inlineStr"/>
    </row>
    <row r="2821" ht="15" customHeight="1">
      <c r="A2821" t="inlineStr">
        <is>
          <t>A 10838-2023</t>
        </is>
      </c>
      <c r="B2821" s="1" t="n">
        <v>44991</v>
      </c>
      <c r="C2821" s="1" t="n">
        <v>45884</v>
      </c>
      <c r="D2821" t="inlineStr">
        <is>
          <t>KALMAR LÄN</t>
        </is>
      </c>
      <c r="E2821" t="inlineStr">
        <is>
          <t>VIMMERBY</t>
        </is>
      </c>
      <c r="G2821" t="n">
        <v>5.1</v>
      </c>
      <c r="H2821" t="n">
        <v>0</v>
      </c>
      <c r="I2821" t="n">
        <v>0</v>
      </c>
      <c r="J2821" t="n">
        <v>0</v>
      </c>
      <c r="K2821" t="n">
        <v>0</v>
      </c>
      <c r="L2821" t="n">
        <v>0</v>
      </c>
      <c r="M2821" t="n">
        <v>0</v>
      </c>
      <c r="N2821" t="n">
        <v>0</v>
      </c>
      <c r="O2821" t="n">
        <v>0</v>
      </c>
      <c r="P2821" t="n">
        <v>0</v>
      </c>
      <c r="Q2821" t="n">
        <v>0</v>
      </c>
      <c r="R2821" s="2" t="inlineStr"/>
    </row>
    <row r="2822" ht="15" customHeight="1">
      <c r="A2822" t="inlineStr">
        <is>
          <t>A 43998-2020</t>
        </is>
      </c>
      <c r="B2822" s="1" t="n">
        <v>44083</v>
      </c>
      <c r="C2822" s="1" t="n">
        <v>45884</v>
      </c>
      <c r="D2822" t="inlineStr">
        <is>
          <t>KALMAR LÄN</t>
        </is>
      </c>
      <c r="E2822" t="inlineStr">
        <is>
          <t>VIMMERBY</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22489-2022</t>
        </is>
      </c>
      <c r="B2823" s="1" t="n">
        <v>44713.6349537037</v>
      </c>
      <c r="C2823" s="1" t="n">
        <v>45884</v>
      </c>
      <c r="D2823" t="inlineStr">
        <is>
          <t>KALMAR LÄN</t>
        </is>
      </c>
      <c r="E2823" t="inlineStr">
        <is>
          <t>NYBRO</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40444-2022</t>
        </is>
      </c>
      <c r="B2824" s="1" t="n">
        <v>44819</v>
      </c>
      <c r="C2824" s="1" t="n">
        <v>45884</v>
      </c>
      <c r="D2824" t="inlineStr">
        <is>
          <t>KALMAR LÄN</t>
        </is>
      </c>
      <c r="E2824" t="inlineStr">
        <is>
          <t>NYBRO</t>
        </is>
      </c>
      <c r="G2824" t="n">
        <v>3.3</v>
      </c>
      <c r="H2824" t="n">
        <v>0</v>
      </c>
      <c r="I2824" t="n">
        <v>0</v>
      </c>
      <c r="J2824" t="n">
        <v>0</v>
      </c>
      <c r="K2824" t="n">
        <v>0</v>
      </c>
      <c r="L2824" t="n">
        <v>0</v>
      </c>
      <c r="M2824" t="n">
        <v>0</v>
      </c>
      <c r="N2824" t="n">
        <v>0</v>
      </c>
      <c r="O2824" t="n">
        <v>0</v>
      </c>
      <c r="P2824" t="n">
        <v>0</v>
      </c>
      <c r="Q2824" t="n">
        <v>0</v>
      </c>
      <c r="R2824" s="2" t="inlineStr"/>
    </row>
    <row r="2825" ht="15" customHeight="1">
      <c r="A2825" t="inlineStr">
        <is>
          <t>A 41480-2024</t>
        </is>
      </c>
      <c r="B2825" s="1" t="n">
        <v>45560</v>
      </c>
      <c r="C2825" s="1" t="n">
        <v>45884</v>
      </c>
      <c r="D2825" t="inlineStr">
        <is>
          <t>KALMAR LÄN</t>
        </is>
      </c>
      <c r="E2825" t="inlineStr">
        <is>
          <t>MÖNSTERÅS</t>
        </is>
      </c>
      <c r="G2825" t="n">
        <v>10.2</v>
      </c>
      <c r="H2825" t="n">
        <v>0</v>
      </c>
      <c r="I2825" t="n">
        <v>0</v>
      </c>
      <c r="J2825" t="n">
        <v>0</v>
      </c>
      <c r="K2825" t="n">
        <v>0</v>
      </c>
      <c r="L2825" t="n">
        <v>0</v>
      </c>
      <c r="M2825" t="n">
        <v>0</v>
      </c>
      <c r="N2825" t="n">
        <v>0</v>
      </c>
      <c r="O2825" t="n">
        <v>0</v>
      </c>
      <c r="P2825" t="n">
        <v>0</v>
      </c>
      <c r="Q2825" t="n">
        <v>0</v>
      </c>
      <c r="R2825" s="2" t="inlineStr"/>
    </row>
    <row r="2826" ht="15" customHeight="1">
      <c r="A2826" t="inlineStr">
        <is>
          <t>A 24562-2024</t>
        </is>
      </c>
      <c r="B2826" s="1" t="n">
        <v>45460</v>
      </c>
      <c r="C2826" s="1" t="n">
        <v>45884</v>
      </c>
      <c r="D2826" t="inlineStr">
        <is>
          <t>KALMAR LÄN</t>
        </is>
      </c>
      <c r="E2826" t="inlineStr">
        <is>
          <t>VÄSTERVIK</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24578-2024</t>
        </is>
      </c>
      <c r="B2827" s="1" t="n">
        <v>45460</v>
      </c>
      <c r="C2827" s="1" t="n">
        <v>45884</v>
      </c>
      <c r="D2827" t="inlineStr">
        <is>
          <t>KALMAR LÄN</t>
        </is>
      </c>
      <c r="E2827" t="inlineStr">
        <is>
          <t>VÄSTERVIK</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20947-2024</t>
        </is>
      </c>
      <c r="B2828" s="1" t="n">
        <v>45439.56127314815</v>
      </c>
      <c r="C2828" s="1" t="n">
        <v>45884</v>
      </c>
      <c r="D2828" t="inlineStr">
        <is>
          <t>KALMAR LÄN</t>
        </is>
      </c>
      <c r="E2828" t="inlineStr">
        <is>
          <t>HULTSFRED</t>
        </is>
      </c>
      <c r="F2828" t="inlineStr">
        <is>
          <t>Övriga Aktiebolag</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58013-2024</t>
        </is>
      </c>
      <c r="B2829" s="1" t="n">
        <v>45631</v>
      </c>
      <c r="C2829" s="1" t="n">
        <v>45884</v>
      </c>
      <c r="D2829" t="inlineStr">
        <is>
          <t>KALMAR LÄN</t>
        </is>
      </c>
      <c r="E2829" t="inlineStr">
        <is>
          <t>HULTSFRED</t>
        </is>
      </c>
      <c r="G2829" t="n">
        <v>6.4</v>
      </c>
      <c r="H2829" t="n">
        <v>0</v>
      </c>
      <c r="I2829" t="n">
        <v>0</v>
      </c>
      <c r="J2829" t="n">
        <v>0</v>
      </c>
      <c r="K2829" t="n">
        <v>0</v>
      </c>
      <c r="L2829" t="n">
        <v>0</v>
      </c>
      <c r="M2829" t="n">
        <v>0</v>
      </c>
      <c r="N2829" t="n">
        <v>0</v>
      </c>
      <c r="O2829" t="n">
        <v>0</v>
      </c>
      <c r="P2829" t="n">
        <v>0</v>
      </c>
      <c r="Q2829" t="n">
        <v>0</v>
      </c>
      <c r="R2829" s="2" t="inlineStr"/>
    </row>
    <row r="2830" ht="15" customHeight="1">
      <c r="A2830" t="inlineStr">
        <is>
          <t>A 58104-2024</t>
        </is>
      </c>
      <c r="B2830" s="1" t="n">
        <v>45632.37459490741</v>
      </c>
      <c r="C2830" s="1" t="n">
        <v>45884</v>
      </c>
      <c r="D2830" t="inlineStr">
        <is>
          <t>KALMAR LÄN</t>
        </is>
      </c>
      <c r="E2830" t="inlineStr">
        <is>
          <t>VIMMERBY</t>
        </is>
      </c>
      <c r="G2830" t="n">
        <v>5</v>
      </c>
      <c r="H2830" t="n">
        <v>0</v>
      </c>
      <c r="I2830" t="n">
        <v>0</v>
      </c>
      <c r="J2830" t="n">
        <v>0</v>
      </c>
      <c r="K2830" t="n">
        <v>0</v>
      </c>
      <c r="L2830" t="n">
        <v>0</v>
      </c>
      <c r="M2830" t="n">
        <v>0</v>
      </c>
      <c r="N2830" t="n">
        <v>0</v>
      </c>
      <c r="O2830" t="n">
        <v>0</v>
      </c>
      <c r="P2830" t="n">
        <v>0</v>
      </c>
      <c r="Q2830" t="n">
        <v>0</v>
      </c>
      <c r="R2830" s="2" t="inlineStr"/>
    </row>
    <row r="2831" ht="15" customHeight="1">
      <c r="A2831" t="inlineStr">
        <is>
          <t>A 68102-2021</t>
        </is>
      </c>
      <c r="B2831" s="1" t="n">
        <v>44526.36217592593</v>
      </c>
      <c r="C2831" s="1" t="n">
        <v>45884</v>
      </c>
      <c r="D2831" t="inlineStr">
        <is>
          <t>KALMAR LÄN</t>
        </is>
      </c>
      <c r="E2831" t="inlineStr">
        <is>
          <t>HULTSFRED</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10012-2025</t>
        </is>
      </c>
      <c r="B2832" s="1" t="n">
        <v>45719.46681712963</v>
      </c>
      <c r="C2832" s="1" t="n">
        <v>45884</v>
      </c>
      <c r="D2832" t="inlineStr">
        <is>
          <t>KALMAR LÄN</t>
        </is>
      </c>
      <c r="E2832" t="inlineStr">
        <is>
          <t>VÄSTERVIK</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10022-2025</t>
        </is>
      </c>
      <c r="B2833" s="1" t="n">
        <v>45719.48662037037</v>
      </c>
      <c r="C2833" s="1" t="n">
        <v>45884</v>
      </c>
      <c r="D2833" t="inlineStr">
        <is>
          <t>KALMAR LÄN</t>
        </is>
      </c>
      <c r="E2833" t="inlineStr">
        <is>
          <t>KALMAR</t>
        </is>
      </c>
      <c r="F2833" t="inlineStr">
        <is>
          <t>Sveaskog</t>
        </is>
      </c>
      <c r="G2833" t="n">
        <v>8.199999999999999</v>
      </c>
      <c r="H2833" t="n">
        <v>0</v>
      </c>
      <c r="I2833" t="n">
        <v>0</v>
      </c>
      <c r="J2833" t="n">
        <v>0</v>
      </c>
      <c r="K2833" t="n">
        <v>0</v>
      </c>
      <c r="L2833" t="n">
        <v>0</v>
      </c>
      <c r="M2833" t="n">
        <v>0</v>
      </c>
      <c r="N2833" t="n">
        <v>0</v>
      </c>
      <c r="O2833" t="n">
        <v>0</v>
      </c>
      <c r="P2833" t="n">
        <v>0</v>
      </c>
      <c r="Q2833" t="n">
        <v>0</v>
      </c>
      <c r="R2833" s="2" t="inlineStr"/>
    </row>
    <row r="2834" ht="15" customHeight="1">
      <c r="A2834" t="inlineStr">
        <is>
          <t>A 45060-2023</t>
        </is>
      </c>
      <c r="B2834" s="1" t="n">
        <v>45191.37449074074</v>
      </c>
      <c r="C2834" s="1" t="n">
        <v>45884</v>
      </c>
      <c r="D2834" t="inlineStr">
        <is>
          <t>KALMAR LÄN</t>
        </is>
      </c>
      <c r="E2834" t="inlineStr">
        <is>
          <t>EMMABODA</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10041-2025</t>
        </is>
      </c>
      <c r="B2835" s="1" t="n">
        <v>45719.50247685185</v>
      </c>
      <c r="C2835" s="1" t="n">
        <v>45884</v>
      </c>
      <c r="D2835" t="inlineStr">
        <is>
          <t>KALMAR LÄN</t>
        </is>
      </c>
      <c r="E2835" t="inlineStr">
        <is>
          <t>KALMAR</t>
        </is>
      </c>
      <c r="F2835" t="inlineStr">
        <is>
          <t>Sveaskog</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13415-2024</t>
        </is>
      </c>
      <c r="B2836" s="1" t="n">
        <v>45387.46362268519</v>
      </c>
      <c r="C2836" s="1" t="n">
        <v>45884</v>
      </c>
      <c r="D2836" t="inlineStr">
        <is>
          <t>KALMAR LÄN</t>
        </is>
      </c>
      <c r="E2836" t="inlineStr">
        <is>
          <t>KALMAR</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37894-2021</t>
        </is>
      </c>
      <c r="B2837" s="1" t="n">
        <v>44403</v>
      </c>
      <c r="C2837" s="1" t="n">
        <v>45884</v>
      </c>
      <c r="D2837" t="inlineStr">
        <is>
          <t>KALMAR LÄN</t>
        </is>
      </c>
      <c r="E2837" t="inlineStr">
        <is>
          <t>OSKARSHAMN</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13419-2024</t>
        </is>
      </c>
      <c r="B2838" s="1" t="n">
        <v>45387.46494212963</v>
      </c>
      <c r="C2838" s="1" t="n">
        <v>45884</v>
      </c>
      <c r="D2838" t="inlineStr">
        <is>
          <t>KALMAR LÄN</t>
        </is>
      </c>
      <c r="E2838" t="inlineStr">
        <is>
          <t>KALMAR</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4165-2023</t>
        </is>
      </c>
      <c r="B2839" s="1" t="n">
        <v>44953</v>
      </c>
      <c r="C2839" s="1" t="n">
        <v>45884</v>
      </c>
      <c r="D2839" t="inlineStr">
        <is>
          <t>KALMAR LÄN</t>
        </is>
      </c>
      <c r="E2839" t="inlineStr">
        <is>
          <t>BORGHOLM</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45841-2023</t>
        </is>
      </c>
      <c r="B2840" s="1" t="n">
        <v>45195</v>
      </c>
      <c r="C2840" s="1" t="n">
        <v>45884</v>
      </c>
      <c r="D2840" t="inlineStr">
        <is>
          <t>KALMAR LÄN</t>
        </is>
      </c>
      <c r="E2840" t="inlineStr">
        <is>
          <t>OSKARSHAMN</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6299-2022</t>
        </is>
      </c>
      <c r="B2841" s="1" t="n">
        <v>44600.50372685185</v>
      </c>
      <c r="C2841" s="1" t="n">
        <v>45884</v>
      </c>
      <c r="D2841" t="inlineStr">
        <is>
          <t>KALMAR LÄN</t>
        </is>
      </c>
      <c r="E2841" t="inlineStr">
        <is>
          <t>EMMABODA</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41695-2022</t>
        </is>
      </c>
      <c r="B2842" s="1" t="n">
        <v>44827</v>
      </c>
      <c r="C2842" s="1" t="n">
        <v>45884</v>
      </c>
      <c r="D2842" t="inlineStr">
        <is>
          <t>KALMAR LÄN</t>
        </is>
      </c>
      <c r="E2842" t="inlineStr">
        <is>
          <t>HULTSFRED</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9034-2025</t>
        </is>
      </c>
      <c r="B2843" s="1" t="n">
        <v>45713</v>
      </c>
      <c r="C2843" s="1" t="n">
        <v>45884</v>
      </c>
      <c r="D2843" t="inlineStr">
        <is>
          <t>KALMAR LÄN</t>
        </is>
      </c>
      <c r="E2843" t="inlineStr">
        <is>
          <t>BORGHOLM</t>
        </is>
      </c>
      <c r="F2843" t="inlineStr">
        <is>
          <t>Sveaskog</t>
        </is>
      </c>
      <c r="G2843" t="n">
        <v>6.8</v>
      </c>
      <c r="H2843" t="n">
        <v>0</v>
      </c>
      <c r="I2843" t="n">
        <v>0</v>
      </c>
      <c r="J2843" t="n">
        <v>0</v>
      </c>
      <c r="K2843" t="n">
        <v>0</v>
      </c>
      <c r="L2843" t="n">
        <v>0</v>
      </c>
      <c r="M2843" t="n">
        <v>0</v>
      </c>
      <c r="N2843" t="n">
        <v>0</v>
      </c>
      <c r="O2843" t="n">
        <v>0</v>
      </c>
      <c r="P2843" t="n">
        <v>0</v>
      </c>
      <c r="Q2843" t="n">
        <v>0</v>
      </c>
      <c r="R2843" s="2" t="inlineStr"/>
    </row>
    <row r="2844" ht="15" customHeight="1">
      <c r="A2844" t="inlineStr">
        <is>
          <t>A 53571-2021</t>
        </is>
      </c>
      <c r="B2844" s="1" t="n">
        <v>44468</v>
      </c>
      <c r="C2844" s="1" t="n">
        <v>45884</v>
      </c>
      <c r="D2844" t="inlineStr">
        <is>
          <t>KALMAR LÄN</t>
        </is>
      </c>
      <c r="E2844" t="inlineStr">
        <is>
          <t>TORSÅS</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17712-2024</t>
        </is>
      </c>
      <c r="B2845" s="1" t="n">
        <v>45415</v>
      </c>
      <c r="C2845" s="1" t="n">
        <v>45884</v>
      </c>
      <c r="D2845" t="inlineStr">
        <is>
          <t>KALMAR LÄN</t>
        </is>
      </c>
      <c r="E2845" t="inlineStr">
        <is>
          <t>EMMABODA</t>
        </is>
      </c>
      <c r="G2845" t="n">
        <v>5.1</v>
      </c>
      <c r="H2845" t="n">
        <v>0</v>
      </c>
      <c r="I2845" t="n">
        <v>0</v>
      </c>
      <c r="J2845" t="n">
        <v>0</v>
      </c>
      <c r="K2845" t="n">
        <v>0</v>
      </c>
      <c r="L2845" t="n">
        <v>0</v>
      </c>
      <c r="M2845" t="n">
        <v>0</v>
      </c>
      <c r="N2845" t="n">
        <v>0</v>
      </c>
      <c r="O2845" t="n">
        <v>0</v>
      </c>
      <c r="P2845" t="n">
        <v>0</v>
      </c>
      <c r="Q2845" t="n">
        <v>0</v>
      </c>
      <c r="R2845" s="2" t="inlineStr"/>
    </row>
    <row r="2846" ht="15" customHeight="1">
      <c r="A2846" t="inlineStr">
        <is>
          <t>A 36259-2022</t>
        </is>
      </c>
      <c r="B2846" s="1" t="n">
        <v>44803.59118055556</v>
      </c>
      <c r="C2846" s="1" t="n">
        <v>45884</v>
      </c>
      <c r="D2846" t="inlineStr">
        <is>
          <t>KALMAR LÄN</t>
        </is>
      </c>
      <c r="E2846" t="inlineStr">
        <is>
          <t>VIMMERBY</t>
        </is>
      </c>
      <c r="G2846" t="n">
        <v>3.9</v>
      </c>
      <c r="H2846" t="n">
        <v>0</v>
      </c>
      <c r="I2846" t="n">
        <v>0</v>
      </c>
      <c r="J2846" t="n">
        <v>0</v>
      </c>
      <c r="K2846" t="n">
        <v>0</v>
      </c>
      <c r="L2846" t="n">
        <v>0</v>
      </c>
      <c r="M2846" t="n">
        <v>0</v>
      </c>
      <c r="N2846" t="n">
        <v>0</v>
      </c>
      <c r="O2846" t="n">
        <v>0</v>
      </c>
      <c r="P2846" t="n">
        <v>0</v>
      </c>
      <c r="Q2846" t="n">
        <v>0</v>
      </c>
      <c r="R2846" s="2" t="inlineStr"/>
    </row>
    <row r="2847" ht="15" customHeight="1">
      <c r="A2847" t="inlineStr">
        <is>
          <t>A 43034-2024</t>
        </is>
      </c>
      <c r="B2847" s="1" t="n">
        <v>45567.42011574074</v>
      </c>
      <c r="C2847" s="1" t="n">
        <v>45884</v>
      </c>
      <c r="D2847" t="inlineStr">
        <is>
          <t>KALMAR LÄN</t>
        </is>
      </c>
      <c r="E2847" t="inlineStr">
        <is>
          <t>VIMMERBY</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16804-2025</t>
        </is>
      </c>
      <c r="B2848" s="1" t="n">
        <v>45754.62439814815</v>
      </c>
      <c r="C2848" s="1" t="n">
        <v>45884</v>
      </c>
      <c r="D2848" t="inlineStr">
        <is>
          <t>KALMAR LÄN</t>
        </is>
      </c>
      <c r="E2848" t="inlineStr">
        <is>
          <t>HULTSFRED</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16769-2025</t>
        </is>
      </c>
      <c r="B2849" s="1" t="n">
        <v>45754.57903935185</v>
      </c>
      <c r="C2849" s="1" t="n">
        <v>45884</v>
      </c>
      <c r="D2849" t="inlineStr">
        <is>
          <t>KALMAR LÄN</t>
        </is>
      </c>
      <c r="E2849" t="inlineStr">
        <is>
          <t>NYBRO</t>
        </is>
      </c>
      <c r="F2849" t="inlineStr">
        <is>
          <t>Sveaskog</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2132-2025</t>
        </is>
      </c>
      <c r="B2850" s="1" t="n">
        <v>45672</v>
      </c>
      <c r="C2850" s="1" t="n">
        <v>45884</v>
      </c>
      <c r="D2850" t="inlineStr">
        <is>
          <t>KALMAR LÄN</t>
        </is>
      </c>
      <c r="E2850" t="inlineStr">
        <is>
          <t>TORSÅS</t>
        </is>
      </c>
      <c r="G2850" t="n">
        <v>4</v>
      </c>
      <c r="H2850" t="n">
        <v>0</v>
      </c>
      <c r="I2850" t="n">
        <v>0</v>
      </c>
      <c r="J2850" t="n">
        <v>0</v>
      </c>
      <c r="K2850" t="n">
        <v>0</v>
      </c>
      <c r="L2850" t="n">
        <v>0</v>
      </c>
      <c r="M2850" t="n">
        <v>0</v>
      </c>
      <c r="N2850" t="n">
        <v>0</v>
      </c>
      <c r="O2850" t="n">
        <v>0</v>
      </c>
      <c r="P2850" t="n">
        <v>0</v>
      </c>
      <c r="Q2850" t="n">
        <v>0</v>
      </c>
      <c r="R2850" s="2" t="inlineStr"/>
    </row>
    <row r="2851" ht="15" customHeight="1">
      <c r="A2851" t="inlineStr">
        <is>
          <t>A 33052-2023</t>
        </is>
      </c>
      <c r="B2851" s="1" t="n">
        <v>45126.31585648148</v>
      </c>
      <c r="C2851" s="1" t="n">
        <v>45884</v>
      </c>
      <c r="D2851" t="inlineStr">
        <is>
          <t>KALMAR LÄN</t>
        </is>
      </c>
      <c r="E2851" t="inlineStr">
        <is>
          <t>EMMABODA</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6819-2023</t>
        </is>
      </c>
      <c r="B2852" s="1" t="n">
        <v>44967.37295138889</v>
      </c>
      <c r="C2852" s="1" t="n">
        <v>45884</v>
      </c>
      <c r="D2852" t="inlineStr">
        <is>
          <t>KALMAR LÄN</t>
        </is>
      </c>
      <c r="E2852" t="inlineStr">
        <is>
          <t>TORSÅS</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7481-2024</t>
        </is>
      </c>
      <c r="B2853" s="1" t="n">
        <v>45346.58555555555</v>
      </c>
      <c r="C2853" s="1" t="n">
        <v>45884</v>
      </c>
      <c r="D2853" t="inlineStr">
        <is>
          <t>KALMAR LÄN</t>
        </is>
      </c>
      <c r="E2853" t="inlineStr">
        <is>
          <t>NYBRO</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39859-2020</t>
        </is>
      </c>
      <c r="B2854" s="1" t="n">
        <v>44064</v>
      </c>
      <c r="C2854" s="1" t="n">
        <v>45884</v>
      </c>
      <c r="D2854" t="inlineStr">
        <is>
          <t>KALMAR LÄN</t>
        </is>
      </c>
      <c r="E2854" t="inlineStr">
        <is>
          <t>VÄSTERVIK</t>
        </is>
      </c>
      <c r="G2854" t="n">
        <v>29.6</v>
      </c>
      <c r="H2854" t="n">
        <v>0</v>
      </c>
      <c r="I2854" t="n">
        <v>0</v>
      </c>
      <c r="J2854" t="n">
        <v>0</v>
      </c>
      <c r="K2854" t="n">
        <v>0</v>
      </c>
      <c r="L2854" t="n">
        <v>0</v>
      </c>
      <c r="M2854" t="n">
        <v>0</v>
      </c>
      <c r="N2854" t="n">
        <v>0</v>
      </c>
      <c r="O2854" t="n">
        <v>0</v>
      </c>
      <c r="P2854" t="n">
        <v>0</v>
      </c>
      <c r="Q2854" t="n">
        <v>0</v>
      </c>
      <c r="R2854" s="2" t="inlineStr"/>
    </row>
    <row r="2855" ht="15" customHeight="1">
      <c r="A2855" t="inlineStr">
        <is>
          <t>A 11156-2023</t>
        </is>
      </c>
      <c r="B2855" s="1" t="n">
        <v>44992.53199074074</v>
      </c>
      <c r="C2855" s="1" t="n">
        <v>45884</v>
      </c>
      <c r="D2855" t="inlineStr">
        <is>
          <t>KALMAR LÄN</t>
        </is>
      </c>
      <c r="E2855" t="inlineStr">
        <is>
          <t>NYBRO</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11656-2023</t>
        </is>
      </c>
      <c r="B2856" s="1" t="n">
        <v>44994.46226851852</v>
      </c>
      <c r="C2856" s="1" t="n">
        <v>45884</v>
      </c>
      <c r="D2856" t="inlineStr">
        <is>
          <t>KALMAR LÄN</t>
        </is>
      </c>
      <c r="E2856" t="inlineStr">
        <is>
          <t>OSKARSHAMN</t>
        </is>
      </c>
      <c r="G2856" t="n">
        <v>2.2</v>
      </c>
      <c r="H2856" t="n">
        <v>0</v>
      </c>
      <c r="I2856" t="n">
        <v>0</v>
      </c>
      <c r="J2856" t="n">
        <v>0</v>
      </c>
      <c r="K2856" t="n">
        <v>0</v>
      </c>
      <c r="L2856" t="n">
        <v>0</v>
      </c>
      <c r="M2856" t="n">
        <v>0</v>
      </c>
      <c r="N2856" t="n">
        <v>0</v>
      </c>
      <c r="O2856" t="n">
        <v>0</v>
      </c>
      <c r="P2856" t="n">
        <v>0</v>
      </c>
      <c r="Q2856" t="n">
        <v>0</v>
      </c>
      <c r="R2856" s="2" t="inlineStr"/>
    </row>
    <row r="2857" ht="15" customHeight="1">
      <c r="A2857" t="inlineStr">
        <is>
          <t>A 45690-2023</t>
        </is>
      </c>
      <c r="B2857" s="1" t="n">
        <v>45195.3313425926</v>
      </c>
      <c r="C2857" s="1" t="n">
        <v>45884</v>
      </c>
      <c r="D2857" t="inlineStr">
        <is>
          <t>KALMAR LÄN</t>
        </is>
      </c>
      <c r="E2857" t="inlineStr">
        <is>
          <t>TORSÅS</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10412-2022</t>
        </is>
      </c>
      <c r="B2858" s="1" t="n">
        <v>44623</v>
      </c>
      <c r="C2858" s="1" t="n">
        <v>45884</v>
      </c>
      <c r="D2858" t="inlineStr">
        <is>
          <t>KALMAR LÄN</t>
        </is>
      </c>
      <c r="E2858" t="inlineStr">
        <is>
          <t>HÖGSBY</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38265-2024</t>
        </is>
      </c>
      <c r="B2859" s="1" t="n">
        <v>45545</v>
      </c>
      <c r="C2859" s="1" t="n">
        <v>45884</v>
      </c>
      <c r="D2859" t="inlineStr">
        <is>
          <t>KALMAR LÄN</t>
        </is>
      </c>
      <c r="E2859" t="inlineStr">
        <is>
          <t>NYBRO</t>
        </is>
      </c>
      <c r="G2859" t="n">
        <v>4.2</v>
      </c>
      <c r="H2859" t="n">
        <v>0</v>
      </c>
      <c r="I2859" t="n">
        <v>0</v>
      </c>
      <c r="J2859" t="n">
        <v>0</v>
      </c>
      <c r="K2859" t="n">
        <v>0</v>
      </c>
      <c r="L2859" t="n">
        <v>0</v>
      </c>
      <c r="M2859" t="n">
        <v>0</v>
      </c>
      <c r="N2859" t="n">
        <v>0</v>
      </c>
      <c r="O2859" t="n">
        <v>0</v>
      </c>
      <c r="P2859" t="n">
        <v>0</v>
      </c>
      <c r="Q2859" t="n">
        <v>0</v>
      </c>
      <c r="R2859" s="2" t="inlineStr"/>
    </row>
    <row r="2860" ht="15" customHeight="1">
      <c r="A2860" t="inlineStr">
        <is>
          <t>A 5113-2023</t>
        </is>
      </c>
      <c r="B2860" s="1" t="n">
        <v>44958</v>
      </c>
      <c r="C2860" s="1" t="n">
        <v>45884</v>
      </c>
      <c r="D2860" t="inlineStr">
        <is>
          <t>KALMAR LÄN</t>
        </is>
      </c>
      <c r="E2860" t="inlineStr">
        <is>
          <t>TORSÅS</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3902-2022</t>
        </is>
      </c>
      <c r="B2861" s="1" t="n">
        <v>44587.48847222222</v>
      </c>
      <c r="C2861" s="1" t="n">
        <v>45884</v>
      </c>
      <c r="D2861" t="inlineStr">
        <is>
          <t>KALMAR LÄN</t>
        </is>
      </c>
      <c r="E2861" t="inlineStr">
        <is>
          <t>VIMMERBY</t>
        </is>
      </c>
      <c r="G2861" t="n">
        <v>2.6</v>
      </c>
      <c r="H2861" t="n">
        <v>0</v>
      </c>
      <c r="I2861" t="n">
        <v>0</v>
      </c>
      <c r="J2861" t="n">
        <v>0</v>
      </c>
      <c r="K2861" t="n">
        <v>0</v>
      </c>
      <c r="L2861" t="n">
        <v>0</v>
      </c>
      <c r="M2861" t="n">
        <v>0</v>
      </c>
      <c r="N2861" t="n">
        <v>0</v>
      </c>
      <c r="O2861" t="n">
        <v>0</v>
      </c>
      <c r="P2861" t="n">
        <v>0</v>
      </c>
      <c r="Q2861" t="n">
        <v>0</v>
      </c>
      <c r="R2861" s="2" t="inlineStr"/>
    </row>
    <row r="2862" ht="15" customHeight="1">
      <c r="A2862" t="inlineStr">
        <is>
          <t>A 55042-2024</t>
        </is>
      </c>
      <c r="B2862" s="1" t="n">
        <v>45621.39081018518</v>
      </c>
      <c r="C2862" s="1" t="n">
        <v>45884</v>
      </c>
      <c r="D2862" t="inlineStr">
        <is>
          <t>KALMAR LÄN</t>
        </is>
      </c>
      <c r="E2862" t="inlineStr">
        <is>
          <t>VÄSTERVIK</t>
        </is>
      </c>
      <c r="F2862" t="inlineStr">
        <is>
          <t>Sveaskog</t>
        </is>
      </c>
      <c r="G2862" t="n">
        <v>3</v>
      </c>
      <c r="H2862" t="n">
        <v>0</v>
      </c>
      <c r="I2862" t="n">
        <v>0</v>
      </c>
      <c r="J2862" t="n">
        <v>0</v>
      </c>
      <c r="K2862" t="n">
        <v>0</v>
      </c>
      <c r="L2862" t="n">
        <v>0</v>
      </c>
      <c r="M2862" t="n">
        <v>0</v>
      </c>
      <c r="N2862" t="n">
        <v>0</v>
      </c>
      <c r="O2862" t="n">
        <v>0</v>
      </c>
      <c r="P2862" t="n">
        <v>0</v>
      </c>
      <c r="Q2862" t="n">
        <v>0</v>
      </c>
      <c r="R2862" s="2" t="inlineStr"/>
    </row>
    <row r="2863" ht="15" customHeight="1">
      <c r="A2863" t="inlineStr">
        <is>
          <t>A 4972-2023</t>
        </is>
      </c>
      <c r="B2863" s="1" t="n">
        <v>44958.45609953703</v>
      </c>
      <c r="C2863" s="1" t="n">
        <v>45884</v>
      </c>
      <c r="D2863" t="inlineStr">
        <is>
          <t>KALMAR LÄN</t>
        </is>
      </c>
      <c r="E2863" t="inlineStr">
        <is>
          <t>HULTSFRED</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12997-2025</t>
        </is>
      </c>
      <c r="B2864" s="1" t="n">
        <v>45734.48820601852</v>
      </c>
      <c r="C2864" s="1" t="n">
        <v>45884</v>
      </c>
      <c r="D2864" t="inlineStr">
        <is>
          <t>KALMAR LÄN</t>
        </is>
      </c>
      <c r="E2864" t="inlineStr">
        <is>
          <t>NYBRO</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22878-2024</t>
        </is>
      </c>
      <c r="B2865" s="1" t="n">
        <v>45448</v>
      </c>
      <c r="C2865" s="1" t="n">
        <v>45884</v>
      </c>
      <c r="D2865" t="inlineStr">
        <is>
          <t>KALMAR LÄN</t>
        </is>
      </c>
      <c r="E2865" t="inlineStr">
        <is>
          <t>OSKARSHAMN</t>
        </is>
      </c>
      <c r="G2865" t="n">
        <v>3.1</v>
      </c>
      <c r="H2865" t="n">
        <v>0</v>
      </c>
      <c r="I2865" t="n">
        <v>0</v>
      </c>
      <c r="J2865" t="n">
        <v>0</v>
      </c>
      <c r="K2865" t="n">
        <v>0</v>
      </c>
      <c r="L2865" t="n">
        <v>0</v>
      </c>
      <c r="M2865" t="n">
        <v>0</v>
      </c>
      <c r="N2865" t="n">
        <v>0</v>
      </c>
      <c r="O2865" t="n">
        <v>0</v>
      </c>
      <c r="P2865" t="n">
        <v>0</v>
      </c>
      <c r="Q2865" t="n">
        <v>0</v>
      </c>
      <c r="R2865" s="2" t="inlineStr"/>
    </row>
    <row r="2866" ht="15" customHeight="1">
      <c r="A2866" t="inlineStr">
        <is>
          <t>A 22880-2024</t>
        </is>
      </c>
      <c r="B2866" s="1" t="n">
        <v>45448</v>
      </c>
      <c r="C2866" s="1" t="n">
        <v>45884</v>
      </c>
      <c r="D2866" t="inlineStr">
        <is>
          <t>KALMAR LÄN</t>
        </is>
      </c>
      <c r="E2866" t="inlineStr">
        <is>
          <t>OSKARSHAMN</t>
        </is>
      </c>
      <c r="G2866" t="n">
        <v>3.2</v>
      </c>
      <c r="H2866" t="n">
        <v>0</v>
      </c>
      <c r="I2866" t="n">
        <v>0</v>
      </c>
      <c r="J2866" t="n">
        <v>0</v>
      </c>
      <c r="K2866" t="n">
        <v>0</v>
      </c>
      <c r="L2866" t="n">
        <v>0</v>
      </c>
      <c r="M2866" t="n">
        <v>0</v>
      </c>
      <c r="N2866" t="n">
        <v>0</v>
      </c>
      <c r="O2866" t="n">
        <v>0</v>
      </c>
      <c r="P2866" t="n">
        <v>0</v>
      </c>
      <c r="Q2866" t="n">
        <v>0</v>
      </c>
      <c r="R2866" s="2" t="inlineStr"/>
    </row>
    <row r="2867" ht="15" customHeight="1">
      <c r="A2867" t="inlineStr">
        <is>
          <t>A 9919-2022</t>
        </is>
      </c>
      <c r="B2867" s="1" t="n">
        <v>44620.87751157407</v>
      </c>
      <c r="C2867" s="1" t="n">
        <v>45884</v>
      </c>
      <c r="D2867" t="inlineStr">
        <is>
          <t>KALMAR LÄN</t>
        </is>
      </c>
      <c r="E2867" t="inlineStr">
        <is>
          <t>OSKARSHAMN</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30070-2023</t>
        </is>
      </c>
      <c r="B2868" s="1" t="n">
        <v>45110.4275</v>
      </c>
      <c r="C2868" s="1" t="n">
        <v>45884</v>
      </c>
      <c r="D2868" t="inlineStr">
        <is>
          <t>KALMAR LÄN</t>
        </is>
      </c>
      <c r="E2868" t="inlineStr">
        <is>
          <t>VIMMERBY</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14970-2025</t>
        </is>
      </c>
      <c r="B2869" s="1" t="n">
        <v>45743</v>
      </c>
      <c r="C2869" s="1" t="n">
        <v>45884</v>
      </c>
      <c r="D2869" t="inlineStr">
        <is>
          <t>KALMAR LÄN</t>
        </is>
      </c>
      <c r="E2869" t="inlineStr">
        <is>
          <t>EMMABODA</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50711-2020</t>
        </is>
      </c>
      <c r="B2870" s="1" t="n">
        <v>44111</v>
      </c>
      <c r="C2870" s="1" t="n">
        <v>45884</v>
      </c>
      <c r="D2870" t="inlineStr">
        <is>
          <t>KALMAR LÄN</t>
        </is>
      </c>
      <c r="E2870" t="inlineStr">
        <is>
          <t>TORSÅS</t>
        </is>
      </c>
      <c r="G2870" t="n">
        <v>10.9</v>
      </c>
      <c r="H2870" t="n">
        <v>0</v>
      </c>
      <c r="I2870" t="n">
        <v>0</v>
      </c>
      <c r="J2870" t="n">
        <v>0</v>
      </c>
      <c r="K2870" t="n">
        <v>0</v>
      </c>
      <c r="L2870" t="n">
        <v>0</v>
      </c>
      <c r="M2870" t="n">
        <v>0</v>
      </c>
      <c r="N2870" t="n">
        <v>0</v>
      </c>
      <c r="O2870" t="n">
        <v>0</v>
      </c>
      <c r="P2870" t="n">
        <v>0</v>
      </c>
      <c r="Q2870" t="n">
        <v>0</v>
      </c>
      <c r="R2870" s="2" t="inlineStr"/>
    </row>
    <row r="2871" ht="15" customHeight="1">
      <c r="A2871" t="inlineStr">
        <is>
          <t>A 50727-2020</t>
        </is>
      </c>
      <c r="B2871" s="1" t="n">
        <v>44111</v>
      </c>
      <c r="C2871" s="1" t="n">
        <v>45884</v>
      </c>
      <c r="D2871" t="inlineStr">
        <is>
          <t>KALMAR LÄN</t>
        </is>
      </c>
      <c r="E2871" t="inlineStr">
        <is>
          <t>TORSÅS</t>
        </is>
      </c>
      <c r="G2871" t="n">
        <v>2.7</v>
      </c>
      <c r="H2871" t="n">
        <v>0</v>
      </c>
      <c r="I2871" t="n">
        <v>0</v>
      </c>
      <c r="J2871" t="n">
        <v>0</v>
      </c>
      <c r="K2871" t="n">
        <v>0</v>
      </c>
      <c r="L2871" t="n">
        <v>0</v>
      </c>
      <c r="M2871" t="n">
        <v>0</v>
      </c>
      <c r="N2871" t="n">
        <v>0</v>
      </c>
      <c r="O2871" t="n">
        <v>0</v>
      </c>
      <c r="P2871" t="n">
        <v>0</v>
      </c>
      <c r="Q2871" t="n">
        <v>0</v>
      </c>
      <c r="R2871" s="2" t="inlineStr"/>
    </row>
    <row r="2872" ht="15" customHeight="1">
      <c r="A2872" t="inlineStr">
        <is>
          <t>A 23847-2024</t>
        </is>
      </c>
      <c r="B2872" s="1" t="n">
        <v>45455.53951388889</v>
      </c>
      <c r="C2872" s="1" t="n">
        <v>45884</v>
      </c>
      <c r="D2872" t="inlineStr">
        <is>
          <t>KALMAR LÄN</t>
        </is>
      </c>
      <c r="E2872" t="inlineStr">
        <is>
          <t>HULTSFRED</t>
        </is>
      </c>
      <c r="G2872" t="n">
        <v>2.2</v>
      </c>
      <c r="H2872" t="n">
        <v>0</v>
      </c>
      <c r="I2872" t="n">
        <v>0</v>
      </c>
      <c r="J2872" t="n">
        <v>0</v>
      </c>
      <c r="K2872" t="n">
        <v>0</v>
      </c>
      <c r="L2872" t="n">
        <v>0</v>
      </c>
      <c r="M2872" t="n">
        <v>0</v>
      </c>
      <c r="N2872" t="n">
        <v>0</v>
      </c>
      <c r="O2872" t="n">
        <v>0</v>
      </c>
      <c r="P2872" t="n">
        <v>0</v>
      </c>
      <c r="Q2872" t="n">
        <v>0</v>
      </c>
      <c r="R2872" s="2" t="inlineStr"/>
    </row>
    <row r="2873" ht="15" customHeight="1">
      <c r="A2873" t="inlineStr">
        <is>
          <t>A 391-2024</t>
        </is>
      </c>
      <c r="B2873" s="1" t="n">
        <v>45296</v>
      </c>
      <c r="C2873" s="1" t="n">
        <v>45884</v>
      </c>
      <c r="D2873" t="inlineStr">
        <is>
          <t>KALMAR LÄN</t>
        </is>
      </c>
      <c r="E2873" t="inlineStr">
        <is>
          <t>EMMABODA</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37951-2023</t>
        </is>
      </c>
      <c r="B2874" s="1" t="n">
        <v>45160</v>
      </c>
      <c r="C2874" s="1" t="n">
        <v>45884</v>
      </c>
      <c r="D2874" t="inlineStr">
        <is>
          <t>KALMAR LÄN</t>
        </is>
      </c>
      <c r="E2874" t="inlineStr">
        <is>
          <t>MÖNSTERÅS</t>
        </is>
      </c>
      <c r="G2874" t="n">
        <v>4.8</v>
      </c>
      <c r="H2874" t="n">
        <v>0</v>
      </c>
      <c r="I2874" t="n">
        <v>0</v>
      </c>
      <c r="J2874" t="n">
        <v>0</v>
      </c>
      <c r="K2874" t="n">
        <v>0</v>
      </c>
      <c r="L2874" t="n">
        <v>0</v>
      </c>
      <c r="M2874" t="n">
        <v>0</v>
      </c>
      <c r="N2874" t="n">
        <v>0</v>
      </c>
      <c r="O2874" t="n">
        <v>0</v>
      </c>
      <c r="P2874" t="n">
        <v>0</v>
      </c>
      <c r="Q2874" t="n">
        <v>0</v>
      </c>
      <c r="R2874" s="2" t="inlineStr"/>
    </row>
    <row r="2875" ht="15" customHeight="1">
      <c r="A2875" t="inlineStr">
        <is>
          <t>A 13058-2024</t>
        </is>
      </c>
      <c r="B2875" s="1" t="n">
        <v>45385</v>
      </c>
      <c r="C2875" s="1" t="n">
        <v>45884</v>
      </c>
      <c r="D2875" t="inlineStr">
        <is>
          <t>KALMAR LÄN</t>
        </is>
      </c>
      <c r="E2875" t="inlineStr">
        <is>
          <t>NYBRO</t>
        </is>
      </c>
      <c r="G2875" t="n">
        <v>2.7</v>
      </c>
      <c r="H2875" t="n">
        <v>0</v>
      </c>
      <c r="I2875" t="n">
        <v>0</v>
      </c>
      <c r="J2875" t="n">
        <v>0</v>
      </c>
      <c r="K2875" t="n">
        <v>0</v>
      </c>
      <c r="L2875" t="n">
        <v>0</v>
      </c>
      <c r="M2875" t="n">
        <v>0</v>
      </c>
      <c r="N2875" t="n">
        <v>0</v>
      </c>
      <c r="O2875" t="n">
        <v>0</v>
      </c>
      <c r="P2875" t="n">
        <v>0</v>
      </c>
      <c r="Q2875" t="n">
        <v>0</v>
      </c>
      <c r="R2875" s="2" t="inlineStr"/>
    </row>
    <row r="2876" ht="15" customHeight="1">
      <c r="A2876" t="inlineStr">
        <is>
          <t>A 27705-2024</t>
        </is>
      </c>
      <c r="B2876" s="1" t="n">
        <v>45475.36099537037</v>
      </c>
      <c r="C2876" s="1" t="n">
        <v>45884</v>
      </c>
      <c r="D2876" t="inlineStr">
        <is>
          <t>KALMAR LÄN</t>
        </is>
      </c>
      <c r="E2876" t="inlineStr">
        <is>
          <t>EMMABODA</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68947-2021</t>
        </is>
      </c>
      <c r="B2877" s="1" t="n">
        <v>44530.53258101852</v>
      </c>
      <c r="C2877" s="1" t="n">
        <v>45884</v>
      </c>
      <c r="D2877" t="inlineStr">
        <is>
          <t>KALMAR LÄN</t>
        </is>
      </c>
      <c r="E2877" t="inlineStr">
        <is>
          <t>EMMABODA</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25699-2023</t>
        </is>
      </c>
      <c r="B2878" s="1" t="n">
        <v>45090</v>
      </c>
      <c r="C2878" s="1" t="n">
        <v>45884</v>
      </c>
      <c r="D2878" t="inlineStr">
        <is>
          <t>KALMAR LÄN</t>
        </is>
      </c>
      <c r="E2878" t="inlineStr">
        <is>
          <t>KALMAR</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25700-2023</t>
        </is>
      </c>
      <c r="B2879" s="1" t="n">
        <v>45090</v>
      </c>
      <c r="C2879" s="1" t="n">
        <v>45884</v>
      </c>
      <c r="D2879" t="inlineStr">
        <is>
          <t>KALMAR LÄN</t>
        </is>
      </c>
      <c r="E2879" t="inlineStr">
        <is>
          <t>KALMAR</t>
        </is>
      </c>
      <c r="G2879" t="n">
        <v>0</v>
      </c>
      <c r="H2879" t="n">
        <v>0</v>
      </c>
      <c r="I2879" t="n">
        <v>0</v>
      </c>
      <c r="J2879" t="n">
        <v>0</v>
      </c>
      <c r="K2879" t="n">
        <v>0</v>
      </c>
      <c r="L2879" t="n">
        <v>0</v>
      </c>
      <c r="M2879" t="n">
        <v>0</v>
      </c>
      <c r="N2879" t="n">
        <v>0</v>
      </c>
      <c r="O2879" t="n">
        <v>0</v>
      </c>
      <c r="P2879" t="n">
        <v>0</v>
      </c>
      <c r="Q2879" t="n">
        <v>0</v>
      </c>
      <c r="R2879" s="2" t="inlineStr"/>
    </row>
    <row r="2880" ht="15" customHeight="1">
      <c r="A2880" t="inlineStr">
        <is>
          <t>A 25740-2023</t>
        </is>
      </c>
      <c r="B2880" s="1" t="n">
        <v>45090.42700231481</v>
      </c>
      <c r="C2880" s="1" t="n">
        <v>45884</v>
      </c>
      <c r="D2880" t="inlineStr">
        <is>
          <t>KALMAR LÄN</t>
        </is>
      </c>
      <c r="E2880" t="inlineStr">
        <is>
          <t>KALMAR</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39941-2023</t>
        </is>
      </c>
      <c r="B2881" s="1" t="n">
        <v>45168</v>
      </c>
      <c r="C2881" s="1" t="n">
        <v>45884</v>
      </c>
      <c r="D2881" t="inlineStr">
        <is>
          <t>KALMAR LÄN</t>
        </is>
      </c>
      <c r="E2881" t="inlineStr">
        <is>
          <t>HULTSFRED</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24488-2024</t>
        </is>
      </c>
      <c r="B2882" s="1" t="n">
        <v>45459.67179398148</v>
      </c>
      <c r="C2882" s="1" t="n">
        <v>45884</v>
      </c>
      <c r="D2882" t="inlineStr">
        <is>
          <t>KALMAR LÄN</t>
        </is>
      </c>
      <c r="E2882" t="inlineStr">
        <is>
          <t>MÖNSTERÅS</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19967-2023</t>
        </is>
      </c>
      <c r="B2883" s="1" t="n">
        <v>45054</v>
      </c>
      <c r="C2883" s="1" t="n">
        <v>45884</v>
      </c>
      <c r="D2883" t="inlineStr">
        <is>
          <t>KALMAR LÄN</t>
        </is>
      </c>
      <c r="E2883" t="inlineStr">
        <is>
          <t>NYBRO</t>
        </is>
      </c>
      <c r="G2883" t="n">
        <v>4.6</v>
      </c>
      <c r="H2883" t="n">
        <v>0</v>
      </c>
      <c r="I2883" t="n">
        <v>0</v>
      </c>
      <c r="J2883" t="n">
        <v>0</v>
      </c>
      <c r="K2883" t="n">
        <v>0</v>
      </c>
      <c r="L2883" t="n">
        <v>0</v>
      </c>
      <c r="M2883" t="n">
        <v>0</v>
      </c>
      <c r="N2883" t="n">
        <v>0</v>
      </c>
      <c r="O2883" t="n">
        <v>0</v>
      </c>
      <c r="P2883" t="n">
        <v>0</v>
      </c>
      <c r="Q2883" t="n">
        <v>0</v>
      </c>
      <c r="R2883" s="2" t="inlineStr"/>
    </row>
    <row r="2884" ht="15" customHeight="1">
      <c r="A2884" t="inlineStr">
        <is>
          <t>A 16720-2024</t>
        </is>
      </c>
      <c r="B2884" s="1" t="n">
        <v>45409.28716435185</v>
      </c>
      <c r="C2884" s="1" t="n">
        <v>45884</v>
      </c>
      <c r="D2884" t="inlineStr">
        <is>
          <t>KALMAR LÄN</t>
        </is>
      </c>
      <c r="E2884" t="inlineStr">
        <is>
          <t>NYBRO</t>
        </is>
      </c>
      <c r="G2884" t="n">
        <v>0.2</v>
      </c>
      <c r="H2884" t="n">
        <v>0</v>
      </c>
      <c r="I2884" t="n">
        <v>0</v>
      </c>
      <c r="J2884" t="n">
        <v>0</v>
      </c>
      <c r="K2884" t="n">
        <v>0</v>
      </c>
      <c r="L2884" t="n">
        <v>0</v>
      </c>
      <c r="M2884" t="n">
        <v>0</v>
      </c>
      <c r="N2884" t="n">
        <v>0</v>
      </c>
      <c r="O2884" t="n">
        <v>0</v>
      </c>
      <c r="P2884" t="n">
        <v>0</v>
      </c>
      <c r="Q2884" t="n">
        <v>0</v>
      </c>
      <c r="R2884" s="2" t="inlineStr"/>
    </row>
    <row r="2885" ht="15" customHeight="1">
      <c r="A2885" t="inlineStr">
        <is>
          <t>A 16761-2024</t>
        </is>
      </c>
      <c r="B2885" s="1" t="n">
        <v>45411.36979166666</v>
      </c>
      <c r="C2885" s="1" t="n">
        <v>45884</v>
      </c>
      <c r="D2885" t="inlineStr">
        <is>
          <t>KALMAR LÄN</t>
        </is>
      </c>
      <c r="E2885" t="inlineStr">
        <is>
          <t>OSKARSHAMN</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47503-2023</t>
        </is>
      </c>
      <c r="B2886" s="1" t="n">
        <v>45203.2680787037</v>
      </c>
      <c r="C2886" s="1" t="n">
        <v>45884</v>
      </c>
      <c r="D2886" t="inlineStr">
        <is>
          <t>KALMAR LÄN</t>
        </is>
      </c>
      <c r="E2886" t="inlineStr">
        <is>
          <t>HÖGSBY</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50129-2021</t>
        </is>
      </c>
      <c r="B2887" s="1" t="n">
        <v>44456</v>
      </c>
      <c r="C2887" s="1" t="n">
        <v>45884</v>
      </c>
      <c r="D2887" t="inlineStr">
        <is>
          <t>KALMAR LÄN</t>
        </is>
      </c>
      <c r="E2887" t="inlineStr">
        <is>
          <t>BORGHOLM</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4035-2024</t>
        </is>
      </c>
      <c r="B2888" s="1" t="n">
        <v>45323</v>
      </c>
      <c r="C2888" s="1" t="n">
        <v>45884</v>
      </c>
      <c r="D2888" t="inlineStr">
        <is>
          <t>KALMAR LÄN</t>
        </is>
      </c>
      <c r="E2888" t="inlineStr">
        <is>
          <t>EMMABODA</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16834-2023</t>
        </is>
      </c>
      <c r="B2889" s="1" t="n">
        <v>45033</v>
      </c>
      <c r="C2889" s="1" t="n">
        <v>45884</v>
      </c>
      <c r="D2889" t="inlineStr">
        <is>
          <t>KALMAR LÄN</t>
        </is>
      </c>
      <c r="E2889" t="inlineStr">
        <is>
          <t>VÄSTERVIK</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18501-2024</t>
        </is>
      </c>
      <c r="B2890" s="1" t="n">
        <v>45425.57538194444</v>
      </c>
      <c r="C2890" s="1" t="n">
        <v>45884</v>
      </c>
      <c r="D2890" t="inlineStr">
        <is>
          <t>KALMAR LÄN</t>
        </is>
      </c>
      <c r="E2890" t="inlineStr">
        <is>
          <t>VIMMERBY</t>
        </is>
      </c>
      <c r="G2890" t="n">
        <v>2</v>
      </c>
      <c r="H2890" t="n">
        <v>0</v>
      </c>
      <c r="I2890" t="n">
        <v>0</v>
      </c>
      <c r="J2890" t="n">
        <v>0</v>
      </c>
      <c r="K2890" t="n">
        <v>0</v>
      </c>
      <c r="L2890" t="n">
        <v>0</v>
      </c>
      <c r="M2890" t="n">
        <v>0</v>
      </c>
      <c r="N2890" t="n">
        <v>0</v>
      </c>
      <c r="O2890" t="n">
        <v>0</v>
      </c>
      <c r="P2890" t="n">
        <v>0</v>
      </c>
      <c r="Q2890" t="n">
        <v>0</v>
      </c>
      <c r="R2890" s="2" t="inlineStr"/>
    </row>
    <row r="2891" ht="15" customHeight="1">
      <c r="A2891" t="inlineStr">
        <is>
          <t>A 49331-2022</t>
        </is>
      </c>
      <c r="B2891" s="1" t="n">
        <v>44861</v>
      </c>
      <c r="C2891" s="1" t="n">
        <v>45884</v>
      </c>
      <c r="D2891" t="inlineStr">
        <is>
          <t>KALMAR LÄN</t>
        </is>
      </c>
      <c r="E2891" t="inlineStr">
        <is>
          <t>TORSÅS</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38521-2021</t>
        </is>
      </c>
      <c r="B2892" s="1" t="n">
        <v>44407.54237268519</v>
      </c>
      <c r="C2892" s="1" t="n">
        <v>45884</v>
      </c>
      <c r="D2892" t="inlineStr">
        <is>
          <t>KALMAR LÄN</t>
        </is>
      </c>
      <c r="E2892" t="inlineStr">
        <is>
          <t>TORSÅS</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26129-2023</t>
        </is>
      </c>
      <c r="B2893" s="1" t="n">
        <v>45091.44966435185</v>
      </c>
      <c r="C2893" s="1" t="n">
        <v>45884</v>
      </c>
      <c r="D2893" t="inlineStr">
        <is>
          <t>KALMAR LÄN</t>
        </is>
      </c>
      <c r="E2893" t="inlineStr">
        <is>
          <t>NYBRO</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71114-2021</t>
        </is>
      </c>
      <c r="B2894" s="1" t="n">
        <v>44539.37123842593</v>
      </c>
      <c r="C2894" s="1" t="n">
        <v>45884</v>
      </c>
      <c r="D2894" t="inlineStr">
        <is>
          <t>KALMAR LÄN</t>
        </is>
      </c>
      <c r="E2894" t="inlineStr">
        <is>
          <t>VÄSTERVIK</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35324-2021</t>
        </is>
      </c>
      <c r="B2895" s="1" t="n">
        <v>44384</v>
      </c>
      <c r="C2895" s="1" t="n">
        <v>45884</v>
      </c>
      <c r="D2895" t="inlineStr">
        <is>
          <t>KALMAR LÄN</t>
        </is>
      </c>
      <c r="E2895" t="inlineStr">
        <is>
          <t>EMMABODA</t>
        </is>
      </c>
      <c r="F2895" t="inlineStr">
        <is>
          <t>Sveaskog</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51649-2024</t>
        </is>
      </c>
      <c r="B2896" s="1" t="n">
        <v>45606.56679398148</v>
      </c>
      <c r="C2896" s="1" t="n">
        <v>45884</v>
      </c>
      <c r="D2896" t="inlineStr">
        <is>
          <t>KALMAR LÄN</t>
        </is>
      </c>
      <c r="E2896" t="inlineStr">
        <is>
          <t>EMMABODA</t>
        </is>
      </c>
      <c r="G2896" t="n">
        <v>3</v>
      </c>
      <c r="H2896" t="n">
        <v>0</v>
      </c>
      <c r="I2896" t="n">
        <v>0</v>
      </c>
      <c r="J2896" t="n">
        <v>0</v>
      </c>
      <c r="K2896" t="n">
        <v>0</v>
      </c>
      <c r="L2896" t="n">
        <v>0</v>
      </c>
      <c r="M2896" t="n">
        <v>0</v>
      </c>
      <c r="N2896" t="n">
        <v>0</v>
      </c>
      <c r="O2896" t="n">
        <v>0</v>
      </c>
      <c r="P2896" t="n">
        <v>0</v>
      </c>
      <c r="Q2896" t="n">
        <v>0</v>
      </c>
      <c r="R2896" s="2" t="inlineStr"/>
    </row>
    <row r="2897" ht="15" customHeight="1">
      <c r="A2897" t="inlineStr">
        <is>
          <t>A 51651-2024</t>
        </is>
      </c>
      <c r="B2897" s="1" t="n">
        <v>45606.57449074074</v>
      </c>
      <c r="C2897" s="1" t="n">
        <v>45884</v>
      </c>
      <c r="D2897" t="inlineStr">
        <is>
          <t>KALMAR LÄN</t>
        </is>
      </c>
      <c r="E2897" t="inlineStr">
        <is>
          <t>NYBRO</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1422-2025</t>
        </is>
      </c>
      <c r="B2898" s="1" t="n">
        <v>45668.61670138889</v>
      </c>
      <c r="C2898" s="1" t="n">
        <v>45884</v>
      </c>
      <c r="D2898" t="inlineStr">
        <is>
          <t>KALMAR LÄN</t>
        </is>
      </c>
      <c r="E2898" t="inlineStr">
        <is>
          <t>NYBRO</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58274-2023</t>
        </is>
      </c>
      <c r="B2899" s="1" t="n">
        <v>45250.52269675926</v>
      </c>
      <c r="C2899" s="1" t="n">
        <v>45884</v>
      </c>
      <c r="D2899" t="inlineStr">
        <is>
          <t>KALMAR LÄN</t>
        </is>
      </c>
      <c r="E2899" t="inlineStr">
        <is>
          <t>TORSÅS</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36364-2023</t>
        </is>
      </c>
      <c r="B2900" s="1" t="n">
        <v>45152</v>
      </c>
      <c r="C2900" s="1" t="n">
        <v>45884</v>
      </c>
      <c r="D2900" t="inlineStr">
        <is>
          <t>KALMAR LÄN</t>
        </is>
      </c>
      <c r="E2900" t="inlineStr">
        <is>
          <t>MÖNSTERÅS</t>
        </is>
      </c>
      <c r="F2900" t="inlineStr">
        <is>
          <t>Kommuner</t>
        </is>
      </c>
      <c r="G2900" t="n">
        <v>2.5</v>
      </c>
      <c r="H2900" t="n">
        <v>0</v>
      </c>
      <c r="I2900" t="n">
        <v>0</v>
      </c>
      <c r="J2900" t="n">
        <v>0</v>
      </c>
      <c r="K2900" t="n">
        <v>0</v>
      </c>
      <c r="L2900" t="n">
        <v>0</v>
      </c>
      <c r="M2900" t="n">
        <v>0</v>
      </c>
      <c r="N2900" t="n">
        <v>0</v>
      </c>
      <c r="O2900" t="n">
        <v>0</v>
      </c>
      <c r="P2900" t="n">
        <v>0</v>
      </c>
      <c r="Q2900" t="n">
        <v>0</v>
      </c>
      <c r="R2900" s="2" t="inlineStr"/>
    </row>
    <row r="2901" ht="15" customHeight="1">
      <c r="A2901" t="inlineStr">
        <is>
          <t>A 46341-2023</t>
        </is>
      </c>
      <c r="B2901" s="1" t="n">
        <v>45197.40341435185</v>
      </c>
      <c r="C2901" s="1" t="n">
        <v>45884</v>
      </c>
      <c r="D2901" t="inlineStr">
        <is>
          <t>KALMAR LÄN</t>
        </is>
      </c>
      <c r="E2901" t="inlineStr">
        <is>
          <t>HULTSFRED</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58441-2023</t>
        </is>
      </c>
      <c r="B2902" s="1" t="n">
        <v>45250.91230324074</v>
      </c>
      <c r="C2902" s="1" t="n">
        <v>45884</v>
      </c>
      <c r="D2902" t="inlineStr">
        <is>
          <t>KALMAR LÄN</t>
        </is>
      </c>
      <c r="E2902" t="inlineStr">
        <is>
          <t>TORSÅS</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57212-2022</t>
        </is>
      </c>
      <c r="B2903" s="1" t="n">
        <v>44895.64876157408</v>
      </c>
      <c r="C2903" s="1" t="n">
        <v>45884</v>
      </c>
      <c r="D2903" t="inlineStr">
        <is>
          <t>KALMAR LÄN</t>
        </is>
      </c>
      <c r="E2903" t="inlineStr">
        <is>
          <t>KALMAR</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30648-2022</t>
        </is>
      </c>
      <c r="B2904" s="1" t="n">
        <v>44763.48737268519</v>
      </c>
      <c r="C2904" s="1" t="n">
        <v>45884</v>
      </c>
      <c r="D2904" t="inlineStr">
        <is>
          <t>KALMAR LÄN</t>
        </is>
      </c>
      <c r="E2904" t="inlineStr">
        <is>
          <t>TORSÅS</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63890-2023</t>
        </is>
      </c>
      <c r="B2905" s="1" t="n">
        <v>45278</v>
      </c>
      <c r="C2905" s="1" t="n">
        <v>45884</v>
      </c>
      <c r="D2905" t="inlineStr">
        <is>
          <t>KALMAR LÄN</t>
        </is>
      </c>
      <c r="E2905" t="inlineStr">
        <is>
          <t>VÄSTERVIK</t>
        </is>
      </c>
      <c r="G2905" t="n">
        <v>2.3</v>
      </c>
      <c r="H2905" t="n">
        <v>0</v>
      </c>
      <c r="I2905" t="n">
        <v>0</v>
      </c>
      <c r="J2905" t="n">
        <v>0</v>
      </c>
      <c r="K2905" t="n">
        <v>0</v>
      </c>
      <c r="L2905" t="n">
        <v>0</v>
      </c>
      <c r="M2905" t="n">
        <v>0</v>
      </c>
      <c r="N2905" t="n">
        <v>0</v>
      </c>
      <c r="O2905" t="n">
        <v>0</v>
      </c>
      <c r="P2905" t="n">
        <v>0</v>
      </c>
      <c r="Q2905" t="n">
        <v>0</v>
      </c>
      <c r="R2905" s="2" t="inlineStr"/>
    </row>
    <row r="2906" ht="15" customHeight="1">
      <c r="A2906" t="inlineStr">
        <is>
          <t>A 31860-2022</t>
        </is>
      </c>
      <c r="B2906" s="1" t="n">
        <v>44777</v>
      </c>
      <c r="C2906" s="1" t="n">
        <v>45884</v>
      </c>
      <c r="D2906" t="inlineStr">
        <is>
          <t>KALMAR LÄN</t>
        </is>
      </c>
      <c r="E2906" t="inlineStr">
        <is>
          <t>EMMABODA</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43038-2023</t>
        </is>
      </c>
      <c r="B2907" s="1" t="n">
        <v>45182.6869212963</v>
      </c>
      <c r="C2907" s="1" t="n">
        <v>45884</v>
      </c>
      <c r="D2907" t="inlineStr">
        <is>
          <t>KALMAR LÄN</t>
        </is>
      </c>
      <c r="E2907" t="inlineStr">
        <is>
          <t>KALMAR</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63945-2023</t>
        </is>
      </c>
      <c r="B2908" s="1" t="n">
        <v>45278</v>
      </c>
      <c r="C2908" s="1" t="n">
        <v>45884</v>
      </c>
      <c r="D2908" t="inlineStr">
        <is>
          <t>KALMAR LÄN</t>
        </is>
      </c>
      <c r="E2908" t="inlineStr">
        <is>
          <t>NYBRO</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14083-2024</t>
        </is>
      </c>
      <c r="B2909" s="1" t="n">
        <v>45392.58935185185</v>
      </c>
      <c r="C2909" s="1" t="n">
        <v>45884</v>
      </c>
      <c r="D2909" t="inlineStr">
        <is>
          <t>KALMAR LÄN</t>
        </is>
      </c>
      <c r="E2909" t="inlineStr">
        <is>
          <t>EMMABODA</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16673-2024</t>
        </is>
      </c>
      <c r="B2910" s="1" t="n">
        <v>45408.6706712963</v>
      </c>
      <c r="C2910" s="1" t="n">
        <v>45884</v>
      </c>
      <c r="D2910" t="inlineStr">
        <is>
          <t>KALMAR LÄN</t>
        </is>
      </c>
      <c r="E2910" t="inlineStr">
        <is>
          <t>OSKARSHAMN</t>
        </is>
      </c>
      <c r="G2910" t="n">
        <v>0.3</v>
      </c>
      <c r="H2910" t="n">
        <v>0</v>
      </c>
      <c r="I2910" t="n">
        <v>0</v>
      </c>
      <c r="J2910" t="n">
        <v>0</v>
      </c>
      <c r="K2910" t="n">
        <v>0</v>
      </c>
      <c r="L2910" t="n">
        <v>0</v>
      </c>
      <c r="M2910" t="n">
        <v>0</v>
      </c>
      <c r="N2910" t="n">
        <v>0</v>
      </c>
      <c r="O2910" t="n">
        <v>0</v>
      </c>
      <c r="P2910" t="n">
        <v>0</v>
      </c>
      <c r="Q2910" t="n">
        <v>0</v>
      </c>
      <c r="R2910" s="2" t="inlineStr"/>
    </row>
    <row r="2911" ht="15" customHeight="1">
      <c r="A2911" t="inlineStr">
        <is>
          <t>A 51383-2021</t>
        </is>
      </c>
      <c r="B2911" s="1" t="n">
        <v>44461</v>
      </c>
      <c r="C2911" s="1" t="n">
        <v>45884</v>
      </c>
      <c r="D2911" t="inlineStr">
        <is>
          <t>KALMAR LÄN</t>
        </is>
      </c>
      <c r="E2911" t="inlineStr">
        <is>
          <t>OSKARSHAMN</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60674-2024</t>
        </is>
      </c>
      <c r="B2912" s="1" t="n">
        <v>45644.45738425926</v>
      </c>
      <c r="C2912" s="1" t="n">
        <v>45884</v>
      </c>
      <c r="D2912" t="inlineStr">
        <is>
          <t>KALMAR LÄN</t>
        </is>
      </c>
      <c r="E2912" t="inlineStr">
        <is>
          <t>EMMABODA</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56366-2023</t>
        </is>
      </c>
      <c r="B2913" s="1" t="n">
        <v>45243.37883101852</v>
      </c>
      <c r="C2913" s="1" t="n">
        <v>45884</v>
      </c>
      <c r="D2913" t="inlineStr">
        <is>
          <t>KALMAR LÄN</t>
        </is>
      </c>
      <c r="E2913" t="inlineStr">
        <is>
          <t>TORSÅS</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31209-2024</t>
        </is>
      </c>
      <c r="B2914" s="1" t="n">
        <v>45503.5658912037</v>
      </c>
      <c r="C2914" s="1" t="n">
        <v>45884</v>
      </c>
      <c r="D2914" t="inlineStr">
        <is>
          <t>KALMAR LÄN</t>
        </is>
      </c>
      <c r="E2914" t="inlineStr">
        <is>
          <t>VIMMERBY</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14094-2022</t>
        </is>
      </c>
      <c r="B2915" s="1" t="n">
        <v>44651</v>
      </c>
      <c r="C2915" s="1" t="n">
        <v>45884</v>
      </c>
      <c r="D2915" t="inlineStr">
        <is>
          <t>KALMAR LÄN</t>
        </is>
      </c>
      <c r="E2915" t="inlineStr">
        <is>
          <t>HULTSFRED</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8332-2024</t>
        </is>
      </c>
      <c r="B2916" s="1" t="n">
        <v>45352.49944444445</v>
      </c>
      <c r="C2916" s="1" t="n">
        <v>45884</v>
      </c>
      <c r="D2916" t="inlineStr">
        <is>
          <t>KALMAR LÄN</t>
        </is>
      </c>
      <c r="E2916" t="inlineStr">
        <is>
          <t>HULTSFRED</t>
        </is>
      </c>
      <c r="G2916" t="n">
        <v>8.800000000000001</v>
      </c>
      <c r="H2916" t="n">
        <v>0</v>
      </c>
      <c r="I2916" t="n">
        <v>0</v>
      </c>
      <c r="J2916" t="n">
        <v>0</v>
      </c>
      <c r="K2916" t="n">
        <v>0</v>
      </c>
      <c r="L2916" t="n">
        <v>0</v>
      </c>
      <c r="M2916" t="n">
        <v>0</v>
      </c>
      <c r="N2916" t="n">
        <v>0</v>
      </c>
      <c r="O2916" t="n">
        <v>0</v>
      </c>
      <c r="P2916" t="n">
        <v>0</v>
      </c>
      <c r="Q2916" t="n">
        <v>0</v>
      </c>
      <c r="R2916" s="2" t="inlineStr"/>
    </row>
    <row r="2917" ht="15" customHeight="1">
      <c r="A2917" t="inlineStr">
        <is>
          <t>A 35566-2023</t>
        </is>
      </c>
      <c r="B2917" s="1" t="n">
        <v>45147</v>
      </c>
      <c r="C2917" s="1" t="n">
        <v>45884</v>
      </c>
      <c r="D2917" t="inlineStr">
        <is>
          <t>KALMAR LÄN</t>
        </is>
      </c>
      <c r="E2917" t="inlineStr">
        <is>
          <t>OSKARSHAMN</t>
        </is>
      </c>
      <c r="G2917" t="n">
        <v>2.2</v>
      </c>
      <c r="H2917" t="n">
        <v>0</v>
      </c>
      <c r="I2917" t="n">
        <v>0</v>
      </c>
      <c r="J2917" t="n">
        <v>0</v>
      </c>
      <c r="K2917" t="n">
        <v>0</v>
      </c>
      <c r="L2917" t="n">
        <v>0</v>
      </c>
      <c r="M2917" t="n">
        <v>0</v>
      </c>
      <c r="N2917" t="n">
        <v>0</v>
      </c>
      <c r="O2917" t="n">
        <v>0</v>
      </c>
      <c r="P2917" t="n">
        <v>0</v>
      </c>
      <c r="Q2917" t="n">
        <v>0</v>
      </c>
      <c r="R2917" s="2" t="inlineStr"/>
    </row>
    <row r="2918" ht="15" customHeight="1">
      <c r="A2918" t="inlineStr">
        <is>
          <t>A 38608-2024</t>
        </is>
      </c>
      <c r="B2918" s="1" t="n">
        <v>45546.67864583333</v>
      </c>
      <c r="C2918" s="1" t="n">
        <v>45884</v>
      </c>
      <c r="D2918" t="inlineStr">
        <is>
          <t>KALMAR LÄN</t>
        </is>
      </c>
      <c r="E2918" t="inlineStr">
        <is>
          <t>HÖGSBY</t>
        </is>
      </c>
      <c r="F2918" t="inlineStr">
        <is>
          <t>Sveaskog</t>
        </is>
      </c>
      <c r="G2918" t="n">
        <v>9.199999999999999</v>
      </c>
      <c r="H2918" t="n">
        <v>0</v>
      </c>
      <c r="I2918" t="n">
        <v>0</v>
      </c>
      <c r="J2918" t="n">
        <v>0</v>
      </c>
      <c r="K2918" t="n">
        <v>0</v>
      </c>
      <c r="L2918" t="n">
        <v>0</v>
      </c>
      <c r="M2918" t="n">
        <v>0</v>
      </c>
      <c r="N2918" t="n">
        <v>0</v>
      </c>
      <c r="O2918" t="n">
        <v>0</v>
      </c>
      <c r="P2918" t="n">
        <v>0</v>
      </c>
      <c r="Q2918" t="n">
        <v>0</v>
      </c>
      <c r="R2918" s="2" t="inlineStr"/>
    </row>
    <row r="2919" ht="15" customHeight="1">
      <c r="A2919" t="inlineStr">
        <is>
          <t>A 4931-2024</t>
        </is>
      </c>
      <c r="B2919" s="1" t="n">
        <v>45329</v>
      </c>
      <c r="C2919" s="1" t="n">
        <v>45884</v>
      </c>
      <c r="D2919" t="inlineStr">
        <is>
          <t>KALMAR LÄN</t>
        </is>
      </c>
      <c r="E2919" t="inlineStr">
        <is>
          <t>HÖGSBY</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28295-2023</t>
        </is>
      </c>
      <c r="B2920" s="1" t="n">
        <v>45099</v>
      </c>
      <c r="C2920" s="1" t="n">
        <v>45884</v>
      </c>
      <c r="D2920" t="inlineStr">
        <is>
          <t>KALMAR LÄN</t>
        </is>
      </c>
      <c r="E2920" t="inlineStr">
        <is>
          <t>EMMABODA</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53816-2024</t>
        </is>
      </c>
      <c r="B2921" s="1" t="n">
        <v>45615.6027662037</v>
      </c>
      <c r="C2921" s="1" t="n">
        <v>45884</v>
      </c>
      <c r="D2921" t="inlineStr">
        <is>
          <t>KALMAR LÄN</t>
        </is>
      </c>
      <c r="E2921" t="inlineStr">
        <is>
          <t>HÖGSBY</t>
        </is>
      </c>
      <c r="G2921" t="n">
        <v>2.9</v>
      </c>
      <c r="H2921" t="n">
        <v>0</v>
      </c>
      <c r="I2921" t="n">
        <v>0</v>
      </c>
      <c r="J2921" t="n">
        <v>0</v>
      </c>
      <c r="K2921" t="n">
        <v>0</v>
      </c>
      <c r="L2921" t="n">
        <v>0</v>
      </c>
      <c r="M2921" t="n">
        <v>0</v>
      </c>
      <c r="N2921" t="n">
        <v>0</v>
      </c>
      <c r="O2921" t="n">
        <v>0</v>
      </c>
      <c r="P2921" t="n">
        <v>0</v>
      </c>
      <c r="Q2921" t="n">
        <v>0</v>
      </c>
      <c r="R2921" s="2" t="inlineStr"/>
    </row>
    <row r="2922" ht="15" customHeight="1">
      <c r="A2922" t="inlineStr">
        <is>
          <t>A 38244-2023</t>
        </is>
      </c>
      <c r="B2922" s="1" t="n">
        <v>45161.57517361111</v>
      </c>
      <c r="C2922" s="1" t="n">
        <v>45884</v>
      </c>
      <c r="D2922" t="inlineStr">
        <is>
          <t>KALMAR LÄN</t>
        </is>
      </c>
      <c r="E2922" t="inlineStr">
        <is>
          <t>KALMAR</t>
        </is>
      </c>
      <c r="G2922" t="n">
        <v>2.4</v>
      </c>
      <c r="H2922" t="n">
        <v>0</v>
      </c>
      <c r="I2922" t="n">
        <v>0</v>
      </c>
      <c r="J2922" t="n">
        <v>0</v>
      </c>
      <c r="K2922" t="n">
        <v>0</v>
      </c>
      <c r="L2922" t="n">
        <v>0</v>
      </c>
      <c r="M2922" t="n">
        <v>0</v>
      </c>
      <c r="N2922" t="n">
        <v>0</v>
      </c>
      <c r="O2922" t="n">
        <v>0</v>
      </c>
      <c r="P2922" t="n">
        <v>0</v>
      </c>
      <c r="Q2922" t="n">
        <v>0</v>
      </c>
      <c r="R2922" s="2" t="inlineStr"/>
    </row>
    <row r="2923" ht="15" customHeight="1">
      <c r="A2923" t="inlineStr">
        <is>
          <t>A 38245-2023</t>
        </is>
      </c>
      <c r="B2923" s="1" t="n">
        <v>45161</v>
      </c>
      <c r="C2923" s="1" t="n">
        <v>45884</v>
      </c>
      <c r="D2923" t="inlineStr">
        <is>
          <t>KALMAR LÄN</t>
        </is>
      </c>
      <c r="E2923" t="inlineStr">
        <is>
          <t>MÖNSTERÅS</t>
        </is>
      </c>
      <c r="G2923" t="n">
        <v>6.6</v>
      </c>
      <c r="H2923" t="n">
        <v>0</v>
      </c>
      <c r="I2923" t="n">
        <v>0</v>
      </c>
      <c r="J2923" t="n">
        <v>0</v>
      </c>
      <c r="K2923" t="n">
        <v>0</v>
      </c>
      <c r="L2923" t="n">
        <v>0</v>
      </c>
      <c r="M2923" t="n">
        <v>0</v>
      </c>
      <c r="N2923" t="n">
        <v>0</v>
      </c>
      <c r="O2923" t="n">
        <v>0</v>
      </c>
      <c r="P2923" t="n">
        <v>0</v>
      </c>
      <c r="Q2923" t="n">
        <v>0</v>
      </c>
      <c r="R2923" s="2" t="inlineStr"/>
    </row>
    <row r="2924" ht="15" customHeight="1">
      <c r="A2924" t="inlineStr">
        <is>
          <t>A 9768-2023</t>
        </is>
      </c>
      <c r="B2924" s="1" t="n">
        <v>44984</v>
      </c>
      <c r="C2924" s="1" t="n">
        <v>45884</v>
      </c>
      <c r="D2924" t="inlineStr">
        <is>
          <t>KALMAR LÄN</t>
        </is>
      </c>
      <c r="E2924" t="inlineStr">
        <is>
          <t>NYBRO</t>
        </is>
      </c>
      <c r="G2924" t="n">
        <v>4</v>
      </c>
      <c r="H2924" t="n">
        <v>0</v>
      </c>
      <c r="I2924" t="n">
        <v>0</v>
      </c>
      <c r="J2924" t="n">
        <v>0</v>
      </c>
      <c r="K2924" t="n">
        <v>0</v>
      </c>
      <c r="L2924" t="n">
        <v>0</v>
      </c>
      <c r="M2924" t="n">
        <v>0</v>
      </c>
      <c r="N2924" t="n">
        <v>0</v>
      </c>
      <c r="O2924" t="n">
        <v>0</v>
      </c>
      <c r="P2924" t="n">
        <v>0</v>
      </c>
      <c r="Q2924" t="n">
        <v>0</v>
      </c>
      <c r="R2924" s="2" t="inlineStr"/>
    </row>
    <row r="2925" ht="15" customHeight="1">
      <c r="A2925" t="inlineStr">
        <is>
          <t>A 43173-2024</t>
        </is>
      </c>
      <c r="B2925" s="1" t="n">
        <v>45567.66055555556</v>
      </c>
      <c r="C2925" s="1" t="n">
        <v>45884</v>
      </c>
      <c r="D2925" t="inlineStr">
        <is>
          <t>KALMAR LÄN</t>
        </is>
      </c>
      <c r="E2925" t="inlineStr">
        <is>
          <t>OSKARSHAMN</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14160-2025</t>
        </is>
      </c>
      <c r="B2926" s="1" t="n">
        <v>45740.50475694444</v>
      </c>
      <c r="C2926" s="1" t="n">
        <v>45884</v>
      </c>
      <c r="D2926" t="inlineStr">
        <is>
          <t>KALMAR LÄN</t>
        </is>
      </c>
      <c r="E2926" t="inlineStr">
        <is>
          <t>EMMABODA</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14161-2025</t>
        </is>
      </c>
      <c r="B2927" s="1" t="n">
        <v>45740.50628472222</v>
      </c>
      <c r="C2927" s="1" t="n">
        <v>45884</v>
      </c>
      <c r="D2927" t="inlineStr">
        <is>
          <t>KALMAR LÄN</t>
        </is>
      </c>
      <c r="E2927" t="inlineStr">
        <is>
          <t>HULTSFRED</t>
        </is>
      </c>
      <c r="G2927" t="n">
        <v>10.6</v>
      </c>
      <c r="H2927" t="n">
        <v>0</v>
      </c>
      <c r="I2927" t="n">
        <v>0</v>
      </c>
      <c r="J2927" t="n">
        <v>0</v>
      </c>
      <c r="K2927" t="n">
        <v>0</v>
      </c>
      <c r="L2927" t="n">
        <v>0</v>
      </c>
      <c r="M2927" t="n">
        <v>0</v>
      </c>
      <c r="N2927" t="n">
        <v>0</v>
      </c>
      <c r="O2927" t="n">
        <v>0</v>
      </c>
      <c r="P2927" t="n">
        <v>0</v>
      </c>
      <c r="Q2927" t="n">
        <v>0</v>
      </c>
      <c r="R2927" s="2" t="inlineStr"/>
    </row>
    <row r="2928" ht="15" customHeight="1">
      <c r="A2928" t="inlineStr">
        <is>
          <t>A 3758-2025</t>
        </is>
      </c>
      <c r="B2928" s="1" t="n">
        <v>45681.59012731481</v>
      </c>
      <c r="C2928" s="1" t="n">
        <v>45884</v>
      </c>
      <c r="D2928" t="inlineStr">
        <is>
          <t>KALMAR LÄN</t>
        </is>
      </c>
      <c r="E2928" t="inlineStr">
        <is>
          <t>HULTSFRED</t>
        </is>
      </c>
      <c r="G2928" t="n">
        <v>2.4</v>
      </c>
      <c r="H2928" t="n">
        <v>0</v>
      </c>
      <c r="I2928" t="n">
        <v>0</v>
      </c>
      <c r="J2928" t="n">
        <v>0</v>
      </c>
      <c r="K2928" t="n">
        <v>0</v>
      </c>
      <c r="L2928" t="n">
        <v>0</v>
      </c>
      <c r="M2928" t="n">
        <v>0</v>
      </c>
      <c r="N2928" t="n">
        <v>0</v>
      </c>
      <c r="O2928" t="n">
        <v>0</v>
      </c>
      <c r="P2928" t="n">
        <v>0</v>
      </c>
      <c r="Q2928" t="n">
        <v>0</v>
      </c>
      <c r="R2928" s="2" t="inlineStr"/>
    </row>
    <row r="2929" ht="15" customHeight="1">
      <c r="A2929" t="inlineStr">
        <is>
          <t>A 42684-2023</t>
        </is>
      </c>
      <c r="B2929" s="1" t="n">
        <v>45181.58443287037</v>
      </c>
      <c r="C2929" s="1" t="n">
        <v>45884</v>
      </c>
      <c r="D2929" t="inlineStr">
        <is>
          <t>KALMAR LÄN</t>
        </is>
      </c>
      <c r="E2929" t="inlineStr">
        <is>
          <t>EMMABODA</t>
        </is>
      </c>
      <c r="G2929" t="n">
        <v>5.3</v>
      </c>
      <c r="H2929" t="n">
        <v>0</v>
      </c>
      <c r="I2929" t="n">
        <v>0</v>
      </c>
      <c r="J2929" t="n">
        <v>0</v>
      </c>
      <c r="K2929" t="n">
        <v>0</v>
      </c>
      <c r="L2929" t="n">
        <v>0</v>
      </c>
      <c r="M2929" t="n">
        <v>0</v>
      </c>
      <c r="N2929" t="n">
        <v>0</v>
      </c>
      <c r="O2929" t="n">
        <v>0</v>
      </c>
      <c r="P2929" t="n">
        <v>0</v>
      </c>
      <c r="Q2929" t="n">
        <v>0</v>
      </c>
      <c r="R2929" s="2" t="inlineStr"/>
    </row>
    <row r="2930" ht="15" customHeight="1">
      <c r="A2930" t="inlineStr">
        <is>
          <t>A 41617-2022</t>
        </is>
      </c>
      <c r="B2930" s="1" t="n">
        <v>44827</v>
      </c>
      <c r="C2930" s="1" t="n">
        <v>45884</v>
      </c>
      <c r="D2930" t="inlineStr">
        <is>
          <t>KALMAR LÄN</t>
        </is>
      </c>
      <c r="E2930" t="inlineStr">
        <is>
          <t>HULTSFRED</t>
        </is>
      </c>
      <c r="G2930" t="n">
        <v>3.7</v>
      </c>
      <c r="H2930" t="n">
        <v>0</v>
      </c>
      <c r="I2930" t="n">
        <v>0</v>
      </c>
      <c r="J2930" t="n">
        <v>0</v>
      </c>
      <c r="K2930" t="n">
        <v>0</v>
      </c>
      <c r="L2930" t="n">
        <v>0</v>
      </c>
      <c r="M2930" t="n">
        <v>0</v>
      </c>
      <c r="N2930" t="n">
        <v>0</v>
      </c>
      <c r="O2930" t="n">
        <v>0</v>
      </c>
      <c r="P2930" t="n">
        <v>0</v>
      </c>
      <c r="Q2930" t="n">
        <v>0</v>
      </c>
      <c r="R2930" s="2" t="inlineStr"/>
    </row>
    <row r="2931" ht="15" customHeight="1">
      <c r="A2931" t="inlineStr">
        <is>
          <t>A 42032-2024</t>
        </is>
      </c>
      <c r="B2931" s="1" t="n">
        <v>45561</v>
      </c>
      <c r="C2931" s="1" t="n">
        <v>45884</v>
      </c>
      <c r="D2931" t="inlineStr">
        <is>
          <t>KALMAR LÄN</t>
        </is>
      </c>
      <c r="E2931" t="inlineStr">
        <is>
          <t>NYBRO</t>
        </is>
      </c>
      <c r="G2931" t="n">
        <v>7.9</v>
      </c>
      <c r="H2931" t="n">
        <v>0</v>
      </c>
      <c r="I2931" t="n">
        <v>0</v>
      </c>
      <c r="J2931" t="n">
        <v>0</v>
      </c>
      <c r="K2931" t="n">
        <v>0</v>
      </c>
      <c r="L2931" t="n">
        <v>0</v>
      </c>
      <c r="M2931" t="n">
        <v>0</v>
      </c>
      <c r="N2931" t="n">
        <v>0</v>
      </c>
      <c r="O2931" t="n">
        <v>0</v>
      </c>
      <c r="P2931" t="n">
        <v>0</v>
      </c>
      <c r="Q2931" t="n">
        <v>0</v>
      </c>
      <c r="R2931" s="2" t="inlineStr"/>
    </row>
    <row r="2932" ht="15" customHeight="1">
      <c r="A2932" t="inlineStr">
        <is>
          <t>A 4928-2023</t>
        </is>
      </c>
      <c r="B2932" s="1" t="n">
        <v>44958.41222222222</v>
      </c>
      <c r="C2932" s="1" t="n">
        <v>45884</v>
      </c>
      <c r="D2932" t="inlineStr">
        <is>
          <t>KALMAR LÄN</t>
        </is>
      </c>
      <c r="E2932" t="inlineStr">
        <is>
          <t>TORSÅS</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42037-2024</t>
        </is>
      </c>
      <c r="B2933" s="1" t="n">
        <v>45561</v>
      </c>
      <c r="C2933" s="1" t="n">
        <v>45884</v>
      </c>
      <c r="D2933" t="inlineStr">
        <is>
          <t>KALMAR LÄN</t>
        </is>
      </c>
      <c r="E2933" t="inlineStr">
        <is>
          <t>NYBRO</t>
        </is>
      </c>
      <c r="G2933" t="n">
        <v>4.9</v>
      </c>
      <c r="H2933" t="n">
        <v>0</v>
      </c>
      <c r="I2933" t="n">
        <v>0</v>
      </c>
      <c r="J2933" t="n">
        <v>0</v>
      </c>
      <c r="K2933" t="n">
        <v>0</v>
      </c>
      <c r="L2933" t="n">
        <v>0</v>
      </c>
      <c r="M2933" t="n">
        <v>0</v>
      </c>
      <c r="N2933" t="n">
        <v>0</v>
      </c>
      <c r="O2933" t="n">
        <v>0</v>
      </c>
      <c r="P2933" t="n">
        <v>0</v>
      </c>
      <c r="Q2933" t="n">
        <v>0</v>
      </c>
      <c r="R2933" s="2" t="inlineStr"/>
    </row>
    <row r="2934" ht="15" customHeight="1">
      <c r="A2934" t="inlineStr">
        <is>
          <t>A 41393-2021</t>
        </is>
      </c>
      <c r="B2934" s="1" t="n">
        <v>44424</v>
      </c>
      <c r="C2934" s="1" t="n">
        <v>45884</v>
      </c>
      <c r="D2934" t="inlineStr">
        <is>
          <t>KALMAR LÄN</t>
        </is>
      </c>
      <c r="E2934" t="inlineStr">
        <is>
          <t>EMMABODA</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42073-2024</t>
        </is>
      </c>
      <c r="B2935" s="1" t="n">
        <v>45562.28920138889</v>
      </c>
      <c r="C2935" s="1" t="n">
        <v>45884</v>
      </c>
      <c r="D2935" t="inlineStr">
        <is>
          <t>KALMAR LÄN</t>
        </is>
      </c>
      <c r="E2935" t="inlineStr">
        <is>
          <t>HÖGSBY</t>
        </is>
      </c>
      <c r="F2935" t="inlineStr">
        <is>
          <t>Sveaskog</t>
        </is>
      </c>
      <c r="G2935" t="n">
        <v>4</v>
      </c>
      <c r="H2935" t="n">
        <v>0</v>
      </c>
      <c r="I2935" t="n">
        <v>0</v>
      </c>
      <c r="J2935" t="n">
        <v>0</v>
      </c>
      <c r="K2935" t="n">
        <v>0</v>
      </c>
      <c r="L2935" t="n">
        <v>0</v>
      </c>
      <c r="M2935" t="n">
        <v>0</v>
      </c>
      <c r="N2935" t="n">
        <v>0</v>
      </c>
      <c r="O2935" t="n">
        <v>0</v>
      </c>
      <c r="P2935" t="n">
        <v>0</v>
      </c>
      <c r="Q2935" t="n">
        <v>0</v>
      </c>
      <c r="R2935" s="2" t="inlineStr"/>
    </row>
    <row r="2936" ht="15" customHeight="1">
      <c r="A2936" t="inlineStr">
        <is>
          <t>A 15875-2022</t>
        </is>
      </c>
      <c r="B2936" s="1" t="n">
        <v>44664</v>
      </c>
      <c r="C2936" s="1" t="n">
        <v>45884</v>
      </c>
      <c r="D2936" t="inlineStr">
        <is>
          <t>KALMAR LÄN</t>
        </is>
      </c>
      <c r="E2936" t="inlineStr">
        <is>
          <t>OSKARSHAMN</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23204-2023</t>
        </is>
      </c>
      <c r="B2937" s="1" t="n">
        <v>45075</v>
      </c>
      <c r="C2937" s="1" t="n">
        <v>45884</v>
      </c>
      <c r="D2937" t="inlineStr">
        <is>
          <t>KALMAR LÄN</t>
        </is>
      </c>
      <c r="E2937" t="inlineStr">
        <is>
          <t>NYBRO</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27600-2023</t>
        </is>
      </c>
      <c r="B2938" s="1" t="n">
        <v>45097</v>
      </c>
      <c r="C2938" s="1" t="n">
        <v>45884</v>
      </c>
      <c r="D2938" t="inlineStr">
        <is>
          <t>KALMAR LÄN</t>
        </is>
      </c>
      <c r="E2938" t="inlineStr">
        <is>
          <t>KALMAR</t>
        </is>
      </c>
      <c r="G2938" t="n">
        <v>4.8</v>
      </c>
      <c r="H2938" t="n">
        <v>0</v>
      </c>
      <c r="I2938" t="n">
        <v>0</v>
      </c>
      <c r="J2938" t="n">
        <v>0</v>
      </c>
      <c r="K2938" t="n">
        <v>0</v>
      </c>
      <c r="L2938" t="n">
        <v>0</v>
      </c>
      <c r="M2938" t="n">
        <v>0</v>
      </c>
      <c r="N2938" t="n">
        <v>0</v>
      </c>
      <c r="O2938" t="n">
        <v>0</v>
      </c>
      <c r="P2938" t="n">
        <v>0</v>
      </c>
      <c r="Q2938" t="n">
        <v>0</v>
      </c>
      <c r="R2938" s="2" t="inlineStr"/>
    </row>
    <row r="2939" ht="15" customHeight="1">
      <c r="A2939" t="inlineStr">
        <is>
          <t>A 13141-2025</t>
        </is>
      </c>
      <c r="B2939" s="1" t="n">
        <v>45735.29974537037</v>
      </c>
      <c r="C2939" s="1" t="n">
        <v>45884</v>
      </c>
      <c r="D2939" t="inlineStr">
        <is>
          <t>KALMAR LÄN</t>
        </is>
      </c>
      <c r="E2939" t="inlineStr">
        <is>
          <t>KALMAR</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13157-2025</t>
        </is>
      </c>
      <c r="B2940" s="1" t="n">
        <v>45735.35653935185</v>
      </c>
      <c r="C2940" s="1" t="n">
        <v>45884</v>
      </c>
      <c r="D2940" t="inlineStr">
        <is>
          <t>KALMAR LÄN</t>
        </is>
      </c>
      <c r="E2940" t="inlineStr">
        <is>
          <t>HULTSFRED</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13290-2025</t>
        </is>
      </c>
      <c r="B2941" s="1" t="n">
        <v>45735.56751157407</v>
      </c>
      <c r="C2941" s="1" t="n">
        <v>45884</v>
      </c>
      <c r="D2941" t="inlineStr">
        <is>
          <t>KALMAR LÄN</t>
        </is>
      </c>
      <c r="E2941" t="inlineStr">
        <is>
          <t>VIMMERBY</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12915-2023</t>
        </is>
      </c>
      <c r="B2942" s="1" t="n">
        <v>45001.63918981481</v>
      </c>
      <c r="C2942" s="1" t="n">
        <v>45884</v>
      </c>
      <c r="D2942" t="inlineStr">
        <is>
          <t>KALMAR LÄN</t>
        </is>
      </c>
      <c r="E2942" t="inlineStr">
        <is>
          <t>TORSÅS</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14983-2022</t>
        </is>
      </c>
      <c r="B2943" s="1" t="n">
        <v>44657</v>
      </c>
      <c r="C2943" s="1" t="n">
        <v>45884</v>
      </c>
      <c r="D2943" t="inlineStr">
        <is>
          <t>KALMAR LÄN</t>
        </is>
      </c>
      <c r="E2943" t="inlineStr">
        <is>
          <t>NYBRO</t>
        </is>
      </c>
      <c r="F2943" t="inlineStr">
        <is>
          <t>Kyrkan</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19162-2023</t>
        </is>
      </c>
      <c r="B2944" s="1" t="n">
        <v>45048.59699074074</v>
      </c>
      <c r="C2944" s="1" t="n">
        <v>45884</v>
      </c>
      <c r="D2944" t="inlineStr">
        <is>
          <t>KALMAR LÄN</t>
        </is>
      </c>
      <c r="E2944" t="inlineStr">
        <is>
          <t>VIMMERBY</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3396-2023</t>
        </is>
      </c>
      <c r="B2945" s="1" t="n">
        <v>44949.51655092592</v>
      </c>
      <c r="C2945" s="1" t="n">
        <v>45884</v>
      </c>
      <c r="D2945" t="inlineStr">
        <is>
          <t>KALMAR LÄN</t>
        </is>
      </c>
      <c r="E2945" t="inlineStr">
        <is>
          <t>TORSÅS</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42711-2023</t>
        </is>
      </c>
      <c r="B2946" s="1" t="n">
        <v>45181</v>
      </c>
      <c r="C2946" s="1" t="n">
        <v>45884</v>
      </c>
      <c r="D2946" t="inlineStr">
        <is>
          <t>KALMAR LÄN</t>
        </is>
      </c>
      <c r="E2946" t="inlineStr">
        <is>
          <t>NYBRO</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53502-2022</t>
        </is>
      </c>
      <c r="B2947" s="1" t="n">
        <v>44879</v>
      </c>
      <c r="C2947" s="1" t="n">
        <v>45884</v>
      </c>
      <c r="D2947" t="inlineStr">
        <is>
          <t>KALMAR LÄN</t>
        </is>
      </c>
      <c r="E2947" t="inlineStr">
        <is>
          <t>MÖNSTERÅS</t>
        </is>
      </c>
      <c r="G2947" t="n">
        <v>9.6</v>
      </c>
      <c r="H2947" t="n">
        <v>0</v>
      </c>
      <c r="I2947" t="n">
        <v>0</v>
      </c>
      <c r="J2947" t="n">
        <v>0</v>
      </c>
      <c r="K2947" t="n">
        <v>0</v>
      </c>
      <c r="L2947" t="n">
        <v>0</v>
      </c>
      <c r="M2947" t="n">
        <v>0</v>
      </c>
      <c r="N2947" t="n">
        <v>0</v>
      </c>
      <c r="O2947" t="n">
        <v>0</v>
      </c>
      <c r="P2947" t="n">
        <v>0</v>
      </c>
      <c r="Q2947" t="n">
        <v>0</v>
      </c>
      <c r="R2947" s="2" t="inlineStr"/>
    </row>
    <row r="2948" ht="15" customHeight="1">
      <c r="A2948" t="inlineStr">
        <is>
          <t>A 74478-2021</t>
        </is>
      </c>
      <c r="B2948" s="1" t="n">
        <v>44559</v>
      </c>
      <c r="C2948" s="1" t="n">
        <v>45884</v>
      </c>
      <c r="D2948" t="inlineStr">
        <is>
          <t>KALMAR LÄN</t>
        </is>
      </c>
      <c r="E2948" t="inlineStr">
        <is>
          <t>HÖGSBY</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11437-2023</t>
        </is>
      </c>
      <c r="B2949" s="1" t="n">
        <v>44993.56126157408</v>
      </c>
      <c r="C2949" s="1" t="n">
        <v>45884</v>
      </c>
      <c r="D2949" t="inlineStr">
        <is>
          <t>KALMAR LÄN</t>
        </is>
      </c>
      <c r="E2949" t="inlineStr">
        <is>
          <t>EMMABODA</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33235-2023</t>
        </is>
      </c>
      <c r="B2950" s="1" t="n">
        <v>45127</v>
      </c>
      <c r="C2950" s="1" t="n">
        <v>45884</v>
      </c>
      <c r="D2950" t="inlineStr">
        <is>
          <t>KALMAR LÄN</t>
        </is>
      </c>
      <c r="E2950" t="inlineStr">
        <is>
          <t>HULTSFRED</t>
        </is>
      </c>
      <c r="G2950" t="n">
        <v>2.5</v>
      </c>
      <c r="H2950" t="n">
        <v>0</v>
      </c>
      <c r="I2950" t="n">
        <v>0</v>
      </c>
      <c r="J2950" t="n">
        <v>0</v>
      </c>
      <c r="K2950" t="n">
        <v>0</v>
      </c>
      <c r="L2950" t="n">
        <v>0</v>
      </c>
      <c r="M2950" t="n">
        <v>0</v>
      </c>
      <c r="N2950" t="n">
        <v>0</v>
      </c>
      <c r="O2950" t="n">
        <v>0</v>
      </c>
      <c r="P2950" t="n">
        <v>0</v>
      </c>
      <c r="Q2950" t="n">
        <v>0</v>
      </c>
      <c r="R2950" s="2" t="inlineStr"/>
    </row>
    <row r="2951" ht="15" customHeight="1">
      <c r="A2951" t="inlineStr">
        <is>
          <t>A 8003-2023</t>
        </is>
      </c>
      <c r="B2951" s="1" t="n">
        <v>44973.87971064815</v>
      </c>
      <c r="C2951" s="1" t="n">
        <v>45884</v>
      </c>
      <c r="D2951" t="inlineStr">
        <is>
          <t>KALMAR LÄN</t>
        </is>
      </c>
      <c r="E2951" t="inlineStr">
        <is>
          <t>NYBRO</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9475-2023</t>
        </is>
      </c>
      <c r="B2952" s="1" t="n">
        <v>44981.58834490741</v>
      </c>
      <c r="C2952" s="1" t="n">
        <v>45884</v>
      </c>
      <c r="D2952" t="inlineStr">
        <is>
          <t>KALMAR LÄN</t>
        </is>
      </c>
      <c r="E2952" t="inlineStr">
        <is>
          <t>VIMMERBY</t>
        </is>
      </c>
      <c r="G2952" t="n">
        <v>2</v>
      </c>
      <c r="H2952" t="n">
        <v>0</v>
      </c>
      <c r="I2952" t="n">
        <v>0</v>
      </c>
      <c r="J2952" t="n">
        <v>0</v>
      </c>
      <c r="K2952" t="n">
        <v>0</v>
      </c>
      <c r="L2952" t="n">
        <v>0</v>
      </c>
      <c r="M2952" t="n">
        <v>0</v>
      </c>
      <c r="N2952" t="n">
        <v>0</v>
      </c>
      <c r="O2952" t="n">
        <v>0</v>
      </c>
      <c r="P2952" t="n">
        <v>0</v>
      </c>
      <c r="Q2952" t="n">
        <v>0</v>
      </c>
      <c r="R2952" s="2" t="inlineStr"/>
    </row>
    <row r="2953" ht="15" customHeight="1">
      <c r="A2953" t="inlineStr">
        <is>
          <t>A 56143-2022</t>
        </is>
      </c>
      <c r="B2953" s="1" t="n">
        <v>44889</v>
      </c>
      <c r="C2953" s="1" t="n">
        <v>45884</v>
      </c>
      <c r="D2953" t="inlineStr">
        <is>
          <t>KALMAR LÄN</t>
        </is>
      </c>
      <c r="E2953" t="inlineStr">
        <is>
          <t>NYBRO</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59212-2022</t>
        </is>
      </c>
      <c r="B2954" s="1" t="n">
        <v>44904.52560185185</v>
      </c>
      <c r="C2954" s="1" t="n">
        <v>45884</v>
      </c>
      <c r="D2954" t="inlineStr">
        <is>
          <t>KALMAR LÄN</t>
        </is>
      </c>
      <c r="E2954" t="inlineStr">
        <is>
          <t>VÄSTERVIK</t>
        </is>
      </c>
      <c r="G2954" t="n">
        <v>2.3</v>
      </c>
      <c r="H2954" t="n">
        <v>0</v>
      </c>
      <c r="I2954" t="n">
        <v>0</v>
      </c>
      <c r="J2954" t="n">
        <v>0</v>
      </c>
      <c r="K2954" t="n">
        <v>0</v>
      </c>
      <c r="L2954" t="n">
        <v>0</v>
      </c>
      <c r="M2954" t="n">
        <v>0</v>
      </c>
      <c r="N2954" t="n">
        <v>0</v>
      </c>
      <c r="O2954" t="n">
        <v>0</v>
      </c>
      <c r="P2954" t="n">
        <v>0</v>
      </c>
      <c r="Q2954" t="n">
        <v>0</v>
      </c>
      <c r="R2954" s="2" t="inlineStr"/>
    </row>
    <row r="2955" ht="15" customHeight="1">
      <c r="A2955" t="inlineStr">
        <is>
          <t>A 59227-2022</t>
        </is>
      </c>
      <c r="B2955" s="1" t="n">
        <v>44904</v>
      </c>
      <c r="C2955" s="1" t="n">
        <v>45884</v>
      </c>
      <c r="D2955" t="inlineStr">
        <is>
          <t>KALMAR LÄN</t>
        </is>
      </c>
      <c r="E2955" t="inlineStr">
        <is>
          <t>VÄSTERVIK</t>
        </is>
      </c>
      <c r="G2955" t="n">
        <v>6</v>
      </c>
      <c r="H2955" t="n">
        <v>0</v>
      </c>
      <c r="I2955" t="n">
        <v>0</v>
      </c>
      <c r="J2955" t="n">
        <v>0</v>
      </c>
      <c r="K2955" t="n">
        <v>0</v>
      </c>
      <c r="L2955" t="n">
        <v>0</v>
      </c>
      <c r="M2955" t="n">
        <v>0</v>
      </c>
      <c r="N2955" t="n">
        <v>0</v>
      </c>
      <c r="O2955" t="n">
        <v>0</v>
      </c>
      <c r="P2955" t="n">
        <v>0</v>
      </c>
      <c r="Q2955" t="n">
        <v>0</v>
      </c>
      <c r="R2955" s="2" t="inlineStr"/>
    </row>
    <row r="2956" ht="15" customHeight="1">
      <c r="A2956" t="inlineStr">
        <is>
          <t>A 41479-2023</t>
        </is>
      </c>
      <c r="B2956" s="1" t="n">
        <v>45175.44179398148</v>
      </c>
      <c r="C2956" s="1" t="n">
        <v>45884</v>
      </c>
      <c r="D2956" t="inlineStr">
        <is>
          <t>KALMAR LÄN</t>
        </is>
      </c>
      <c r="E2956" t="inlineStr">
        <is>
          <t>HÖGSBY</t>
        </is>
      </c>
      <c r="G2956" t="n">
        <v>2.3</v>
      </c>
      <c r="H2956" t="n">
        <v>0</v>
      </c>
      <c r="I2956" t="n">
        <v>0</v>
      </c>
      <c r="J2956" t="n">
        <v>0</v>
      </c>
      <c r="K2956" t="n">
        <v>0</v>
      </c>
      <c r="L2956" t="n">
        <v>0</v>
      </c>
      <c r="M2956" t="n">
        <v>0</v>
      </c>
      <c r="N2956" t="n">
        <v>0</v>
      </c>
      <c r="O2956" t="n">
        <v>0</v>
      </c>
      <c r="P2956" t="n">
        <v>0</v>
      </c>
      <c r="Q2956" t="n">
        <v>0</v>
      </c>
      <c r="R2956" s="2" t="inlineStr"/>
    </row>
    <row r="2957" ht="15" customHeight="1">
      <c r="A2957" t="inlineStr">
        <is>
          <t>A 17067-2023</t>
        </is>
      </c>
      <c r="B2957" s="1" t="n">
        <v>45034.48248842593</v>
      </c>
      <c r="C2957" s="1" t="n">
        <v>45884</v>
      </c>
      <c r="D2957" t="inlineStr">
        <is>
          <t>KALMAR LÄN</t>
        </is>
      </c>
      <c r="E2957" t="inlineStr">
        <is>
          <t>KALMAR</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15444-2025</t>
        </is>
      </c>
      <c r="B2958" s="1" t="n">
        <v>45747.48377314815</v>
      </c>
      <c r="C2958" s="1" t="n">
        <v>45884</v>
      </c>
      <c r="D2958" t="inlineStr">
        <is>
          <t>KALMAR LÄN</t>
        </is>
      </c>
      <c r="E2958" t="inlineStr">
        <is>
          <t>VÄSTERVIK</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18022-2025</t>
        </is>
      </c>
      <c r="B2959" s="1" t="n">
        <v>45761.44584490741</v>
      </c>
      <c r="C2959" s="1" t="n">
        <v>45884</v>
      </c>
      <c r="D2959" t="inlineStr">
        <is>
          <t>KALMAR LÄN</t>
        </is>
      </c>
      <c r="E2959" t="inlineStr">
        <is>
          <t>VIMMERBY</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33658-2023</t>
        </is>
      </c>
      <c r="B2960" s="1" t="n">
        <v>45132</v>
      </c>
      <c r="C2960" s="1" t="n">
        <v>45884</v>
      </c>
      <c r="D2960" t="inlineStr">
        <is>
          <t>KALMAR LÄN</t>
        </is>
      </c>
      <c r="E2960" t="inlineStr">
        <is>
          <t>MÖNSTERÅS</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72166-2021</t>
        </is>
      </c>
      <c r="B2961" s="1" t="n">
        <v>44544.63826388889</v>
      </c>
      <c r="C2961" s="1" t="n">
        <v>45884</v>
      </c>
      <c r="D2961" t="inlineStr">
        <is>
          <t>KALMAR LÄN</t>
        </is>
      </c>
      <c r="E2961" t="inlineStr">
        <is>
          <t>NYBRO</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15960-2023</t>
        </is>
      </c>
      <c r="B2962" s="1" t="n">
        <v>45022.634375</v>
      </c>
      <c r="C2962" s="1" t="n">
        <v>45884</v>
      </c>
      <c r="D2962" t="inlineStr">
        <is>
          <t>KALMAR LÄN</t>
        </is>
      </c>
      <c r="E2962" t="inlineStr">
        <is>
          <t>EMMABODA</t>
        </is>
      </c>
      <c r="G2962" t="n">
        <v>3.7</v>
      </c>
      <c r="H2962" t="n">
        <v>0</v>
      </c>
      <c r="I2962" t="n">
        <v>0</v>
      </c>
      <c r="J2962" t="n">
        <v>0</v>
      </c>
      <c r="K2962" t="n">
        <v>0</v>
      </c>
      <c r="L2962" t="n">
        <v>0</v>
      </c>
      <c r="M2962" t="n">
        <v>0</v>
      </c>
      <c r="N2962" t="n">
        <v>0</v>
      </c>
      <c r="O2962" t="n">
        <v>0</v>
      </c>
      <c r="P2962" t="n">
        <v>0</v>
      </c>
      <c r="Q2962" t="n">
        <v>0</v>
      </c>
      <c r="R2962" s="2" t="inlineStr"/>
    </row>
    <row r="2963" ht="15" customHeight="1">
      <c r="A2963" t="inlineStr">
        <is>
          <t>A 15962-2023</t>
        </is>
      </c>
      <c r="B2963" s="1" t="n">
        <v>45022.64363425926</v>
      </c>
      <c r="C2963" s="1" t="n">
        <v>45884</v>
      </c>
      <c r="D2963" t="inlineStr">
        <is>
          <t>KALMAR LÄN</t>
        </is>
      </c>
      <c r="E2963" t="inlineStr">
        <is>
          <t>EMMABODA</t>
        </is>
      </c>
      <c r="G2963" t="n">
        <v>2.4</v>
      </c>
      <c r="H2963" t="n">
        <v>0</v>
      </c>
      <c r="I2963" t="n">
        <v>0</v>
      </c>
      <c r="J2963" t="n">
        <v>0</v>
      </c>
      <c r="K2963" t="n">
        <v>0</v>
      </c>
      <c r="L2963" t="n">
        <v>0</v>
      </c>
      <c r="M2963" t="n">
        <v>0</v>
      </c>
      <c r="N2963" t="n">
        <v>0</v>
      </c>
      <c r="O2963" t="n">
        <v>0</v>
      </c>
      <c r="P2963" t="n">
        <v>0</v>
      </c>
      <c r="Q2963" t="n">
        <v>0</v>
      </c>
      <c r="R2963" s="2" t="inlineStr"/>
    </row>
    <row r="2964" ht="15" customHeight="1">
      <c r="A2964" t="inlineStr">
        <is>
          <t>A 4527-2023</t>
        </is>
      </c>
      <c r="B2964" s="1" t="n">
        <v>44956</v>
      </c>
      <c r="C2964" s="1" t="n">
        <v>45884</v>
      </c>
      <c r="D2964" t="inlineStr">
        <is>
          <t>KALMAR LÄN</t>
        </is>
      </c>
      <c r="E2964" t="inlineStr">
        <is>
          <t>VIMMERBY</t>
        </is>
      </c>
      <c r="F2964" t="inlineStr">
        <is>
          <t>Kommuner</t>
        </is>
      </c>
      <c r="G2964" t="n">
        <v>8.5</v>
      </c>
      <c r="H2964" t="n">
        <v>0</v>
      </c>
      <c r="I2964" t="n">
        <v>0</v>
      </c>
      <c r="J2964" t="n">
        <v>0</v>
      </c>
      <c r="K2964" t="n">
        <v>0</v>
      </c>
      <c r="L2964" t="n">
        <v>0</v>
      </c>
      <c r="M2964" t="n">
        <v>0</v>
      </c>
      <c r="N2964" t="n">
        <v>0</v>
      </c>
      <c r="O2964" t="n">
        <v>0</v>
      </c>
      <c r="P2964" t="n">
        <v>0</v>
      </c>
      <c r="Q2964" t="n">
        <v>0</v>
      </c>
      <c r="R2964" s="2" t="inlineStr"/>
    </row>
    <row r="2965" ht="15" customHeight="1">
      <c r="A2965" t="inlineStr">
        <is>
          <t>A 44533-2024</t>
        </is>
      </c>
      <c r="B2965" s="1" t="n">
        <v>45574.45165509259</v>
      </c>
      <c r="C2965" s="1" t="n">
        <v>45884</v>
      </c>
      <c r="D2965" t="inlineStr">
        <is>
          <t>KALMAR LÄN</t>
        </is>
      </c>
      <c r="E2965" t="inlineStr">
        <is>
          <t>EMMABODA</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30490-2023</t>
        </is>
      </c>
      <c r="B2966" s="1" t="n">
        <v>45111</v>
      </c>
      <c r="C2966" s="1" t="n">
        <v>45884</v>
      </c>
      <c r="D2966" t="inlineStr">
        <is>
          <t>KALMAR LÄN</t>
        </is>
      </c>
      <c r="E2966" t="inlineStr">
        <is>
          <t>HÖGSBY</t>
        </is>
      </c>
      <c r="G2966" t="n">
        <v>12.1</v>
      </c>
      <c r="H2966" t="n">
        <v>0</v>
      </c>
      <c r="I2966" t="n">
        <v>0</v>
      </c>
      <c r="J2966" t="n">
        <v>0</v>
      </c>
      <c r="K2966" t="n">
        <v>0</v>
      </c>
      <c r="L2966" t="n">
        <v>0</v>
      </c>
      <c r="M2966" t="n">
        <v>0</v>
      </c>
      <c r="N2966" t="n">
        <v>0</v>
      </c>
      <c r="O2966" t="n">
        <v>0</v>
      </c>
      <c r="P2966" t="n">
        <v>0</v>
      </c>
      <c r="Q2966" t="n">
        <v>0</v>
      </c>
      <c r="R2966" s="2" t="inlineStr"/>
    </row>
    <row r="2967" ht="15" customHeight="1">
      <c r="A2967" t="inlineStr">
        <is>
          <t>A 3886-2021</t>
        </is>
      </c>
      <c r="B2967" s="1" t="n">
        <v>44222</v>
      </c>
      <c r="C2967" s="1" t="n">
        <v>45884</v>
      </c>
      <c r="D2967" t="inlineStr">
        <is>
          <t>KALMAR LÄN</t>
        </is>
      </c>
      <c r="E2967" t="inlineStr">
        <is>
          <t>EMMABODA</t>
        </is>
      </c>
      <c r="G2967" t="n">
        <v>3.5</v>
      </c>
      <c r="H2967" t="n">
        <v>0</v>
      </c>
      <c r="I2967" t="n">
        <v>0</v>
      </c>
      <c r="J2967" t="n">
        <v>0</v>
      </c>
      <c r="K2967" t="n">
        <v>0</v>
      </c>
      <c r="L2967" t="n">
        <v>0</v>
      </c>
      <c r="M2967" t="n">
        <v>0</v>
      </c>
      <c r="N2967" t="n">
        <v>0</v>
      </c>
      <c r="O2967" t="n">
        <v>0</v>
      </c>
      <c r="P2967" t="n">
        <v>0</v>
      </c>
      <c r="Q2967" t="n">
        <v>0</v>
      </c>
      <c r="R2967" s="2" t="inlineStr"/>
    </row>
    <row r="2968" ht="15" customHeight="1">
      <c r="A2968" t="inlineStr">
        <is>
          <t>A 47934-2023</t>
        </is>
      </c>
      <c r="B2968" s="1" t="n">
        <v>45204.55690972223</v>
      </c>
      <c r="C2968" s="1" t="n">
        <v>45884</v>
      </c>
      <c r="D2968" t="inlineStr">
        <is>
          <t>KALMAR LÄN</t>
        </is>
      </c>
      <c r="E2968" t="inlineStr">
        <is>
          <t>OSKARSHAMN</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47945-2023</t>
        </is>
      </c>
      <c r="B2969" s="1" t="n">
        <v>45204.5684837963</v>
      </c>
      <c r="C2969" s="1" t="n">
        <v>45884</v>
      </c>
      <c r="D2969" t="inlineStr">
        <is>
          <t>KALMAR LÄN</t>
        </is>
      </c>
      <c r="E2969" t="inlineStr">
        <is>
          <t>VÄSTERVIK</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16967-2021</t>
        </is>
      </c>
      <c r="B2970" s="1" t="n">
        <v>44295</v>
      </c>
      <c r="C2970" s="1" t="n">
        <v>45884</v>
      </c>
      <c r="D2970" t="inlineStr">
        <is>
          <t>KALMAR LÄN</t>
        </is>
      </c>
      <c r="E2970" t="inlineStr">
        <is>
          <t>NYBRO</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11926-2025</t>
        </is>
      </c>
      <c r="B2971" s="1" t="n">
        <v>45728.50771990741</v>
      </c>
      <c r="C2971" s="1" t="n">
        <v>45884</v>
      </c>
      <c r="D2971" t="inlineStr">
        <is>
          <t>KALMAR LÄN</t>
        </is>
      </c>
      <c r="E2971" t="inlineStr">
        <is>
          <t>OSKARSHAMN</t>
        </is>
      </c>
      <c r="G2971" t="n">
        <v>3.4</v>
      </c>
      <c r="H2971" t="n">
        <v>0</v>
      </c>
      <c r="I2971" t="n">
        <v>0</v>
      </c>
      <c r="J2971" t="n">
        <v>0</v>
      </c>
      <c r="K2971" t="n">
        <v>0</v>
      </c>
      <c r="L2971" t="n">
        <v>0</v>
      </c>
      <c r="M2971" t="n">
        <v>0</v>
      </c>
      <c r="N2971" t="n">
        <v>0</v>
      </c>
      <c r="O2971" t="n">
        <v>0</v>
      </c>
      <c r="P2971" t="n">
        <v>0</v>
      </c>
      <c r="Q2971" t="n">
        <v>0</v>
      </c>
      <c r="R2971" s="2" t="inlineStr"/>
    </row>
    <row r="2972" ht="15" customHeight="1">
      <c r="A2972" t="inlineStr">
        <is>
          <t>A 11946-2025</t>
        </is>
      </c>
      <c r="B2972" s="1" t="n">
        <v>45728.54832175926</v>
      </c>
      <c r="C2972" s="1" t="n">
        <v>45884</v>
      </c>
      <c r="D2972" t="inlineStr">
        <is>
          <t>KALMAR LÄN</t>
        </is>
      </c>
      <c r="E2972" t="inlineStr">
        <is>
          <t>VIMMERBY</t>
        </is>
      </c>
      <c r="G2972" t="n">
        <v>0.4</v>
      </c>
      <c r="H2972" t="n">
        <v>0</v>
      </c>
      <c r="I2972" t="n">
        <v>0</v>
      </c>
      <c r="J2972" t="n">
        <v>0</v>
      </c>
      <c r="K2972" t="n">
        <v>0</v>
      </c>
      <c r="L2972" t="n">
        <v>0</v>
      </c>
      <c r="M2972" t="n">
        <v>0</v>
      </c>
      <c r="N2972" t="n">
        <v>0</v>
      </c>
      <c r="O2972" t="n">
        <v>0</v>
      </c>
      <c r="P2972" t="n">
        <v>0</v>
      </c>
      <c r="Q2972" t="n">
        <v>0</v>
      </c>
      <c r="R2972" s="2" t="inlineStr"/>
    </row>
    <row r="2973" ht="15" customHeight="1">
      <c r="A2973" t="inlineStr">
        <is>
          <t>A 19537-2022</t>
        </is>
      </c>
      <c r="B2973" s="1" t="n">
        <v>44693.62822916666</v>
      </c>
      <c r="C2973" s="1" t="n">
        <v>45884</v>
      </c>
      <c r="D2973" t="inlineStr">
        <is>
          <t>KALMAR LÄN</t>
        </is>
      </c>
      <c r="E2973" t="inlineStr">
        <is>
          <t>VIMMERBY</t>
        </is>
      </c>
      <c r="F2973" t="inlineStr">
        <is>
          <t>Sveaskog</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60634-2023</t>
        </is>
      </c>
      <c r="B2974" s="1" t="n">
        <v>45260.40186342593</v>
      </c>
      <c r="C2974" s="1" t="n">
        <v>45884</v>
      </c>
      <c r="D2974" t="inlineStr">
        <is>
          <t>KALMAR LÄN</t>
        </is>
      </c>
      <c r="E2974" t="inlineStr">
        <is>
          <t>VÄSTERVIK</t>
        </is>
      </c>
      <c r="G2974" t="n">
        <v>2</v>
      </c>
      <c r="H2974" t="n">
        <v>0</v>
      </c>
      <c r="I2974" t="n">
        <v>0</v>
      </c>
      <c r="J2974" t="n">
        <v>0</v>
      </c>
      <c r="K2974" t="n">
        <v>0</v>
      </c>
      <c r="L2974" t="n">
        <v>0</v>
      </c>
      <c r="M2974" t="n">
        <v>0</v>
      </c>
      <c r="N2974" t="n">
        <v>0</v>
      </c>
      <c r="O2974" t="n">
        <v>0</v>
      </c>
      <c r="P2974" t="n">
        <v>0</v>
      </c>
      <c r="Q2974" t="n">
        <v>0</v>
      </c>
      <c r="R2974" s="2" t="inlineStr"/>
    </row>
    <row r="2975" ht="15" customHeight="1">
      <c r="A2975" t="inlineStr">
        <is>
          <t>A 16777-2025</t>
        </is>
      </c>
      <c r="B2975" s="1" t="n">
        <v>45754.58637731482</v>
      </c>
      <c r="C2975" s="1" t="n">
        <v>45884</v>
      </c>
      <c r="D2975" t="inlineStr">
        <is>
          <t>KALMAR LÄN</t>
        </is>
      </c>
      <c r="E2975" t="inlineStr">
        <is>
          <t>NYBRO</t>
        </is>
      </c>
      <c r="F2975" t="inlineStr">
        <is>
          <t>Sveaskog</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57973-2020</t>
        </is>
      </c>
      <c r="B2976" s="1" t="n">
        <v>44143</v>
      </c>
      <c r="C2976" s="1" t="n">
        <v>45884</v>
      </c>
      <c r="D2976" t="inlineStr">
        <is>
          <t>KALMAR LÄN</t>
        </is>
      </c>
      <c r="E2976" t="inlineStr">
        <is>
          <t>EMMABODA</t>
        </is>
      </c>
      <c r="F2976" t="inlineStr">
        <is>
          <t>Sveaskog</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12556-2024</t>
        </is>
      </c>
      <c r="B2977" s="1" t="n">
        <v>45379.66810185185</v>
      </c>
      <c r="C2977" s="1" t="n">
        <v>45884</v>
      </c>
      <c r="D2977" t="inlineStr">
        <is>
          <t>KALMAR LÄN</t>
        </is>
      </c>
      <c r="E2977" t="inlineStr">
        <is>
          <t>OSKARSHAMN</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12520-2021</t>
        </is>
      </c>
      <c r="B2978" s="1" t="n">
        <v>44269</v>
      </c>
      <c r="C2978" s="1" t="n">
        <v>45884</v>
      </c>
      <c r="D2978" t="inlineStr">
        <is>
          <t>KALMAR LÄN</t>
        </is>
      </c>
      <c r="E2978" t="inlineStr">
        <is>
          <t>VÄSTERVIK</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12586-2021</t>
        </is>
      </c>
      <c r="B2979" s="1" t="n">
        <v>44270.38002314815</v>
      </c>
      <c r="C2979" s="1" t="n">
        <v>45884</v>
      </c>
      <c r="D2979" t="inlineStr">
        <is>
          <t>KALMAR LÄN</t>
        </is>
      </c>
      <c r="E2979" t="inlineStr">
        <is>
          <t>VIMMERBY</t>
        </is>
      </c>
      <c r="F2979" t="inlineStr">
        <is>
          <t>Sveaskog</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38797-2024</t>
        </is>
      </c>
      <c r="B2980" s="1" t="n">
        <v>45547.5249537037</v>
      </c>
      <c r="C2980" s="1" t="n">
        <v>45884</v>
      </c>
      <c r="D2980" t="inlineStr">
        <is>
          <t>KALMAR LÄN</t>
        </is>
      </c>
      <c r="E2980" t="inlineStr">
        <is>
          <t>HÖGSBY</t>
        </is>
      </c>
      <c r="F2980" t="inlineStr">
        <is>
          <t>Sveaskog</t>
        </is>
      </c>
      <c r="G2980" t="n">
        <v>6.4</v>
      </c>
      <c r="H2980" t="n">
        <v>0</v>
      </c>
      <c r="I2980" t="n">
        <v>0</v>
      </c>
      <c r="J2980" t="n">
        <v>0</v>
      </c>
      <c r="K2980" t="n">
        <v>0</v>
      </c>
      <c r="L2980" t="n">
        <v>0</v>
      </c>
      <c r="M2980" t="n">
        <v>0</v>
      </c>
      <c r="N2980" t="n">
        <v>0</v>
      </c>
      <c r="O2980" t="n">
        <v>0</v>
      </c>
      <c r="P2980" t="n">
        <v>0</v>
      </c>
      <c r="Q2980" t="n">
        <v>0</v>
      </c>
      <c r="R2980" s="2" t="inlineStr"/>
    </row>
    <row r="2981" ht="15" customHeight="1">
      <c r="A2981" t="inlineStr">
        <is>
          <t>A 30442-2023</t>
        </is>
      </c>
      <c r="B2981" s="1" t="n">
        <v>45111.56173611111</v>
      </c>
      <c r="C2981" s="1" t="n">
        <v>45884</v>
      </c>
      <c r="D2981" t="inlineStr">
        <is>
          <t>KALMAR LÄN</t>
        </is>
      </c>
      <c r="E2981" t="inlineStr">
        <is>
          <t>NYBRO</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33472-2023</t>
        </is>
      </c>
      <c r="B2982" s="1" t="n">
        <v>45131</v>
      </c>
      <c r="C2982" s="1" t="n">
        <v>45884</v>
      </c>
      <c r="D2982" t="inlineStr">
        <is>
          <t>KALMAR LÄN</t>
        </is>
      </c>
      <c r="E2982" t="inlineStr">
        <is>
          <t>NYBRO</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54529-2020</t>
        </is>
      </c>
      <c r="B2983" s="1" t="n">
        <v>44126.6755787037</v>
      </c>
      <c r="C2983" s="1" t="n">
        <v>45884</v>
      </c>
      <c r="D2983" t="inlineStr">
        <is>
          <t>KALMAR LÄN</t>
        </is>
      </c>
      <c r="E2983" t="inlineStr">
        <is>
          <t>HULTSFRED</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35652-2023</t>
        </is>
      </c>
      <c r="B2984" s="1" t="n">
        <v>45147.59215277778</v>
      </c>
      <c r="C2984" s="1" t="n">
        <v>45884</v>
      </c>
      <c r="D2984" t="inlineStr">
        <is>
          <t>KALMAR LÄN</t>
        </is>
      </c>
      <c r="E2984" t="inlineStr">
        <is>
          <t>VÄSTERVIK</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935-2023</t>
        </is>
      </c>
      <c r="B2985" s="1" t="n">
        <v>44933.42714120371</v>
      </c>
      <c r="C2985" s="1" t="n">
        <v>45884</v>
      </c>
      <c r="D2985" t="inlineStr">
        <is>
          <t>KALMAR LÄN</t>
        </is>
      </c>
      <c r="E2985" t="inlineStr">
        <is>
          <t>NYBRO</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20512-2025</t>
        </is>
      </c>
      <c r="B2986" s="1" t="n">
        <v>45775.59509259259</v>
      </c>
      <c r="C2986" s="1" t="n">
        <v>45884</v>
      </c>
      <c r="D2986" t="inlineStr">
        <is>
          <t>KALMAR LÄN</t>
        </is>
      </c>
      <c r="E2986" t="inlineStr">
        <is>
          <t>NYBRO</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5864-2022</t>
        </is>
      </c>
      <c r="B2987" s="1" t="n">
        <v>44596</v>
      </c>
      <c r="C2987" s="1" t="n">
        <v>45884</v>
      </c>
      <c r="D2987" t="inlineStr">
        <is>
          <t>KALMAR LÄN</t>
        </is>
      </c>
      <c r="E2987" t="inlineStr">
        <is>
          <t>VIMMERBY</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59913-2024</t>
        </is>
      </c>
      <c r="B2988" s="1" t="n">
        <v>45641.73396990741</v>
      </c>
      <c r="C2988" s="1" t="n">
        <v>45884</v>
      </c>
      <c r="D2988" t="inlineStr">
        <is>
          <t>KALMAR LÄN</t>
        </is>
      </c>
      <c r="E2988" t="inlineStr">
        <is>
          <t>EMMABODA</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13974-2023</t>
        </is>
      </c>
      <c r="B2989" s="1" t="n">
        <v>45008.48836805556</v>
      </c>
      <c r="C2989" s="1" t="n">
        <v>45884</v>
      </c>
      <c r="D2989" t="inlineStr">
        <is>
          <t>KALMAR LÄN</t>
        </is>
      </c>
      <c r="E2989" t="inlineStr">
        <is>
          <t>HULTSFRED</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43746-2023</t>
        </is>
      </c>
      <c r="B2990" s="1" t="n">
        <v>45187.47203703703</v>
      </c>
      <c r="C2990" s="1" t="n">
        <v>45884</v>
      </c>
      <c r="D2990" t="inlineStr">
        <is>
          <t>KALMAR LÄN</t>
        </is>
      </c>
      <c r="E2990" t="inlineStr">
        <is>
          <t>EMMABODA</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49452-2023</t>
        </is>
      </c>
      <c r="B2991" s="1" t="n">
        <v>45211.49424768519</v>
      </c>
      <c r="C2991" s="1" t="n">
        <v>45884</v>
      </c>
      <c r="D2991" t="inlineStr">
        <is>
          <t>KALMAR LÄN</t>
        </is>
      </c>
      <c r="E2991" t="inlineStr">
        <is>
          <t>VÄSTERVIK</t>
        </is>
      </c>
      <c r="F2991" t="inlineStr">
        <is>
          <t>Övriga Aktiebolag</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49507-2023</t>
        </is>
      </c>
      <c r="B2992" s="1" t="n">
        <v>45211.5790625</v>
      </c>
      <c r="C2992" s="1" t="n">
        <v>45884</v>
      </c>
      <c r="D2992" t="inlineStr">
        <is>
          <t>KALMAR LÄN</t>
        </is>
      </c>
      <c r="E2992" t="inlineStr">
        <is>
          <t>VÄSTERVIK</t>
        </is>
      </c>
      <c r="F2992" t="inlineStr">
        <is>
          <t>Övriga Aktiebolag</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4142-2021</t>
        </is>
      </c>
      <c r="B2993" s="1" t="n">
        <v>44223</v>
      </c>
      <c r="C2993" s="1" t="n">
        <v>45884</v>
      </c>
      <c r="D2993" t="inlineStr">
        <is>
          <t>KALMAR LÄN</t>
        </is>
      </c>
      <c r="E2993" t="inlineStr">
        <is>
          <t>EMMABODA</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69753-2021</t>
        </is>
      </c>
      <c r="B2994" s="1" t="n">
        <v>44532.56175925926</v>
      </c>
      <c r="C2994" s="1" t="n">
        <v>45884</v>
      </c>
      <c r="D2994" t="inlineStr">
        <is>
          <t>KALMAR LÄN</t>
        </is>
      </c>
      <c r="E2994" t="inlineStr">
        <is>
          <t>VÄSTERVIK</t>
        </is>
      </c>
      <c r="G2994" t="n">
        <v>3.2</v>
      </c>
      <c r="H2994" t="n">
        <v>0</v>
      </c>
      <c r="I2994" t="n">
        <v>0</v>
      </c>
      <c r="J2994" t="n">
        <v>0</v>
      </c>
      <c r="K2994" t="n">
        <v>0</v>
      </c>
      <c r="L2994" t="n">
        <v>0</v>
      </c>
      <c r="M2994" t="n">
        <v>0</v>
      </c>
      <c r="N2994" t="n">
        <v>0</v>
      </c>
      <c r="O2994" t="n">
        <v>0</v>
      </c>
      <c r="P2994" t="n">
        <v>0</v>
      </c>
      <c r="Q2994" t="n">
        <v>0</v>
      </c>
      <c r="R2994" s="2" t="inlineStr"/>
    </row>
    <row r="2995" ht="15" customHeight="1">
      <c r="A2995" t="inlineStr">
        <is>
          <t>A 27684-2022</t>
        </is>
      </c>
      <c r="B2995" s="1" t="n">
        <v>44743</v>
      </c>
      <c r="C2995" s="1" t="n">
        <v>45884</v>
      </c>
      <c r="D2995" t="inlineStr">
        <is>
          <t>KALMAR LÄN</t>
        </is>
      </c>
      <c r="E2995" t="inlineStr">
        <is>
          <t>OSKARSHAMN</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49624-2023</t>
        </is>
      </c>
      <c r="B2996" s="1" t="n">
        <v>45211</v>
      </c>
      <c r="C2996" s="1" t="n">
        <v>45884</v>
      </c>
      <c r="D2996" t="inlineStr">
        <is>
          <t>KALMAR LÄN</t>
        </is>
      </c>
      <c r="E2996" t="inlineStr">
        <is>
          <t>EMMABODA</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22-2022</t>
        </is>
      </c>
      <c r="B2997" s="1" t="n">
        <v>44564.33684027778</v>
      </c>
      <c r="C2997" s="1" t="n">
        <v>45884</v>
      </c>
      <c r="D2997" t="inlineStr">
        <is>
          <t>KALMAR LÄN</t>
        </is>
      </c>
      <c r="E2997" t="inlineStr">
        <is>
          <t>KALMAR</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31592-2021</t>
        </is>
      </c>
      <c r="B2998" s="1" t="n">
        <v>44369.56576388889</v>
      </c>
      <c r="C2998" s="1" t="n">
        <v>45884</v>
      </c>
      <c r="D2998" t="inlineStr">
        <is>
          <t>KALMAR LÄN</t>
        </is>
      </c>
      <c r="E2998" t="inlineStr">
        <is>
          <t>VÄSTERVIK</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15875-2025</t>
        </is>
      </c>
      <c r="B2999" s="1" t="n">
        <v>45749.37798611111</v>
      </c>
      <c r="C2999" s="1" t="n">
        <v>45884</v>
      </c>
      <c r="D2999" t="inlineStr">
        <is>
          <t>KALMAR LÄN</t>
        </is>
      </c>
      <c r="E2999" t="inlineStr">
        <is>
          <t>HULTSFRED</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54483-2022</t>
        </is>
      </c>
      <c r="B3000" s="1" t="n">
        <v>44882</v>
      </c>
      <c r="C3000" s="1" t="n">
        <v>45884</v>
      </c>
      <c r="D3000" t="inlineStr">
        <is>
          <t>KALMAR LÄN</t>
        </is>
      </c>
      <c r="E3000" t="inlineStr">
        <is>
          <t>HÖGSBY</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9942-2023</t>
        </is>
      </c>
      <c r="B3001" s="1" t="n">
        <v>44985.4822337963</v>
      </c>
      <c r="C3001" s="1" t="n">
        <v>45884</v>
      </c>
      <c r="D3001" t="inlineStr">
        <is>
          <t>KALMAR LÄN</t>
        </is>
      </c>
      <c r="E3001" t="inlineStr">
        <is>
          <t>NYBRO</t>
        </is>
      </c>
      <c r="G3001" t="n">
        <v>3.2</v>
      </c>
      <c r="H3001" t="n">
        <v>0</v>
      </c>
      <c r="I3001" t="n">
        <v>0</v>
      </c>
      <c r="J3001" t="n">
        <v>0</v>
      </c>
      <c r="K3001" t="n">
        <v>0</v>
      </c>
      <c r="L3001" t="n">
        <v>0</v>
      </c>
      <c r="M3001" t="n">
        <v>0</v>
      </c>
      <c r="N3001" t="n">
        <v>0</v>
      </c>
      <c r="O3001" t="n">
        <v>0</v>
      </c>
      <c r="P3001" t="n">
        <v>0</v>
      </c>
      <c r="Q3001" t="n">
        <v>0</v>
      </c>
      <c r="R3001" s="2" t="inlineStr"/>
    </row>
    <row r="3002" ht="15" customHeight="1">
      <c r="A3002" t="inlineStr">
        <is>
          <t>A 4333-2024</t>
        </is>
      </c>
      <c r="B3002" s="1" t="n">
        <v>45324.68684027778</v>
      </c>
      <c r="C3002" s="1" t="n">
        <v>45884</v>
      </c>
      <c r="D3002" t="inlineStr">
        <is>
          <t>KALMAR LÄN</t>
        </is>
      </c>
      <c r="E3002" t="inlineStr">
        <is>
          <t>HÖGSBY</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15271-2025</t>
        </is>
      </c>
      <c r="B3003" s="1" t="n">
        <v>45744</v>
      </c>
      <c r="C3003" s="1" t="n">
        <v>45884</v>
      </c>
      <c r="D3003" t="inlineStr">
        <is>
          <t>KALMAR LÄN</t>
        </is>
      </c>
      <c r="E3003" t="inlineStr">
        <is>
          <t>HULTSFRED</t>
        </is>
      </c>
      <c r="G3003" t="n">
        <v>3.1</v>
      </c>
      <c r="H3003" t="n">
        <v>0</v>
      </c>
      <c r="I3003" t="n">
        <v>0</v>
      </c>
      <c r="J3003" t="n">
        <v>0</v>
      </c>
      <c r="K3003" t="n">
        <v>0</v>
      </c>
      <c r="L3003" t="n">
        <v>0</v>
      </c>
      <c r="M3003" t="n">
        <v>0</v>
      </c>
      <c r="N3003" t="n">
        <v>0</v>
      </c>
      <c r="O3003" t="n">
        <v>0</v>
      </c>
      <c r="P3003" t="n">
        <v>0</v>
      </c>
      <c r="Q3003" t="n">
        <v>0</v>
      </c>
      <c r="R3003" s="2" t="inlineStr"/>
    </row>
    <row r="3004" ht="15" customHeight="1">
      <c r="A3004" t="inlineStr">
        <is>
          <t>A 59227-2024</t>
        </is>
      </c>
      <c r="B3004" s="1" t="n">
        <v>45637.58159722222</v>
      </c>
      <c r="C3004" s="1" t="n">
        <v>45884</v>
      </c>
      <c r="D3004" t="inlineStr">
        <is>
          <t>KALMAR LÄN</t>
        </is>
      </c>
      <c r="E3004" t="inlineStr">
        <is>
          <t>EMMABODA</t>
        </is>
      </c>
      <c r="G3004" t="n">
        <v>3.7</v>
      </c>
      <c r="H3004" t="n">
        <v>0</v>
      </c>
      <c r="I3004" t="n">
        <v>0</v>
      </c>
      <c r="J3004" t="n">
        <v>0</v>
      </c>
      <c r="K3004" t="n">
        <v>0</v>
      </c>
      <c r="L3004" t="n">
        <v>0</v>
      </c>
      <c r="M3004" t="n">
        <v>0</v>
      </c>
      <c r="N3004" t="n">
        <v>0</v>
      </c>
      <c r="O3004" t="n">
        <v>0</v>
      </c>
      <c r="P3004" t="n">
        <v>0</v>
      </c>
      <c r="Q3004" t="n">
        <v>0</v>
      </c>
      <c r="R3004" s="2" t="inlineStr"/>
    </row>
    <row r="3005" ht="15" customHeight="1">
      <c r="A3005" t="inlineStr">
        <is>
          <t>A 27746-2024</t>
        </is>
      </c>
      <c r="B3005" s="1" t="n">
        <v>45475.46671296296</v>
      </c>
      <c r="C3005" s="1" t="n">
        <v>45884</v>
      </c>
      <c r="D3005" t="inlineStr">
        <is>
          <t>KALMAR LÄN</t>
        </is>
      </c>
      <c r="E3005" t="inlineStr">
        <is>
          <t>EMMABODA</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27758-2024</t>
        </is>
      </c>
      <c r="B3006" s="1" t="n">
        <v>45475.48303240741</v>
      </c>
      <c r="C3006" s="1" t="n">
        <v>45884</v>
      </c>
      <c r="D3006" t="inlineStr">
        <is>
          <t>KALMAR LÄN</t>
        </is>
      </c>
      <c r="E3006" t="inlineStr">
        <is>
          <t>VIMMERBY</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13244-2025</t>
        </is>
      </c>
      <c r="B3007" s="1" t="n">
        <v>45735.47873842593</v>
      </c>
      <c r="C3007" s="1" t="n">
        <v>45884</v>
      </c>
      <c r="D3007" t="inlineStr">
        <is>
          <t>KALMAR LÄN</t>
        </is>
      </c>
      <c r="E3007" t="inlineStr">
        <is>
          <t>EMMABODA</t>
        </is>
      </c>
      <c r="G3007" t="n">
        <v>0.4</v>
      </c>
      <c r="H3007" t="n">
        <v>0</v>
      </c>
      <c r="I3007" t="n">
        <v>0</v>
      </c>
      <c r="J3007" t="n">
        <v>0</v>
      </c>
      <c r="K3007" t="n">
        <v>0</v>
      </c>
      <c r="L3007" t="n">
        <v>0</v>
      </c>
      <c r="M3007" t="n">
        <v>0</v>
      </c>
      <c r="N3007" t="n">
        <v>0</v>
      </c>
      <c r="O3007" t="n">
        <v>0</v>
      </c>
      <c r="P3007" t="n">
        <v>0</v>
      </c>
      <c r="Q3007" t="n">
        <v>0</v>
      </c>
      <c r="R3007" s="2" t="inlineStr"/>
    </row>
    <row r="3008" ht="15" customHeight="1">
      <c r="A3008" t="inlineStr">
        <is>
          <t>A 26491-2022</t>
        </is>
      </c>
      <c r="B3008" s="1" t="n">
        <v>44739.3877662037</v>
      </c>
      <c r="C3008" s="1" t="n">
        <v>45884</v>
      </c>
      <c r="D3008" t="inlineStr">
        <is>
          <t>KALMAR LÄN</t>
        </is>
      </c>
      <c r="E3008" t="inlineStr">
        <is>
          <t>TORSÅS</t>
        </is>
      </c>
      <c r="G3008" t="n">
        <v>3.8</v>
      </c>
      <c r="H3008" t="n">
        <v>0</v>
      </c>
      <c r="I3008" t="n">
        <v>0</v>
      </c>
      <c r="J3008" t="n">
        <v>0</v>
      </c>
      <c r="K3008" t="n">
        <v>0</v>
      </c>
      <c r="L3008" t="n">
        <v>0</v>
      </c>
      <c r="M3008" t="n">
        <v>0</v>
      </c>
      <c r="N3008" t="n">
        <v>0</v>
      </c>
      <c r="O3008" t="n">
        <v>0</v>
      </c>
      <c r="P3008" t="n">
        <v>0</v>
      </c>
      <c r="Q3008" t="n">
        <v>0</v>
      </c>
      <c r="R3008" s="2" t="inlineStr"/>
    </row>
    <row r="3009" ht="15" customHeight="1">
      <c r="A3009" t="inlineStr">
        <is>
          <t>A 13307-2025</t>
        </is>
      </c>
      <c r="B3009" s="1" t="n">
        <v>45735.58024305556</v>
      </c>
      <c r="C3009" s="1" t="n">
        <v>45884</v>
      </c>
      <c r="D3009" t="inlineStr">
        <is>
          <t>KALMAR LÄN</t>
        </is>
      </c>
      <c r="E3009" t="inlineStr">
        <is>
          <t>VIMMERBY</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13348-2025</t>
        </is>
      </c>
      <c r="B3010" s="1" t="n">
        <v>45735.63356481482</v>
      </c>
      <c r="C3010" s="1" t="n">
        <v>45884</v>
      </c>
      <c r="D3010" t="inlineStr">
        <is>
          <t>KALMAR LÄN</t>
        </is>
      </c>
      <c r="E3010" t="inlineStr">
        <is>
          <t>HULTSFRED</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18068-2023</t>
        </is>
      </c>
      <c r="B3011" s="1" t="n">
        <v>45040</v>
      </c>
      <c r="C3011" s="1" t="n">
        <v>45884</v>
      </c>
      <c r="D3011" t="inlineStr">
        <is>
          <t>KALMAR LÄN</t>
        </is>
      </c>
      <c r="E3011" t="inlineStr">
        <is>
          <t>VÄSTERVIK</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3190-2023</t>
        </is>
      </c>
      <c r="B3012" s="1" t="n">
        <v>44946.61086805556</v>
      </c>
      <c r="C3012" s="1" t="n">
        <v>45884</v>
      </c>
      <c r="D3012" t="inlineStr">
        <is>
          <t>KALMAR LÄN</t>
        </is>
      </c>
      <c r="E3012" t="inlineStr">
        <is>
          <t>VÄSTERVIK</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18884-2025</t>
        </is>
      </c>
      <c r="B3013" s="1" t="n">
        <v>45764.4417824074</v>
      </c>
      <c r="C3013" s="1" t="n">
        <v>45884</v>
      </c>
      <c r="D3013" t="inlineStr">
        <is>
          <t>KALMAR LÄN</t>
        </is>
      </c>
      <c r="E3013" t="inlineStr">
        <is>
          <t>VÄSTERVIK</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55050-2024</t>
        </is>
      </c>
      <c r="B3014" s="1" t="n">
        <v>45621.39759259259</v>
      </c>
      <c r="C3014" s="1" t="n">
        <v>45884</v>
      </c>
      <c r="D3014" t="inlineStr">
        <is>
          <t>KALMAR LÄN</t>
        </is>
      </c>
      <c r="E3014" t="inlineStr">
        <is>
          <t>VÄSTERVIK</t>
        </is>
      </c>
      <c r="F3014" t="inlineStr">
        <is>
          <t>Sveaskog</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17815-2023</t>
        </is>
      </c>
      <c r="B3015" s="1" t="n">
        <v>45036</v>
      </c>
      <c r="C3015" s="1" t="n">
        <v>45884</v>
      </c>
      <c r="D3015" t="inlineStr">
        <is>
          <t>KALMAR LÄN</t>
        </is>
      </c>
      <c r="E3015" t="inlineStr">
        <is>
          <t>TORSÅS</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60951-2023</t>
        </is>
      </c>
      <c r="B3016" s="1" t="n">
        <v>45261.44914351852</v>
      </c>
      <c r="C3016" s="1" t="n">
        <v>45884</v>
      </c>
      <c r="D3016" t="inlineStr">
        <is>
          <t>KALMAR LÄN</t>
        </is>
      </c>
      <c r="E3016" t="inlineStr">
        <is>
          <t>VIMMERBY</t>
        </is>
      </c>
      <c r="G3016" t="n">
        <v>4.3</v>
      </c>
      <c r="H3016" t="n">
        <v>0</v>
      </c>
      <c r="I3016" t="n">
        <v>0</v>
      </c>
      <c r="J3016" t="n">
        <v>0</v>
      </c>
      <c r="K3016" t="n">
        <v>0</v>
      </c>
      <c r="L3016" t="n">
        <v>0</v>
      </c>
      <c r="M3016" t="n">
        <v>0</v>
      </c>
      <c r="N3016" t="n">
        <v>0</v>
      </c>
      <c r="O3016" t="n">
        <v>0</v>
      </c>
      <c r="P3016" t="n">
        <v>0</v>
      </c>
      <c r="Q3016" t="n">
        <v>0</v>
      </c>
      <c r="R3016" s="2" t="inlineStr"/>
    </row>
    <row r="3017" ht="15" customHeight="1">
      <c r="A3017" t="inlineStr">
        <is>
          <t>A 60292-2022</t>
        </is>
      </c>
      <c r="B3017" s="1" t="n">
        <v>44910.54231481482</v>
      </c>
      <c r="C3017" s="1" t="n">
        <v>45884</v>
      </c>
      <c r="D3017" t="inlineStr">
        <is>
          <t>KALMAR LÄN</t>
        </is>
      </c>
      <c r="E3017" t="inlineStr">
        <is>
          <t>VIMMERBY</t>
        </is>
      </c>
      <c r="G3017" t="n">
        <v>4.4</v>
      </c>
      <c r="H3017" t="n">
        <v>0</v>
      </c>
      <c r="I3017" t="n">
        <v>0</v>
      </c>
      <c r="J3017" t="n">
        <v>0</v>
      </c>
      <c r="K3017" t="n">
        <v>0</v>
      </c>
      <c r="L3017" t="n">
        <v>0</v>
      </c>
      <c r="M3017" t="n">
        <v>0</v>
      </c>
      <c r="N3017" t="n">
        <v>0</v>
      </c>
      <c r="O3017" t="n">
        <v>0</v>
      </c>
      <c r="P3017" t="n">
        <v>0</v>
      </c>
      <c r="Q3017" t="n">
        <v>0</v>
      </c>
      <c r="R3017" s="2" t="inlineStr"/>
    </row>
    <row r="3018" ht="15" customHeight="1">
      <c r="A3018" t="inlineStr">
        <is>
          <t>A 29847-2022</t>
        </is>
      </c>
      <c r="B3018" s="1" t="n">
        <v>44756</v>
      </c>
      <c r="C3018" s="1" t="n">
        <v>45884</v>
      </c>
      <c r="D3018" t="inlineStr">
        <is>
          <t>KALMAR LÄN</t>
        </is>
      </c>
      <c r="E3018" t="inlineStr">
        <is>
          <t>NYBRO</t>
        </is>
      </c>
      <c r="F3018" t="inlineStr">
        <is>
          <t>Kyrkan</t>
        </is>
      </c>
      <c r="G3018" t="n">
        <v>5.3</v>
      </c>
      <c r="H3018" t="n">
        <v>0</v>
      </c>
      <c r="I3018" t="n">
        <v>0</v>
      </c>
      <c r="J3018" t="n">
        <v>0</v>
      </c>
      <c r="K3018" t="n">
        <v>0</v>
      </c>
      <c r="L3018" t="n">
        <v>0</v>
      </c>
      <c r="M3018" t="n">
        <v>0</v>
      </c>
      <c r="N3018" t="n">
        <v>0</v>
      </c>
      <c r="O3018" t="n">
        <v>0</v>
      </c>
      <c r="P3018" t="n">
        <v>0</v>
      </c>
      <c r="Q3018" t="n">
        <v>0</v>
      </c>
      <c r="R3018" s="2" t="inlineStr"/>
    </row>
    <row r="3019" ht="15" customHeight="1">
      <c r="A3019" t="inlineStr">
        <is>
          <t>A 21433-2023</t>
        </is>
      </c>
      <c r="B3019" s="1" t="n">
        <v>45063.42767361111</v>
      </c>
      <c r="C3019" s="1" t="n">
        <v>45884</v>
      </c>
      <c r="D3019" t="inlineStr">
        <is>
          <t>KALMAR LÄN</t>
        </is>
      </c>
      <c r="E3019" t="inlineStr">
        <is>
          <t>NYBRO</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10774-2025</t>
        </is>
      </c>
      <c r="B3020" s="1" t="n">
        <v>45722.47424768518</v>
      </c>
      <c r="C3020" s="1" t="n">
        <v>45884</v>
      </c>
      <c r="D3020" t="inlineStr">
        <is>
          <t>KALMAR LÄN</t>
        </is>
      </c>
      <c r="E3020" t="inlineStr">
        <is>
          <t>VÄSTERVIK</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10801-2025</t>
        </is>
      </c>
      <c r="B3021" s="1" t="n">
        <v>45722.51685185185</v>
      </c>
      <c r="C3021" s="1" t="n">
        <v>45884</v>
      </c>
      <c r="D3021" t="inlineStr">
        <is>
          <t>KALMAR LÄN</t>
        </is>
      </c>
      <c r="E3021" t="inlineStr">
        <is>
          <t>OSKARSHAMN</t>
        </is>
      </c>
      <c r="G3021" t="n">
        <v>4.3</v>
      </c>
      <c r="H3021" t="n">
        <v>0</v>
      </c>
      <c r="I3021" t="n">
        <v>0</v>
      </c>
      <c r="J3021" t="n">
        <v>0</v>
      </c>
      <c r="K3021" t="n">
        <v>0</v>
      </c>
      <c r="L3021" t="n">
        <v>0</v>
      </c>
      <c r="M3021" t="n">
        <v>0</v>
      </c>
      <c r="N3021" t="n">
        <v>0</v>
      </c>
      <c r="O3021" t="n">
        <v>0</v>
      </c>
      <c r="P3021" t="n">
        <v>0</v>
      </c>
      <c r="Q3021" t="n">
        <v>0</v>
      </c>
      <c r="R3021" s="2" t="inlineStr"/>
    </row>
    <row r="3022" ht="15" customHeight="1">
      <c r="A3022" t="inlineStr">
        <is>
          <t>A 10802-2025</t>
        </is>
      </c>
      <c r="B3022" s="1" t="n">
        <v>45722.52127314815</v>
      </c>
      <c r="C3022" s="1" t="n">
        <v>45884</v>
      </c>
      <c r="D3022" t="inlineStr">
        <is>
          <t>KALMAR LÄN</t>
        </is>
      </c>
      <c r="E3022" t="inlineStr">
        <is>
          <t>OSKARSHAMN</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28910-2023</t>
        </is>
      </c>
      <c r="B3023" s="1" t="n">
        <v>45104.52766203704</v>
      </c>
      <c r="C3023" s="1" t="n">
        <v>45884</v>
      </c>
      <c r="D3023" t="inlineStr">
        <is>
          <t>KALMAR LÄN</t>
        </is>
      </c>
      <c r="E3023" t="inlineStr">
        <is>
          <t>HULTSFRED</t>
        </is>
      </c>
      <c r="G3023" t="n">
        <v>4.4</v>
      </c>
      <c r="H3023" t="n">
        <v>0</v>
      </c>
      <c r="I3023" t="n">
        <v>0</v>
      </c>
      <c r="J3023" t="n">
        <v>0</v>
      </c>
      <c r="K3023" t="n">
        <v>0</v>
      </c>
      <c r="L3023" t="n">
        <v>0</v>
      </c>
      <c r="M3023" t="n">
        <v>0</v>
      </c>
      <c r="N3023" t="n">
        <v>0</v>
      </c>
      <c r="O3023" t="n">
        <v>0</v>
      </c>
      <c r="P3023" t="n">
        <v>0</v>
      </c>
      <c r="Q3023" t="n">
        <v>0</v>
      </c>
      <c r="R3023" s="2" t="inlineStr"/>
    </row>
    <row r="3024" ht="15" customHeight="1">
      <c r="A3024" t="inlineStr">
        <is>
          <t>A 30871-2023</t>
        </is>
      </c>
      <c r="B3024" s="1" t="n">
        <v>45113.31704861111</v>
      </c>
      <c r="C3024" s="1" t="n">
        <v>45884</v>
      </c>
      <c r="D3024" t="inlineStr">
        <is>
          <t>KALMAR LÄN</t>
        </is>
      </c>
      <c r="E3024" t="inlineStr">
        <is>
          <t>TORSÅS</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30875-2023</t>
        </is>
      </c>
      <c r="B3025" s="1" t="n">
        <v>45113.32241898148</v>
      </c>
      <c r="C3025" s="1" t="n">
        <v>45884</v>
      </c>
      <c r="D3025" t="inlineStr">
        <is>
          <t>KALMAR LÄN</t>
        </is>
      </c>
      <c r="E3025" t="inlineStr">
        <is>
          <t>TORSÅS</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30912-2023</t>
        </is>
      </c>
      <c r="B3026" s="1" t="n">
        <v>45113.41633101852</v>
      </c>
      <c r="C3026" s="1" t="n">
        <v>45884</v>
      </c>
      <c r="D3026" t="inlineStr">
        <is>
          <t>KALMAR LÄN</t>
        </is>
      </c>
      <c r="E3026" t="inlineStr">
        <is>
          <t>VIMMERBY</t>
        </is>
      </c>
      <c r="G3026" t="n">
        <v>5</v>
      </c>
      <c r="H3026" t="n">
        <v>0</v>
      </c>
      <c r="I3026" t="n">
        <v>0</v>
      </c>
      <c r="J3026" t="n">
        <v>0</v>
      </c>
      <c r="K3026" t="n">
        <v>0</v>
      </c>
      <c r="L3026" t="n">
        <v>0</v>
      </c>
      <c r="M3026" t="n">
        <v>0</v>
      </c>
      <c r="N3026" t="n">
        <v>0</v>
      </c>
      <c r="O3026" t="n">
        <v>0</v>
      </c>
      <c r="P3026" t="n">
        <v>0</v>
      </c>
      <c r="Q3026" t="n">
        <v>0</v>
      </c>
      <c r="R3026" s="2" t="inlineStr"/>
    </row>
    <row r="3027" ht="15" customHeight="1">
      <c r="A3027" t="inlineStr">
        <is>
          <t>A 52382-2022</t>
        </is>
      </c>
      <c r="B3027" s="1" t="n">
        <v>44874.3702662037</v>
      </c>
      <c r="C3027" s="1" t="n">
        <v>45884</v>
      </c>
      <c r="D3027" t="inlineStr">
        <is>
          <t>KALMAR LÄN</t>
        </is>
      </c>
      <c r="E3027" t="inlineStr">
        <is>
          <t>NYBRO</t>
        </is>
      </c>
      <c r="G3027" t="n">
        <v>2.6</v>
      </c>
      <c r="H3027" t="n">
        <v>0</v>
      </c>
      <c r="I3027" t="n">
        <v>0</v>
      </c>
      <c r="J3027" t="n">
        <v>0</v>
      </c>
      <c r="K3027" t="n">
        <v>0</v>
      </c>
      <c r="L3027" t="n">
        <v>0</v>
      </c>
      <c r="M3027" t="n">
        <v>0</v>
      </c>
      <c r="N3027" t="n">
        <v>0</v>
      </c>
      <c r="O3027" t="n">
        <v>0</v>
      </c>
      <c r="P3027" t="n">
        <v>0</v>
      </c>
      <c r="Q3027" t="n">
        <v>0</v>
      </c>
      <c r="R3027" s="2" t="inlineStr"/>
    </row>
    <row r="3028" ht="15" customHeight="1">
      <c r="A3028" t="inlineStr">
        <is>
          <t>A 60147-2024</t>
        </is>
      </c>
      <c r="B3028" s="1" t="n">
        <v>45642.61109953704</v>
      </c>
      <c r="C3028" s="1" t="n">
        <v>45884</v>
      </c>
      <c r="D3028" t="inlineStr">
        <is>
          <t>KALMAR LÄN</t>
        </is>
      </c>
      <c r="E3028" t="inlineStr">
        <is>
          <t>VÄSTERVIK</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58996-2024</t>
        </is>
      </c>
      <c r="B3029" s="1" t="n">
        <v>45636.63883101852</v>
      </c>
      <c r="C3029" s="1" t="n">
        <v>45884</v>
      </c>
      <c r="D3029" t="inlineStr">
        <is>
          <t>KALMAR LÄN</t>
        </is>
      </c>
      <c r="E3029" t="inlineStr">
        <is>
          <t>EMMABODA</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9590-2024</t>
        </is>
      </c>
      <c r="B3030" s="1" t="n">
        <v>45360.69721064815</v>
      </c>
      <c r="C3030" s="1" t="n">
        <v>45884</v>
      </c>
      <c r="D3030" t="inlineStr">
        <is>
          <t>KALMAR LÄN</t>
        </is>
      </c>
      <c r="E3030" t="inlineStr">
        <is>
          <t>HULTSFRED</t>
        </is>
      </c>
      <c r="F3030" t="inlineStr">
        <is>
          <t>Sveaskog</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35816-2024</t>
        </is>
      </c>
      <c r="B3031" s="1" t="n">
        <v>45532.65594907408</v>
      </c>
      <c r="C3031" s="1" t="n">
        <v>45884</v>
      </c>
      <c r="D3031" t="inlineStr">
        <is>
          <t>KALMAR LÄN</t>
        </is>
      </c>
      <c r="E3031" t="inlineStr">
        <is>
          <t>HULTSFRED</t>
        </is>
      </c>
      <c r="F3031" t="inlineStr">
        <is>
          <t>Övriga Aktiebolag</t>
        </is>
      </c>
      <c r="G3031" t="n">
        <v>3.1</v>
      </c>
      <c r="H3031" t="n">
        <v>0</v>
      </c>
      <c r="I3031" t="n">
        <v>0</v>
      </c>
      <c r="J3031" t="n">
        <v>0</v>
      </c>
      <c r="K3031" t="n">
        <v>0</v>
      </c>
      <c r="L3031" t="n">
        <v>0</v>
      </c>
      <c r="M3031" t="n">
        <v>0</v>
      </c>
      <c r="N3031" t="n">
        <v>0</v>
      </c>
      <c r="O3031" t="n">
        <v>0</v>
      </c>
      <c r="P3031" t="n">
        <v>0</v>
      </c>
      <c r="Q3031" t="n">
        <v>0</v>
      </c>
      <c r="R3031" s="2" t="inlineStr"/>
    </row>
    <row r="3032" ht="15" customHeight="1">
      <c r="A3032" t="inlineStr">
        <is>
          <t>A 1146-2025</t>
        </is>
      </c>
      <c r="B3032" s="1" t="n">
        <v>45666</v>
      </c>
      <c r="C3032" s="1" t="n">
        <v>45884</v>
      </c>
      <c r="D3032" t="inlineStr">
        <is>
          <t>KALMAR LÄN</t>
        </is>
      </c>
      <c r="E3032" t="inlineStr">
        <is>
          <t>VIMMERBY</t>
        </is>
      </c>
      <c r="G3032" t="n">
        <v>4</v>
      </c>
      <c r="H3032" t="n">
        <v>0</v>
      </c>
      <c r="I3032" t="n">
        <v>0</v>
      </c>
      <c r="J3032" t="n">
        <v>0</v>
      </c>
      <c r="K3032" t="n">
        <v>0</v>
      </c>
      <c r="L3032" t="n">
        <v>0</v>
      </c>
      <c r="M3032" t="n">
        <v>0</v>
      </c>
      <c r="N3032" t="n">
        <v>0</v>
      </c>
      <c r="O3032" t="n">
        <v>0</v>
      </c>
      <c r="P3032" t="n">
        <v>0</v>
      </c>
      <c r="Q3032" t="n">
        <v>0</v>
      </c>
      <c r="R3032" s="2" t="inlineStr"/>
    </row>
    <row r="3033" ht="15" customHeight="1">
      <c r="A3033" t="inlineStr">
        <is>
          <t>A 39100-2023</t>
        </is>
      </c>
      <c r="B3033" s="1" t="n">
        <v>45164.64133101852</v>
      </c>
      <c r="C3033" s="1" t="n">
        <v>45884</v>
      </c>
      <c r="D3033" t="inlineStr">
        <is>
          <t>KALMAR LÄN</t>
        </is>
      </c>
      <c r="E3033" t="inlineStr">
        <is>
          <t>EMMABODA</t>
        </is>
      </c>
      <c r="G3033" t="n">
        <v>5.2</v>
      </c>
      <c r="H3033" t="n">
        <v>0</v>
      </c>
      <c r="I3033" t="n">
        <v>0</v>
      </c>
      <c r="J3033" t="n">
        <v>0</v>
      </c>
      <c r="K3033" t="n">
        <v>0</v>
      </c>
      <c r="L3033" t="n">
        <v>0</v>
      </c>
      <c r="M3033" t="n">
        <v>0</v>
      </c>
      <c r="N3033" t="n">
        <v>0</v>
      </c>
      <c r="O3033" t="n">
        <v>0</v>
      </c>
      <c r="P3033" t="n">
        <v>0</v>
      </c>
      <c r="Q3033" t="n">
        <v>0</v>
      </c>
      <c r="R3033" s="2" t="inlineStr"/>
    </row>
    <row r="3034" ht="15" customHeight="1">
      <c r="A3034" t="inlineStr">
        <is>
          <t>A 30504-2024</t>
        </is>
      </c>
      <c r="B3034" s="1" t="n">
        <v>45492.44469907408</v>
      </c>
      <c r="C3034" s="1" t="n">
        <v>45884</v>
      </c>
      <c r="D3034" t="inlineStr">
        <is>
          <t>KALMAR LÄN</t>
        </is>
      </c>
      <c r="E3034" t="inlineStr">
        <is>
          <t>KALMAR</t>
        </is>
      </c>
      <c r="G3034" t="n">
        <v>5.1</v>
      </c>
      <c r="H3034" t="n">
        <v>0</v>
      </c>
      <c r="I3034" t="n">
        <v>0</v>
      </c>
      <c r="J3034" t="n">
        <v>0</v>
      </c>
      <c r="K3034" t="n">
        <v>0</v>
      </c>
      <c r="L3034" t="n">
        <v>0</v>
      </c>
      <c r="M3034" t="n">
        <v>0</v>
      </c>
      <c r="N3034" t="n">
        <v>0</v>
      </c>
      <c r="O3034" t="n">
        <v>0</v>
      </c>
      <c r="P3034" t="n">
        <v>0</v>
      </c>
      <c r="Q3034" t="n">
        <v>0</v>
      </c>
      <c r="R3034" s="2" t="inlineStr"/>
    </row>
    <row r="3035" ht="15" customHeight="1">
      <c r="A3035" t="inlineStr">
        <is>
          <t>A 19942-2023</t>
        </is>
      </c>
      <c r="B3035" s="1" t="n">
        <v>45054.50476851852</v>
      </c>
      <c r="C3035" s="1" t="n">
        <v>45884</v>
      </c>
      <c r="D3035" t="inlineStr">
        <is>
          <t>KALMAR LÄN</t>
        </is>
      </c>
      <c r="E3035" t="inlineStr">
        <is>
          <t>TORSÅS</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19694-2025</t>
        </is>
      </c>
      <c r="B3036" s="1" t="n">
        <v>45771.30550925926</v>
      </c>
      <c r="C3036" s="1" t="n">
        <v>45884</v>
      </c>
      <c r="D3036" t="inlineStr">
        <is>
          <t>KALMAR LÄN</t>
        </is>
      </c>
      <c r="E3036" t="inlineStr">
        <is>
          <t>VÄSTERVIK</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18143-2024</t>
        </is>
      </c>
      <c r="B3037" s="1" t="n">
        <v>45420</v>
      </c>
      <c r="C3037" s="1" t="n">
        <v>45884</v>
      </c>
      <c r="D3037" t="inlineStr">
        <is>
          <t>KALMAR LÄN</t>
        </is>
      </c>
      <c r="E3037" t="inlineStr">
        <is>
          <t>VÄSTERVIK</t>
        </is>
      </c>
      <c r="G3037" t="n">
        <v>3</v>
      </c>
      <c r="H3037" t="n">
        <v>0</v>
      </c>
      <c r="I3037" t="n">
        <v>0</v>
      </c>
      <c r="J3037" t="n">
        <v>0</v>
      </c>
      <c r="K3037" t="n">
        <v>0</v>
      </c>
      <c r="L3037" t="n">
        <v>0</v>
      </c>
      <c r="M3037" t="n">
        <v>0</v>
      </c>
      <c r="N3037" t="n">
        <v>0</v>
      </c>
      <c r="O3037" t="n">
        <v>0</v>
      </c>
      <c r="P3037" t="n">
        <v>0</v>
      </c>
      <c r="Q3037" t="n">
        <v>0</v>
      </c>
      <c r="R3037" s="2" t="inlineStr"/>
    </row>
    <row r="3038" ht="15" customHeight="1">
      <c r="A3038" t="inlineStr">
        <is>
          <t>A 7882-2023</t>
        </is>
      </c>
      <c r="B3038" s="1" t="n">
        <v>44973</v>
      </c>
      <c r="C3038" s="1" t="n">
        <v>45884</v>
      </c>
      <c r="D3038" t="inlineStr">
        <is>
          <t>KALMAR LÄN</t>
        </is>
      </c>
      <c r="E3038" t="inlineStr">
        <is>
          <t>OSKARSHAMN</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56944-2021</t>
        </is>
      </c>
      <c r="B3039" s="1" t="n">
        <v>44482.36085648148</v>
      </c>
      <c r="C3039" s="1" t="n">
        <v>45884</v>
      </c>
      <c r="D3039" t="inlineStr">
        <is>
          <t>KALMAR LÄN</t>
        </is>
      </c>
      <c r="E3039" t="inlineStr">
        <is>
          <t>HULTSFRED</t>
        </is>
      </c>
      <c r="G3039" t="n">
        <v>2.3</v>
      </c>
      <c r="H3039" t="n">
        <v>0</v>
      </c>
      <c r="I3039" t="n">
        <v>0</v>
      </c>
      <c r="J3039" t="n">
        <v>0</v>
      </c>
      <c r="K3039" t="n">
        <v>0</v>
      </c>
      <c r="L3039" t="n">
        <v>0</v>
      </c>
      <c r="M3039" t="n">
        <v>0</v>
      </c>
      <c r="N3039" t="n">
        <v>0</v>
      </c>
      <c r="O3039" t="n">
        <v>0</v>
      </c>
      <c r="P3039" t="n">
        <v>0</v>
      </c>
      <c r="Q3039" t="n">
        <v>0</v>
      </c>
      <c r="R3039" s="2" t="inlineStr"/>
    </row>
    <row r="3040" ht="15" customHeight="1">
      <c r="A3040" t="inlineStr">
        <is>
          <t>A 15754-2022</t>
        </is>
      </c>
      <c r="B3040" s="1" t="n">
        <v>44663</v>
      </c>
      <c r="C3040" s="1" t="n">
        <v>45884</v>
      </c>
      <c r="D3040" t="inlineStr">
        <is>
          <t>KALMAR LÄN</t>
        </is>
      </c>
      <c r="E3040" t="inlineStr">
        <is>
          <t>OSKARSHAMN</t>
        </is>
      </c>
      <c r="G3040" t="n">
        <v>2.9</v>
      </c>
      <c r="H3040" t="n">
        <v>0</v>
      </c>
      <c r="I3040" t="n">
        <v>0</v>
      </c>
      <c r="J3040" t="n">
        <v>0</v>
      </c>
      <c r="K3040" t="n">
        <v>0</v>
      </c>
      <c r="L3040" t="n">
        <v>0</v>
      </c>
      <c r="M3040" t="n">
        <v>0</v>
      </c>
      <c r="N3040" t="n">
        <v>0</v>
      </c>
      <c r="O3040" t="n">
        <v>0</v>
      </c>
      <c r="P3040" t="n">
        <v>0</v>
      </c>
      <c r="Q3040" t="n">
        <v>0</v>
      </c>
      <c r="R3040" s="2" t="inlineStr"/>
    </row>
    <row r="3041" ht="15" customHeight="1">
      <c r="A3041" t="inlineStr">
        <is>
          <t>A 62218-2022</t>
        </is>
      </c>
      <c r="B3041" s="1" t="n">
        <v>44922</v>
      </c>
      <c r="C3041" s="1" t="n">
        <v>45884</v>
      </c>
      <c r="D3041" t="inlineStr">
        <is>
          <t>KALMAR LÄN</t>
        </is>
      </c>
      <c r="E3041" t="inlineStr">
        <is>
          <t>MÖNSTERÅS</t>
        </is>
      </c>
      <c r="G3041" t="n">
        <v>6.9</v>
      </c>
      <c r="H3041" t="n">
        <v>0</v>
      </c>
      <c r="I3041" t="n">
        <v>0</v>
      </c>
      <c r="J3041" t="n">
        <v>0</v>
      </c>
      <c r="K3041" t="n">
        <v>0</v>
      </c>
      <c r="L3041" t="n">
        <v>0</v>
      </c>
      <c r="M3041" t="n">
        <v>0</v>
      </c>
      <c r="N3041" t="n">
        <v>0</v>
      </c>
      <c r="O3041" t="n">
        <v>0</v>
      </c>
      <c r="P3041" t="n">
        <v>0</v>
      </c>
      <c r="Q3041" t="n">
        <v>0</v>
      </c>
      <c r="R3041" s="2" t="inlineStr"/>
    </row>
    <row r="3042" ht="15" customHeight="1">
      <c r="A3042" t="inlineStr">
        <is>
          <t>A 37093-2023</t>
        </is>
      </c>
      <c r="B3042" s="1" t="n">
        <v>45155</v>
      </c>
      <c r="C3042" s="1" t="n">
        <v>45884</v>
      </c>
      <c r="D3042" t="inlineStr">
        <is>
          <t>KALMAR LÄN</t>
        </is>
      </c>
      <c r="E3042" t="inlineStr">
        <is>
          <t>EMMABODA</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37153-2023</t>
        </is>
      </c>
      <c r="B3043" s="1" t="n">
        <v>45155.60460648148</v>
      </c>
      <c r="C3043" s="1" t="n">
        <v>45884</v>
      </c>
      <c r="D3043" t="inlineStr">
        <is>
          <t>KALMAR LÄN</t>
        </is>
      </c>
      <c r="E3043" t="inlineStr">
        <is>
          <t>HULTSFRED</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8308-2025</t>
        </is>
      </c>
      <c r="B3044" s="1" t="n">
        <v>45708.60461805556</v>
      </c>
      <c r="C3044" s="1" t="n">
        <v>45884</v>
      </c>
      <c r="D3044" t="inlineStr">
        <is>
          <t>KALMAR LÄN</t>
        </is>
      </c>
      <c r="E3044" t="inlineStr">
        <is>
          <t>MÖNSTERÅS</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55703-2023</t>
        </is>
      </c>
      <c r="B3045" s="1" t="n">
        <v>45239</v>
      </c>
      <c r="C3045" s="1" t="n">
        <v>45884</v>
      </c>
      <c r="D3045" t="inlineStr">
        <is>
          <t>KALMAR LÄN</t>
        </is>
      </c>
      <c r="E3045" t="inlineStr">
        <is>
          <t>HÖGSBY</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55716-2023</t>
        </is>
      </c>
      <c r="B3046" s="1" t="n">
        <v>45232</v>
      </c>
      <c r="C3046" s="1" t="n">
        <v>45884</v>
      </c>
      <c r="D3046" t="inlineStr">
        <is>
          <t>KALMAR LÄN</t>
        </is>
      </c>
      <c r="E3046" t="inlineStr">
        <is>
          <t>VIMMERBY</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191-2023</t>
        </is>
      </c>
      <c r="B3047" s="1" t="n">
        <v>44928.58678240741</v>
      </c>
      <c r="C3047" s="1" t="n">
        <v>45884</v>
      </c>
      <c r="D3047" t="inlineStr">
        <is>
          <t>KALMAR LÄN</t>
        </is>
      </c>
      <c r="E3047" t="inlineStr">
        <is>
          <t>NYBRO</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214-2023</t>
        </is>
      </c>
      <c r="B3048" s="1" t="n">
        <v>44928</v>
      </c>
      <c r="C3048" s="1" t="n">
        <v>45884</v>
      </c>
      <c r="D3048" t="inlineStr">
        <is>
          <t>KALMAR LÄN</t>
        </is>
      </c>
      <c r="E3048" t="inlineStr">
        <is>
          <t>MÖNSTERÅS</t>
        </is>
      </c>
      <c r="G3048" t="n">
        <v>5.5</v>
      </c>
      <c r="H3048" t="n">
        <v>0</v>
      </c>
      <c r="I3048" t="n">
        <v>0</v>
      </c>
      <c r="J3048" t="n">
        <v>0</v>
      </c>
      <c r="K3048" t="n">
        <v>0</v>
      </c>
      <c r="L3048" t="n">
        <v>0</v>
      </c>
      <c r="M3048" t="n">
        <v>0</v>
      </c>
      <c r="N3048" t="n">
        <v>0</v>
      </c>
      <c r="O3048" t="n">
        <v>0</v>
      </c>
      <c r="P3048" t="n">
        <v>0</v>
      </c>
      <c r="Q3048" t="n">
        <v>0</v>
      </c>
      <c r="R3048" s="2" t="inlineStr"/>
    </row>
    <row r="3049" ht="15" customHeight="1">
      <c r="A3049" t="inlineStr">
        <is>
          <t>A 7485-2024</t>
        </is>
      </c>
      <c r="B3049" s="1" t="n">
        <v>45346.67184027778</v>
      </c>
      <c r="C3049" s="1" t="n">
        <v>45884</v>
      </c>
      <c r="D3049" t="inlineStr">
        <is>
          <t>KALMAR LÄN</t>
        </is>
      </c>
      <c r="E3049" t="inlineStr">
        <is>
          <t>VIMMERBY</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590-2025</t>
        </is>
      </c>
      <c r="B3050" s="1" t="n">
        <v>45660</v>
      </c>
      <c r="C3050" s="1" t="n">
        <v>45884</v>
      </c>
      <c r="D3050" t="inlineStr">
        <is>
          <t>KALMAR LÄN</t>
        </is>
      </c>
      <c r="E3050" t="inlineStr">
        <is>
          <t>HULTSFRED</t>
        </is>
      </c>
      <c r="G3050" t="n">
        <v>4.7</v>
      </c>
      <c r="H3050" t="n">
        <v>0</v>
      </c>
      <c r="I3050" t="n">
        <v>0</v>
      </c>
      <c r="J3050" t="n">
        <v>0</v>
      </c>
      <c r="K3050" t="n">
        <v>0</v>
      </c>
      <c r="L3050" t="n">
        <v>0</v>
      </c>
      <c r="M3050" t="n">
        <v>0</v>
      </c>
      <c r="N3050" t="n">
        <v>0</v>
      </c>
      <c r="O3050" t="n">
        <v>0</v>
      </c>
      <c r="P3050" t="n">
        <v>0</v>
      </c>
      <c r="Q3050" t="n">
        <v>0</v>
      </c>
      <c r="R3050" s="2" t="inlineStr"/>
    </row>
    <row r="3051" ht="15" customHeight="1">
      <c r="A3051" t="inlineStr">
        <is>
          <t>A 13548-2025</t>
        </is>
      </c>
      <c r="B3051" s="1" t="n">
        <v>45736.53827546296</v>
      </c>
      <c r="C3051" s="1" t="n">
        <v>45884</v>
      </c>
      <c r="D3051" t="inlineStr">
        <is>
          <t>KALMAR LÄN</t>
        </is>
      </c>
      <c r="E3051" t="inlineStr">
        <is>
          <t>BORGHOLM</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37637-2023</t>
        </is>
      </c>
      <c r="B3052" s="1" t="n">
        <v>45159.46884259259</v>
      </c>
      <c r="C3052" s="1" t="n">
        <v>45884</v>
      </c>
      <c r="D3052" t="inlineStr">
        <is>
          <t>KALMAR LÄN</t>
        </is>
      </c>
      <c r="E3052" t="inlineStr">
        <is>
          <t>EMMABODA</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9350-2025</t>
        </is>
      </c>
      <c r="B3053" s="1" t="n">
        <v>45714.85896990741</v>
      </c>
      <c r="C3053" s="1" t="n">
        <v>45884</v>
      </c>
      <c r="D3053" t="inlineStr">
        <is>
          <t>KALMAR LÄN</t>
        </is>
      </c>
      <c r="E3053" t="inlineStr">
        <is>
          <t>OSKARSHAMN</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15284-2025</t>
        </is>
      </c>
      <c r="B3054" s="1" t="n">
        <v>45744.89434027778</v>
      </c>
      <c r="C3054" s="1" t="n">
        <v>45884</v>
      </c>
      <c r="D3054" t="inlineStr">
        <is>
          <t>KALMAR LÄN</t>
        </is>
      </c>
      <c r="E3054" t="inlineStr">
        <is>
          <t>HÖGSBY</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23776-2022</t>
        </is>
      </c>
      <c r="B3055" s="1" t="n">
        <v>44722</v>
      </c>
      <c r="C3055" s="1" t="n">
        <v>45884</v>
      </c>
      <c r="D3055" t="inlineStr">
        <is>
          <t>KALMAR LÄN</t>
        </is>
      </c>
      <c r="E3055" t="inlineStr">
        <is>
          <t>TORSÅS</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51135-2023</t>
        </is>
      </c>
      <c r="B3056" s="1" t="n">
        <v>45219</v>
      </c>
      <c r="C3056" s="1" t="n">
        <v>45884</v>
      </c>
      <c r="D3056" t="inlineStr">
        <is>
          <t>KALMAR LÄN</t>
        </is>
      </c>
      <c r="E3056" t="inlineStr">
        <is>
          <t>EMMABODA</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46141-2023</t>
        </is>
      </c>
      <c r="B3057" s="1" t="n">
        <v>45190</v>
      </c>
      <c r="C3057" s="1" t="n">
        <v>45884</v>
      </c>
      <c r="D3057" t="inlineStr">
        <is>
          <t>KALMAR LÄN</t>
        </is>
      </c>
      <c r="E3057" t="inlineStr">
        <is>
          <t>EMMABODA</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54053-2024</t>
        </is>
      </c>
      <c r="B3058" s="1" t="n">
        <v>45616.46331018519</v>
      </c>
      <c r="C3058" s="1" t="n">
        <v>45884</v>
      </c>
      <c r="D3058" t="inlineStr">
        <is>
          <t>KALMAR LÄN</t>
        </is>
      </c>
      <c r="E3058" t="inlineStr">
        <is>
          <t>HULTSFRED</t>
        </is>
      </c>
      <c r="F3058" t="inlineStr">
        <is>
          <t>Kyrkan</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46411-2023</t>
        </is>
      </c>
      <c r="B3059" s="1" t="n">
        <v>45194</v>
      </c>
      <c r="C3059" s="1" t="n">
        <v>45884</v>
      </c>
      <c r="D3059" t="inlineStr">
        <is>
          <t>KALMAR LÄN</t>
        </is>
      </c>
      <c r="E3059" t="inlineStr">
        <is>
          <t>HULTSFRED</t>
        </is>
      </c>
      <c r="G3059" t="n">
        <v>3.8</v>
      </c>
      <c r="H3059" t="n">
        <v>0</v>
      </c>
      <c r="I3059" t="n">
        <v>0</v>
      </c>
      <c r="J3059" t="n">
        <v>0</v>
      </c>
      <c r="K3059" t="n">
        <v>0</v>
      </c>
      <c r="L3059" t="n">
        <v>0</v>
      </c>
      <c r="M3059" t="n">
        <v>0</v>
      </c>
      <c r="N3059" t="n">
        <v>0</v>
      </c>
      <c r="O3059" t="n">
        <v>0</v>
      </c>
      <c r="P3059" t="n">
        <v>0</v>
      </c>
      <c r="Q3059" t="n">
        <v>0</v>
      </c>
      <c r="R3059" s="2" t="inlineStr"/>
    </row>
    <row r="3060" ht="15" customHeight="1">
      <c r="A3060" t="inlineStr">
        <is>
          <t>A 10099-2024</t>
        </is>
      </c>
      <c r="B3060" s="1" t="n">
        <v>45364.50273148148</v>
      </c>
      <c r="C3060" s="1" t="n">
        <v>45884</v>
      </c>
      <c r="D3060" t="inlineStr">
        <is>
          <t>KALMAR LÄN</t>
        </is>
      </c>
      <c r="E3060" t="inlineStr">
        <is>
          <t>OSKARSHAMN</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27776-2023</t>
        </is>
      </c>
      <c r="B3061" s="1" t="n">
        <v>45098.42465277778</v>
      </c>
      <c r="C3061" s="1" t="n">
        <v>45884</v>
      </c>
      <c r="D3061" t="inlineStr">
        <is>
          <t>KALMAR LÄN</t>
        </is>
      </c>
      <c r="E3061" t="inlineStr">
        <is>
          <t>TORSÅS</t>
        </is>
      </c>
      <c r="G3061" t="n">
        <v>3.4</v>
      </c>
      <c r="H3061" t="n">
        <v>0</v>
      </c>
      <c r="I3061" t="n">
        <v>0</v>
      </c>
      <c r="J3061" t="n">
        <v>0</v>
      </c>
      <c r="K3061" t="n">
        <v>0</v>
      </c>
      <c r="L3061" t="n">
        <v>0</v>
      </c>
      <c r="M3061" t="n">
        <v>0</v>
      </c>
      <c r="N3061" t="n">
        <v>0</v>
      </c>
      <c r="O3061" t="n">
        <v>0</v>
      </c>
      <c r="P3061" t="n">
        <v>0</v>
      </c>
      <c r="Q3061" t="n">
        <v>0</v>
      </c>
      <c r="R3061" s="2" t="inlineStr"/>
    </row>
    <row r="3062" ht="15" customHeight="1">
      <c r="A3062" t="inlineStr">
        <is>
          <t>A 12590-2025</t>
        </is>
      </c>
      <c r="B3062" s="1" t="n">
        <v>45732.79925925926</v>
      </c>
      <c r="C3062" s="1" t="n">
        <v>45884</v>
      </c>
      <c r="D3062" t="inlineStr">
        <is>
          <t>KALMAR LÄN</t>
        </is>
      </c>
      <c r="E3062" t="inlineStr">
        <is>
          <t>VIMMERBY</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36016-2023</t>
        </is>
      </c>
      <c r="B3063" s="1" t="n">
        <v>45149.36645833333</v>
      </c>
      <c r="C3063" s="1" t="n">
        <v>45884</v>
      </c>
      <c r="D3063" t="inlineStr">
        <is>
          <t>KALMAR LÄN</t>
        </is>
      </c>
      <c r="E3063" t="inlineStr">
        <is>
          <t>KALMAR</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36018-2023</t>
        </is>
      </c>
      <c r="B3064" s="1" t="n">
        <v>45149.36741898148</v>
      </c>
      <c r="C3064" s="1" t="n">
        <v>45884</v>
      </c>
      <c r="D3064" t="inlineStr">
        <is>
          <t>KALMAR LÄN</t>
        </is>
      </c>
      <c r="E3064" t="inlineStr">
        <is>
          <t>KALMAR</t>
        </is>
      </c>
      <c r="G3064" t="n">
        <v>3</v>
      </c>
      <c r="H3064" t="n">
        <v>0</v>
      </c>
      <c r="I3064" t="n">
        <v>0</v>
      </c>
      <c r="J3064" t="n">
        <v>0</v>
      </c>
      <c r="K3064" t="n">
        <v>0</v>
      </c>
      <c r="L3064" t="n">
        <v>0</v>
      </c>
      <c r="M3064" t="n">
        <v>0</v>
      </c>
      <c r="N3064" t="n">
        <v>0</v>
      </c>
      <c r="O3064" t="n">
        <v>0</v>
      </c>
      <c r="P3064" t="n">
        <v>0</v>
      </c>
      <c r="Q3064" t="n">
        <v>0</v>
      </c>
      <c r="R3064" s="2" t="inlineStr"/>
    </row>
    <row r="3065" ht="15" customHeight="1">
      <c r="A3065" t="inlineStr">
        <is>
          <t>A 58217-2022</t>
        </is>
      </c>
      <c r="B3065" s="1" t="n">
        <v>44901.36453703704</v>
      </c>
      <c r="C3065" s="1" t="n">
        <v>45884</v>
      </c>
      <c r="D3065" t="inlineStr">
        <is>
          <t>KALMAR LÄN</t>
        </is>
      </c>
      <c r="E3065" t="inlineStr">
        <is>
          <t>VÄSTERVIK</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38729-2023</t>
        </is>
      </c>
      <c r="B3066" s="1" t="n">
        <v>45163</v>
      </c>
      <c r="C3066" s="1" t="n">
        <v>45884</v>
      </c>
      <c r="D3066" t="inlineStr">
        <is>
          <t>KALMAR LÄN</t>
        </is>
      </c>
      <c r="E3066" t="inlineStr">
        <is>
          <t>KALMAR</t>
        </is>
      </c>
      <c r="G3066" t="n">
        <v>1</v>
      </c>
      <c r="H3066" t="n">
        <v>0</v>
      </c>
      <c r="I3066" t="n">
        <v>0</v>
      </c>
      <c r="J3066" t="n">
        <v>0</v>
      </c>
      <c r="K3066" t="n">
        <v>0</v>
      </c>
      <c r="L3066" t="n">
        <v>0</v>
      </c>
      <c r="M3066" t="n">
        <v>0</v>
      </c>
      <c r="N3066" t="n">
        <v>0</v>
      </c>
      <c r="O3066" t="n">
        <v>0</v>
      </c>
      <c r="P3066" t="n">
        <v>0</v>
      </c>
      <c r="Q3066" t="n">
        <v>0</v>
      </c>
      <c r="R3066" s="2" t="inlineStr"/>
      <c r="U3066">
        <f>HYPERLINK("https://klasma.github.io/Logging_0880/knärot/A 38729-2023 karta knärot.png", "A 38729-2023")</f>
        <v/>
      </c>
      <c r="V3066">
        <f>HYPERLINK("https://klasma.github.io/Logging_0880/klagomål/A 38729-2023 FSC-klagomål.docx", "A 38729-2023")</f>
        <v/>
      </c>
      <c r="W3066">
        <f>HYPERLINK("https://klasma.github.io/Logging_0880/klagomålsmail/A 38729-2023 FSC-klagomål mail.docx", "A 38729-2023")</f>
        <v/>
      </c>
      <c r="X3066">
        <f>HYPERLINK("https://klasma.github.io/Logging_0880/tillsyn/A 38729-2023 tillsynsbegäran.docx", "A 38729-2023")</f>
        <v/>
      </c>
      <c r="Y3066">
        <f>HYPERLINK("https://klasma.github.io/Logging_0880/tillsynsmail/A 38729-2023 tillsynsbegäran mail.docx", "A 38729-2023")</f>
        <v/>
      </c>
    </row>
    <row r="3067" ht="15" customHeight="1">
      <c r="A3067" t="inlineStr">
        <is>
          <t>A 21942-2023</t>
        </is>
      </c>
      <c r="B3067" s="1" t="n">
        <v>45068</v>
      </c>
      <c r="C3067" s="1" t="n">
        <v>45884</v>
      </c>
      <c r="D3067" t="inlineStr">
        <is>
          <t>KALMAR LÄN</t>
        </is>
      </c>
      <c r="E3067" t="inlineStr">
        <is>
          <t>VÄSTERVIK</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31948-2023</t>
        </is>
      </c>
      <c r="B3068" s="1" t="n">
        <v>45119.35530092593</v>
      </c>
      <c r="C3068" s="1" t="n">
        <v>45884</v>
      </c>
      <c r="D3068" t="inlineStr">
        <is>
          <t>KALMAR LÄN</t>
        </is>
      </c>
      <c r="E3068" t="inlineStr">
        <is>
          <t>NYBRO</t>
        </is>
      </c>
      <c r="G3068" t="n">
        <v>2.1</v>
      </c>
      <c r="H3068" t="n">
        <v>0</v>
      </c>
      <c r="I3068" t="n">
        <v>0</v>
      </c>
      <c r="J3068" t="n">
        <v>0</v>
      </c>
      <c r="K3068" t="n">
        <v>0</v>
      </c>
      <c r="L3068" t="n">
        <v>0</v>
      </c>
      <c r="M3068" t="n">
        <v>0</v>
      </c>
      <c r="N3068" t="n">
        <v>0</v>
      </c>
      <c r="O3068" t="n">
        <v>0</v>
      </c>
      <c r="P3068" t="n">
        <v>0</v>
      </c>
      <c r="Q3068" t="n">
        <v>0</v>
      </c>
      <c r="R3068" s="2" t="inlineStr"/>
    </row>
    <row r="3069" ht="15" customHeight="1">
      <c r="A3069" t="inlineStr">
        <is>
          <t>A 11434-2023</t>
        </is>
      </c>
      <c r="B3069" s="1" t="n">
        <v>44993</v>
      </c>
      <c r="C3069" s="1" t="n">
        <v>45884</v>
      </c>
      <c r="D3069" t="inlineStr">
        <is>
          <t>KALMAR LÄN</t>
        </is>
      </c>
      <c r="E3069" t="inlineStr">
        <is>
          <t>EMMABODA</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18329-2023</t>
        </is>
      </c>
      <c r="B3070" s="1" t="n">
        <v>45041.63380787037</v>
      </c>
      <c r="C3070" s="1" t="n">
        <v>45884</v>
      </c>
      <c r="D3070" t="inlineStr">
        <is>
          <t>KALMAR LÄN</t>
        </is>
      </c>
      <c r="E3070" t="inlineStr">
        <is>
          <t>VIMMERBY</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4878-2021</t>
        </is>
      </c>
      <c r="B3071" s="1" t="n">
        <v>44225</v>
      </c>
      <c r="C3071" s="1" t="n">
        <v>45884</v>
      </c>
      <c r="D3071" t="inlineStr">
        <is>
          <t>KALMAR LÄN</t>
        </is>
      </c>
      <c r="E3071" t="inlineStr">
        <is>
          <t>BORGHOLM</t>
        </is>
      </c>
      <c r="G3071" t="n">
        <v>3</v>
      </c>
      <c r="H3071" t="n">
        <v>0</v>
      </c>
      <c r="I3071" t="n">
        <v>0</v>
      </c>
      <c r="J3071" t="n">
        <v>0</v>
      </c>
      <c r="K3071" t="n">
        <v>0</v>
      </c>
      <c r="L3071" t="n">
        <v>0</v>
      </c>
      <c r="M3071" t="n">
        <v>0</v>
      </c>
      <c r="N3071" t="n">
        <v>0</v>
      </c>
      <c r="O3071" t="n">
        <v>0</v>
      </c>
      <c r="P3071" t="n">
        <v>0</v>
      </c>
      <c r="Q3071" t="n">
        <v>0</v>
      </c>
      <c r="R3071" s="2" t="inlineStr"/>
    </row>
    <row r="3072" ht="15" customHeight="1">
      <c r="A3072" t="inlineStr">
        <is>
          <t>A 62023-2022</t>
        </is>
      </c>
      <c r="B3072" s="1" t="n">
        <v>44918.50106481482</v>
      </c>
      <c r="C3072" s="1" t="n">
        <v>45884</v>
      </c>
      <c r="D3072" t="inlineStr">
        <is>
          <t>KALMAR LÄN</t>
        </is>
      </c>
      <c r="E3072" t="inlineStr">
        <is>
          <t>VIMMERBY</t>
        </is>
      </c>
      <c r="G3072" t="n">
        <v>0.3</v>
      </c>
      <c r="H3072" t="n">
        <v>0</v>
      </c>
      <c r="I3072" t="n">
        <v>0</v>
      </c>
      <c r="J3072" t="n">
        <v>0</v>
      </c>
      <c r="K3072" t="n">
        <v>0</v>
      </c>
      <c r="L3072" t="n">
        <v>0</v>
      </c>
      <c r="M3072" t="n">
        <v>0</v>
      </c>
      <c r="N3072" t="n">
        <v>0</v>
      </c>
      <c r="O3072" t="n">
        <v>0</v>
      </c>
      <c r="P3072" t="n">
        <v>0</v>
      </c>
      <c r="Q3072" t="n">
        <v>0</v>
      </c>
      <c r="R3072" s="2" t="inlineStr"/>
    </row>
    <row r="3073" ht="15" customHeight="1">
      <c r="A3073" t="inlineStr">
        <is>
          <t>A 17838-2023</t>
        </is>
      </c>
      <c r="B3073" s="1" t="n">
        <v>45037.64929398148</v>
      </c>
      <c r="C3073" s="1" t="n">
        <v>45884</v>
      </c>
      <c r="D3073" t="inlineStr">
        <is>
          <t>KALMAR LÄN</t>
        </is>
      </c>
      <c r="E3073" t="inlineStr">
        <is>
          <t>EMMABODA</t>
        </is>
      </c>
      <c r="G3073" t="n">
        <v>8.300000000000001</v>
      </c>
      <c r="H3073" t="n">
        <v>0</v>
      </c>
      <c r="I3073" t="n">
        <v>0</v>
      </c>
      <c r="J3073" t="n">
        <v>0</v>
      </c>
      <c r="K3073" t="n">
        <v>0</v>
      </c>
      <c r="L3073" t="n">
        <v>0</v>
      </c>
      <c r="M3073" t="n">
        <v>0</v>
      </c>
      <c r="N3073" t="n">
        <v>0</v>
      </c>
      <c r="O3073" t="n">
        <v>0</v>
      </c>
      <c r="P3073" t="n">
        <v>0</v>
      </c>
      <c r="Q3073" t="n">
        <v>0</v>
      </c>
      <c r="R3073" s="2" t="inlineStr"/>
    </row>
    <row r="3074" ht="15" customHeight="1">
      <c r="A3074" t="inlineStr">
        <is>
          <t>A 15451-2025</t>
        </is>
      </c>
      <c r="B3074" s="1" t="n">
        <v>45747.49021990741</v>
      </c>
      <c r="C3074" s="1" t="n">
        <v>45884</v>
      </c>
      <c r="D3074" t="inlineStr">
        <is>
          <t>KALMAR LÄN</t>
        </is>
      </c>
      <c r="E3074" t="inlineStr">
        <is>
          <t>VÄSTERVIK</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18884-2022</t>
        </is>
      </c>
      <c r="B3075" s="1" t="n">
        <v>44690.55664351852</v>
      </c>
      <c r="C3075" s="1" t="n">
        <v>45884</v>
      </c>
      <c r="D3075" t="inlineStr">
        <is>
          <t>KALMAR LÄN</t>
        </is>
      </c>
      <c r="E3075" t="inlineStr">
        <is>
          <t>NYBRO</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18946-2022</t>
        </is>
      </c>
      <c r="B3076" s="1" t="n">
        <v>44690</v>
      </c>
      <c r="C3076" s="1" t="n">
        <v>45884</v>
      </c>
      <c r="D3076" t="inlineStr">
        <is>
          <t>KALMAR LÄN</t>
        </is>
      </c>
      <c r="E3076" t="inlineStr">
        <is>
          <t>EMMABODA</t>
        </is>
      </c>
      <c r="G3076" t="n">
        <v>2.5</v>
      </c>
      <c r="H3076" t="n">
        <v>0</v>
      </c>
      <c r="I3076" t="n">
        <v>0</v>
      </c>
      <c r="J3076" t="n">
        <v>0</v>
      </c>
      <c r="K3076" t="n">
        <v>0</v>
      </c>
      <c r="L3076" t="n">
        <v>0</v>
      </c>
      <c r="M3076" t="n">
        <v>0</v>
      </c>
      <c r="N3076" t="n">
        <v>0</v>
      </c>
      <c r="O3076" t="n">
        <v>0</v>
      </c>
      <c r="P3076" t="n">
        <v>0</v>
      </c>
      <c r="Q3076" t="n">
        <v>0</v>
      </c>
      <c r="R3076" s="2" t="inlineStr"/>
    </row>
    <row r="3077" ht="15" customHeight="1">
      <c r="A3077" t="inlineStr">
        <is>
          <t>A 35710-2023</t>
        </is>
      </c>
      <c r="B3077" s="1" t="n">
        <v>45147.67096064815</v>
      </c>
      <c r="C3077" s="1" t="n">
        <v>45884</v>
      </c>
      <c r="D3077" t="inlineStr">
        <is>
          <t>KALMAR LÄN</t>
        </is>
      </c>
      <c r="E3077" t="inlineStr">
        <is>
          <t>VIMMERBY</t>
        </is>
      </c>
      <c r="G3077" t="n">
        <v>3.1</v>
      </c>
      <c r="H3077" t="n">
        <v>0</v>
      </c>
      <c r="I3077" t="n">
        <v>0</v>
      </c>
      <c r="J3077" t="n">
        <v>0</v>
      </c>
      <c r="K3077" t="n">
        <v>0</v>
      </c>
      <c r="L3077" t="n">
        <v>0</v>
      </c>
      <c r="M3077" t="n">
        <v>0</v>
      </c>
      <c r="N3077" t="n">
        <v>0</v>
      </c>
      <c r="O3077" t="n">
        <v>0</v>
      </c>
      <c r="P3077" t="n">
        <v>0</v>
      </c>
      <c r="Q3077" t="n">
        <v>0</v>
      </c>
      <c r="R3077" s="2" t="inlineStr"/>
    </row>
    <row r="3078" ht="15" customHeight="1">
      <c r="A3078" t="inlineStr">
        <is>
          <t>A 44014-2024</t>
        </is>
      </c>
      <c r="B3078" s="1" t="n">
        <v>45572.55528935185</v>
      </c>
      <c r="C3078" s="1" t="n">
        <v>45884</v>
      </c>
      <c r="D3078" t="inlineStr">
        <is>
          <t>KALMAR LÄN</t>
        </is>
      </c>
      <c r="E3078" t="inlineStr">
        <is>
          <t>NYBRO</t>
        </is>
      </c>
      <c r="F3078" t="inlineStr">
        <is>
          <t>Sveaskog</t>
        </is>
      </c>
      <c r="G3078" t="n">
        <v>2.9</v>
      </c>
      <c r="H3078" t="n">
        <v>0</v>
      </c>
      <c r="I3078" t="n">
        <v>0</v>
      </c>
      <c r="J3078" t="n">
        <v>0</v>
      </c>
      <c r="K3078" t="n">
        <v>0</v>
      </c>
      <c r="L3078" t="n">
        <v>0</v>
      </c>
      <c r="M3078" t="n">
        <v>0</v>
      </c>
      <c r="N3078" t="n">
        <v>0</v>
      </c>
      <c r="O3078" t="n">
        <v>0</v>
      </c>
      <c r="P3078" t="n">
        <v>0</v>
      </c>
      <c r="Q3078" t="n">
        <v>0</v>
      </c>
      <c r="R3078" s="2" t="inlineStr"/>
    </row>
    <row r="3079" ht="15" customHeight="1">
      <c r="A3079" t="inlineStr">
        <is>
          <t>A 30140-2023</t>
        </is>
      </c>
      <c r="B3079" s="1" t="n">
        <v>45110.53196759259</v>
      </c>
      <c r="C3079" s="1" t="n">
        <v>45884</v>
      </c>
      <c r="D3079" t="inlineStr">
        <is>
          <t>KALMAR LÄN</t>
        </is>
      </c>
      <c r="E3079" t="inlineStr">
        <is>
          <t>KALMAR</t>
        </is>
      </c>
      <c r="F3079" t="inlineStr">
        <is>
          <t>Sveaskog</t>
        </is>
      </c>
      <c r="G3079" t="n">
        <v>2.2</v>
      </c>
      <c r="H3079" t="n">
        <v>0</v>
      </c>
      <c r="I3079" t="n">
        <v>0</v>
      </c>
      <c r="J3079" t="n">
        <v>0</v>
      </c>
      <c r="K3079" t="n">
        <v>0</v>
      </c>
      <c r="L3079" t="n">
        <v>0</v>
      </c>
      <c r="M3079" t="n">
        <v>0</v>
      </c>
      <c r="N3079" t="n">
        <v>0</v>
      </c>
      <c r="O3079" t="n">
        <v>0</v>
      </c>
      <c r="P3079" t="n">
        <v>0</v>
      </c>
      <c r="Q3079" t="n">
        <v>0</v>
      </c>
      <c r="R3079" s="2" t="inlineStr"/>
    </row>
    <row r="3080" ht="15" customHeight="1">
      <c r="A3080" t="inlineStr">
        <is>
          <t>A 50208-2021</t>
        </is>
      </c>
      <c r="B3080" s="1" t="n">
        <v>44457.48010416667</v>
      </c>
      <c r="C3080" s="1" t="n">
        <v>45884</v>
      </c>
      <c r="D3080" t="inlineStr">
        <is>
          <t>KALMAR LÄN</t>
        </is>
      </c>
      <c r="E3080" t="inlineStr">
        <is>
          <t>TORSÅS</t>
        </is>
      </c>
      <c r="G3080" t="n">
        <v>3.6</v>
      </c>
      <c r="H3080" t="n">
        <v>0</v>
      </c>
      <c r="I3080" t="n">
        <v>0</v>
      </c>
      <c r="J3080" t="n">
        <v>0</v>
      </c>
      <c r="K3080" t="n">
        <v>0</v>
      </c>
      <c r="L3080" t="n">
        <v>0</v>
      </c>
      <c r="M3080" t="n">
        <v>0</v>
      </c>
      <c r="N3080" t="n">
        <v>0</v>
      </c>
      <c r="O3080" t="n">
        <v>0</v>
      </c>
      <c r="P3080" t="n">
        <v>0</v>
      </c>
      <c r="Q3080" t="n">
        <v>0</v>
      </c>
      <c r="R3080" s="2" t="inlineStr"/>
    </row>
    <row r="3081" ht="15" customHeight="1">
      <c r="A3081" t="inlineStr">
        <is>
          <t>A 30563-2021</t>
        </is>
      </c>
      <c r="B3081" s="1" t="n">
        <v>44364.77944444444</v>
      </c>
      <c r="C3081" s="1" t="n">
        <v>45884</v>
      </c>
      <c r="D3081" t="inlineStr">
        <is>
          <t>KALMAR LÄN</t>
        </is>
      </c>
      <c r="E3081" t="inlineStr">
        <is>
          <t>TORSÅS</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10157-2025</t>
        </is>
      </c>
      <c r="B3082" s="1" t="n">
        <v>45719</v>
      </c>
      <c r="C3082" s="1" t="n">
        <v>45884</v>
      </c>
      <c r="D3082" t="inlineStr">
        <is>
          <t>KALMAR LÄN</t>
        </is>
      </c>
      <c r="E3082" t="inlineStr">
        <is>
          <t>EMMABODA</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10167-2025</t>
        </is>
      </c>
      <c r="B3083" s="1" t="n">
        <v>45719</v>
      </c>
      <c r="C3083" s="1" t="n">
        <v>45884</v>
      </c>
      <c r="D3083" t="inlineStr">
        <is>
          <t>KALMAR LÄN</t>
        </is>
      </c>
      <c r="E3083" t="inlineStr">
        <is>
          <t>EMMABODA</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58216-2022</t>
        </is>
      </c>
      <c r="B3084" s="1" t="n">
        <v>44901.36292824074</v>
      </c>
      <c r="C3084" s="1" t="n">
        <v>45884</v>
      </c>
      <c r="D3084" t="inlineStr">
        <is>
          <t>KALMAR LÄN</t>
        </is>
      </c>
      <c r="E3084" t="inlineStr">
        <is>
          <t>VÄSTERVIK</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52823-2024</t>
        </is>
      </c>
      <c r="B3085" s="1" t="n">
        <v>45610.59094907407</v>
      </c>
      <c r="C3085" s="1" t="n">
        <v>45884</v>
      </c>
      <c r="D3085" t="inlineStr">
        <is>
          <t>KALMAR LÄN</t>
        </is>
      </c>
      <c r="E3085" t="inlineStr">
        <is>
          <t>VIMMERBY</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52886-2024</t>
        </is>
      </c>
      <c r="B3086" s="1" t="n">
        <v>45610.65568287037</v>
      </c>
      <c r="C3086" s="1" t="n">
        <v>45884</v>
      </c>
      <c r="D3086" t="inlineStr">
        <is>
          <t>KALMAR LÄN</t>
        </is>
      </c>
      <c r="E3086" t="inlineStr">
        <is>
          <t>HULTSFRED</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34736-2023</t>
        </is>
      </c>
      <c r="B3087" s="1" t="n">
        <v>45141</v>
      </c>
      <c r="C3087" s="1" t="n">
        <v>45884</v>
      </c>
      <c r="D3087" t="inlineStr">
        <is>
          <t>KALMAR LÄN</t>
        </is>
      </c>
      <c r="E3087" t="inlineStr">
        <is>
          <t>KALMAR</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29609-2022</t>
        </is>
      </c>
      <c r="B3088" s="1" t="n">
        <v>44754</v>
      </c>
      <c r="C3088" s="1" t="n">
        <v>45884</v>
      </c>
      <c r="D3088" t="inlineStr">
        <is>
          <t>KALMAR LÄN</t>
        </is>
      </c>
      <c r="E3088" t="inlineStr">
        <is>
          <t>OSKARSHAMN</t>
        </is>
      </c>
      <c r="G3088" t="n">
        <v>4.5</v>
      </c>
      <c r="H3088" t="n">
        <v>0</v>
      </c>
      <c r="I3088" t="n">
        <v>0</v>
      </c>
      <c r="J3088" t="n">
        <v>0</v>
      </c>
      <c r="K3088" t="n">
        <v>0</v>
      </c>
      <c r="L3088" t="n">
        <v>0</v>
      </c>
      <c r="M3088" t="n">
        <v>0</v>
      </c>
      <c r="N3088" t="n">
        <v>0</v>
      </c>
      <c r="O3088" t="n">
        <v>0</v>
      </c>
      <c r="P3088" t="n">
        <v>0</v>
      </c>
      <c r="Q3088" t="n">
        <v>0</v>
      </c>
      <c r="R3088" s="2" t="inlineStr"/>
    </row>
    <row r="3089" ht="15" customHeight="1">
      <c r="A3089" t="inlineStr">
        <is>
          <t>A 39535-2022</t>
        </is>
      </c>
      <c r="B3089" s="1" t="n">
        <v>44818</v>
      </c>
      <c r="C3089" s="1" t="n">
        <v>45884</v>
      </c>
      <c r="D3089" t="inlineStr">
        <is>
          <t>KALMAR LÄN</t>
        </is>
      </c>
      <c r="E3089" t="inlineStr">
        <is>
          <t>NYBRO</t>
        </is>
      </c>
      <c r="G3089" t="n">
        <v>3.2</v>
      </c>
      <c r="H3089" t="n">
        <v>0</v>
      </c>
      <c r="I3089" t="n">
        <v>0</v>
      </c>
      <c r="J3089" t="n">
        <v>0</v>
      </c>
      <c r="K3089" t="n">
        <v>0</v>
      </c>
      <c r="L3089" t="n">
        <v>0</v>
      </c>
      <c r="M3089" t="n">
        <v>0</v>
      </c>
      <c r="N3089" t="n">
        <v>0</v>
      </c>
      <c r="O3089" t="n">
        <v>0</v>
      </c>
      <c r="P3089" t="n">
        <v>0</v>
      </c>
      <c r="Q3089" t="n">
        <v>0</v>
      </c>
      <c r="R3089" s="2" t="inlineStr"/>
    </row>
    <row r="3090" ht="15" customHeight="1">
      <c r="A3090" t="inlineStr">
        <is>
          <t>A 7808-2024</t>
        </is>
      </c>
      <c r="B3090" s="1" t="n">
        <v>45349.64855324074</v>
      </c>
      <c r="C3090" s="1" t="n">
        <v>45884</v>
      </c>
      <c r="D3090" t="inlineStr">
        <is>
          <t>KALMAR LÄN</t>
        </is>
      </c>
      <c r="E3090" t="inlineStr">
        <is>
          <t>EMMABODA</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11741-2023</t>
        </is>
      </c>
      <c r="B3091" s="1" t="n">
        <v>44994.58689814815</v>
      </c>
      <c r="C3091" s="1" t="n">
        <v>45884</v>
      </c>
      <c r="D3091" t="inlineStr">
        <is>
          <t>KALMAR LÄN</t>
        </is>
      </c>
      <c r="E3091" t="inlineStr">
        <is>
          <t>VÄSTERVIK</t>
        </is>
      </c>
      <c r="F3091" t="inlineStr">
        <is>
          <t>Sveaskog</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62941-2023</t>
        </is>
      </c>
      <c r="B3092" s="1" t="n">
        <v>45272</v>
      </c>
      <c r="C3092" s="1" t="n">
        <v>45884</v>
      </c>
      <c r="D3092" t="inlineStr">
        <is>
          <t>KALMAR LÄN</t>
        </is>
      </c>
      <c r="E3092" t="inlineStr">
        <is>
          <t>KALMAR</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44064-2023</t>
        </is>
      </c>
      <c r="B3093" s="1" t="n">
        <v>45188</v>
      </c>
      <c r="C3093" s="1" t="n">
        <v>45884</v>
      </c>
      <c r="D3093" t="inlineStr">
        <is>
          <t>KALMAR LÄN</t>
        </is>
      </c>
      <c r="E3093" t="inlineStr">
        <is>
          <t>NYBRO</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32048-2022</t>
        </is>
      </c>
      <c r="B3094" s="1" t="n">
        <v>44778.47969907407</v>
      </c>
      <c r="C3094" s="1" t="n">
        <v>45884</v>
      </c>
      <c r="D3094" t="inlineStr">
        <is>
          <t>KALMAR LÄN</t>
        </is>
      </c>
      <c r="E3094" t="inlineStr">
        <is>
          <t>NYBRO</t>
        </is>
      </c>
      <c r="G3094" t="n">
        <v>13.7</v>
      </c>
      <c r="H3094" t="n">
        <v>0</v>
      </c>
      <c r="I3094" t="n">
        <v>0</v>
      </c>
      <c r="J3094" t="n">
        <v>0</v>
      </c>
      <c r="K3094" t="n">
        <v>0</v>
      </c>
      <c r="L3094" t="n">
        <v>0</v>
      </c>
      <c r="M3094" t="n">
        <v>0</v>
      </c>
      <c r="N3094" t="n">
        <v>0</v>
      </c>
      <c r="O3094" t="n">
        <v>0</v>
      </c>
      <c r="P3094" t="n">
        <v>0</v>
      </c>
      <c r="Q3094" t="n">
        <v>0</v>
      </c>
      <c r="R3094" s="2" t="inlineStr"/>
    </row>
    <row r="3095" ht="15" customHeight="1">
      <c r="A3095" t="inlineStr">
        <is>
          <t>A 14377-2022</t>
        </is>
      </c>
      <c r="B3095" s="1" t="n">
        <v>44652</v>
      </c>
      <c r="C3095" s="1" t="n">
        <v>45884</v>
      </c>
      <c r="D3095" t="inlineStr">
        <is>
          <t>KALMAR LÄN</t>
        </is>
      </c>
      <c r="E3095" t="inlineStr">
        <is>
          <t>EMMABODA</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9757-2023</t>
        </is>
      </c>
      <c r="B3096" s="1" t="n">
        <v>44984</v>
      </c>
      <c r="C3096" s="1" t="n">
        <v>45884</v>
      </c>
      <c r="D3096" t="inlineStr">
        <is>
          <t>KALMAR LÄN</t>
        </is>
      </c>
      <c r="E3096" t="inlineStr">
        <is>
          <t>TORSÅS</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28932-2023</t>
        </is>
      </c>
      <c r="B3097" s="1" t="n">
        <v>45104</v>
      </c>
      <c r="C3097" s="1" t="n">
        <v>45884</v>
      </c>
      <c r="D3097" t="inlineStr">
        <is>
          <t>KALMAR LÄN</t>
        </is>
      </c>
      <c r="E3097" t="inlineStr">
        <is>
          <t>KALMAR</t>
        </is>
      </c>
      <c r="F3097" t="inlineStr">
        <is>
          <t>Sveaskog</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61955-2023</t>
        </is>
      </c>
      <c r="B3098" s="1" t="n">
        <v>45266</v>
      </c>
      <c r="C3098" s="1" t="n">
        <v>45884</v>
      </c>
      <c r="D3098" t="inlineStr">
        <is>
          <t>KALMAR LÄN</t>
        </is>
      </c>
      <c r="E3098" t="inlineStr">
        <is>
          <t>HÖGSBY</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37551-2023</t>
        </is>
      </c>
      <c r="B3099" s="1" t="n">
        <v>45159.31636574074</v>
      </c>
      <c r="C3099" s="1" t="n">
        <v>45884</v>
      </c>
      <c r="D3099" t="inlineStr">
        <is>
          <t>KALMAR LÄN</t>
        </is>
      </c>
      <c r="E3099" t="inlineStr">
        <is>
          <t>TORSÅS</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17185-2022</t>
        </is>
      </c>
      <c r="B3100" s="1" t="n">
        <v>44677</v>
      </c>
      <c r="C3100" s="1" t="n">
        <v>45884</v>
      </c>
      <c r="D3100" t="inlineStr">
        <is>
          <t>KALMAR LÄN</t>
        </is>
      </c>
      <c r="E3100" t="inlineStr">
        <is>
          <t>HÖGSBY</t>
        </is>
      </c>
      <c r="G3100" t="n">
        <v>3.4</v>
      </c>
      <c r="H3100" t="n">
        <v>0</v>
      </c>
      <c r="I3100" t="n">
        <v>0</v>
      </c>
      <c r="J3100" t="n">
        <v>0</v>
      </c>
      <c r="K3100" t="n">
        <v>0</v>
      </c>
      <c r="L3100" t="n">
        <v>0</v>
      </c>
      <c r="M3100" t="n">
        <v>0</v>
      </c>
      <c r="N3100" t="n">
        <v>0</v>
      </c>
      <c r="O3100" t="n">
        <v>0</v>
      </c>
      <c r="P3100" t="n">
        <v>0</v>
      </c>
      <c r="Q3100" t="n">
        <v>0</v>
      </c>
      <c r="R3100" s="2" t="inlineStr"/>
    </row>
    <row r="3101" ht="15" customHeight="1">
      <c r="A3101" t="inlineStr">
        <is>
          <t>A 55174-2023</t>
        </is>
      </c>
      <c r="B3101" s="1" t="n">
        <v>45237.5672337963</v>
      </c>
      <c r="C3101" s="1" t="n">
        <v>45884</v>
      </c>
      <c r="D3101" t="inlineStr">
        <is>
          <t>KALMAR LÄN</t>
        </is>
      </c>
      <c r="E3101" t="inlineStr">
        <is>
          <t>EMMABODA</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44981-2021</t>
        </is>
      </c>
      <c r="B3102" s="1" t="n">
        <v>44438</v>
      </c>
      <c r="C3102" s="1" t="n">
        <v>45884</v>
      </c>
      <c r="D3102" t="inlineStr">
        <is>
          <t>KALMAR LÄN</t>
        </is>
      </c>
      <c r="E3102" t="inlineStr">
        <is>
          <t>KALMAR</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18289-2025</t>
        </is>
      </c>
      <c r="B3103" s="1" t="n">
        <v>45762.40821759259</v>
      </c>
      <c r="C3103" s="1" t="n">
        <v>45884</v>
      </c>
      <c r="D3103" t="inlineStr">
        <is>
          <t>KALMAR LÄN</t>
        </is>
      </c>
      <c r="E3103" t="inlineStr">
        <is>
          <t>NYBRO</t>
        </is>
      </c>
      <c r="F3103" t="inlineStr">
        <is>
          <t>Sveaskog</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38802-2024</t>
        </is>
      </c>
      <c r="B3104" s="1" t="n">
        <v>45547.53318287037</v>
      </c>
      <c r="C3104" s="1" t="n">
        <v>45884</v>
      </c>
      <c r="D3104" t="inlineStr">
        <is>
          <t>KALMAR LÄN</t>
        </is>
      </c>
      <c r="E3104" t="inlineStr">
        <is>
          <t>HÖGSBY</t>
        </is>
      </c>
      <c r="F3104" t="inlineStr">
        <is>
          <t>Sveaskog</t>
        </is>
      </c>
      <c r="G3104" t="n">
        <v>3</v>
      </c>
      <c r="H3104" t="n">
        <v>0</v>
      </c>
      <c r="I3104" t="n">
        <v>0</v>
      </c>
      <c r="J3104" t="n">
        <v>0</v>
      </c>
      <c r="K3104" t="n">
        <v>0</v>
      </c>
      <c r="L3104" t="n">
        <v>0</v>
      </c>
      <c r="M3104" t="n">
        <v>0</v>
      </c>
      <c r="N3104" t="n">
        <v>0</v>
      </c>
      <c r="O3104" t="n">
        <v>0</v>
      </c>
      <c r="P3104" t="n">
        <v>0</v>
      </c>
      <c r="Q3104" t="n">
        <v>0</v>
      </c>
      <c r="R3104" s="2" t="inlineStr"/>
    </row>
    <row r="3105" ht="15" customHeight="1">
      <c r="A3105" t="inlineStr">
        <is>
          <t>A 62070-2024</t>
        </is>
      </c>
      <c r="B3105" s="1" t="n">
        <v>45656.40385416667</v>
      </c>
      <c r="C3105" s="1" t="n">
        <v>45884</v>
      </c>
      <c r="D3105" t="inlineStr">
        <is>
          <t>KALMAR LÄN</t>
        </is>
      </c>
      <c r="E3105" t="inlineStr">
        <is>
          <t>HULTSFRED</t>
        </is>
      </c>
      <c r="F3105" t="inlineStr">
        <is>
          <t>Sveaskog</t>
        </is>
      </c>
      <c r="G3105" t="n">
        <v>9.5</v>
      </c>
      <c r="H3105" t="n">
        <v>0</v>
      </c>
      <c r="I3105" t="n">
        <v>0</v>
      </c>
      <c r="J3105" t="n">
        <v>0</v>
      </c>
      <c r="K3105" t="n">
        <v>0</v>
      </c>
      <c r="L3105" t="n">
        <v>0</v>
      </c>
      <c r="M3105" t="n">
        <v>0</v>
      </c>
      <c r="N3105" t="n">
        <v>0</v>
      </c>
      <c r="O3105" t="n">
        <v>0</v>
      </c>
      <c r="P3105" t="n">
        <v>0</v>
      </c>
      <c r="Q3105" t="n">
        <v>0</v>
      </c>
      <c r="R3105" s="2" t="inlineStr"/>
    </row>
    <row r="3106" ht="15" customHeight="1">
      <c r="A3106" t="inlineStr">
        <is>
          <t>A 9974-2022</t>
        </is>
      </c>
      <c r="B3106" s="1" t="n">
        <v>44621.39148148148</v>
      </c>
      <c r="C3106" s="1" t="n">
        <v>45884</v>
      </c>
      <c r="D3106" t="inlineStr">
        <is>
          <t>KALMAR LÄN</t>
        </is>
      </c>
      <c r="E3106" t="inlineStr">
        <is>
          <t>MÖNSTERÅS</t>
        </is>
      </c>
      <c r="G3106" t="n">
        <v>2.7</v>
      </c>
      <c r="H3106" t="n">
        <v>0</v>
      </c>
      <c r="I3106" t="n">
        <v>0</v>
      </c>
      <c r="J3106" t="n">
        <v>0</v>
      </c>
      <c r="K3106" t="n">
        <v>0</v>
      </c>
      <c r="L3106" t="n">
        <v>0</v>
      </c>
      <c r="M3106" t="n">
        <v>0</v>
      </c>
      <c r="N3106" t="n">
        <v>0</v>
      </c>
      <c r="O3106" t="n">
        <v>0</v>
      </c>
      <c r="P3106" t="n">
        <v>0</v>
      </c>
      <c r="Q3106" t="n">
        <v>0</v>
      </c>
      <c r="R3106" s="2" t="inlineStr"/>
    </row>
    <row r="3107" ht="15" customHeight="1">
      <c r="A3107" t="inlineStr">
        <is>
          <t>A 28880-2023</t>
        </is>
      </c>
      <c r="B3107" s="1" t="n">
        <v>45104.47891203704</v>
      </c>
      <c r="C3107" s="1" t="n">
        <v>45884</v>
      </c>
      <c r="D3107" t="inlineStr">
        <is>
          <t>KALMAR LÄN</t>
        </is>
      </c>
      <c r="E3107" t="inlineStr">
        <is>
          <t>NYBRO</t>
        </is>
      </c>
      <c r="F3107" t="inlineStr">
        <is>
          <t>Sveaskog</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4926-2023</t>
        </is>
      </c>
      <c r="B3108" s="1" t="n">
        <v>44958.41121527777</v>
      </c>
      <c r="C3108" s="1" t="n">
        <v>45884</v>
      </c>
      <c r="D3108" t="inlineStr">
        <is>
          <t>KALMAR LÄN</t>
        </is>
      </c>
      <c r="E3108" t="inlineStr">
        <is>
          <t>TORSÅS</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8402-2022</t>
        </is>
      </c>
      <c r="B3109" s="1" t="n">
        <v>44610</v>
      </c>
      <c r="C3109" s="1" t="n">
        <v>45884</v>
      </c>
      <c r="D3109" t="inlineStr">
        <is>
          <t>KALMAR LÄN</t>
        </is>
      </c>
      <c r="E3109" t="inlineStr">
        <is>
          <t>HULTSFRED</t>
        </is>
      </c>
      <c r="F3109" t="inlineStr">
        <is>
          <t>Kommuner</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8512-2022</t>
        </is>
      </c>
      <c r="B3110" s="1" t="n">
        <v>44613.43204861111</v>
      </c>
      <c r="C3110" s="1" t="n">
        <v>45884</v>
      </c>
      <c r="D3110" t="inlineStr">
        <is>
          <t>KALMAR LÄN</t>
        </is>
      </c>
      <c r="E3110" t="inlineStr">
        <is>
          <t>TORSÅS</t>
        </is>
      </c>
      <c r="G3110" t="n">
        <v>2.7</v>
      </c>
      <c r="H3110" t="n">
        <v>0</v>
      </c>
      <c r="I3110" t="n">
        <v>0</v>
      </c>
      <c r="J3110" t="n">
        <v>0</v>
      </c>
      <c r="K3110" t="n">
        <v>0</v>
      </c>
      <c r="L3110" t="n">
        <v>0</v>
      </c>
      <c r="M3110" t="n">
        <v>0</v>
      </c>
      <c r="N3110" t="n">
        <v>0</v>
      </c>
      <c r="O3110" t="n">
        <v>0</v>
      </c>
      <c r="P3110" t="n">
        <v>0</v>
      </c>
      <c r="Q3110" t="n">
        <v>0</v>
      </c>
      <c r="R3110" s="2" t="inlineStr"/>
    </row>
    <row r="3111" ht="15" customHeight="1">
      <c r="A3111" t="inlineStr">
        <is>
          <t>A 11147-2023</t>
        </is>
      </c>
      <c r="B3111" s="1" t="n">
        <v>44992</v>
      </c>
      <c r="C3111" s="1" t="n">
        <v>45884</v>
      </c>
      <c r="D3111" t="inlineStr">
        <is>
          <t>KALMAR LÄN</t>
        </is>
      </c>
      <c r="E3111" t="inlineStr">
        <is>
          <t>VIMMERBY</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12455-2025</t>
        </is>
      </c>
      <c r="B3112" s="1" t="n">
        <v>45730</v>
      </c>
      <c r="C3112" s="1" t="n">
        <v>45884</v>
      </c>
      <c r="D3112" t="inlineStr">
        <is>
          <t>KALMAR LÄN</t>
        </is>
      </c>
      <c r="E3112" t="inlineStr">
        <is>
          <t>VÄSTERVIK</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14824-2025</t>
        </is>
      </c>
      <c r="B3113" s="1" t="n">
        <v>45743.36407407407</v>
      </c>
      <c r="C3113" s="1" t="n">
        <v>45884</v>
      </c>
      <c r="D3113" t="inlineStr">
        <is>
          <t>KALMAR LÄN</t>
        </is>
      </c>
      <c r="E3113" t="inlineStr">
        <is>
          <t>HULTSFRED</t>
        </is>
      </c>
      <c r="G3113" t="n">
        <v>2.9</v>
      </c>
      <c r="H3113" t="n">
        <v>0</v>
      </c>
      <c r="I3113" t="n">
        <v>0</v>
      </c>
      <c r="J3113" t="n">
        <v>0</v>
      </c>
      <c r="K3113" t="n">
        <v>0</v>
      </c>
      <c r="L3113" t="n">
        <v>0</v>
      </c>
      <c r="M3113" t="n">
        <v>0</v>
      </c>
      <c r="N3113" t="n">
        <v>0</v>
      </c>
      <c r="O3113" t="n">
        <v>0</v>
      </c>
      <c r="P3113" t="n">
        <v>0</v>
      </c>
      <c r="Q3113" t="n">
        <v>0</v>
      </c>
      <c r="R3113" s="2" t="inlineStr"/>
    </row>
    <row r="3114" ht="15" customHeight="1">
      <c r="A3114" t="inlineStr">
        <is>
          <t>A 14839-2025</t>
        </is>
      </c>
      <c r="B3114" s="1" t="n">
        <v>45743.38579861111</v>
      </c>
      <c r="C3114" s="1" t="n">
        <v>45884</v>
      </c>
      <c r="D3114" t="inlineStr">
        <is>
          <t>KALMAR LÄN</t>
        </is>
      </c>
      <c r="E3114" t="inlineStr">
        <is>
          <t>HULTSFRED</t>
        </is>
      </c>
      <c r="F3114" t="inlineStr">
        <is>
          <t>Sveaskog</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17357-2021</t>
        </is>
      </c>
      <c r="B3115" s="1" t="n">
        <v>44298.81420138889</v>
      </c>
      <c r="C3115" s="1" t="n">
        <v>45884</v>
      </c>
      <c r="D3115" t="inlineStr">
        <is>
          <t>KALMAR LÄN</t>
        </is>
      </c>
      <c r="E3115" t="inlineStr">
        <is>
          <t>TORSÅS</t>
        </is>
      </c>
      <c r="G3115" t="n">
        <v>3.9</v>
      </c>
      <c r="H3115" t="n">
        <v>0</v>
      </c>
      <c r="I3115" t="n">
        <v>0</v>
      </c>
      <c r="J3115" t="n">
        <v>0</v>
      </c>
      <c r="K3115" t="n">
        <v>0</v>
      </c>
      <c r="L3115" t="n">
        <v>0</v>
      </c>
      <c r="M3115" t="n">
        <v>0</v>
      </c>
      <c r="N3115" t="n">
        <v>0</v>
      </c>
      <c r="O3115" t="n">
        <v>0</v>
      </c>
      <c r="P3115" t="n">
        <v>0</v>
      </c>
      <c r="Q3115" t="n">
        <v>0</v>
      </c>
      <c r="R3115" s="2" t="inlineStr"/>
    </row>
    <row r="3116" ht="15" customHeight="1">
      <c r="A3116" t="inlineStr">
        <is>
          <t>A 13015-2023</t>
        </is>
      </c>
      <c r="B3116" s="1" t="n">
        <v>45002</v>
      </c>
      <c r="C3116" s="1" t="n">
        <v>45884</v>
      </c>
      <c r="D3116" t="inlineStr">
        <is>
          <t>KALMAR LÄN</t>
        </is>
      </c>
      <c r="E3116" t="inlineStr">
        <is>
          <t>VIMMERBY</t>
        </is>
      </c>
      <c r="G3116" t="n">
        <v>3.2</v>
      </c>
      <c r="H3116" t="n">
        <v>0</v>
      </c>
      <c r="I3116" t="n">
        <v>0</v>
      </c>
      <c r="J3116" t="n">
        <v>0</v>
      </c>
      <c r="K3116" t="n">
        <v>0</v>
      </c>
      <c r="L3116" t="n">
        <v>0</v>
      </c>
      <c r="M3116" t="n">
        <v>0</v>
      </c>
      <c r="N3116" t="n">
        <v>0</v>
      </c>
      <c r="O3116" t="n">
        <v>0</v>
      </c>
      <c r="P3116" t="n">
        <v>0</v>
      </c>
      <c r="Q3116" t="n">
        <v>0</v>
      </c>
      <c r="R3116" s="2" t="inlineStr"/>
    </row>
    <row r="3117" ht="15" customHeight="1">
      <c r="A3117" t="inlineStr">
        <is>
          <t>A 31757-2023</t>
        </is>
      </c>
      <c r="B3117" s="1" t="n">
        <v>45106</v>
      </c>
      <c r="C3117" s="1" t="n">
        <v>45884</v>
      </c>
      <c r="D3117" t="inlineStr">
        <is>
          <t>KALMAR LÄN</t>
        </is>
      </c>
      <c r="E3117" t="inlineStr">
        <is>
          <t>MÖNSTERÅS</t>
        </is>
      </c>
      <c r="F3117" t="inlineStr">
        <is>
          <t>Kyrkan</t>
        </is>
      </c>
      <c r="G3117" t="n">
        <v>2.6</v>
      </c>
      <c r="H3117" t="n">
        <v>0</v>
      </c>
      <c r="I3117" t="n">
        <v>0</v>
      </c>
      <c r="J3117" t="n">
        <v>0</v>
      </c>
      <c r="K3117" t="n">
        <v>0</v>
      </c>
      <c r="L3117" t="n">
        <v>0</v>
      </c>
      <c r="M3117" t="n">
        <v>0</v>
      </c>
      <c r="N3117" t="n">
        <v>0</v>
      </c>
      <c r="O3117" t="n">
        <v>0</v>
      </c>
      <c r="P3117" t="n">
        <v>0</v>
      </c>
      <c r="Q3117" t="n">
        <v>0</v>
      </c>
      <c r="R3117" s="2" t="inlineStr"/>
    </row>
    <row r="3118" ht="15" customHeight="1">
      <c r="A3118" t="inlineStr">
        <is>
          <t>A 19833-2023</t>
        </is>
      </c>
      <c r="B3118" s="1" t="n">
        <v>45052</v>
      </c>
      <c r="C3118" s="1" t="n">
        <v>45884</v>
      </c>
      <c r="D3118" t="inlineStr">
        <is>
          <t>KALMAR LÄN</t>
        </is>
      </c>
      <c r="E3118" t="inlineStr">
        <is>
          <t>VIMMERBY</t>
        </is>
      </c>
      <c r="G3118" t="n">
        <v>6.7</v>
      </c>
      <c r="H3118" t="n">
        <v>0</v>
      </c>
      <c r="I3118" t="n">
        <v>0</v>
      </c>
      <c r="J3118" t="n">
        <v>0</v>
      </c>
      <c r="K3118" t="n">
        <v>0</v>
      </c>
      <c r="L3118" t="n">
        <v>0</v>
      </c>
      <c r="M3118" t="n">
        <v>0</v>
      </c>
      <c r="N3118" t="n">
        <v>0</v>
      </c>
      <c r="O3118" t="n">
        <v>0</v>
      </c>
      <c r="P3118" t="n">
        <v>0</v>
      </c>
      <c r="Q3118" t="n">
        <v>0</v>
      </c>
      <c r="R3118" s="2" t="inlineStr"/>
    </row>
    <row r="3119" ht="15" customHeight="1">
      <c r="A3119" t="inlineStr">
        <is>
          <t>A 16119-2023</t>
        </is>
      </c>
      <c r="B3119" s="1" t="n">
        <v>45027.59450231482</v>
      </c>
      <c r="C3119" s="1" t="n">
        <v>45884</v>
      </c>
      <c r="D3119" t="inlineStr">
        <is>
          <t>KALMAR LÄN</t>
        </is>
      </c>
      <c r="E3119" t="inlineStr">
        <is>
          <t>VIMMERBY</t>
        </is>
      </c>
      <c r="F3119" t="inlineStr">
        <is>
          <t>Kommuner</t>
        </is>
      </c>
      <c r="G3119" t="n">
        <v>4.4</v>
      </c>
      <c r="H3119" t="n">
        <v>0</v>
      </c>
      <c r="I3119" t="n">
        <v>0</v>
      </c>
      <c r="J3119" t="n">
        <v>0</v>
      </c>
      <c r="K3119" t="n">
        <v>0</v>
      </c>
      <c r="L3119" t="n">
        <v>0</v>
      </c>
      <c r="M3119" t="n">
        <v>0</v>
      </c>
      <c r="N3119" t="n">
        <v>0</v>
      </c>
      <c r="O3119" t="n">
        <v>0</v>
      </c>
      <c r="P3119" t="n">
        <v>0</v>
      </c>
      <c r="Q3119" t="n">
        <v>0</v>
      </c>
      <c r="R3119" s="2" t="inlineStr"/>
    </row>
    <row r="3120" ht="15" customHeight="1">
      <c r="A3120" t="inlineStr">
        <is>
          <t>A 19244-2022</t>
        </is>
      </c>
      <c r="B3120" s="1" t="n">
        <v>44692</v>
      </c>
      <c r="C3120" s="1" t="n">
        <v>45884</v>
      </c>
      <c r="D3120" t="inlineStr">
        <is>
          <t>KALMAR LÄN</t>
        </is>
      </c>
      <c r="E3120" t="inlineStr">
        <is>
          <t>NYBRO</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45497-2024</t>
        </is>
      </c>
      <c r="B3121" s="1" t="n">
        <v>45577.88273148148</v>
      </c>
      <c r="C3121" s="1" t="n">
        <v>45884</v>
      </c>
      <c r="D3121" t="inlineStr">
        <is>
          <t>KALMAR LÄN</t>
        </is>
      </c>
      <c r="E3121" t="inlineStr">
        <is>
          <t>NYBRO</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19648-2025</t>
        </is>
      </c>
      <c r="B3122" s="1" t="n">
        <v>45770.66146990741</v>
      </c>
      <c r="C3122" s="1" t="n">
        <v>45884</v>
      </c>
      <c r="D3122" t="inlineStr">
        <is>
          <t>KALMAR LÄN</t>
        </is>
      </c>
      <c r="E3122" t="inlineStr">
        <is>
          <t>TORSÅS</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51993-2023</t>
        </is>
      </c>
      <c r="B3123" s="1" t="n">
        <v>45223.58754629629</v>
      </c>
      <c r="C3123" s="1" t="n">
        <v>45884</v>
      </c>
      <c r="D3123" t="inlineStr">
        <is>
          <t>KALMAR LÄN</t>
        </is>
      </c>
      <c r="E3123" t="inlineStr">
        <is>
          <t>OSKARSHAMN</t>
        </is>
      </c>
      <c r="G3123" t="n">
        <v>15.3</v>
      </c>
      <c r="H3123" t="n">
        <v>0</v>
      </c>
      <c r="I3123" t="n">
        <v>0</v>
      </c>
      <c r="J3123" t="n">
        <v>0</v>
      </c>
      <c r="K3123" t="n">
        <v>0</v>
      </c>
      <c r="L3123" t="n">
        <v>0</v>
      </c>
      <c r="M3123" t="n">
        <v>0</v>
      </c>
      <c r="N3123" t="n">
        <v>0</v>
      </c>
      <c r="O3123" t="n">
        <v>0</v>
      </c>
      <c r="P3123" t="n">
        <v>0</v>
      </c>
      <c r="Q3123" t="n">
        <v>0</v>
      </c>
      <c r="R3123" s="2" t="inlineStr"/>
    </row>
    <row r="3124" ht="15" customHeight="1">
      <c r="A3124" t="inlineStr">
        <is>
          <t>A 59914-2024</t>
        </is>
      </c>
      <c r="B3124" s="1" t="n">
        <v>45641.74149305555</v>
      </c>
      <c r="C3124" s="1" t="n">
        <v>45884</v>
      </c>
      <c r="D3124" t="inlineStr">
        <is>
          <t>KALMAR LÄN</t>
        </is>
      </c>
      <c r="E3124" t="inlineStr">
        <is>
          <t>EMMABODA</t>
        </is>
      </c>
      <c r="G3124" t="n">
        <v>0.3</v>
      </c>
      <c r="H3124" t="n">
        <v>0</v>
      </c>
      <c r="I3124" t="n">
        <v>0</v>
      </c>
      <c r="J3124" t="n">
        <v>0</v>
      </c>
      <c r="K3124" t="n">
        <v>0</v>
      </c>
      <c r="L3124" t="n">
        <v>0</v>
      </c>
      <c r="M3124" t="n">
        <v>0</v>
      </c>
      <c r="N3124" t="n">
        <v>0</v>
      </c>
      <c r="O3124" t="n">
        <v>0</v>
      </c>
      <c r="P3124" t="n">
        <v>0</v>
      </c>
      <c r="Q3124" t="n">
        <v>0</v>
      </c>
      <c r="R3124" s="2" t="inlineStr"/>
    </row>
    <row r="3125" ht="15" customHeight="1">
      <c r="A3125" t="inlineStr">
        <is>
          <t>A 15356-2025</t>
        </is>
      </c>
      <c r="B3125" s="1" t="n">
        <v>45747.39189814815</v>
      </c>
      <c r="C3125" s="1" t="n">
        <v>45884</v>
      </c>
      <c r="D3125" t="inlineStr">
        <is>
          <t>KALMAR LÄN</t>
        </is>
      </c>
      <c r="E3125" t="inlineStr">
        <is>
          <t>VIMMERBY</t>
        </is>
      </c>
      <c r="G3125" t="n">
        <v>6.6</v>
      </c>
      <c r="H3125" t="n">
        <v>0</v>
      </c>
      <c r="I3125" t="n">
        <v>0</v>
      </c>
      <c r="J3125" t="n">
        <v>0</v>
      </c>
      <c r="K3125" t="n">
        <v>0</v>
      </c>
      <c r="L3125" t="n">
        <v>0</v>
      </c>
      <c r="M3125" t="n">
        <v>0</v>
      </c>
      <c r="N3125" t="n">
        <v>0</v>
      </c>
      <c r="O3125" t="n">
        <v>0</v>
      </c>
      <c r="P3125" t="n">
        <v>0</v>
      </c>
      <c r="Q3125" t="n">
        <v>0</v>
      </c>
      <c r="R3125" s="2" t="inlineStr"/>
    </row>
    <row r="3126" ht="15" customHeight="1">
      <c r="A3126" t="inlineStr">
        <is>
          <t>A 19340-2025</t>
        </is>
      </c>
      <c r="B3126" s="1" t="n">
        <v>45769.5946875</v>
      </c>
      <c r="C3126" s="1" t="n">
        <v>45884</v>
      </c>
      <c r="D3126" t="inlineStr">
        <is>
          <t>KALMAR LÄN</t>
        </is>
      </c>
      <c r="E3126" t="inlineStr">
        <is>
          <t>HÖGSBY</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4944-2022</t>
        </is>
      </c>
      <c r="B3127" s="1" t="n">
        <v>44593</v>
      </c>
      <c r="C3127" s="1" t="n">
        <v>45884</v>
      </c>
      <c r="D3127" t="inlineStr">
        <is>
          <t>KALMAR LÄN</t>
        </is>
      </c>
      <c r="E3127" t="inlineStr">
        <is>
          <t>HULTSFRED</t>
        </is>
      </c>
      <c r="G3127" t="n">
        <v>2.9</v>
      </c>
      <c r="H3127" t="n">
        <v>0</v>
      </c>
      <c r="I3127" t="n">
        <v>0</v>
      </c>
      <c r="J3127" t="n">
        <v>0</v>
      </c>
      <c r="K3127" t="n">
        <v>0</v>
      </c>
      <c r="L3127" t="n">
        <v>0</v>
      </c>
      <c r="M3127" t="n">
        <v>0</v>
      </c>
      <c r="N3127" t="n">
        <v>0</v>
      </c>
      <c r="O3127" t="n">
        <v>0</v>
      </c>
      <c r="P3127" t="n">
        <v>0</v>
      </c>
      <c r="Q3127" t="n">
        <v>0</v>
      </c>
      <c r="R3127" s="2" t="inlineStr"/>
    </row>
    <row r="3128" ht="15" customHeight="1">
      <c r="A3128" t="inlineStr">
        <is>
          <t>A 15379-2025</t>
        </is>
      </c>
      <c r="B3128" s="1" t="n">
        <v>45747.40813657407</v>
      </c>
      <c r="C3128" s="1" t="n">
        <v>45884</v>
      </c>
      <c r="D3128" t="inlineStr">
        <is>
          <t>KALMAR LÄN</t>
        </is>
      </c>
      <c r="E3128" t="inlineStr">
        <is>
          <t>VÄSTERVIK</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31107-2021</t>
        </is>
      </c>
      <c r="B3129" s="1" t="n">
        <v>44368</v>
      </c>
      <c r="C3129" s="1" t="n">
        <v>45884</v>
      </c>
      <c r="D3129" t="inlineStr">
        <is>
          <t>KALMAR LÄN</t>
        </is>
      </c>
      <c r="E3129" t="inlineStr">
        <is>
          <t>NYBRO</t>
        </is>
      </c>
      <c r="G3129" t="n">
        <v>7.1</v>
      </c>
      <c r="H3129" t="n">
        <v>0</v>
      </c>
      <c r="I3129" t="n">
        <v>0</v>
      </c>
      <c r="J3129" t="n">
        <v>0</v>
      </c>
      <c r="K3129" t="n">
        <v>0</v>
      </c>
      <c r="L3129" t="n">
        <v>0</v>
      </c>
      <c r="M3129" t="n">
        <v>0</v>
      </c>
      <c r="N3129" t="n">
        <v>0</v>
      </c>
      <c r="O3129" t="n">
        <v>0</v>
      </c>
      <c r="P3129" t="n">
        <v>0</v>
      </c>
      <c r="Q3129" t="n">
        <v>0</v>
      </c>
      <c r="R3129" s="2" t="inlineStr"/>
    </row>
    <row r="3130" ht="15" customHeight="1">
      <c r="A3130" t="inlineStr">
        <is>
          <t>A 52327-2023</t>
        </is>
      </c>
      <c r="B3130" s="1" t="n">
        <v>45224.6515162037</v>
      </c>
      <c r="C3130" s="1" t="n">
        <v>45884</v>
      </c>
      <c r="D3130" t="inlineStr">
        <is>
          <t>KALMAR LÄN</t>
        </is>
      </c>
      <c r="E3130" t="inlineStr">
        <is>
          <t>VIMMERBY</t>
        </is>
      </c>
      <c r="F3130" t="inlineStr">
        <is>
          <t>Sveaskog</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5018-2022</t>
        </is>
      </c>
      <c r="B3131" s="1" t="n">
        <v>44593.62643518519</v>
      </c>
      <c r="C3131" s="1" t="n">
        <v>45884</v>
      </c>
      <c r="D3131" t="inlineStr">
        <is>
          <t>KALMAR LÄN</t>
        </is>
      </c>
      <c r="E3131" t="inlineStr">
        <is>
          <t>EMMABODA</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35382-2024</t>
        </is>
      </c>
      <c r="B3132" s="1" t="n">
        <v>45531.38554398148</v>
      </c>
      <c r="C3132" s="1" t="n">
        <v>45884</v>
      </c>
      <c r="D3132" t="inlineStr">
        <is>
          <t>KALMAR LÄN</t>
        </is>
      </c>
      <c r="E3132" t="inlineStr">
        <is>
          <t>EMMABODA</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55495-2023</t>
        </is>
      </c>
      <c r="B3133" s="1" t="n">
        <v>45238</v>
      </c>
      <c r="C3133" s="1" t="n">
        <v>45884</v>
      </c>
      <c r="D3133" t="inlineStr">
        <is>
          <t>KALMAR LÄN</t>
        </is>
      </c>
      <c r="E3133" t="inlineStr">
        <is>
          <t>HULTSFRED</t>
        </is>
      </c>
      <c r="F3133" t="inlineStr">
        <is>
          <t>Kyrkan</t>
        </is>
      </c>
      <c r="G3133" t="n">
        <v>4.6</v>
      </c>
      <c r="H3133" t="n">
        <v>0</v>
      </c>
      <c r="I3133" t="n">
        <v>0</v>
      </c>
      <c r="J3133" t="n">
        <v>0</v>
      </c>
      <c r="K3133" t="n">
        <v>0</v>
      </c>
      <c r="L3133" t="n">
        <v>0</v>
      </c>
      <c r="M3133" t="n">
        <v>0</v>
      </c>
      <c r="N3133" t="n">
        <v>0</v>
      </c>
      <c r="O3133" t="n">
        <v>0</v>
      </c>
      <c r="P3133" t="n">
        <v>0</v>
      </c>
      <c r="Q3133" t="n">
        <v>0</v>
      </c>
      <c r="R3133" s="2" t="inlineStr"/>
    </row>
    <row r="3134" ht="15" customHeight="1">
      <c r="A3134" t="inlineStr">
        <is>
          <t>A 7471-2023</t>
        </is>
      </c>
      <c r="B3134" s="1" t="n">
        <v>44971.65065972223</v>
      </c>
      <c r="C3134" s="1" t="n">
        <v>45884</v>
      </c>
      <c r="D3134" t="inlineStr">
        <is>
          <t>KALMAR LÄN</t>
        </is>
      </c>
      <c r="E3134" t="inlineStr">
        <is>
          <t>KALMAR</t>
        </is>
      </c>
      <c r="G3134" t="n">
        <v>2.8</v>
      </c>
      <c r="H3134" t="n">
        <v>0</v>
      </c>
      <c r="I3134" t="n">
        <v>0</v>
      </c>
      <c r="J3134" t="n">
        <v>0</v>
      </c>
      <c r="K3134" t="n">
        <v>0</v>
      </c>
      <c r="L3134" t="n">
        <v>0</v>
      </c>
      <c r="M3134" t="n">
        <v>0</v>
      </c>
      <c r="N3134" t="n">
        <v>0</v>
      </c>
      <c r="O3134" t="n">
        <v>0</v>
      </c>
      <c r="P3134" t="n">
        <v>0</v>
      </c>
      <c r="Q3134" t="n">
        <v>0</v>
      </c>
      <c r="R3134" s="2" t="inlineStr"/>
    </row>
    <row r="3135" ht="15" customHeight="1">
      <c r="A3135" t="inlineStr">
        <is>
          <t>A 17157-2022</t>
        </is>
      </c>
      <c r="B3135" s="1" t="n">
        <v>44677</v>
      </c>
      <c r="C3135" s="1" t="n">
        <v>45884</v>
      </c>
      <c r="D3135" t="inlineStr">
        <is>
          <t>KALMAR LÄN</t>
        </is>
      </c>
      <c r="E3135" t="inlineStr">
        <is>
          <t>NYBRO</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12075-2024</t>
        </is>
      </c>
      <c r="B3136" s="1" t="n">
        <v>45377</v>
      </c>
      <c r="C3136" s="1" t="n">
        <v>45884</v>
      </c>
      <c r="D3136" t="inlineStr">
        <is>
          <t>KALMAR LÄN</t>
        </is>
      </c>
      <c r="E3136" t="inlineStr">
        <is>
          <t>VIMMERBY</t>
        </is>
      </c>
      <c r="G3136" t="n">
        <v>3.7</v>
      </c>
      <c r="H3136" t="n">
        <v>0</v>
      </c>
      <c r="I3136" t="n">
        <v>0</v>
      </c>
      <c r="J3136" t="n">
        <v>0</v>
      </c>
      <c r="K3136" t="n">
        <v>0</v>
      </c>
      <c r="L3136" t="n">
        <v>0</v>
      </c>
      <c r="M3136" t="n">
        <v>0</v>
      </c>
      <c r="N3136" t="n">
        <v>0</v>
      </c>
      <c r="O3136" t="n">
        <v>0</v>
      </c>
      <c r="P3136" t="n">
        <v>0</v>
      </c>
      <c r="Q3136" t="n">
        <v>0</v>
      </c>
      <c r="R3136" s="2" t="inlineStr"/>
    </row>
    <row r="3137" ht="15" customHeight="1">
      <c r="A3137" t="inlineStr">
        <is>
          <t>A 29348-2023</t>
        </is>
      </c>
      <c r="B3137" s="1" t="n">
        <v>45106.25025462963</v>
      </c>
      <c r="C3137" s="1" t="n">
        <v>45884</v>
      </c>
      <c r="D3137" t="inlineStr">
        <is>
          <t>KALMAR LÄN</t>
        </is>
      </c>
      <c r="E3137" t="inlineStr">
        <is>
          <t>VIMMERBY</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46684-2023</t>
        </is>
      </c>
      <c r="B3138" s="1" t="n">
        <v>45198.49947916667</v>
      </c>
      <c r="C3138" s="1" t="n">
        <v>45884</v>
      </c>
      <c r="D3138" t="inlineStr">
        <is>
          <t>KALMAR LÄN</t>
        </is>
      </c>
      <c r="E3138" t="inlineStr">
        <is>
          <t>NYBRO</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11791-2024</t>
        </is>
      </c>
      <c r="B3139" s="1" t="n">
        <v>45374.97038194445</v>
      </c>
      <c r="C3139" s="1" t="n">
        <v>45884</v>
      </c>
      <c r="D3139" t="inlineStr">
        <is>
          <t>KALMAR LÄN</t>
        </is>
      </c>
      <c r="E3139" t="inlineStr">
        <is>
          <t>VÄSTERVIK</t>
        </is>
      </c>
      <c r="G3139" t="n">
        <v>3.4</v>
      </c>
      <c r="H3139" t="n">
        <v>0</v>
      </c>
      <c r="I3139" t="n">
        <v>0</v>
      </c>
      <c r="J3139" t="n">
        <v>0</v>
      </c>
      <c r="K3139" t="n">
        <v>0</v>
      </c>
      <c r="L3139" t="n">
        <v>0</v>
      </c>
      <c r="M3139" t="n">
        <v>0</v>
      </c>
      <c r="N3139" t="n">
        <v>0</v>
      </c>
      <c r="O3139" t="n">
        <v>0</v>
      </c>
      <c r="P3139" t="n">
        <v>0</v>
      </c>
      <c r="Q3139" t="n">
        <v>0</v>
      </c>
      <c r="R3139" s="2" t="inlineStr"/>
    </row>
    <row r="3140" ht="15" customHeight="1">
      <c r="A3140" t="inlineStr">
        <is>
          <t>A 6938-2025</t>
        </is>
      </c>
      <c r="B3140" s="1" t="n">
        <v>45701.46288194445</v>
      </c>
      <c r="C3140" s="1" t="n">
        <v>45884</v>
      </c>
      <c r="D3140" t="inlineStr">
        <is>
          <t>KALMAR LÄN</t>
        </is>
      </c>
      <c r="E3140" t="inlineStr">
        <is>
          <t>VÄSTERVIK</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4474-2025</t>
        </is>
      </c>
      <c r="B3141" s="1" t="n">
        <v>45686.62033564815</v>
      </c>
      <c r="C3141" s="1" t="n">
        <v>45884</v>
      </c>
      <c r="D3141" t="inlineStr">
        <is>
          <t>KALMAR LÄN</t>
        </is>
      </c>
      <c r="E3141" t="inlineStr">
        <is>
          <t>MÖNSTERÅS</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15348-2024</t>
        </is>
      </c>
      <c r="B3142" s="1" t="n">
        <v>45400.75738425926</v>
      </c>
      <c r="C3142" s="1" t="n">
        <v>45884</v>
      </c>
      <c r="D3142" t="inlineStr">
        <is>
          <t>KALMAR LÄN</t>
        </is>
      </c>
      <c r="E3142" t="inlineStr">
        <is>
          <t>MÖNSTERÅS</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41958-2024</t>
        </is>
      </c>
      <c r="B3143" s="1" t="n">
        <v>45561</v>
      </c>
      <c r="C3143" s="1" t="n">
        <v>45884</v>
      </c>
      <c r="D3143" t="inlineStr">
        <is>
          <t>KALMAR LÄN</t>
        </is>
      </c>
      <c r="E3143" t="inlineStr">
        <is>
          <t>NYBRO</t>
        </is>
      </c>
      <c r="F3143" t="inlineStr">
        <is>
          <t>Kyrkan</t>
        </is>
      </c>
      <c r="G3143" t="n">
        <v>5</v>
      </c>
      <c r="H3143" t="n">
        <v>0</v>
      </c>
      <c r="I3143" t="n">
        <v>0</v>
      </c>
      <c r="J3143" t="n">
        <v>0</v>
      </c>
      <c r="K3143" t="n">
        <v>0</v>
      </c>
      <c r="L3143" t="n">
        <v>0</v>
      </c>
      <c r="M3143" t="n">
        <v>0</v>
      </c>
      <c r="N3143" t="n">
        <v>0</v>
      </c>
      <c r="O3143" t="n">
        <v>0</v>
      </c>
      <c r="P3143" t="n">
        <v>0</v>
      </c>
      <c r="Q3143" t="n">
        <v>0</v>
      </c>
      <c r="R3143" s="2" t="inlineStr"/>
    </row>
    <row r="3144" ht="15" customHeight="1">
      <c r="A3144" t="inlineStr">
        <is>
          <t>A 28270-2024</t>
        </is>
      </c>
      <c r="B3144" s="1" t="n">
        <v>45477.44527777778</v>
      </c>
      <c r="C3144" s="1" t="n">
        <v>45884</v>
      </c>
      <c r="D3144" t="inlineStr">
        <is>
          <t>KALMAR LÄN</t>
        </is>
      </c>
      <c r="E3144" t="inlineStr">
        <is>
          <t>HULTSFRED</t>
        </is>
      </c>
      <c r="G3144" t="n">
        <v>2.9</v>
      </c>
      <c r="H3144" t="n">
        <v>0</v>
      </c>
      <c r="I3144" t="n">
        <v>0</v>
      </c>
      <c r="J3144" t="n">
        <v>0</v>
      </c>
      <c r="K3144" t="n">
        <v>0</v>
      </c>
      <c r="L3144" t="n">
        <v>0</v>
      </c>
      <c r="M3144" t="n">
        <v>0</v>
      </c>
      <c r="N3144" t="n">
        <v>0</v>
      </c>
      <c r="O3144" t="n">
        <v>0</v>
      </c>
      <c r="P3144" t="n">
        <v>0</v>
      </c>
      <c r="Q3144" t="n">
        <v>0</v>
      </c>
      <c r="R3144" s="2" t="inlineStr"/>
    </row>
    <row r="3145" ht="15" customHeight="1">
      <c r="A3145" t="inlineStr">
        <is>
          <t>A 45640-2024</t>
        </is>
      </c>
      <c r="B3145" s="1" t="n">
        <v>45579.47649305555</v>
      </c>
      <c r="C3145" s="1" t="n">
        <v>45884</v>
      </c>
      <c r="D3145" t="inlineStr">
        <is>
          <t>KALMAR LÄN</t>
        </is>
      </c>
      <c r="E3145" t="inlineStr">
        <is>
          <t>EMMABODA</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45711-2024</t>
        </is>
      </c>
      <c r="B3146" s="1" t="n">
        <v>45579</v>
      </c>
      <c r="C3146" s="1" t="n">
        <v>45884</v>
      </c>
      <c r="D3146" t="inlineStr">
        <is>
          <t>KALMAR LÄN</t>
        </is>
      </c>
      <c r="E3146" t="inlineStr">
        <is>
          <t>NYBRO</t>
        </is>
      </c>
      <c r="G3146" t="n">
        <v>5.6</v>
      </c>
      <c r="H3146" t="n">
        <v>0</v>
      </c>
      <c r="I3146" t="n">
        <v>0</v>
      </c>
      <c r="J3146" t="n">
        <v>0</v>
      </c>
      <c r="K3146" t="n">
        <v>0</v>
      </c>
      <c r="L3146" t="n">
        <v>0</v>
      </c>
      <c r="M3146" t="n">
        <v>0</v>
      </c>
      <c r="N3146" t="n">
        <v>0</v>
      </c>
      <c r="O3146" t="n">
        <v>0</v>
      </c>
      <c r="P3146" t="n">
        <v>0</v>
      </c>
      <c r="Q3146" t="n">
        <v>0</v>
      </c>
      <c r="R3146" s="2" t="inlineStr"/>
    </row>
    <row r="3147" ht="15" customHeight="1">
      <c r="A3147" t="inlineStr">
        <is>
          <t>A 58753-2022</t>
        </is>
      </c>
      <c r="B3147" s="1" t="n">
        <v>44903.33788194445</v>
      </c>
      <c r="C3147" s="1" t="n">
        <v>45884</v>
      </c>
      <c r="D3147" t="inlineStr">
        <is>
          <t>KALMAR LÄN</t>
        </is>
      </c>
      <c r="E3147" t="inlineStr">
        <is>
          <t>HÖGSBY</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58764-2024</t>
        </is>
      </c>
      <c r="B3148" s="1" t="n">
        <v>45635.72293981481</v>
      </c>
      <c r="C3148" s="1" t="n">
        <v>45884</v>
      </c>
      <c r="D3148" t="inlineStr">
        <is>
          <t>KALMAR LÄN</t>
        </is>
      </c>
      <c r="E3148" t="inlineStr">
        <is>
          <t>VÄSTERVIK</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489-2025</t>
        </is>
      </c>
      <c r="B3149" s="1" t="n">
        <v>45664</v>
      </c>
      <c r="C3149" s="1" t="n">
        <v>45884</v>
      </c>
      <c r="D3149" t="inlineStr">
        <is>
          <t>KALMAR LÄN</t>
        </is>
      </c>
      <c r="E3149" t="inlineStr">
        <is>
          <t>NYBRO</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37096-2022</t>
        </is>
      </c>
      <c r="B3150" s="1" t="n">
        <v>44806.50565972222</v>
      </c>
      <c r="C3150" s="1" t="n">
        <v>45884</v>
      </c>
      <c r="D3150" t="inlineStr">
        <is>
          <t>KALMAR LÄN</t>
        </is>
      </c>
      <c r="E3150" t="inlineStr">
        <is>
          <t>MÖNSTERÅS</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41536-2024</t>
        </is>
      </c>
      <c r="B3151" s="1" t="n">
        <v>45560.49635416667</v>
      </c>
      <c r="C3151" s="1" t="n">
        <v>45884</v>
      </c>
      <c r="D3151" t="inlineStr">
        <is>
          <t>KALMAR LÄN</t>
        </is>
      </c>
      <c r="E3151" t="inlineStr">
        <is>
          <t>OSKARSHAMN</t>
        </is>
      </c>
      <c r="G3151" t="n">
        <v>0.4</v>
      </c>
      <c r="H3151" t="n">
        <v>0</v>
      </c>
      <c r="I3151" t="n">
        <v>0</v>
      </c>
      <c r="J3151" t="n">
        <v>0</v>
      </c>
      <c r="K3151" t="n">
        <v>0</v>
      </c>
      <c r="L3151" t="n">
        <v>0</v>
      </c>
      <c r="M3151" t="n">
        <v>0</v>
      </c>
      <c r="N3151" t="n">
        <v>0</v>
      </c>
      <c r="O3151" t="n">
        <v>0</v>
      </c>
      <c r="P3151" t="n">
        <v>0</v>
      </c>
      <c r="Q3151" t="n">
        <v>0</v>
      </c>
      <c r="R3151" s="2" t="inlineStr"/>
    </row>
    <row r="3152" ht="15" customHeight="1">
      <c r="A3152" t="inlineStr">
        <is>
          <t>A 33082-2023</t>
        </is>
      </c>
      <c r="B3152" s="1" t="n">
        <v>45126.475625</v>
      </c>
      <c r="C3152" s="1" t="n">
        <v>45884</v>
      </c>
      <c r="D3152" t="inlineStr">
        <is>
          <t>KALMAR LÄN</t>
        </is>
      </c>
      <c r="E3152" t="inlineStr">
        <is>
          <t>EMMABODA</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35305-2023</t>
        </is>
      </c>
      <c r="B3153" s="1" t="n">
        <v>45146.34890046297</v>
      </c>
      <c r="C3153" s="1" t="n">
        <v>45884</v>
      </c>
      <c r="D3153" t="inlineStr">
        <is>
          <t>KALMAR LÄN</t>
        </is>
      </c>
      <c r="E3153" t="inlineStr">
        <is>
          <t>HULTSFRED</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50458-2022</t>
        </is>
      </c>
      <c r="B3154" s="1" t="n">
        <v>44866.48024305556</v>
      </c>
      <c r="C3154" s="1" t="n">
        <v>45884</v>
      </c>
      <c r="D3154" t="inlineStr">
        <is>
          <t>KALMAR LÄN</t>
        </is>
      </c>
      <c r="E3154" t="inlineStr">
        <is>
          <t>HÖGSBY</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50500-2022</t>
        </is>
      </c>
      <c r="B3155" s="1" t="n">
        <v>44861</v>
      </c>
      <c r="C3155" s="1" t="n">
        <v>45884</v>
      </c>
      <c r="D3155" t="inlineStr">
        <is>
          <t>KALMAR LÄN</t>
        </is>
      </c>
      <c r="E3155" t="inlineStr">
        <is>
          <t>EMMABODA</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31340-2023</t>
        </is>
      </c>
      <c r="B3156" s="1" t="n">
        <v>45114.47895833333</v>
      </c>
      <c r="C3156" s="1" t="n">
        <v>45884</v>
      </c>
      <c r="D3156" t="inlineStr">
        <is>
          <t>KALMAR LÄN</t>
        </is>
      </c>
      <c r="E3156" t="inlineStr">
        <is>
          <t>VIMMERBY</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1787-2025</t>
        </is>
      </c>
      <c r="B3157" s="1" t="n">
        <v>45671.45357638889</v>
      </c>
      <c r="C3157" s="1" t="n">
        <v>45884</v>
      </c>
      <c r="D3157" t="inlineStr">
        <is>
          <t>KALMAR LÄN</t>
        </is>
      </c>
      <c r="E3157" t="inlineStr">
        <is>
          <t>VÄSTERVIK</t>
        </is>
      </c>
      <c r="F3157" t="inlineStr">
        <is>
          <t>Sveaskog</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29186-2024</t>
        </is>
      </c>
      <c r="B3158" s="1" t="n">
        <v>45482.54844907407</v>
      </c>
      <c r="C3158" s="1" t="n">
        <v>45884</v>
      </c>
      <c r="D3158" t="inlineStr">
        <is>
          <t>KALMAR LÄN</t>
        </is>
      </c>
      <c r="E3158" t="inlineStr">
        <is>
          <t>VIMMERBY</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5958-2025</t>
        </is>
      </c>
      <c r="B3159" s="1" t="n">
        <v>45695.48090277778</v>
      </c>
      <c r="C3159" s="1" t="n">
        <v>45884</v>
      </c>
      <c r="D3159" t="inlineStr">
        <is>
          <t>KALMAR LÄN</t>
        </is>
      </c>
      <c r="E3159" t="inlineStr">
        <is>
          <t>TORSÅS</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25403-2023</t>
        </is>
      </c>
      <c r="B3160" s="1" t="n">
        <v>45079</v>
      </c>
      <c r="C3160" s="1" t="n">
        <v>45884</v>
      </c>
      <c r="D3160" t="inlineStr">
        <is>
          <t>KALMAR LÄN</t>
        </is>
      </c>
      <c r="E3160" t="inlineStr">
        <is>
          <t>VÄSTERVIK</t>
        </is>
      </c>
      <c r="G3160" t="n">
        <v>4.3</v>
      </c>
      <c r="H3160" t="n">
        <v>0</v>
      </c>
      <c r="I3160" t="n">
        <v>0</v>
      </c>
      <c r="J3160" t="n">
        <v>0</v>
      </c>
      <c r="K3160" t="n">
        <v>0</v>
      </c>
      <c r="L3160" t="n">
        <v>0</v>
      </c>
      <c r="M3160" t="n">
        <v>0</v>
      </c>
      <c r="N3160" t="n">
        <v>0</v>
      </c>
      <c r="O3160" t="n">
        <v>0</v>
      </c>
      <c r="P3160" t="n">
        <v>0</v>
      </c>
      <c r="Q3160" t="n">
        <v>0</v>
      </c>
      <c r="R3160" s="2" t="inlineStr"/>
    </row>
    <row r="3161" ht="15" customHeight="1">
      <c r="A3161" t="inlineStr">
        <is>
          <t>A 50976-2022</t>
        </is>
      </c>
      <c r="B3161" s="1" t="n">
        <v>44867.83100694444</v>
      </c>
      <c r="C3161" s="1" t="n">
        <v>45884</v>
      </c>
      <c r="D3161" t="inlineStr">
        <is>
          <t>KALMAR LÄN</t>
        </is>
      </c>
      <c r="E3161" t="inlineStr">
        <is>
          <t>NYBRO</t>
        </is>
      </c>
      <c r="G3161" t="n">
        <v>2.8</v>
      </c>
      <c r="H3161" t="n">
        <v>0</v>
      </c>
      <c r="I3161" t="n">
        <v>0</v>
      </c>
      <c r="J3161" t="n">
        <v>0</v>
      </c>
      <c r="K3161" t="n">
        <v>0</v>
      </c>
      <c r="L3161" t="n">
        <v>0</v>
      </c>
      <c r="M3161" t="n">
        <v>0</v>
      </c>
      <c r="N3161" t="n">
        <v>0</v>
      </c>
      <c r="O3161" t="n">
        <v>0</v>
      </c>
      <c r="P3161" t="n">
        <v>0</v>
      </c>
      <c r="Q3161" t="n">
        <v>0</v>
      </c>
      <c r="R3161" s="2" t="inlineStr"/>
    </row>
    <row r="3162" ht="15" customHeight="1">
      <c r="A3162" t="inlineStr">
        <is>
          <t>A 50993-2022</t>
        </is>
      </c>
      <c r="B3162" s="1" t="n">
        <v>44867</v>
      </c>
      <c r="C3162" s="1" t="n">
        <v>45884</v>
      </c>
      <c r="D3162" t="inlineStr">
        <is>
          <t>KALMAR LÄN</t>
        </is>
      </c>
      <c r="E3162" t="inlineStr">
        <is>
          <t>VIMMERBY</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52880-2024</t>
        </is>
      </c>
      <c r="B3163" s="1" t="n">
        <v>45610.63998842592</v>
      </c>
      <c r="C3163" s="1" t="n">
        <v>45884</v>
      </c>
      <c r="D3163" t="inlineStr">
        <is>
          <t>KALMAR LÄN</t>
        </is>
      </c>
      <c r="E3163" t="inlineStr">
        <is>
          <t>HULTSFRED</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46558-2020</t>
        </is>
      </c>
      <c r="B3164" s="1" t="n">
        <v>44095</v>
      </c>
      <c r="C3164" s="1" t="n">
        <v>45884</v>
      </c>
      <c r="D3164" t="inlineStr">
        <is>
          <t>KALMAR LÄN</t>
        </is>
      </c>
      <c r="E3164" t="inlineStr">
        <is>
          <t>EMMABODA</t>
        </is>
      </c>
      <c r="G3164" t="n">
        <v>2.2</v>
      </c>
      <c r="H3164" t="n">
        <v>0</v>
      </c>
      <c r="I3164" t="n">
        <v>0</v>
      </c>
      <c r="J3164" t="n">
        <v>0</v>
      </c>
      <c r="K3164" t="n">
        <v>0</v>
      </c>
      <c r="L3164" t="n">
        <v>0</v>
      </c>
      <c r="M3164" t="n">
        <v>0</v>
      </c>
      <c r="N3164" t="n">
        <v>0</v>
      </c>
      <c r="O3164" t="n">
        <v>0</v>
      </c>
      <c r="P3164" t="n">
        <v>0</v>
      </c>
      <c r="Q3164" t="n">
        <v>0</v>
      </c>
      <c r="R3164" s="2" t="inlineStr"/>
    </row>
    <row r="3165" ht="15" customHeight="1">
      <c r="A3165" t="inlineStr">
        <is>
          <t>A 19395-2023</t>
        </is>
      </c>
      <c r="B3165" s="1" t="n">
        <v>45049</v>
      </c>
      <c r="C3165" s="1" t="n">
        <v>45884</v>
      </c>
      <c r="D3165" t="inlineStr">
        <is>
          <t>KALMAR LÄN</t>
        </is>
      </c>
      <c r="E3165" t="inlineStr">
        <is>
          <t>EMMABODA</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1763-2024</t>
        </is>
      </c>
      <c r="B3166" s="1" t="n">
        <v>45307</v>
      </c>
      <c r="C3166" s="1" t="n">
        <v>45884</v>
      </c>
      <c r="D3166" t="inlineStr">
        <is>
          <t>KALMAR LÄN</t>
        </is>
      </c>
      <c r="E3166" t="inlineStr">
        <is>
          <t>NYBRO</t>
        </is>
      </c>
      <c r="G3166" t="n">
        <v>3.1</v>
      </c>
      <c r="H3166" t="n">
        <v>0</v>
      </c>
      <c r="I3166" t="n">
        <v>0</v>
      </c>
      <c r="J3166" t="n">
        <v>0</v>
      </c>
      <c r="K3166" t="n">
        <v>0</v>
      </c>
      <c r="L3166" t="n">
        <v>0</v>
      </c>
      <c r="M3166" t="n">
        <v>0</v>
      </c>
      <c r="N3166" t="n">
        <v>0</v>
      </c>
      <c r="O3166" t="n">
        <v>0</v>
      </c>
      <c r="P3166" t="n">
        <v>0</v>
      </c>
      <c r="Q3166" t="n">
        <v>0</v>
      </c>
      <c r="R3166" s="2" t="inlineStr"/>
    </row>
    <row r="3167" ht="15" customHeight="1">
      <c r="A3167" t="inlineStr">
        <is>
          <t>A 28380-2024</t>
        </is>
      </c>
      <c r="B3167" s="1" t="n">
        <v>45477.59359953704</v>
      </c>
      <c r="C3167" s="1" t="n">
        <v>45884</v>
      </c>
      <c r="D3167" t="inlineStr">
        <is>
          <t>KALMAR LÄN</t>
        </is>
      </c>
      <c r="E3167" t="inlineStr">
        <is>
          <t>MÖNSTERÅS</t>
        </is>
      </c>
      <c r="G3167" t="n">
        <v>2.6</v>
      </c>
      <c r="H3167" t="n">
        <v>0</v>
      </c>
      <c r="I3167" t="n">
        <v>0</v>
      </c>
      <c r="J3167" t="n">
        <v>0</v>
      </c>
      <c r="K3167" t="n">
        <v>0</v>
      </c>
      <c r="L3167" t="n">
        <v>0</v>
      </c>
      <c r="M3167" t="n">
        <v>0</v>
      </c>
      <c r="N3167" t="n">
        <v>0</v>
      </c>
      <c r="O3167" t="n">
        <v>0</v>
      </c>
      <c r="P3167" t="n">
        <v>0</v>
      </c>
      <c r="Q3167" t="n">
        <v>0</v>
      </c>
      <c r="R3167" s="2" t="inlineStr"/>
    </row>
    <row r="3168" ht="15" customHeight="1">
      <c r="A3168" t="inlineStr">
        <is>
          <t>A 28978-2023</t>
        </is>
      </c>
      <c r="B3168" s="1" t="n">
        <v>45104.61489583334</v>
      </c>
      <c r="C3168" s="1" t="n">
        <v>45884</v>
      </c>
      <c r="D3168" t="inlineStr">
        <is>
          <t>KALMAR LÄN</t>
        </is>
      </c>
      <c r="E3168" t="inlineStr">
        <is>
          <t>KALMAR</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28985-2023</t>
        </is>
      </c>
      <c r="B3169" s="1" t="n">
        <v>45104</v>
      </c>
      <c r="C3169" s="1" t="n">
        <v>45884</v>
      </c>
      <c r="D3169" t="inlineStr">
        <is>
          <t>KALMAR LÄN</t>
        </is>
      </c>
      <c r="E3169" t="inlineStr">
        <is>
          <t>KALMAR</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28390-2024</t>
        </is>
      </c>
      <c r="B3170" s="1" t="n">
        <v>45477</v>
      </c>
      <c r="C3170" s="1" t="n">
        <v>45884</v>
      </c>
      <c r="D3170" t="inlineStr">
        <is>
          <t>KALMAR LÄN</t>
        </is>
      </c>
      <c r="E3170" t="inlineStr">
        <is>
          <t>VÄSTERVIK</t>
        </is>
      </c>
      <c r="F3170" t="inlineStr">
        <is>
          <t>Holmen skog AB</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1853-2024</t>
        </is>
      </c>
      <c r="B3171" s="1" t="n">
        <v>45307.70986111111</v>
      </c>
      <c r="C3171" s="1" t="n">
        <v>45884</v>
      </c>
      <c r="D3171" t="inlineStr">
        <is>
          <t>KALMAR LÄN</t>
        </is>
      </c>
      <c r="E3171" t="inlineStr">
        <is>
          <t>KALMAR</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14544-2024</t>
        </is>
      </c>
      <c r="B3172" s="1" t="n">
        <v>45394.66318287037</v>
      </c>
      <c r="C3172" s="1" t="n">
        <v>45884</v>
      </c>
      <c r="D3172" t="inlineStr">
        <is>
          <t>KALMAR LÄN</t>
        </is>
      </c>
      <c r="E3172" t="inlineStr">
        <is>
          <t>NYBRO</t>
        </is>
      </c>
      <c r="F3172" t="inlineStr">
        <is>
          <t>Kommuner</t>
        </is>
      </c>
      <c r="G3172" t="n">
        <v>2.6</v>
      </c>
      <c r="H3172" t="n">
        <v>0</v>
      </c>
      <c r="I3172" t="n">
        <v>0</v>
      </c>
      <c r="J3172" t="n">
        <v>0</v>
      </c>
      <c r="K3172" t="n">
        <v>0</v>
      </c>
      <c r="L3172" t="n">
        <v>0</v>
      </c>
      <c r="M3172" t="n">
        <v>0</v>
      </c>
      <c r="N3172" t="n">
        <v>0</v>
      </c>
      <c r="O3172" t="n">
        <v>0</v>
      </c>
      <c r="P3172" t="n">
        <v>0</v>
      </c>
      <c r="Q3172" t="n">
        <v>0</v>
      </c>
      <c r="R3172" s="2" t="inlineStr"/>
    </row>
    <row r="3173" ht="15" customHeight="1">
      <c r="A3173" t="inlineStr">
        <is>
          <t>A 14548-2024</t>
        </is>
      </c>
      <c r="B3173" s="1" t="n">
        <v>45394.66887731481</v>
      </c>
      <c r="C3173" s="1" t="n">
        <v>45884</v>
      </c>
      <c r="D3173" t="inlineStr">
        <is>
          <t>KALMAR LÄN</t>
        </is>
      </c>
      <c r="E3173" t="inlineStr">
        <is>
          <t>VIMMERBY</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42076-2024</t>
        </is>
      </c>
      <c r="B3174" s="1" t="n">
        <v>45562.30304398148</v>
      </c>
      <c r="C3174" s="1" t="n">
        <v>45884</v>
      </c>
      <c r="D3174" t="inlineStr">
        <is>
          <t>KALMAR LÄN</t>
        </is>
      </c>
      <c r="E3174" t="inlineStr">
        <is>
          <t>HÖGSBY</t>
        </is>
      </c>
      <c r="F3174" t="inlineStr">
        <is>
          <t>Sveaskog</t>
        </is>
      </c>
      <c r="G3174" t="n">
        <v>3</v>
      </c>
      <c r="H3174" t="n">
        <v>0</v>
      </c>
      <c r="I3174" t="n">
        <v>0</v>
      </c>
      <c r="J3174" t="n">
        <v>0</v>
      </c>
      <c r="K3174" t="n">
        <v>0</v>
      </c>
      <c r="L3174" t="n">
        <v>0</v>
      </c>
      <c r="M3174" t="n">
        <v>0</v>
      </c>
      <c r="N3174" t="n">
        <v>0</v>
      </c>
      <c r="O3174" t="n">
        <v>0</v>
      </c>
      <c r="P3174" t="n">
        <v>0</v>
      </c>
      <c r="Q3174" t="n">
        <v>0</v>
      </c>
      <c r="R3174" s="2" t="inlineStr"/>
    </row>
    <row r="3175" ht="15" customHeight="1">
      <c r="A3175" t="inlineStr">
        <is>
          <t>A 6312-2024</t>
        </is>
      </c>
      <c r="B3175" s="1" t="n">
        <v>45338</v>
      </c>
      <c r="C3175" s="1" t="n">
        <v>45884</v>
      </c>
      <c r="D3175" t="inlineStr">
        <is>
          <t>KALMAR LÄN</t>
        </is>
      </c>
      <c r="E3175" t="inlineStr">
        <is>
          <t>VÄSTERVIK</t>
        </is>
      </c>
      <c r="F3175" t="inlineStr">
        <is>
          <t>Holmen skog AB</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29784-2024</t>
        </is>
      </c>
      <c r="B3176" s="1" t="n">
        <v>45485.46129629629</v>
      </c>
      <c r="C3176" s="1" t="n">
        <v>45884</v>
      </c>
      <c r="D3176" t="inlineStr">
        <is>
          <t>KALMAR LÄN</t>
        </is>
      </c>
      <c r="E3176" t="inlineStr">
        <is>
          <t>VÄSTERVIK</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6306-2024</t>
        </is>
      </c>
      <c r="B3177" s="1" t="n">
        <v>45338.3546412037</v>
      </c>
      <c r="C3177" s="1" t="n">
        <v>45884</v>
      </c>
      <c r="D3177" t="inlineStr">
        <is>
          <t>KALMAR LÄN</t>
        </is>
      </c>
      <c r="E3177" t="inlineStr">
        <is>
          <t>NYBRO</t>
        </is>
      </c>
      <c r="G3177" t="n">
        <v>2.9</v>
      </c>
      <c r="H3177" t="n">
        <v>0</v>
      </c>
      <c r="I3177" t="n">
        <v>0</v>
      </c>
      <c r="J3177" t="n">
        <v>0</v>
      </c>
      <c r="K3177" t="n">
        <v>0</v>
      </c>
      <c r="L3177" t="n">
        <v>0</v>
      </c>
      <c r="M3177" t="n">
        <v>0</v>
      </c>
      <c r="N3177" t="n">
        <v>0</v>
      </c>
      <c r="O3177" t="n">
        <v>0</v>
      </c>
      <c r="P3177" t="n">
        <v>0</v>
      </c>
      <c r="Q3177" t="n">
        <v>0</v>
      </c>
      <c r="R3177" s="2" t="inlineStr"/>
    </row>
    <row r="3178" ht="15" customHeight="1">
      <c r="A3178" t="inlineStr">
        <is>
          <t>A 35708-2024</t>
        </is>
      </c>
      <c r="B3178" s="1" t="n">
        <v>45532.46675925926</v>
      </c>
      <c r="C3178" s="1" t="n">
        <v>45884</v>
      </c>
      <c r="D3178" t="inlineStr">
        <is>
          <t>KALMAR LÄN</t>
        </is>
      </c>
      <c r="E3178" t="inlineStr">
        <is>
          <t>TORSÅS</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59289-2022</t>
        </is>
      </c>
      <c r="B3179" s="1" t="n">
        <v>44904</v>
      </c>
      <c r="C3179" s="1" t="n">
        <v>45884</v>
      </c>
      <c r="D3179" t="inlineStr">
        <is>
          <t>KALMAR LÄN</t>
        </is>
      </c>
      <c r="E3179" t="inlineStr">
        <is>
          <t>MÖNSTERÅS</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46285-2024</t>
        </is>
      </c>
      <c r="B3180" s="1" t="n">
        <v>45581.64787037037</v>
      </c>
      <c r="C3180" s="1" t="n">
        <v>45884</v>
      </c>
      <c r="D3180" t="inlineStr">
        <is>
          <t>KALMAR LÄN</t>
        </is>
      </c>
      <c r="E3180" t="inlineStr">
        <is>
          <t>HÖGSBY</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20051-2025</t>
        </is>
      </c>
      <c r="B3181" s="1" t="n">
        <v>45772.39268518519</v>
      </c>
      <c r="C3181" s="1" t="n">
        <v>45884</v>
      </c>
      <c r="D3181" t="inlineStr">
        <is>
          <t>KALMAR LÄN</t>
        </is>
      </c>
      <c r="E3181" t="inlineStr">
        <is>
          <t>EMMABODA</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29543-2024</t>
        </is>
      </c>
      <c r="B3182" s="1" t="n">
        <v>45484.50075231482</v>
      </c>
      <c r="C3182" s="1" t="n">
        <v>45884</v>
      </c>
      <c r="D3182" t="inlineStr">
        <is>
          <t>KALMAR LÄN</t>
        </is>
      </c>
      <c r="E3182" t="inlineStr">
        <is>
          <t>NYBRO</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48233-2023</t>
        </is>
      </c>
      <c r="B3183" s="1" t="n">
        <v>45205.49876157408</v>
      </c>
      <c r="C3183" s="1" t="n">
        <v>45884</v>
      </c>
      <c r="D3183" t="inlineStr">
        <is>
          <t>KALMAR LÄN</t>
        </is>
      </c>
      <c r="E3183" t="inlineStr">
        <is>
          <t>EMMABODA</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48242-2023</t>
        </is>
      </c>
      <c r="B3184" s="1" t="n">
        <v>45205.50341435185</v>
      </c>
      <c r="C3184" s="1" t="n">
        <v>45884</v>
      </c>
      <c r="D3184" t="inlineStr">
        <is>
          <t>KALMAR LÄN</t>
        </is>
      </c>
      <c r="E3184" t="inlineStr">
        <is>
          <t>KALMAR</t>
        </is>
      </c>
      <c r="G3184" t="n">
        <v>0.3</v>
      </c>
      <c r="H3184" t="n">
        <v>0</v>
      </c>
      <c r="I3184" t="n">
        <v>0</v>
      </c>
      <c r="J3184" t="n">
        <v>0</v>
      </c>
      <c r="K3184" t="n">
        <v>0</v>
      </c>
      <c r="L3184" t="n">
        <v>0</v>
      </c>
      <c r="M3184" t="n">
        <v>0</v>
      </c>
      <c r="N3184" t="n">
        <v>0</v>
      </c>
      <c r="O3184" t="n">
        <v>0</v>
      </c>
      <c r="P3184" t="n">
        <v>0</v>
      </c>
      <c r="Q3184" t="n">
        <v>0</v>
      </c>
      <c r="R3184" s="2" t="inlineStr"/>
    </row>
    <row r="3185" ht="15" customHeight="1">
      <c r="A3185" t="inlineStr">
        <is>
          <t>A 48320-2023</t>
        </is>
      </c>
      <c r="B3185" s="1" t="n">
        <v>45205</v>
      </c>
      <c r="C3185" s="1" t="n">
        <v>45884</v>
      </c>
      <c r="D3185" t="inlineStr">
        <is>
          <t>KALMAR LÄN</t>
        </is>
      </c>
      <c r="E3185" t="inlineStr">
        <is>
          <t>HULTSFRED</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866-2024</t>
        </is>
      </c>
      <c r="B3186" s="1" t="n">
        <v>45301.31474537037</v>
      </c>
      <c r="C3186" s="1" t="n">
        <v>45884</v>
      </c>
      <c r="D3186" t="inlineStr">
        <is>
          <t>KALMAR LÄN</t>
        </is>
      </c>
      <c r="E3186" t="inlineStr">
        <is>
          <t>NYBRO</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867-2024</t>
        </is>
      </c>
      <c r="B3187" s="1" t="n">
        <v>45301.32008101852</v>
      </c>
      <c r="C3187" s="1" t="n">
        <v>45884</v>
      </c>
      <c r="D3187" t="inlineStr">
        <is>
          <t>KALMAR LÄN</t>
        </is>
      </c>
      <c r="E3187" t="inlineStr">
        <is>
          <t>NYBRO</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925-2024</t>
        </is>
      </c>
      <c r="B3188" s="1" t="n">
        <v>45301</v>
      </c>
      <c r="C3188" s="1" t="n">
        <v>45884</v>
      </c>
      <c r="D3188" t="inlineStr">
        <is>
          <t>KALMAR LÄN</t>
        </is>
      </c>
      <c r="E3188" t="inlineStr">
        <is>
          <t>VÄSTERVIK</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16985-2024</t>
        </is>
      </c>
      <c r="B3189" s="1" t="n">
        <v>45412.30461805555</v>
      </c>
      <c r="C3189" s="1" t="n">
        <v>45884</v>
      </c>
      <c r="D3189" t="inlineStr">
        <is>
          <t>KALMAR LÄN</t>
        </is>
      </c>
      <c r="E3189" t="inlineStr">
        <is>
          <t>HULTSFRED</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62733-2021</t>
        </is>
      </c>
      <c r="B3190" s="1" t="n">
        <v>44504.38146990741</v>
      </c>
      <c r="C3190" s="1" t="n">
        <v>45884</v>
      </c>
      <c r="D3190" t="inlineStr">
        <is>
          <t>KALMAR LÄN</t>
        </is>
      </c>
      <c r="E3190" t="inlineStr">
        <is>
          <t>EMMABODA</t>
        </is>
      </c>
      <c r="G3190" t="n">
        <v>4.5</v>
      </c>
      <c r="H3190" t="n">
        <v>0</v>
      </c>
      <c r="I3190" t="n">
        <v>0</v>
      </c>
      <c r="J3190" t="n">
        <v>0</v>
      </c>
      <c r="K3190" t="n">
        <v>0</v>
      </c>
      <c r="L3190" t="n">
        <v>0</v>
      </c>
      <c r="M3190" t="n">
        <v>0</v>
      </c>
      <c r="N3190" t="n">
        <v>0</v>
      </c>
      <c r="O3190" t="n">
        <v>0</v>
      </c>
      <c r="P3190" t="n">
        <v>0</v>
      </c>
      <c r="Q3190" t="n">
        <v>0</v>
      </c>
      <c r="R3190" s="2" t="inlineStr"/>
    </row>
    <row r="3191" ht="15" customHeight="1">
      <c r="A3191" t="inlineStr">
        <is>
          <t>A 6560-2024</t>
        </is>
      </c>
      <c r="B3191" s="1" t="n">
        <v>45341</v>
      </c>
      <c r="C3191" s="1" t="n">
        <v>45884</v>
      </c>
      <c r="D3191" t="inlineStr">
        <is>
          <t>KALMAR LÄN</t>
        </is>
      </c>
      <c r="E3191" t="inlineStr">
        <is>
          <t>HULTSFRED</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6642-2024</t>
        </is>
      </c>
      <c r="B3192" s="1" t="n">
        <v>45341.6575</v>
      </c>
      <c r="C3192" s="1" t="n">
        <v>45884</v>
      </c>
      <c r="D3192" t="inlineStr">
        <is>
          <t>KALMAR LÄN</t>
        </is>
      </c>
      <c r="E3192" t="inlineStr">
        <is>
          <t>KALMAR</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68423-2021</t>
        </is>
      </c>
      <c r="B3193" s="1" t="n">
        <v>44529</v>
      </c>
      <c r="C3193" s="1" t="n">
        <v>45884</v>
      </c>
      <c r="D3193" t="inlineStr">
        <is>
          <t>KALMAR LÄN</t>
        </is>
      </c>
      <c r="E3193" t="inlineStr">
        <is>
          <t>KALMAR</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34285-2022</t>
        </is>
      </c>
      <c r="B3194" s="1" t="n">
        <v>44792.32658564814</v>
      </c>
      <c r="C3194" s="1" t="n">
        <v>45884</v>
      </c>
      <c r="D3194" t="inlineStr">
        <is>
          <t>KALMAR LÄN</t>
        </is>
      </c>
      <c r="E3194" t="inlineStr">
        <is>
          <t>TORSÅS</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64306-2023</t>
        </is>
      </c>
      <c r="B3195" s="1" t="n">
        <v>45280</v>
      </c>
      <c r="C3195" s="1" t="n">
        <v>45884</v>
      </c>
      <c r="D3195" t="inlineStr">
        <is>
          <t>KALMAR LÄN</t>
        </is>
      </c>
      <c r="E3195" t="inlineStr">
        <is>
          <t>HULTSFRED</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64339-2023</t>
        </is>
      </c>
      <c r="B3196" s="1" t="n">
        <v>45280.45199074074</v>
      </c>
      <c r="C3196" s="1" t="n">
        <v>45884</v>
      </c>
      <c r="D3196" t="inlineStr">
        <is>
          <t>KALMAR LÄN</t>
        </is>
      </c>
      <c r="E3196" t="inlineStr">
        <is>
          <t>MÖNSTERÅS</t>
        </is>
      </c>
      <c r="F3196" t="inlineStr">
        <is>
          <t>Övriga Aktiebolag</t>
        </is>
      </c>
      <c r="G3196" t="n">
        <v>3.6</v>
      </c>
      <c r="H3196" t="n">
        <v>0</v>
      </c>
      <c r="I3196" t="n">
        <v>0</v>
      </c>
      <c r="J3196" t="n">
        <v>0</v>
      </c>
      <c r="K3196" t="n">
        <v>0</v>
      </c>
      <c r="L3196" t="n">
        <v>0</v>
      </c>
      <c r="M3196" t="n">
        <v>0</v>
      </c>
      <c r="N3196" t="n">
        <v>0</v>
      </c>
      <c r="O3196" t="n">
        <v>0</v>
      </c>
      <c r="P3196" t="n">
        <v>0</v>
      </c>
      <c r="Q3196" t="n">
        <v>0</v>
      </c>
      <c r="R3196" s="2" t="inlineStr"/>
    </row>
    <row r="3197" ht="15" customHeight="1">
      <c r="A3197" t="inlineStr">
        <is>
          <t>A 19795-2023</t>
        </is>
      </c>
      <c r="B3197" s="1" t="n">
        <v>45051.67450231482</v>
      </c>
      <c r="C3197" s="1" t="n">
        <v>45884</v>
      </c>
      <c r="D3197" t="inlineStr">
        <is>
          <t>KALMAR LÄN</t>
        </is>
      </c>
      <c r="E3197" t="inlineStr">
        <is>
          <t>OSKARSHAMN</t>
        </is>
      </c>
      <c r="F3197" t="inlineStr">
        <is>
          <t>Kommuner</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27488-2024</t>
        </is>
      </c>
      <c r="B3198" s="1" t="n">
        <v>45474.4828587963</v>
      </c>
      <c r="C3198" s="1" t="n">
        <v>45884</v>
      </c>
      <c r="D3198" t="inlineStr">
        <is>
          <t>KALMAR LÄN</t>
        </is>
      </c>
      <c r="E3198" t="inlineStr">
        <is>
          <t>EMMABODA</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34228-2024</t>
        </is>
      </c>
      <c r="B3199" s="1" t="n">
        <v>45524.55950231481</v>
      </c>
      <c r="C3199" s="1" t="n">
        <v>45884</v>
      </c>
      <c r="D3199" t="inlineStr">
        <is>
          <t>KALMAR LÄN</t>
        </is>
      </c>
      <c r="E3199" t="inlineStr">
        <is>
          <t>KALMAR</t>
        </is>
      </c>
      <c r="G3199" t="n">
        <v>4.4</v>
      </c>
      <c r="H3199" t="n">
        <v>0</v>
      </c>
      <c r="I3199" t="n">
        <v>0</v>
      </c>
      <c r="J3199" t="n">
        <v>0</v>
      </c>
      <c r="K3199" t="n">
        <v>0</v>
      </c>
      <c r="L3199" t="n">
        <v>0</v>
      </c>
      <c r="M3199" t="n">
        <v>0</v>
      </c>
      <c r="N3199" t="n">
        <v>0</v>
      </c>
      <c r="O3199" t="n">
        <v>0</v>
      </c>
      <c r="P3199" t="n">
        <v>0</v>
      </c>
      <c r="Q3199" t="n">
        <v>0</v>
      </c>
      <c r="R3199" s="2" t="inlineStr"/>
    </row>
    <row r="3200" ht="15" customHeight="1">
      <c r="A3200" t="inlineStr">
        <is>
          <t>A 585-2024</t>
        </is>
      </c>
      <c r="B3200" s="1" t="n">
        <v>45299.62576388889</v>
      </c>
      <c r="C3200" s="1" t="n">
        <v>45884</v>
      </c>
      <c r="D3200" t="inlineStr">
        <is>
          <t>KALMAR LÄN</t>
        </is>
      </c>
      <c r="E3200" t="inlineStr">
        <is>
          <t>VIMMERBY</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28299-2023</t>
        </is>
      </c>
      <c r="B3201" s="1" t="n">
        <v>45099.64581018518</v>
      </c>
      <c r="C3201" s="1" t="n">
        <v>45884</v>
      </c>
      <c r="D3201" t="inlineStr">
        <is>
          <t>KALMAR LÄN</t>
        </is>
      </c>
      <c r="E3201" t="inlineStr">
        <is>
          <t>KALMAR</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16263-2024</t>
        </is>
      </c>
      <c r="B3202" s="1" t="n">
        <v>45407.32179398148</v>
      </c>
      <c r="C3202" s="1" t="n">
        <v>45884</v>
      </c>
      <c r="D3202" t="inlineStr">
        <is>
          <t>KALMAR LÄN</t>
        </is>
      </c>
      <c r="E3202" t="inlineStr">
        <is>
          <t>TORSÅS</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16268-2024</t>
        </is>
      </c>
      <c r="B3203" s="1" t="n">
        <v>45407.33482638889</v>
      </c>
      <c r="C3203" s="1" t="n">
        <v>45884</v>
      </c>
      <c r="D3203" t="inlineStr">
        <is>
          <t>KALMAR LÄN</t>
        </is>
      </c>
      <c r="E3203" t="inlineStr">
        <is>
          <t>NYBRO</t>
        </is>
      </c>
      <c r="G3203" t="n">
        <v>2.5</v>
      </c>
      <c r="H3203" t="n">
        <v>0</v>
      </c>
      <c r="I3203" t="n">
        <v>0</v>
      </c>
      <c r="J3203" t="n">
        <v>0</v>
      </c>
      <c r="K3203" t="n">
        <v>0</v>
      </c>
      <c r="L3203" t="n">
        <v>0</v>
      </c>
      <c r="M3203" t="n">
        <v>0</v>
      </c>
      <c r="N3203" t="n">
        <v>0</v>
      </c>
      <c r="O3203" t="n">
        <v>0</v>
      </c>
      <c r="P3203" t="n">
        <v>0</v>
      </c>
      <c r="Q3203" t="n">
        <v>0</v>
      </c>
      <c r="R3203" s="2" t="inlineStr"/>
    </row>
    <row r="3204" ht="15" customHeight="1">
      <c r="A3204" t="inlineStr">
        <is>
          <t>A 54942-2022</t>
        </is>
      </c>
      <c r="B3204" s="1" t="n">
        <v>44886</v>
      </c>
      <c r="C3204" s="1" t="n">
        <v>45884</v>
      </c>
      <c r="D3204" t="inlineStr">
        <is>
          <t>KALMAR LÄN</t>
        </is>
      </c>
      <c r="E3204" t="inlineStr">
        <is>
          <t>HÖGSBY</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6823-2025</t>
        </is>
      </c>
      <c r="B3205" s="1" t="n">
        <v>45700</v>
      </c>
      <c r="C3205" s="1" t="n">
        <v>45884</v>
      </c>
      <c r="D3205" t="inlineStr">
        <is>
          <t>KALMAR LÄN</t>
        </is>
      </c>
      <c r="E3205" t="inlineStr">
        <is>
          <t>HÖGSBY</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6824-2025</t>
        </is>
      </c>
      <c r="B3206" s="1" t="n">
        <v>45700</v>
      </c>
      <c r="C3206" s="1" t="n">
        <v>45884</v>
      </c>
      <c r="D3206" t="inlineStr">
        <is>
          <t>KALMAR LÄN</t>
        </is>
      </c>
      <c r="E3206" t="inlineStr">
        <is>
          <t>HÖGSBY</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18134-2024</t>
        </is>
      </c>
      <c r="B3207" s="1" t="n">
        <v>45420</v>
      </c>
      <c r="C3207" s="1" t="n">
        <v>45884</v>
      </c>
      <c r="D3207" t="inlineStr">
        <is>
          <t>KALMAR LÄN</t>
        </is>
      </c>
      <c r="E3207" t="inlineStr">
        <is>
          <t>HULTSFRED</t>
        </is>
      </c>
      <c r="G3207" t="n">
        <v>3.1</v>
      </c>
      <c r="H3207" t="n">
        <v>0</v>
      </c>
      <c r="I3207" t="n">
        <v>0</v>
      </c>
      <c r="J3207" t="n">
        <v>0</v>
      </c>
      <c r="K3207" t="n">
        <v>0</v>
      </c>
      <c r="L3207" t="n">
        <v>0</v>
      </c>
      <c r="M3207" t="n">
        <v>0</v>
      </c>
      <c r="N3207" t="n">
        <v>0</v>
      </c>
      <c r="O3207" t="n">
        <v>0</v>
      </c>
      <c r="P3207" t="n">
        <v>0</v>
      </c>
      <c r="Q3207" t="n">
        <v>0</v>
      </c>
      <c r="R3207" s="2" t="inlineStr"/>
    </row>
    <row r="3208" ht="15" customHeight="1">
      <c r="A3208" t="inlineStr">
        <is>
          <t>A 5104-2024</t>
        </is>
      </c>
      <c r="B3208" s="1" t="n">
        <v>45330</v>
      </c>
      <c r="C3208" s="1" t="n">
        <v>45884</v>
      </c>
      <c r="D3208" t="inlineStr">
        <is>
          <t>KALMAR LÄN</t>
        </is>
      </c>
      <c r="E3208" t="inlineStr">
        <is>
          <t>TORSÅS</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18437-2024</t>
        </is>
      </c>
      <c r="B3209" s="1" t="n">
        <v>45425.44631944445</v>
      </c>
      <c r="C3209" s="1" t="n">
        <v>45884</v>
      </c>
      <c r="D3209" t="inlineStr">
        <is>
          <t>KALMAR LÄN</t>
        </is>
      </c>
      <c r="E3209" t="inlineStr">
        <is>
          <t>TORSÅS</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13525-2025</t>
        </is>
      </c>
      <c r="B3210" s="1" t="n">
        <v>45736.49748842593</v>
      </c>
      <c r="C3210" s="1" t="n">
        <v>45884</v>
      </c>
      <c r="D3210" t="inlineStr">
        <is>
          <t>KALMAR LÄN</t>
        </is>
      </c>
      <c r="E3210" t="inlineStr">
        <is>
          <t>OSKARSHAMN</t>
        </is>
      </c>
      <c r="G3210" t="n">
        <v>3.1</v>
      </c>
      <c r="H3210" t="n">
        <v>0</v>
      </c>
      <c r="I3210" t="n">
        <v>0</v>
      </c>
      <c r="J3210" t="n">
        <v>0</v>
      </c>
      <c r="K3210" t="n">
        <v>0</v>
      </c>
      <c r="L3210" t="n">
        <v>0</v>
      </c>
      <c r="M3210" t="n">
        <v>0</v>
      </c>
      <c r="N3210" t="n">
        <v>0</v>
      </c>
      <c r="O3210" t="n">
        <v>0</v>
      </c>
      <c r="P3210" t="n">
        <v>0</v>
      </c>
      <c r="Q3210" t="n">
        <v>0</v>
      </c>
      <c r="R3210" s="2" t="inlineStr"/>
    </row>
    <row r="3211" ht="15" customHeight="1">
      <c r="A3211" t="inlineStr">
        <is>
          <t>A 24782-2023</t>
        </is>
      </c>
      <c r="B3211" s="1" t="n">
        <v>45084</v>
      </c>
      <c r="C3211" s="1" t="n">
        <v>45884</v>
      </c>
      <c r="D3211" t="inlineStr">
        <is>
          <t>KALMAR LÄN</t>
        </is>
      </c>
      <c r="E3211" t="inlineStr">
        <is>
          <t>EMMABODA</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55993-2024</t>
        </is>
      </c>
      <c r="B3212" s="1" t="n">
        <v>45623.69091435185</v>
      </c>
      <c r="C3212" s="1" t="n">
        <v>45884</v>
      </c>
      <c r="D3212" t="inlineStr">
        <is>
          <t>KALMAR LÄN</t>
        </is>
      </c>
      <c r="E3212" t="inlineStr">
        <is>
          <t>KALMAR</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56020-2024</t>
        </is>
      </c>
      <c r="B3213" s="1" t="n">
        <v>45623.9525462963</v>
      </c>
      <c r="C3213" s="1" t="n">
        <v>45884</v>
      </c>
      <c r="D3213" t="inlineStr">
        <is>
          <t>KALMAR LÄN</t>
        </is>
      </c>
      <c r="E3213" t="inlineStr">
        <is>
          <t>VIMMERBY</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54784-2023</t>
        </is>
      </c>
      <c r="B3214" s="1" t="n">
        <v>45236.4803587963</v>
      </c>
      <c r="C3214" s="1" t="n">
        <v>45884</v>
      </c>
      <c r="D3214" t="inlineStr">
        <is>
          <t>KALMAR LÄN</t>
        </is>
      </c>
      <c r="E3214" t="inlineStr">
        <is>
          <t>VÄSTERVIK</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54787-2023</t>
        </is>
      </c>
      <c r="B3215" s="1" t="n">
        <v>45236</v>
      </c>
      <c r="C3215" s="1" t="n">
        <v>45884</v>
      </c>
      <c r="D3215" t="inlineStr">
        <is>
          <t>KALMAR LÄN</t>
        </is>
      </c>
      <c r="E3215" t="inlineStr">
        <is>
          <t>VIMMERBY</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5578-2023</t>
        </is>
      </c>
      <c r="B3216" s="1" t="n">
        <v>44960.49487268519</v>
      </c>
      <c r="C3216" s="1" t="n">
        <v>45884</v>
      </c>
      <c r="D3216" t="inlineStr">
        <is>
          <t>KALMAR LÄN</t>
        </is>
      </c>
      <c r="E3216" t="inlineStr">
        <is>
          <t>HULTSFRED</t>
        </is>
      </c>
      <c r="F3216" t="inlineStr">
        <is>
          <t>Sveaskog</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50884-2023</t>
        </is>
      </c>
      <c r="B3217" s="1" t="n">
        <v>45218</v>
      </c>
      <c r="C3217" s="1" t="n">
        <v>45884</v>
      </c>
      <c r="D3217" t="inlineStr">
        <is>
          <t>KALMAR LÄN</t>
        </is>
      </c>
      <c r="E3217" t="inlineStr">
        <is>
          <t>HULTSFRED</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11856-2024</t>
        </is>
      </c>
      <c r="B3218" s="1" t="n">
        <v>45376.43302083333</v>
      </c>
      <c r="C3218" s="1" t="n">
        <v>45884</v>
      </c>
      <c r="D3218" t="inlineStr">
        <is>
          <t>KALMAR LÄN</t>
        </is>
      </c>
      <c r="E3218" t="inlineStr">
        <is>
          <t>VÄSTERVIK</t>
        </is>
      </c>
      <c r="F3218" t="inlineStr">
        <is>
          <t>Sveaskog</t>
        </is>
      </c>
      <c r="G3218" t="n">
        <v>3.4</v>
      </c>
      <c r="H3218" t="n">
        <v>0</v>
      </c>
      <c r="I3218" t="n">
        <v>0</v>
      </c>
      <c r="J3218" t="n">
        <v>0</v>
      </c>
      <c r="K3218" t="n">
        <v>0</v>
      </c>
      <c r="L3218" t="n">
        <v>0</v>
      </c>
      <c r="M3218" t="n">
        <v>0</v>
      </c>
      <c r="N3218" t="n">
        <v>0</v>
      </c>
      <c r="O3218" t="n">
        <v>0</v>
      </c>
      <c r="P3218" t="n">
        <v>0</v>
      </c>
      <c r="Q3218" t="n">
        <v>0</v>
      </c>
      <c r="R3218" s="2" t="inlineStr"/>
    </row>
    <row r="3219" ht="15" customHeight="1">
      <c r="A3219" t="inlineStr">
        <is>
          <t>A 32614-2023</t>
        </is>
      </c>
      <c r="B3219" s="1" t="n">
        <v>45121</v>
      </c>
      <c r="C3219" s="1" t="n">
        <v>45884</v>
      </c>
      <c r="D3219" t="inlineStr">
        <is>
          <t>KALMAR LÄN</t>
        </is>
      </c>
      <c r="E3219" t="inlineStr">
        <is>
          <t>VIMMERBY</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5214-2023</t>
        </is>
      </c>
      <c r="B3220" s="1" t="n">
        <v>44959</v>
      </c>
      <c r="C3220" s="1" t="n">
        <v>45884</v>
      </c>
      <c r="D3220" t="inlineStr">
        <is>
          <t>KALMAR LÄN</t>
        </is>
      </c>
      <c r="E3220" t="inlineStr">
        <is>
          <t>NYBRO</t>
        </is>
      </c>
      <c r="G3220" t="n">
        <v>3.4</v>
      </c>
      <c r="H3220" t="n">
        <v>0</v>
      </c>
      <c r="I3220" t="n">
        <v>0</v>
      </c>
      <c r="J3220" t="n">
        <v>0</v>
      </c>
      <c r="K3220" t="n">
        <v>0</v>
      </c>
      <c r="L3220" t="n">
        <v>0</v>
      </c>
      <c r="M3220" t="n">
        <v>0</v>
      </c>
      <c r="N3220" t="n">
        <v>0</v>
      </c>
      <c r="O3220" t="n">
        <v>0</v>
      </c>
      <c r="P3220" t="n">
        <v>0</v>
      </c>
      <c r="Q3220" t="n">
        <v>0</v>
      </c>
      <c r="R3220" s="2" t="inlineStr"/>
    </row>
    <row r="3221" ht="15" customHeight="1">
      <c r="A3221" t="inlineStr">
        <is>
          <t>A 55866-2023</t>
        </is>
      </c>
      <c r="B3221" s="1" t="n">
        <v>45239</v>
      </c>
      <c r="C3221" s="1" t="n">
        <v>45884</v>
      </c>
      <c r="D3221" t="inlineStr">
        <is>
          <t>KALMAR LÄN</t>
        </is>
      </c>
      <c r="E3221" t="inlineStr">
        <is>
          <t>VÄSTERVIK</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16014-2025</t>
        </is>
      </c>
      <c r="B3222" s="1" t="n">
        <v>45749.60484953703</v>
      </c>
      <c r="C3222" s="1" t="n">
        <v>45884</v>
      </c>
      <c r="D3222" t="inlineStr">
        <is>
          <t>KALMAR LÄN</t>
        </is>
      </c>
      <c r="E3222" t="inlineStr">
        <is>
          <t>HÖGSBY</t>
        </is>
      </c>
      <c r="G3222" t="n">
        <v>4.3</v>
      </c>
      <c r="H3222" t="n">
        <v>0</v>
      </c>
      <c r="I3222" t="n">
        <v>0</v>
      </c>
      <c r="J3222" t="n">
        <v>0</v>
      </c>
      <c r="K3222" t="n">
        <v>0</v>
      </c>
      <c r="L3222" t="n">
        <v>0</v>
      </c>
      <c r="M3222" t="n">
        <v>0</v>
      </c>
      <c r="N3222" t="n">
        <v>0</v>
      </c>
      <c r="O3222" t="n">
        <v>0</v>
      </c>
      <c r="P3222" t="n">
        <v>0</v>
      </c>
      <c r="Q3222" t="n">
        <v>0</v>
      </c>
      <c r="R3222" s="2" t="inlineStr"/>
    </row>
    <row r="3223" ht="15" customHeight="1">
      <c r="A3223" t="inlineStr">
        <is>
          <t>A 4074-2024</t>
        </is>
      </c>
      <c r="B3223" s="1" t="n">
        <v>45323</v>
      </c>
      <c r="C3223" s="1" t="n">
        <v>45884</v>
      </c>
      <c r="D3223" t="inlineStr">
        <is>
          <t>KALMAR LÄN</t>
        </is>
      </c>
      <c r="E3223" t="inlineStr">
        <is>
          <t>OSKARSHAMN</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1568-2023</t>
        </is>
      </c>
      <c r="B3224" s="1" t="n">
        <v>44937</v>
      </c>
      <c r="C3224" s="1" t="n">
        <v>45884</v>
      </c>
      <c r="D3224" t="inlineStr">
        <is>
          <t>KALMAR LÄN</t>
        </is>
      </c>
      <c r="E3224" t="inlineStr">
        <is>
          <t>VÄSTERVIK</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56360-2022</t>
        </is>
      </c>
      <c r="B3225" s="1" t="n">
        <v>44890</v>
      </c>
      <c r="C3225" s="1" t="n">
        <v>45884</v>
      </c>
      <c r="D3225" t="inlineStr">
        <is>
          <t>KALMAR LÄN</t>
        </is>
      </c>
      <c r="E3225" t="inlineStr">
        <is>
          <t>TORSÅS</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5949-2024</t>
        </is>
      </c>
      <c r="B3226" s="1" t="n">
        <v>45335</v>
      </c>
      <c r="C3226" s="1" t="n">
        <v>45884</v>
      </c>
      <c r="D3226" t="inlineStr">
        <is>
          <t>KALMAR LÄN</t>
        </is>
      </c>
      <c r="E3226" t="inlineStr">
        <is>
          <t>KALMAR</t>
        </is>
      </c>
      <c r="F3226" t="inlineStr">
        <is>
          <t>Kyrkan</t>
        </is>
      </c>
      <c r="G3226" t="n">
        <v>4.8</v>
      </c>
      <c r="H3226" t="n">
        <v>0</v>
      </c>
      <c r="I3226" t="n">
        <v>0</v>
      </c>
      <c r="J3226" t="n">
        <v>0</v>
      </c>
      <c r="K3226" t="n">
        <v>0</v>
      </c>
      <c r="L3226" t="n">
        <v>0</v>
      </c>
      <c r="M3226" t="n">
        <v>0</v>
      </c>
      <c r="N3226" t="n">
        <v>0</v>
      </c>
      <c r="O3226" t="n">
        <v>0</v>
      </c>
      <c r="P3226" t="n">
        <v>0</v>
      </c>
      <c r="Q3226" t="n">
        <v>0</v>
      </c>
      <c r="R3226" s="2" t="inlineStr"/>
    </row>
    <row r="3227" ht="15" customHeight="1">
      <c r="A3227" t="inlineStr">
        <is>
          <t>A 33065-2023</t>
        </is>
      </c>
      <c r="B3227" s="1" t="n">
        <v>45126</v>
      </c>
      <c r="C3227" s="1" t="n">
        <v>45884</v>
      </c>
      <c r="D3227" t="inlineStr">
        <is>
          <t>KALMAR LÄN</t>
        </is>
      </c>
      <c r="E3227" t="inlineStr">
        <is>
          <t>EMMABODA</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33070-2023</t>
        </is>
      </c>
      <c r="B3228" s="1" t="n">
        <v>45126</v>
      </c>
      <c r="C3228" s="1" t="n">
        <v>45884</v>
      </c>
      <c r="D3228" t="inlineStr">
        <is>
          <t>KALMAR LÄN</t>
        </is>
      </c>
      <c r="E3228" t="inlineStr">
        <is>
          <t>EMMABODA</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53835-2024</t>
        </is>
      </c>
      <c r="B3229" s="1" t="n">
        <v>45615.62094907407</v>
      </c>
      <c r="C3229" s="1" t="n">
        <v>45884</v>
      </c>
      <c r="D3229" t="inlineStr">
        <is>
          <t>KALMAR LÄN</t>
        </is>
      </c>
      <c r="E3229" t="inlineStr">
        <is>
          <t>HULTSFRED</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6850-2023</t>
        </is>
      </c>
      <c r="B3230" s="1" t="n">
        <v>44967.44255787037</v>
      </c>
      <c r="C3230" s="1" t="n">
        <v>45884</v>
      </c>
      <c r="D3230" t="inlineStr">
        <is>
          <t>KALMAR LÄN</t>
        </is>
      </c>
      <c r="E3230" t="inlineStr">
        <is>
          <t>VIMMERBY</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23252-2024</t>
        </is>
      </c>
      <c r="B3231" s="1" t="n">
        <v>45453.36067129629</v>
      </c>
      <c r="C3231" s="1" t="n">
        <v>45884</v>
      </c>
      <c r="D3231" t="inlineStr">
        <is>
          <t>KALMAR LÄN</t>
        </is>
      </c>
      <c r="E3231" t="inlineStr">
        <is>
          <t>VIMMERBY</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12643-2024</t>
        </is>
      </c>
      <c r="B3232" s="1" t="n">
        <v>45379</v>
      </c>
      <c r="C3232" s="1" t="n">
        <v>45884</v>
      </c>
      <c r="D3232" t="inlineStr">
        <is>
          <t>KALMAR LÄN</t>
        </is>
      </c>
      <c r="E3232" t="inlineStr">
        <is>
          <t>VÄSTERVIK</t>
        </is>
      </c>
      <c r="F3232" t="inlineStr">
        <is>
          <t>Kommuner</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38471-2023</t>
        </is>
      </c>
      <c r="B3233" s="1" t="n">
        <v>45162.45815972222</v>
      </c>
      <c r="C3233" s="1" t="n">
        <v>45884</v>
      </c>
      <c r="D3233" t="inlineStr">
        <is>
          <t>KALMAR LÄN</t>
        </is>
      </c>
      <c r="E3233" t="inlineStr">
        <is>
          <t>MÖNSTERÅS</t>
        </is>
      </c>
      <c r="G3233" t="n">
        <v>2.1</v>
      </c>
      <c r="H3233" t="n">
        <v>0</v>
      </c>
      <c r="I3233" t="n">
        <v>0</v>
      </c>
      <c r="J3233" t="n">
        <v>0</v>
      </c>
      <c r="K3233" t="n">
        <v>0</v>
      </c>
      <c r="L3233" t="n">
        <v>0</v>
      </c>
      <c r="M3233" t="n">
        <v>0</v>
      </c>
      <c r="N3233" t="n">
        <v>0</v>
      </c>
      <c r="O3233" t="n">
        <v>0</v>
      </c>
      <c r="P3233" t="n">
        <v>0</v>
      </c>
      <c r="Q3233" t="n">
        <v>0</v>
      </c>
      <c r="R3233" s="2" t="inlineStr"/>
    </row>
    <row r="3234" ht="15" customHeight="1">
      <c r="A3234" t="inlineStr">
        <is>
          <t>A 58707-2022</t>
        </is>
      </c>
      <c r="B3234" s="1" t="n">
        <v>44902.80462962963</v>
      </c>
      <c r="C3234" s="1" t="n">
        <v>45884</v>
      </c>
      <c r="D3234" t="inlineStr">
        <is>
          <t>KALMAR LÄN</t>
        </is>
      </c>
      <c r="E3234" t="inlineStr">
        <is>
          <t>VÄSTERVIK</t>
        </is>
      </c>
      <c r="G3234" t="n">
        <v>2.3</v>
      </c>
      <c r="H3234" t="n">
        <v>0</v>
      </c>
      <c r="I3234" t="n">
        <v>0</v>
      </c>
      <c r="J3234" t="n">
        <v>0</v>
      </c>
      <c r="K3234" t="n">
        <v>0</v>
      </c>
      <c r="L3234" t="n">
        <v>0</v>
      </c>
      <c r="M3234" t="n">
        <v>0</v>
      </c>
      <c r="N3234" t="n">
        <v>0</v>
      </c>
      <c r="O3234" t="n">
        <v>0</v>
      </c>
      <c r="P3234" t="n">
        <v>0</v>
      </c>
      <c r="Q3234" t="n">
        <v>0</v>
      </c>
      <c r="R3234" s="2" t="inlineStr"/>
    </row>
    <row r="3235" ht="15" customHeight="1">
      <c r="A3235" t="inlineStr">
        <is>
          <t>A 58750-2022</t>
        </is>
      </c>
      <c r="B3235" s="1" t="n">
        <v>44903.33363425926</v>
      </c>
      <c r="C3235" s="1" t="n">
        <v>45884</v>
      </c>
      <c r="D3235" t="inlineStr">
        <is>
          <t>KALMAR LÄN</t>
        </is>
      </c>
      <c r="E3235" t="inlineStr">
        <is>
          <t>VIMMERBY</t>
        </is>
      </c>
      <c r="G3235" t="n">
        <v>3.3</v>
      </c>
      <c r="H3235" t="n">
        <v>0</v>
      </c>
      <c r="I3235" t="n">
        <v>0</v>
      </c>
      <c r="J3235" t="n">
        <v>0</v>
      </c>
      <c r="K3235" t="n">
        <v>0</v>
      </c>
      <c r="L3235" t="n">
        <v>0</v>
      </c>
      <c r="M3235" t="n">
        <v>0</v>
      </c>
      <c r="N3235" t="n">
        <v>0</v>
      </c>
      <c r="O3235" t="n">
        <v>0</v>
      </c>
      <c r="P3235" t="n">
        <v>0</v>
      </c>
      <c r="Q3235" t="n">
        <v>0</v>
      </c>
      <c r="R3235" s="2" t="inlineStr"/>
    </row>
    <row r="3236" ht="15" customHeight="1">
      <c r="A3236" t="inlineStr">
        <is>
          <t>A 62385-2023</t>
        </is>
      </c>
      <c r="B3236" s="1" t="n">
        <v>45268</v>
      </c>
      <c r="C3236" s="1" t="n">
        <v>45884</v>
      </c>
      <c r="D3236" t="inlineStr">
        <is>
          <t>KALMAR LÄN</t>
        </is>
      </c>
      <c r="E3236" t="inlineStr">
        <is>
          <t>HÖGSBY</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65144-2020</t>
        </is>
      </c>
      <c r="B3237" s="1" t="n">
        <v>44172</v>
      </c>
      <c r="C3237" s="1" t="n">
        <v>45884</v>
      </c>
      <c r="D3237" t="inlineStr">
        <is>
          <t>KALMAR LÄN</t>
        </is>
      </c>
      <c r="E3237" t="inlineStr">
        <is>
          <t>BORGHOLM</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41531-2023</t>
        </is>
      </c>
      <c r="B3238" s="1" t="n">
        <v>45175</v>
      </c>
      <c r="C3238" s="1" t="n">
        <v>45884</v>
      </c>
      <c r="D3238" t="inlineStr">
        <is>
          <t>KALMAR LÄN</t>
        </is>
      </c>
      <c r="E3238" t="inlineStr">
        <is>
          <t>NYBRO</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30106-2023</t>
        </is>
      </c>
      <c r="B3239" s="1" t="n">
        <v>45110</v>
      </c>
      <c r="C3239" s="1" t="n">
        <v>45884</v>
      </c>
      <c r="D3239" t="inlineStr">
        <is>
          <t>KALMAR LÄN</t>
        </is>
      </c>
      <c r="E3239" t="inlineStr">
        <is>
          <t>OSKARSHAMN</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37858-2023</t>
        </is>
      </c>
      <c r="B3240" s="1" t="n">
        <v>45160.40577546296</v>
      </c>
      <c r="C3240" s="1" t="n">
        <v>45884</v>
      </c>
      <c r="D3240" t="inlineStr">
        <is>
          <t>KALMAR LÄN</t>
        </is>
      </c>
      <c r="E3240" t="inlineStr">
        <is>
          <t>VÄSTERVIK</t>
        </is>
      </c>
      <c r="G3240" t="n">
        <v>3</v>
      </c>
      <c r="H3240" t="n">
        <v>0</v>
      </c>
      <c r="I3240" t="n">
        <v>0</v>
      </c>
      <c r="J3240" t="n">
        <v>0</v>
      </c>
      <c r="K3240" t="n">
        <v>0</v>
      </c>
      <c r="L3240" t="n">
        <v>0</v>
      </c>
      <c r="M3240" t="n">
        <v>0</v>
      </c>
      <c r="N3240" t="n">
        <v>0</v>
      </c>
      <c r="O3240" t="n">
        <v>0</v>
      </c>
      <c r="P3240" t="n">
        <v>0</v>
      </c>
      <c r="Q3240" t="n">
        <v>0</v>
      </c>
      <c r="R3240" s="2" t="inlineStr"/>
    </row>
    <row r="3241" ht="15" customHeight="1">
      <c r="A3241" t="inlineStr">
        <is>
          <t>A 30109-2023</t>
        </is>
      </c>
      <c r="B3241" s="1" t="n">
        <v>45110.47371527777</v>
      </c>
      <c r="C3241" s="1" t="n">
        <v>45884</v>
      </c>
      <c r="D3241" t="inlineStr">
        <is>
          <t>KALMAR LÄN</t>
        </is>
      </c>
      <c r="E3241" t="inlineStr">
        <is>
          <t>OSKARSHAMN</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45202-2023</t>
        </is>
      </c>
      <c r="B3242" s="1" t="n">
        <v>45191</v>
      </c>
      <c r="C3242" s="1" t="n">
        <v>45884</v>
      </c>
      <c r="D3242" t="inlineStr">
        <is>
          <t>KALMAR LÄN</t>
        </is>
      </c>
      <c r="E3242" t="inlineStr">
        <is>
          <t>VÄSTERVIK</t>
        </is>
      </c>
      <c r="F3242" t="inlineStr">
        <is>
          <t>Holmen skog AB</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15550-2023</t>
        </is>
      </c>
      <c r="B3243" s="1" t="n">
        <v>45020</v>
      </c>
      <c r="C3243" s="1" t="n">
        <v>45884</v>
      </c>
      <c r="D3243" t="inlineStr">
        <is>
          <t>KALMAR LÄN</t>
        </is>
      </c>
      <c r="E3243" t="inlineStr">
        <is>
          <t>VIMMERBY</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16324-2023</t>
        </is>
      </c>
      <c r="B3244" s="1" t="n">
        <v>45028</v>
      </c>
      <c r="C3244" s="1" t="n">
        <v>45884</v>
      </c>
      <c r="D3244" t="inlineStr">
        <is>
          <t>KALMAR LÄN</t>
        </is>
      </c>
      <c r="E3244" t="inlineStr">
        <is>
          <t>MÖNSTERÅS</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16338-2023</t>
        </is>
      </c>
      <c r="B3245" s="1" t="n">
        <v>45028.64141203704</v>
      </c>
      <c r="C3245" s="1" t="n">
        <v>45884</v>
      </c>
      <c r="D3245" t="inlineStr">
        <is>
          <t>KALMAR LÄN</t>
        </is>
      </c>
      <c r="E3245" t="inlineStr">
        <is>
          <t>NYBRO</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37235-2024</t>
        </is>
      </c>
      <c r="B3246" s="1" t="n">
        <v>45540.31905092593</v>
      </c>
      <c r="C3246" s="1" t="n">
        <v>45884</v>
      </c>
      <c r="D3246" t="inlineStr">
        <is>
          <t>KALMAR LÄN</t>
        </is>
      </c>
      <c r="E3246" t="inlineStr">
        <is>
          <t>MÖNSTERÅS</t>
        </is>
      </c>
      <c r="G3246" t="n">
        <v>7</v>
      </c>
      <c r="H3246" t="n">
        <v>0</v>
      </c>
      <c r="I3246" t="n">
        <v>0</v>
      </c>
      <c r="J3246" t="n">
        <v>0</v>
      </c>
      <c r="K3246" t="n">
        <v>0</v>
      </c>
      <c r="L3246" t="n">
        <v>0</v>
      </c>
      <c r="M3246" t="n">
        <v>0</v>
      </c>
      <c r="N3246" t="n">
        <v>0</v>
      </c>
      <c r="O3246" t="n">
        <v>0</v>
      </c>
      <c r="P3246" t="n">
        <v>0</v>
      </c>
      <c r="Q3246" t="n">
        <v>0</v>
      </c>
      <c r="R3246" s="2" t="inlineStr"/>
    </row>
    <row r="3247" ht="15" customHeight="1">
      <c r="A3247" t="inlineStr">
        <is>
          <t>A 8807-2024</t>
        </is>
      </c>
      <c r="B3247" s="1" t="n">
        <v>45355</v>
      </c>
      <c r="C3247" s="1" t="n">
        <v>45884</v>
      </c>
      <c r="D3247" t="inlineStr">
        <is>
          <t>KALMAR LÄN</t>
        </is>
      </c>
      <c r="E3247" t="inlineStr">
        <is>
          <t>HULTSFRED</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11219-2023</t>
        </is>
      </c>
      <c r="B3248" s="1" t="n">
        <v>44992.62498842592</v>
      </c>
      <c r="C3248" s="1" t="n">
        <v>45884</v>
      </c>
      <c r="D3248" t="inlineStr">
        <is>
          <t>KALMAR LÄN</t>
        </is>
      </c>
      <c r="E3248" t="inlineStr">
        <is>
          <t>VIMMERBY</t>
        </is>
      </c>
      <c r="G3248" t="n">
        <v>2.5</v>
      </c>
      <c r="H3248" t="n">
        <v>0</v>
      </c>
      <c r="I3248" t="n">
        <v>0</v>
      </c>
      <c r="J3248" t="n">
        <v>0</v>
      </c>
      <c r="K3248" t="n">
        <v>0</v>
      </c>
      <c r="L3248" t="n">
        <v>0</v>
      </c>
      <c r="M3248" t="n">
        <v>0</v>
      </c>
      <c r="N3248" t="n">
        <v>0</v>
      </c>
      <c r="O3248" t="n">
        <v>0</v>
      </c>
      <c r="P3248" t="n">
        <v>0</v>
      </c>
      <c r="Q3248" t="n">
        <v>0</v>
      </c>
      <c r="R3248" s="2" t="inlineStr"/>
    </row>
    <row r="3249" ht="15" customHeight="1">
      <c r="A3249" t="inlineStr">
        <is>
          <t>A 11232-2023</t>
        </is>
      </c>
      <c r="B3249" s="1" t="n">
        <v>44992.63921296296</v>
      </c>
      <c r="C3249" s="1" t="n">
        <v>45884</v>
      </c>
      <c r="D3249" t="inlineStr">
        <is>
          <t>KALMAR LÄN</t>
        </is>
      </c>
      <c r="E3249" t="inlineStr">
        <is>
          <t>HULTSFRED</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18411-2021</t>
        </is>
      </c>
      <c r="B3250" s="1" t="n">
        <v>44302</v>
      </c>
      <c r="C3250" s="1" t="n">
        <v>45884</v>
      </c>
      <c r="D3250" t="inlineStr">
        <is>
          <t>KALMAR LÄN</t>
        </is>
      </c>
      <c r="E3250" t="inlineStr">
        <is>
          <t>VIMMERBY</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47855-2024</t>
        </is>
      </c>
      <c r="B3251" s="1" t="n">
        <v>45588.66457175926</v>
      </c>
      <c r="C3251" s="1" t="n">
        <v>45884</v>
      </c>
      <c r="D3251" t="inlineStr">
        <is>
          <t>KALMAR LÄN</t>
        </is>
      </c>
      <c r="E3251" t="inlineStr">
        <is>
          <t>VIMMERBY</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10830-2025</t>
        </is>
      </c>
      <c r="B3252" s="1" t="n">
        <v>45722.56422453704</v>
      </c>
      <c r="C3252" s="1" t="n">
        <v>45884</v>
      </c>
      <c r="D3252" t="inlineStr">
        <is>
          <t>KALMAR LÄN</t>
        </is>
      </c>
      <c r="E3252" t="inlineStr">
        <is>
          <t>VIMMERBY</t>
        </is>
      </c>
      <c r="G3252" t="n">
        <v>3.4</v>
      </c>
      <c r="H3252" t="n">
        <v>0</v>
      </c>
      <c r="I3252" t="n">
        <v>0</v>
      </c>
      <c r="J3252" t="n">
        <v>0</v>
      </c>
      <c r="K3252" t="n">
        <v>0</v>
      </c>
      <c r="L3252" t="n">
        <v>0</v>
      </c>
      <c r="M3252" t="n">
        <v>0</v>
      </c>
      <c r="N3252" t="n">
        <v>0</v>
      </c>
      <c r="O3252" t="n">
        <v>0</v>
      </c>
      <c r="P3252" t="n">
        <v>0</v>
      </c>
      <c r="Q3252" t="n">
        <v>0</v>
      </c>
      <c r="R3252" s="2" t="inlineStr"/>
    </row>
    <row r="3253" ht="15" customHeight="1">
      <c r="A3253" t="inlineStr">
        <is>
          <t>A 8426-2023</t>
        </is>
      </c>
      <c r="B3253" s="1" t="n">
        <v>44977.45693287037</v>
      </c>
      <c r="C3253" s="1" t="n">
        <v>45884</v>
      </c>
      <c r="D3253" t="inlineStr">
        <is>
          <t>KALMAR LÄN</t>
        </is>
      </c>
      <c r="E3253" t="inlineStr">
        <is>
          <t>TORSÅS</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33939-2022</t>
        </is>
      </c>
      <c r="B3254" s="1" t="n">
        <v>44790.65747685185</v>
      </c>
      <c r="C3254" s="1" t="n">
        <v>45884</v>
      </c>
      <c r="D3254" t="inlineStr">
        <is>
          <t>KALMAR LÄN</t>
        </is>
      </c>
      <c r="E3254" t="inlineStr">
        <is>
          <t>TORSÅS</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11414-2025</t>
        </is>
      </c>
      <c r="B3255" s="1" t="n">
        <v>45726.59443287037</v>
      </c>
      <c r="C3255" s="1" t="n">
        <v>45884</v>
      </c>
      <c r="D3255" t="inlineStr">
        <is>
          <t>KALMAR LÄN</t>
        </is>
      </c>
      <c r="E3255" t="inlineStr">
        <is>
          <t>EMMABODA</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14151-2021</t>
        </is>
      </c>
      <c r="B3256" s="1" t="n">
        <v>44278.41052083333</v>
      </c>
      <c r="C3256" s="1" t="n">
        <v>45884</v>
      </c>
      <c r="D3256" t="inlineStr">
        <is>
          <t>KALMAR LÄN</t>
        </is>
      </c>
      <c r="E3256" t="inlineStr">
        <is>
          <t>VÄSTERVIK</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18592-2025</t>
        </is>
      </c>
      <c r="B3257" s="1" t="n">
        <v>45763</v>
      </c>
      <c r="C3257" s="1" t="n">
        <v>45884</v>
      </c>
      <c r="D3257" t="inlineStr">
        <is>
          <t>KALMAR LÄN</t>
        </is>
      </c>
      <c r="E3257" t="inlineStr">
        <is>
          <t>NYBRO</t>
        </is>
      </c>
      <c r="G3257" t="n">
        <v>7.7</v>
      </c>
      <c r="H3257" t="n">
        <v>0</v>
      </c>
      <c r="I3257" t="n">
        <v>0</v>
      </c>
      <c r="J3257" t="n">
        <v>0</v>
      </c>
      <c r="K3257" t="n">
        <v>0</v>
      </c>
      <c r="L3257" t="n">
        <v>0</v>
      </c>
      <c r="M3257" t="n">
        <v>0</v>
      </c>
      <c r="N3257" t="n">
        <v>0</v>
      </c>
      <c r="O3257" t="n">
        <v>0</v>
      </c>
      <c r="P3257" t="n">
        <v>0</v>
      </c>
      <c r="Q3257" t="n">
        <v>0</v>
      </c>
      <c r="R3257" s="2" t="inlineStr"/>
    </row>
    <row r="3258" ht="15" customHeight="1">
      <c r="A3258" t="inlineStr">
        <is>
          <t>A 61800-2024</t>
        </is>
      </c>
      <c r="B3258" s="1" t="n">
        <v>45649.56231481482</v>
      </c>
      <c r="C3258" s="1" t="n">
        <v>45884</v>
      </c>
      <c r="D3258" t="inlineStr">
        <is>
          <t>KALMAR LÄN</t>
        </is>
      </c>
      <c r="E3258" t="inlineStr">
        <is>
          <t>NYBRO</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61803-2024</t>
        </is>
      </c>
      <c r="B3259" s="1" t="n">
        <v>45649.56582175926</v>
      </c>
      <c r="C3259" s="1" t="n">
        <v>45884</v>
      </c>
      <c r="D3259" t="inlineStr">
        <is>
          <t>KALMAR LÄN</t>
        </is>
      </c>
      <c r="E3259" t="inlineStr">
        <is>
          <t>NYBRO</t>
        </is>
      </c>
      <c r="G3259" t="n">
        <v>4.1</v>
      </c>
      <c r="H3259" t="n">
        <v>0</v>
      </c>
      <c r="I3259" t="n">
        <v>0</v>
      </c>
      <c r="J3259" t="n">
        <v>0</v>
      </c>
      <c r="K3259" t="n">
        <v>0</v>
      </c>
      <c r="L3259" t="n">
        <v>0</v>
      </c>
      <c r="M3259" t="n">
        <v>0</v>
      </c>
      <c r="N3259" t="n">
        <v>0</v>
      </c>
      <c r="O3259" t="n">
        <v>0</v>
      </c>
      <c r="P3259" t="n">
        <v>0</v>
      </c>
      <c r="Q3259" t="n">
        <v>0</v>
      </c>
      <c r="R3259" s="2" t="inlineStr"/>
    </row>
    <row r="3260" ht="15" customHeight="1">
      <c r="A3260" t="inlineStr">
        <is>
          <t>A 53810-2024</t>
        </is>
      </c>
      <c r="B3260" s="1" t="n">
        <v>45615.59752314815</v>
      </c>
      <c r="C3260" s="1" t="n">
        <v>45884</v>
      </c>
      <c r="D3260" t="inlineStr">
        <is>
          <t>KALMAR LÄN</t>
        </is>
      </c>
      <c r="E3260" t="inlineStr">
        <is>
          <t>HULTSFRED</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5755-2023</t>
        </is>
      </c>
      <c r="B3261" s="1" t="n">
        <v>44963.33652777778</v>
      </c>
      <c r="C3261" s="1" t="n">
        <v>45884</v>
      </c>
      <c r="D3261" t="inlineStr">
        <is>
          <t>KALMAR LÄN</t>
        </is>
      </c>
      <c r="E3261" t="inlineStr">
        <is>
          <t>HULTSFRED</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53686-2023</t>
        </is>
      </c>
      <c r="B3262" s="1" t="n">
        <v>45230.63987268518</v>
      </c>
      <c r="C3262" s="1" t="n">
        <v>45884</v>
      </c>
      <c r="D3262" t="inlineStr">
        <is>
          <t>KALMAR LÄN</t>
        </is>
      </c>
      <c r="E3262" t="inlineStr">
        <is>
          <t>EMMABODA</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41158-2023</t>
        </is>
      </c>
      <c r="B3263" s="1" t="n">
        <v>45174.31395833333</v>
      </c>
      <c r="C3263" s="1" t="n">
        <v>45884</v>
      </c>
      <c r="D3263" t="inlineStr">
        <is>
          <t>KALMAR LÄN</t>
        </is>
      </c>
      <c r="E3263" t="inlineStr">
        <is>
          <t>VIMMERBY</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5145-2024</t>
        </is>
      </c>
      <c r="B3264" s="1" t="n">
        <v>45330</v>
      </c>
      <c r="C3264" s="1" t="n">
        <v>45884</v>
      </c>
      <c r="D3264" t="inlineStr">
        <is>
          <t>KALMAR LÄN</t>
        </is>
      </c>
      <c r="E3264" t="inlineStr">
        <is>
          <t>OSKARSHAMN</t>
        </is>
      </c>
      <c r="G3264" t="n">
        <v>3.8</v>
      </c>
      <c r="H3264" t="n">
        <v>0</v>
      </c>
      <c r="I3264" t="n">
        <v>0</v>
      </c>
      <c r="J3264" t="n">
        <v>0</v>
      </c>
      <c r="K3264" t="n">
        <v>0</v>
      </c>
      <c r="L3264" t="n">
        <v>0</v>
      </c>
      <c r="M3264" t="n">
        <v>0</v>
      </c>
      <c r="N3264" t="n">
        <v>0</v>
      </c>
      <c r="O3264" t="n">
        <v>0</v>
      </c>
      <c r="P3264" t="n">
        <v>0</v>
      </c>
      <c r="Q3264" t="n">
        <v>0</v>
      </c>
      <c r="R3264" s="2" t="inlineStr"/>
    </row>
    <row r="3265" ht="15" customHeight="1">
      <c r="A3265" t="inlineStr">
        <is>
          <t>A 172-2022</t>
        </is>
      </c>
      <c r="B3265" s="1" t="n">
        <v>44564.62598379629</v>
      </c>
      <c r="C3265" s="1" t="n">
        <v>45884</v>
      </c>
      <c r="D3265" t="inlineStr">
        <is>
          <t>KALMAR LÄN</t>
        </is>
      </c>
      <c r="E3265" t="inlineStr">
        <is>
          <t>VIMMERBY</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6267-2021</t>
        </is>
      </c>
      <c r="B3266" s="1" t="n">
        <v>44235</v>
      </c>
      <c r="C3266" s="1" t="n">
        <v>45884</v>
      </c>
      <c r="D3266" t="inlineStr">
        <is>
          <t>KALMAR LÄN</t>
        </is>
      </c>
      <c r="E3266" t="inlineStr">
        <is>
          <t>TORSÅS</t>
        </is>
      </c>
      <c r="G3266" t="n">
        <v>3</v>
      </c>
      <c r="H3266" t="n">
        <v>0</v>
      </c>
      <c r="I3266" t="n">
        <v>0</v>
      </c>
      <c r="J3266" t="n">
        <v>0</v>
      </c>
      <c r="K3266" t="n">
        <v>0</v>
      </c>
      <c r="L3266" t="n">
        <v>0</v>
      </c>
      <c r="M3266" t="n">
        <v>0</v>
      </c>
      <c r="N3266" t="n">
        <v>0</v>
      </c>
      <c r="O3266" t="n">
        <v>0</v>
      </c>
      <c r="P3266" t="n">
        <v>0</v>
      </c>
      <c r="Q3266" t="n">
        <v>0</v>
      </c>
      <c r="R3266" s="2" t="inlineStr"/>
    </row>
    <row r="3267" ht="15" customHeight="1">
      <c r="A3267" t="inlineStr">
        <is>
          <t>A 35805-2022</t>
        </is>
      </c>
      <c r="B3267" s="1" t="n">
        <v>44802.30116898148</v>
      </c>
      <c r="C3267" s="1" t="n">
        <v>45884</v>
      </c>
      <c r="D3267" t="inlineStr">
        <is>
          <t>KALMAR LÄN</t>
        </is>
      </c>
      <c r="E3267" t="inlineStr">
        <is>
          <t>MÖNSTERÅS</t>
        </is>
      </c>
      <c r="G3267" t="n">
        <v>12.9</v>
      </c>
      <c r="H3267" t="n">
        <v>0</v>
      </c>
      <c r="I3267" t="n">
        <v>0</v>
      </c>
      <c r="J3267" t="n">
        <v>0</v>
      </c>
      <c r="K3267" t="n">
        <v>0</v>
      </c>
      <c r="L3267" t="n">
        <v>0</v>
      </c>
      <c r="M3267" t="n">
        <v>0</v>
      </c>
      <c r="N3267" t="n">
        <v>0</v>
      </c>
      <c r="O3267" t="n">
        <v>0</v>
      </c>
      <c r="P3267" t="n">
        <v>0</v>
      </c>
      <c r="Q3267" t="n">
        <v>0</v>
      </c>
      <c r="R3267" s="2" t="inlineStr"/>
    </row>
    <row r="3268" ht="15" customHeight="1">
      <c r="A3268" t="inlineStr">
        <is>
          <t>A 51581-2020</t>
        </is>
      </c>
      <c r="B3268" s="1" t="n">
        <v>44109</v>
      </c>
      <c r="C3268" s="1" t="n">
        <v>45884</v>
      </c>
      <c r="D3268" t="inlineStr">
        <is>
          <t>KALMAR LÄN</t>
        </is>
      </c>
      <c r="E3268" t="inlineStr">
        <is>
          <t>HÖGSBY</t>
        </is>
      </c>
      <c r="G3268" t="n">
        <v>8</v>
      </c>
      <c r="H3268" t="n">
        <v>0</v>
      </c>
      <c r="I3268" t="n">
        <v>0</v>
      </c>
      <c r="J3268" t="n">
        <v>0</v>
      </c>
      <c r="K3268" t="n">
        <v>0</v>
      </c>
      <c r="L3268" t="n">
        <v>0</v>
      </c>
      <c r="M3268" t="n">
        <v>0</v>
      </c>
      <c r="N3268" t="n">
        <v>0</v>
      </c>
      <c r="O3268" t="n">
        <v>0</v>
      </c>
      <c r="P3268" t="n">
        <v>0</v>
      </c>
      <c r="Q3268" t="n">
        <v>0</v>
      </c>
      <c r="R3268" s="2" t="inlineStr"/>
    </row>
    <row r="3269" ht="15" customHeight="1">
      <c r="A3269" t="inlineStr">
        <is>
          <t>A 39584-2024</t>
        </is>
      </c>
      <c r="B3269" s="1" t="n">
        <v>45552.36759259259</v>
      </c>
      <c r="C3269" s="1" t="n">
        <v>45884</v>
      </c>
      <c r="D3269" t="inlineStr">
        <is>
          <t>KALMAR LÄN</t>
        </is>
      </c>
      <c r="E3269" t="inlineStr">
        <is>
          <t>VIMMERBY</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18576-2023</t>
        </is>
      </c>
      <c r="B3270" s="1" t="n">
        <v>45043.35755787037</v>
      </c>
      <c r="C3270" s="1" t="n">
        <v>45884</v>
      </c>
      <c r="D3270" t="inlineStr">
        <is>
          <t>KALMAR LÄN</t>
        </is>
      </c>
      <c r="E3270" t="inlineStr">
        <is>
          <t>OSKARSHAMN</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2510-2023</t>
        </is>
      </c>
      <c r="B3271" s="1" t="n">
        <v>44943.57309027778</v>
      </c>
      <c r="C3271" s="1" t="n">
        <v>45884</v>
      </c>
      <c r="D3271" t="inlineStr">
        <is>
          <t>KALMAR LÄN</t>
        </is>
      </c>
      <c r="E3271" t="inlineStr">
        <is>
          <t>VIMMERBY</t>
        </is>
      </c>
      <c r="G3271" t="n">
        <v>8.6</v>
      </c>
      <c r="H3271" t="n">
        <v>0</v>
      </c>
      <c r="I3271" t="n">
        <v>0</v>
      </c>
      <c r="J3271" t="n">
        <v>0</v>
      </c>
      <c r="K3271" t="n">
        <v>0</v>
      </c>
      <c r="L3271" t="n">
        <v>0</v>
      </c>
      <c r="M3271" t="n">
        <v>0</v>
      </c>
      <c r="N3271" t="n">
        <v>0</v>
      </c>
      <c r="O3271" t="n">
        <v>0</v>
      </c>
      <c r="P3271" t="n">
        <v>0</v>
      </c>
      <c r="Q3271" t="n">
        <v>0</v>
      </c>
      <c r="R3271" s="2" t="inlineStr"/>
    </row>
    <row r="3272" ht="15" customHeight="1">
      <c r="A3272" t="inlineStr">
        <is>
          <t>A 42434-2023</t>
        </is>
      </c>
      <c r="B3272" s="1" t="n">
        <v>45180</v>
      </c>
      <c r="C3272" s="1" t="n">
        <v>45884</v>
      </c>
      <c r="D3272" t="inlineStr">
        <is>
          <t>KALMAR LÄN</t>
        </is>
      </c>
      <c r="E3272" t="inlineStr">
        <is>
          <t>HULTSFRED</t>
        </is>
      </c>
      <c r="F3272" t="inlineStr">
        <is>
          <t>Sveaskog</t>
        </is>
      </c>
      <c r="G3272" t="n">
        <v>0.3</v>
      </c>
      <c r="H3272" t="n">
        <v>0</v>
      </c>
      <c r="I3272" t="n">
        <v>0</v>
      </c>
      <c r="J3272" t="n">
        <v>0</v>
      </c>
      <c r="K3272" t="n">
        <v>0</v>
      </c>
      <c r="L3272" t="n">
        <v>0</v>
      </c>
      <c r="M3272" t="n">
        <v>0</v>
      </c>
      <c r="N3272" t="n">
        <v>0</v>
      </c>
      <c r="O3272" t="n">
        <v>0</v>
      </c>
      <c r="P3272" t="n">
        <v>0</v>
      </c>
      <c r="Q3272" t="n">
        <v>0</v>
      </c>
      <c r="R3272" s="2" t="inlineStr"/>
    </row>
    <row r="3273" ht="15" customHeight="1">
      <c r="A3273" t="inlineStr">
        <is>
          <t>A 54745-2024</t>
        </is>
      </c>
      <c r="B3273" s="1" t="n">
        <v>45618.44626157408</v>
      </c>
      <c r="C3273" s="1" t="n">
        <v>45884</v>
      </c>
      <c r="D3273" t="inlineStr">
        <is>
          <t>KALMAR LÄN</t>
        </is>
      </c>
      <c r="E3273" t="inlineStr">
        <is>
          <t>KALMAR</t>
        </is>
      </c>
      <c r="G3273" t="n">
        <v>2.9</v>
      </c>
      <c r="H3273" t="n">
        <v>0</v>
      </c>
      <c r="I3273" t="n">
        <v>0</v>
      </c>
      <c r="J3273" t="n">
        <v>0</v>
      </c>
      <c r="K3273" t="n">
        <v>0</v>
      </c>
      <c r="L3273" t="n">
        <v>0</v>
      </c>
      <c r="M3273" t="n">
        <v>0</v>
      </c>
      <c r="N3273" t="n">
        <v>0</v>
      </c>
      <c r="O3273" t="n">
        <v>0</v>
      </c>
      <c r="P3273" t="n">
        <v>0</v>
      </c>
      <c r="Q3273" t="n">
        <v>0</v>
      </c>
      <c r="R3273" s="2" t="inlineStr"/>
    </row>
    <row r="3274" ht="15" customHeight="1">
      <c r="A3274" t="inlineStr">
        <is>
          <t>A 45755-2022</t>
        </is>
      </c>
      <c r="B3274" s="1" t="n">
        <v>44846</v>
      </c>
      <c r="C3274" s="1" t="n">
        <v>45884</v>
      </c>
      <c r="D3274" t="inlineStr">
        <is>
          <t>KALMAR LÄN</t>
        </is>
      </c>
      <c r="E3274" t="inlineStr">
        <is>
          <t>KALMAR</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7210-2025</t>
        </is>
      </c>
      <c r="B3275" s="1" t="n">
        <v>45702.47150462963</v>
      </c>
      <c r="C3275" s="1" t="n">
        <v>45884</v>
      </c>
      <c r="D3275" t="inlineStr">
        <is>
          <t>KALMAR LÄN</t>
        </is>
      </c>
      <c r="E3275" t="inlineStr">
        <is>
          <t>HULTSFRED</t>
        </is>
      </c>
      <c r="F3275" t="inlineStr">
        <is>
          <t>Sveaskog</t>
        </is>
      </c>
      <c r="G3275" t="n">
        <v>4.5</v>
      </c>
      <c r="H3275" t="n">
        <v>0</v>
      </c>
      <c r="I3275" t="n">
        <v>0</v>
      </c>
      <c r="J3275" t="n">
        <v>0</v>
      </c>
      <c r="K3275" t="n">
        <v>0</v>
      </c>
      <c r="L3275" t="n">
        <v>0</v>
      </c>
      <c r="M3275" t="n">
        <v>0</v>
      </c>
      <c r="N3275" t="n">
        <v>0</v>
      </c>
      <c r="O3275" t="n">
        <v>0</v>
      </c>
      <c r="P3275" t="n">
        <v>0</v>
      </c>
      <c r="Q3275" t="n">
        <v>0</v>
      </c>
      <c r="R3275" s="2" t="inlineStr"/>
    </row>
    <row r="3276" ht="15" customHeight="1">
      <c r="A3276" t="inlineStr">
        <is>
          <t>A 16613-2025</t>
        </is>
      </c>
      <c r="B3276" s="1" t="n">
        <v>45754.24792824074</v>
      </c>
      <c r="C3276" s="1" t="n">
        <v>45884</v>
      </c>
      <c r="D3276" t="inlineStr">
        <is>
          <t>KALMAR LÄN</t>
        </is>
      </c>
      <c r="E3276" t="inlineStr">
        <is>
          <t>OSKARSHAMN</t>
        </is>
      </c>
      <c r="G3276" t="n">
        <v>9.6</v>
      </c>
      <c r="H3276" t="n">
        <v>0</v>
      </c>
      <c r="I3276" t="n">
        <v>0</v>
      </c>
      <c r="J3276" t="n">
        <v>0</v>
      </c>
      <c r="K3276" t="n">
        <v>0</v>
      </c>
      <c r="L3276" t="n">
        <v>0</v>
      </c>
      <c r="M3276" t="n">
        <v>0</v>
      </c>
      <c r="N3276" t="n">
        <v>0</v>
      </c>
      <c r="O3276" t="n">
        <v>0</v>
      </c>
      <c r="P3276" t="n">
        <v>0</v>
      </c>
      <c r="Q3276" t="n">
        <v>0</v>
      </c>
      <c r="R3276" s="2" t="inlineStr"/>
    </row>
    <row r="3277" ht="15" customHeight="1">
      <c r="A3277" t="inlineStr">
        <is>
          <t>A 24881-2023</t>
        </is>
      </c>
      <c r="B3277" s="1" t="n">
        <v>45085</v>
      </c>
      <c r="C3277" s="1" t="n">
        <v>45884</v>
      </c>
      <c r="D3277" t="inlineStr">
        <is>
          <t>KALMAR LÄN</t>
        </is>
      </c>
      <c r="E3277" t="inlineStr">
        <is>
          <t>VÄSTERVIK</t>
        </is>
      </c>
      <c r="F3277" t="inlineStr">
        <is>
          <t>Holmen skog AB</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10954-2024</t>
        </is>
      </c>
      <c r="B3278" s="1" t="n">
        <v>45370.48122685185</v>
      </c>
      <c r="C3278" s="1" t="n">
        <v>45884</v>
      </c>
      <c r="D3278" t="inlineStr">
        <is>
          <t>KALMAR LÄN</t>
        </is>
      </c>
      <c r="E3278" t="inlineStr">
        <is>
          <t>HÖGSBY</t>
        </is>
      </c>
      <c r="F3278" t="inlineStr">
        <is>
          <t>Sveaskog</t>
        </is>
      </c>
      <c r="G3278" t="n">
        <v>4.7</v>
      </c>
      <c r="H3278" t="n">
        <v>0</v>
      </c>
      <c r="I3278" t="n">
        <v>0</v>
      </c>
      <c r="J3278" t="n">
        <v>0</v>
      </c>
      <c r="K3278" t="n">
        <v>0</v>
      </c>
      <c r="L3278" t="n">
        <v>0</v>
      </c>
      <c r="M3278" t="n">
        <v>0</v>
      </c>
      <c r="N3278" t="n">
        <v>0</v>
      </c>
      <c r="O3278" t="n">
        <v>0</v>
      </c>
      <c r="P3278" t="n">
        <v>0</v>
      </c>
      <c r="Q3278" t="n">
        <v>0</v>
      </c>
      <c r="R3278" s="2" t="inlineStr"/>
    </row>
    <row r="3279" ht="15" customHeight="1">
      <c r="A3279" t="inlineStr">
        <is>
          <t>A 20459-2025</t>
        </is>
      </c>
      <c r="B3279" s="1" t="n">
        <v>45775</v>
      </c>
      <c r="C3279" s="1" t="n">
        <v>45884</v>
      </c>
      <c r="D3279" t="inlineStr">
        <is>
          <t>KALMAR LÄN</t>
        </is>
      </c>
      <c r="E3279" t="inlineStr">
        <is>
          <t>NYBRO</t>
        </is>
      </c>
      <c r="F3279" t="inlineStr">
        <is>
          <t>Kommuner</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35522-2022</t>
        </is>
      </c>
      <c r="B3280" s="1" t="n">
        <v>44799.28053240741</v>
      </c>
      <c r="C3280" s="1" t="n">
        <v>45884</v>
      </c>
      <c r="D3280" t="inlineStr">
        <is>
          <t>KALMAR LÄN</t>
        </is>
      </c>
      <c r="E3280" t="inlineStr">
        <is>
          <t>EMMABODA</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42567-2022</t>
        </is>
      </c>
      <c r="B3281" s="1" t="n">
        <v>44831.66966435185</v>
      </c>
      <c r="C3281" s="1" t="n">
        <v>45884</v>
      </c>
      <c r="D3281" t="inlineStr">
        <is>
          <t>KALMAR LÄN</t>
        </is>
      </c>
      <c r="E3281" t="inlineStr">
        <is>
          <t>HULTSFRED</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8337-2023</t>
        </is>
      </c>
      <c r="B3282" s="1" t="n">
        <v>44975.87836805556</v>
      </c>
      <c r="C3282" s="1" t="n">
        <v>45884</v>
      </c>
      <c r="D3282" t="inlineStr">
        <is>
          <t>KALMAR LÄN</t>
        </is>
      </c>
      <c r="E3282" t="inlineStr">
        <is>
          <t>HULTSFRED</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37996-2021</t>
        </is>
      </c>
      <c r="B3283" s="1" t="n">
        <v>44404</v>
      </c>
      <c r="C3283" s="1" t="n">
        <v>45884</v>
      </c>
      <c r="D3283" t="inlineStr">
        <is>
          <t>KALMAR LÄN</t>
        </is>
      </c>
      <c r="E3283" t="inlineStr">
        <is>
          <t>EMMABODA</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39982-2024</t>
        </is>
      </c>
      <c r="B3284" s="1" t="n">
        <v>45553.61355324074</v>
      </c>
      <c r="C3284" s="1" t="n">
        <v>45884</v>
      </c>
      <c r="D3284" t="inlineStr">
        <is>
          <t>KALMAR LÄN</t>
        </is>
      </c>
      <c r="E3284" t="inlineStr">
        <is>
          <t>VÄSTERVIK</t>
        </is>
      </c>
      <c r="G3284" t="n">
        <v>2.1</v>
      </c>
      <c r="H3284" t="n">
        <v>0</v>
      </c>
      <c r="I3284" t="n">
        <v>0</v>
      </c>
      <c r="J3284" t="n">
        <v>0</v>
      </c>
      <c r="K3284" t="n">
        <v>0</v>
      </c>
      <c r="L3284" t="n">
        <v>0</v>
      </c>
      <c r="M3284" t="n">
        <v>0</v>
      </c>
      <c r="N3284" t="n">
        <v>0</v>
      </c>
      <c r="O3284" t="n">
        <v>0</v>
      </c>
      <c r="P3284" t="n">
        <v>0</v>
      </c>
      <c r="Q3284" t="n">
        <v>0</v>
      </c>
      <c r="R3284" s="2" t="inlineStr"/>
    </row>
    <row r="3285" ht="15" customHeight="1">
      <c r="A3285" t="inlineStr">
        <is>
          <t>A 22316-2024</t>
        </is>
      </c>
      <c r="B3285" s="1" t="n">
        <v>45446.57478009259</v>
      </c>
      <c r="C3285" s="1" t="n">
        <v>45884</v>
      </c>
      <c r="D3285" t="inlineStr">
        <is>
          <t>KALMAR LÄN</t>
        </is>
      </c>
      <c r="E3285" t="inlineStr">
        <is>
          <t>NYBRO</t>
        </is>
      </c>
      <c r="F3285" t="inlineStr">
        <is>
          <t>Sveaskog</t>
        </is>
      </c>
      <c r="G3285" t="n">
        <v>3</v>
      </c>
      <c r="H3285" t="n">
        <v>0</v>
      </c>
      <c r="I3285" t="n">
        <v>0</v>
      </c>
      <c r="J3285" t="n">
        <v>0</v>
      </c>
      <c r="K3285" t="n">
        <v>0</v>
      </c>
      <c r="L3285" t="n">
        <v>0</v>
      </c>
      <c r="M3285" t="n">
        <v>0</v>
      </c>
      <c r="N3285" t="n">
        <v>0</v>
      </c>
      <c r="O3285" t="n">
        <v>0</v>
      </c>
      <c r="P3285" t="n">
        <v>0</v>
      </c>
      <c r="Q3285" t="n">
        <v>0</v>
      </c>
      <c r="R3285" s="2" t="inlineStr"/>
    </row>
    <row r="3286" ht="15" customHeight="1">
      <c r="A3286" t="inlineStr">
        <is>
          <t>A 53309-2024</t>
        </is>
      </c>
      <c r="B3286" s="1" t="n">
        <v>45614.3915625</v>
      </c>
      <c r="C3286" s="1" t="n">
        <v>45884</v>
      </c>
      <c r="D3286" t="inlineStr">
        <is>
          <t>KALMAR LÄN</t>
        </is>
      </c>
      <c r="E3286" t="inlineStr">
        <is>
          <t>OSKARSHAMN</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53337-2024</t>
        </is>
      </c>
      <c r="B3287" s="1" t="n">
        <v>45614.42900462963</v>
      </c>
      <c r="C3287" s="1" t="n">
        <v>45884</v>
      </c>
      <c r="D3287" t="inlineStr">
        <is>
          <t>KALMAR LÄN</t>
        </is>
      </c>
      <c r="E3287" t="inlineStr">
        <is>
          <t>TORSÅS</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16552-2021</t>
        </is>
      </c>
      <c r="B3288" s="1" t="n">
        <v>44293.75581018518</v>
      </c>
      <c r="C3288" s="1" t="n">
        <v>45884</v>
      </c>
      <c r="D3288" t="inlineStr">
        <is>
          <t>KALMAR LÄN</t>
        </is>
      </c>
      <c r="E3288" t="inlineStr">
        <is>
          <t>TORSÅS</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37060-2023</t>
        </is>
      </c>
      <c r="B3289" s="1" t="n">
        <v>45155</v>
      </c>
      <c r="C3289" s="1" t="n">
        <v>45884</v>
      </c>
      <c r="D3289" t="inlineStr">
        <is>
          <t>KALMAR LÄN</t>
        </is>
      </c>
      <c r="E3289" t="inlineStr">
        <is>
          <t>EMMABODA</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32264-2024</t>
        </is>
      </c>
      <c r="B3290" s="1" t="n">
        <v>45512.32738425926</v>
      </c>
      <c r="C3290" s="1" t="n">
        <v>45884</v>
      </c>
      <c r="D3290" t="inlineStr">
        <is>
          <t>KALMAR LÄN</t>
        </is>
      </c>
      <c r="E3290" t="inlineStr">
        <is>
          <t>NYBRO</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52610-2023</t>
        </is>
      </c>
      <c r="B3291" s="1" t="n">
        <v>45225.62575231482</v>
      </c>
      <c r="C3291" s="1" t="n">
        <v>45884</v>
      </c>
      <c r="D3291" t="inlineStr">
        <is>
          <t>KALMAR LÄN</t>
        </is>
      </c>
      <c r="E3291" t="inlineStr">
        <is>
          <t>EMMABODA</t>
        </is>
      </c>
      <c r="G3291" t="n">
        <v>2.3</v>
      </c>
      <c r="H3291" t="n">
        <v>0</v>
      </c>
      <c r="I3291" t="n">
        <v>0</v>
      </c>
      <c r="J3291" t="n">
        <v>0</v>
      </c>
      <c r="K3291" t="n">
        <v>0</v>
      </c>
      <c r="L3291" t="n">
        <v>0</v>
      </c>
      <c r="M3291" t="n">
        <v>0</v>
      </c>
      <c r="N3291" t="n">
        <v>0</v>
      </c>
      <c r="O3291" t="n">
        <v>0</v>
      </c>
      <c r="P3291" t="n">
        <v>0</v>
      </c>
      <c r="Q3291" t="n">
        <v>0</v>
      </c>
      <c r="R3291" s="2" t="inlineStr"/>
    </row>
    <row r="3292" ht="15" customHeight="1">
      <c r="A3292" t="inlineStr">
        <is>
          <t>A 27419-2022</t>
        </is>
      </c>
      <c r="B3292" s="1" t="n">
        <v>44742</v>
      </c>
      <c r="C3292" s="1" t="n">
        <v>45884</v>
      </c>
      <c r="D3292" t="inlineStr">
        <is>
          <t>KALMAR LÄN</t>
        </is>
      </c>
      <c r="E3292" t="inlineStr">
        <is>
          <t>NYBRO</t>
        </is>
      </c>
      <c r="G3292" t="n">
        <v>2.2</v>
      </c>
      <c r="H3292" t="n">
        <v>0</v>
      </c>
      <c r="I3292" t="n">
        <v>0</v>
      </c>
      <c r="J3292" t="n">
        <v>0</v>
      </c>
      <c r="K3292" t="n">
        <v>0</v>
      </c>
      <c r="L3292" t="n">
        <v>0</v>
      </c>
      <c r="M3292" t="n">
        <v>0</v>
      </c>
      <c r="N3292" t="n">
        <v>0</v>
      </c>
      <c r="O3292" t="n">
        <v>0</v>
      </c>
      <c r="P3292" t="n">
        <v>0</v>
      </c>
      <c r="Q3292" t="n">
        <v>0</v>
      </c>
      <c r="R3292" s="2" t="inlineStr"/>
    </row>
    <row r="3293" ht="15" customHeight="1">
      <c r="A3293" t="inlineStr">
        <is>
          <t>A 14058-2021</t>
        </is>
      </c>
      <c r="B3293" s="1" t="n">
        <v>44277</v>
      </c>
      <c r="C3293" s="1" t="n">
        <v>45884</v>
      </c>
      <c r="D3293" t="inlineStr">
        <is>
          <t>KALMAR LÄN</t>
        </is>
      </c>
      <c r="E3293" t="inlineStr">
        <is>
          <t>KALMAR</t>
        </is>
      </c>
      <c r="G3293" t="n">
        <v>4.3</v>
      </c>
      <c r="H3293" t="n">
        <v>0</v>
      </c>
      <c r="I3293" t="n">
        <v>0</v>
      </c>
      <c r="J3293" t="n">
        <v>0</v>
      </c>
      <c r="K3293" t="n">
        <v>0</v>
      </c>
      <c r="L3293" t="n">
        <v>0</v>
      </c>
      <c r="M3293" t="n">
        <v>0</v>
      </c>
      <c r="N3293" t="n">
        <v>0</v>
      </c>
      <c r="O3293" t="n">
        <v>0</v>
      </c>
      <c r="P3293" t="n">
        <v>0</v>
      </c>
      <c r="Q3293" t="n">
        <v>0</v>
      </c>
      <c r="R3293" s="2" t="inlineStr"/>
    </row>
    <row r="3294" ht="15" customHeight="1">
      <c r="A3294" t="inlineStr">
        <is>
          <t>A 35667-2023</t>
        </is>
      </c>
      <c r="B3294" s="1" t="n">
        <v>45147.60667824074</v>
      </c>
      <c r="C3294" s="1" t="n">
        <v>45884</v>
      </c>
      <c r="D3294" t="inlineStr">
        <is>
          <t>KALMAR LÄN</t>
        </is>
      </c>
      <c r="E3294" t="inlineStr">
        <is>
          <t>VÄSTERVIK</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49330-2022</t>
        </is>
      </c>
      <c r="B3295" s="1" t="n">
        <v>44861.54428240741</v>
      </c>
      <c r="C3295" s="1" t="n">
        <v>45884</v>
      </c>
      <c r="D3295" t="inlineStr">
        <is>
          <t>KALMAR LÄN</t>
        </is>
      </c>
      <c r="E3295" t="inlineStr">
        <is>
          <t>TORSÅS</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21644-2023</t>
        </is>
      </c>
      <c r="B3296" s="1" t="n">
        <v>45063</v>
      </c>
      <c r="C3296" s="1" t="n">
        <v>45884</v>
      </c>
      <c r="D3296" t="inlineStr">
        <is>
          <t>KALMAR LÄN</t>
        </is>
      </c>
      <c r="E3296" t="inlineStr">
        <is>
          <t>EMMABODA</t>
        </is>
      </c>
      <c r="F3296" t="inlineStr">
        <is>
          <t>Sveaskog</t>
        </is>
      </c>
      <c r="G3296" t="n">
        <v>6.3</v>
      </c>
      <c r="H3296" t="n">
        <v>0</v>
      </c>
      <c r="I3296" t="n">
        <v>0</v>
      </c>
      <c r="J3296" t="n">
        <v>0</v>
      </c>
      <c r="K3296" t="n">
        <v>0</v>
      </c>
      <c r="L3296" t="n">
        <v>0</v>
      </c>
      <c r="M3296" t="n">
        <v>0</v>
      </c>
      <c r="N3296" t="n">
        <v>0</v>
      </c>
      <c r="O3296" t="n">
        <v>0</v>
      </c>
      <c r="P3296" t="n">
        <v>0</v>
      </c>
      <c r="Q3296" t="n">
        <v>0</v>
      </c>
      <c r="R3296" s="2" t="inlineStr"/>
    </row>
    <row r="3297" ht="15" customHeight="1">
      <c r="A3297" t="inlineStr">
        <is>
          <t>A 7758-2024</t>
        </is>
      </c>
      <c r="B3297" s="1" t="n">
        <v>45349.54434027777</v>
      </c>
      <c r="C3297" s="1" t="n">
        <v>45884</v>
      </c>
      <c r="D3297" t="inlineStr">
        <is>
          <t>KALMAR LÄN</t>
        </is>
      </c>
      <c r="E3297" t="inlineStr">
        <is>
          <t>VIMMERBY</t>
        </is>
      </c>
      <c r="G3297" t="n">
        <v>3.5</v>
      </c>
      <c r="H3297" t="n">
        <v>0</v>
      </c>
      <c r="I3297" t="n">
        <v>0</v>
      </c>
      <c r="J3297" t="n">
        <v>0</v>
      </c>
      <c r="K3297" t="n">
        <v>0</v>
      </c>
      <c r="L3297" t="n">
        <v>0</v>
      </c>
      <c r="M3297" t="n">
        <v>0</v>
      </c>
      <c r="N3297" t="n">
        <v>0</v>
      </c>
      <c r="O3297" t="n">
        <v>0</v>
      </c>
      <c r="P3297" t="n">
        <v>0</v>
      </c>
      <c r="Q3297" t="n">
        <v>0</v>
      </c>
      <c r="R3297" s="2" t="inlineStr"/>
    </row>
    <row r="3298" ht="15" customHeight="1">
      <c r="A3298" t="inlineStr">
        <is>
          <t>A 28895-2023</t>
        </is>
      </c>
      <c r="B3298" s="1" t="n">
        <v>45104</v>
      </c>
      <c r="C3298" s="1" t="n">
        <v>45884</v>
      </c>
      <c r="D3298" t="inlineStr">
        <is>
          <t>KALMAR LÄN</t>
        </is>
      </c>
      <c r="E3298" t="inlineStr">
        <is>
          <t>VÄSTERVIK</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25488-2023</t>
        </is>
      </c>
      <c r="B3299" s="1" t="n">
        <v>45089</v>
      </c>
      <c r="C3299" s="1" t="n">
        <v>45884</v>
      </c>
      <c r="D3299" t="inlineStr">
        <is>
          <t>KALMAR LÄN</t>
        </is>
      </c>
      <c r="E3299" t="inlineStr">
        <is>
          <t>VÄSTERVIK</t>
        </is>
      </c>
      <c r="G3299" t="n">
        <v>2.3</v>
      </c>
      <c r="H3299" t="n">
        <v>0</v>
      </c>
      <c r="I3299" t="n">
        <v>0</v>
      </c>
      <c r="J3299" t="n">
        <v>0</v>
      </c>
      <c r="K3299" t="n">
        <v>0</v>
      </c>
      <c r="L3299" t="n">
        <v>0</v>
      </c>
      <c r="M3299" t="n">
        <v>0</v>
      </c>
      <c r="N3299" t="n">
        <v>0</v>
      </c>
      <c r="O3299" t="n">
        <v>0</v>
      </c>
      <c r="P3299" t="n">
        <v>0</v>
      </c>
      <c r="Q3299" t="n">
        <v>0</v>
      </c>
      <c r="R3299" s="2" t="inlineStr"/>
    </row>
    <row r="3300" ht="15" customHeight="1">
      <c r="A3300" t="inlineStr">
        <is>
          <t>A 42259-2023</t>
        </is>
      </c>
      <c r="B3300" s="1" t="n">
        <v>45180.38313657408</v>
      </c>
      <c r="C3300" s="1" t="n">
        <v>45884</v>
      </c>
      <c r="D3300" t="inlineStr">
        <is>
          <t>KALMAR LÄN</t>
        </is>
      </c>
      <c r="E3300" t="inlineStr">
        <is>
          <t>KALMAR</t>
        </is>
      </c>
      <c r="G3300" t="n">
        <v>2.7</v>
      </c>
      <c r="H3300" t="n">
        <v>0</v>
      </c>
      <c r="I3300" t="n">
        <v>0</v>
      </c>
      <c r="J3300" t="n">
        <v>0</v>
      </c>
      <c r="K3300" t="n">
        <v>0</v>
      </c>
      <c r="L3300" t="n">
        <v>0</v>
      </c>
      <c r="M3300" t="n">
        <v>0</v>
      </c>
      <c r="N3300" t="n">
        <v>0</v>
      </c>
      <c r="O3300" t="n">
        <v>0</v>
      </c>
      <c r="P3300" t="n">
        <v>0</v>
      </c>
      <c r="Q3300" t="n">
        <v>0</v>
      </c>
      <c r="R3300" s="2" t="inlineStr"/>
    </row>
    <row r="3301" ht="15" customHeight="1">
      <c r="A3301" t="inlineStr">
        <is>
          <t>A 39629-2022</t>
        </is>
      </c>
      <c r="B3301" s="1" t="n">
        <v>44818</v>
      </c>
      <c r="C3301" s="1" t="n">
        <v>45884</v>
      </c>
      <c r="D3301" t="inlineStr">
        <is>
          <t>KALMAR LÄN</t>
        </is>
      </c>
      <c r="E3301" t="inlineStr">
        <is>
          <t>OSKARSHAMN</t>
        </is>
      </c>
      <c r="G3301" t="n">
        <v>14.8</v>
      </c>
      <c r="H3301" t="n">
        <v>0</v>
      </c>
      <c r="I3301" t="n">
        <v>0</v>
      </c>
      <c r="J3301" t="n">
        <v>0</v>
      </c>
      <c r="K3301" t="n">
        <v>0</v>
      </c>
      <c r="L3301" t="n">
        <v>0</v>
      </c>
      <c r="M3301" t="n">
        <v>0</v>
      </c>
      <c r="N3301" t="n">
        <v>0</v>
      </c>
      <c r="O3301" t="n">
        <v>0</v>
      </c>
      <c r="P3301" t="n">
        <v>0</v>
      </c>
      <c r="Q3301" t="n">
        <v>0</v>
      </c>
      <c r="R3301" s="2" t="inlineStr"/>
    </row>
    <row r="3302" ht="15" customHeight="1">
      <c r="A3302" t="inlineStr">
        <is>
          <t>A 5701-2024</t>
        </is>
      </c>
      <c r="B3302" s="1" t="n">
        <v>45334.78826388889</v>
      </c>
      <c r="C3302" s="1" t="n">
        <v>45884</v>
      </c>
      <c r="D3302" t="inlineStr">
        <is>
          <t>KALMAR LÄN</t>
        </is>
      </c>
      <c r="E3302" t="inlineStr">
        <is>
          <t>VIMMERBY</t>
        </is>
      </c>
      <c r="G3302" t="n">
        <v>2.3</v>
      </c>
      <c r="H3302" t="n">
        <v>0</v>
      </c>
      <c r="I3302" t="n">
        <v>0</v>
      </c>
      <c r="J3302" t="n">
        <v>0</v>
      </c>
      <c r="K3302" t="n">
        <v>0</v>
      </c>
      <c r="L3302" t="n">
        <v>0</v>
      </c>
      <c r="M3302" t="n">
        <v>0</v>
      </c>
      <c r="N3302" t="n">
        <v>0</v>
      </c>
      <c r="O3302" t="n">
        <v>0</v>
      </c>
      <c r="P3302" t="n">
        <v>0</v>
      </c>
      <c r="Q3302" t="n">
        <v>0</v>
      </c>
      <c r="R3302" s="2" t="inlineStr"/>
    </row>
    <row r="3303" ht="15" customHeight="1">
      <c r="A3303" t="inlineStr">
        <is>
          <t>A 60555-2021</t>
        </is>
      </c>
      <c r="B3303" s="1" t="n">
        <v>44496.54194444444</v>
      </c>
      <c r="C3303" s="1" t="n">
        <v>45884</v>
      </c>
      <c r="D3303" t="inlineStr">
        <is>
          <t>KALMAR LÄN</t>
        </is>
      </c>
      <c r="E3303" t="inlineStr">
        <is>
          <t>HÖGSBY</t>
        </is>
      </c>
      <c r="G3303" t="n">
        <v>5</v>
      </c>
      <c r="H3303" t="n">
        <v>0</v>
      </c>
      <c r="I3303" t="n">
        <v>0</v>
      </c>
      <c r="J3303" t="n">
        <v>0</v>
      </c>
      <c r="K3303" t="n">
        <v>0</v>
      </c>
      <c r="L3303" t="n">
        <v>0</v>
      </c>
      <c r="M3303" t="n">
        <v>0</v>
      </c>
      <c r="N3303" t="n">
        <v>0</v>
      </c>
      <c r="O3303" t="n">
        <v>0</v>
      </c>
      <c r="P3303" t="n">
        <v>0</v>
      </c>
      <c r="Q3303" t="n">
        <v>0</v>
      </c>
      <c r="R3303" s="2" t="inlineStr"/>
    </row>
    <row r="3304" ht="15" customHeight="1">
      <c r="A3304" t="inlineStr">
        <is>
          <t>A 3269-2024</t>
        </is>
      </c>
      <c r="B3304" s="1" t="n">
        <v>45317.40372685185</v>
      </c>
      <c r="C3304" s="1" t="n">
        <v>45884</v>
      </c>
      <c r="D3304" t="inlineStr">
        <is>
          <t>KALMAR LÄN</t>
        </is>
      </c>
      <c r="E3304" t="inlineStr">
        <is>
          <t>VIMMERBY</t>
        </is>
      </c>
      <c r="F3304" t="inlineStr">
        <is>
          <t>Övriga Aktiebolag</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15875-2023</t>
        </is>
      </c>
      <c r="B3305" s="1" t="n">
        <v>45022.41916666667</v>
      </c>
      <c r="C3305" s="1" t="n">
        <v>45884</v>
      </c>
      <c r="D3305" t="inlineStr">
        <is>
          <t>KALMAR LÄN</t>
        </is>
      </c>
      <c r="E3305" t="inlineStr">
        <is>
          <t>VÄSTERVIK</t>
        </is>
      </c>
      <c r="F3305" t="inlineStr">
        <is>
          <t>Kyrkan</t>
        </is>
      </c>
      <c r="G3305" t="n">
        <v>3.2</v>
      </c>
      <c r="H3305" t="n">
        <v>0</v>
      </c>
      <c r="I3305" t="n">
        <v>0</v>
      </c>
      <c r="J3305" t="n">
        <v>0</v>
      </c>
      <c r="K3305" t="n">
        <v>0</v>
      </c>
      <c r="L3305" t="n">
        <v>0</v>
      </c>
      <c r="M3305" t="n">
        <v>0</v>
      </c>
      <c r="N3305" t="n">
        <v>0</v>
      </c>
      <c r="O3305" t="n">
        <v>0</v>
      </c>
      <c r="P3305" t="n">
        <v>0</v>
      </c>
      <c r="Q3305" t="n">
        <v>0</v>
      </c>
      <c r="R3305" s="2" t="inlineStr"/>
    </row>
    <row r="3306" ht="15" customHeight="1">
      <c r="A3306" t="inlineStr">
        <is>
          <t>A 15932-2023</t>
        </is>
      </c>
      <c r="B3306" s="1" t="n">
        <v>45022.55422453704</v>
      </c>
      <c r="C3306" s="1" t="n">
        <v>45884</v>
      </c>
      <c r="D3306" t="inlineStr">
        <is>
          <t>KALMAR LÄN</t>
        </is>
      </c>
      <c r="E3306" t="inlineStr">
        <is>
          <t>OSKARSHAMN</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58090-2021</t>
        </is>
      </c>
      <c r="B3307" s="1" t="n">
        <v>44487.50277777778</v>
      </c>
      <c r="C3307" s="1" t="n">
        <v>45884</v>
      </c>
      <c r="D3307" t="inlineStr">
        <is>
          <t>KALMAR LÄN</t>
        </is>
      </c>
      <c r="E3307" t="inlineStr">
        <is>
          <t>VÄSTERVIK</t>
        </is>
      </c>
      <c r="G3307" t="n">
        <v>2.9</v>
      </c>
      <c r="H3307" t="n">
        <v>0</v>
      </c>
      <c r="I3307" t="n">
        <v>0</v>
      </c>
      <c r="J3307" t="n">
        <v>0</v>
      </c>
      <c r="K3307" t="n">
        <v>0</v>
      </c>
      <c r="L3307" t="n">
        <v>0</v>
      </c>
      <c r="M3307" t="n">
        <v>0</v>
      </c>
      <c r="N3307" t="n">
        <v>0</v>
      </c>
      <c r="O3307" t="n">
        <v>0</v>
      </c>
      <c r="P3307" t="n">
        <v>0</v>
      </c>
      <c r="Q3307" t="n">
        <v>0</v>
      </c>
      <c r="R3307" s="2" t="inlineStr"/>
    </row>
    <row r="3308" ht="15" customHeight="1">
      <c r="A3308" t="inlineStr">
        <is>
          <t>A 3041-2025</t>
        </is>
      </c>
      <c r="B3308" s="1" t="n">
        <v>45678.60493055556</v>
      </c>
      <c r="C3308" s="1" t="n">
        <v>45884</v>
      </c>
      <c r="D3308" t="inlineStr">
        <is>
          <t>KALMAR LÄN</t>
        </is>
      </c>
      <c r="E3308" t="inlineStr">
        <is>
          <t>VÄSTERVIK</t>
        </is>
      </c>
      <c r="G3308" t="n">
        <v>0.7</v>
      </c>
      <c r="H3308" t="n">
        <v>0</v>
      </c>
      <c r="I3308" t="n">
        <v>0</v>
      </c>
      <c r="J3308" t="n">
        <v>0</v>
      </c>
      <c r="K3308" t="n">
        <v>0</v>
      </c>
      <c r="L3308" t="n">
        <v>0</v>
      </c>
      <c r="M3308" t="n">
        <v>0</v>
      </c>
      <c r="N3308" t="n">
        <v>0</v>
      </c>
      <c r="O3308" t="n">
        <v>0</v>
      </c>
      <c r="P3308" t="n">
        <v>0</v>
      </c>
      <c r="Q3308" t="n">
        <v>0</v>
      </c>
      <c r="R3308" s="2" t="inlineStr"/>
      <c r="U3308">
        <f>HYPERLINK("https://klasma.github.io/Logging_0883/knärot/A 3041-2025 karta knärot.png", "A 3041-2025")</f>
        <v/>
      </c>
      <c r="V3308">
        <f>HYPERLINK("https://klasma.github.io/Logging_0883/klagomål/A 3041-2025 FSC-klagomål.docx", "A 3041-2025")</f>
        <v/>
      </c>
      <c r="W3308">
        <f>HYPERLINK("https://klasma.github.io/Logging_0883/klagomålsmail/A 3041-2025 FSC-klagomål mail.docx", "A 3041-2025")</f>
        <v/>
      </c>
      <c r="X3308">
        <f>HYPERLINK("https://klasma.github.io/Logging_0883/tillsyn/A 3041-2025 tillsynsbegäran.docx", "A 3041-2025")</f>
        <v/>
      </c>
      <c r="Y3308">
        <f>HYPERLINK("https://klasma.github.io/Logging_0883/tillsynsmail/A 3041-2025 tillsynsbegäran mail.docx", "A 3041-2025")</f>
        <v/>
      </c>
    </row>
    <row r="3309" ht="15" customHeight="1">
      <c r="A3309" t="inlineStr">
        <is>
          <t>A 49757-2023</t>
        </is>
      </c>
      <c r="B3309" s="1" t="n">
        <v>45212</v>
      </c>
      <c r="C3309" s="1" t="n">
        <v>45884</v>
      </c>
      <c r="D3309" t="inlineStr">
        <is>
          <t>KALMAR LÄN</t>
        </is>
      </c>
      <c r="E3309" t="inlineStr">
        <is>
          <t>KALMAR</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48120-2022</t>
        </is>
      </c>
      <c r="B3310" s="1" t="n">
        <v>44857.65989583333</v>
      </c>
      <c r="C3310" s="1" t="n">
        <v>45884</v>
      </c>
      <c r="D3310" t="inlineStr">
        <is>
          <t>KALMAR LÄN</t>
        </is>
      </c>
      <c r="E3310" t="inlineStr">
        <is>
          <t>VIMMERBY</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17540-2022</t>
        </is>
      </c>
      <c r="B3311" s="1" t="n">
        <v>44679.61922453704</v>
      </c>
      <c r="C3311" s="1" t="n">
        <v>45884</v>
      </c>
      <c r="D3311" t="inlineStr">
        <is>
          <t>KALMAR LÄN</t>
        </is>
      </c>
      <c r="E3311" t="inlineStr">
        <is>
          <t>KALMAR</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33084-2023</t>
        </is>
      </c>
      <c r="B3312" s="1" t="n">
        <v>45126.47756944445</v>
      </c>
      <c r="C3312" s="1" t="n">
        <v>45884</v>
      </c>
      <c r="D3312" t="inlineStr">
        <is>
          <t>KALMAR LÄN</t>
        </is>
      </c>
      <c r="E3312" t="inlineStr">
        <is>
          <t>EMMABODA</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31405-2023</t>
        </is>
      </c>
      <c r="B3313" s="1" t="n">
        <v>45114.58148148148</v>
      </c>
      <c r="C3313" s="1" t="n">
        <v>45884</v>
      </c>
      <c r="D3313" t="inlineStr">
        <is>
          <t>KALMAR LÄN</t>
        </is>
      </c>
      <c r="E3313" t="inlineStr">
        <is>
          <t>VIMMERBY</t>
        </is>
      </c>
      <c r="G3313" t="n">
        <v>2.6</v>
      </c>
      <c r="H3313" t="n">
        <v>0</v>
      </c>
      <c r="I3313" t="n">
        <v>0</v>
      </c>
      <c r="J3313" t="n">
        <v>0</v>
      </c>
      <c r="K3313" t="n">
        <v>0</v>
      </c>
      <c r="L3313" t="n">
        <v>0</v>
      </c>
      <c r="M3313" t="n">
        <v>0</v>
      </c>
      <c r="N3313" t="n">
        <v>0</v>
      </c>
      <c r="O3313" t="n">
        <v>0</v>
      </c>
      <c r="P3313" t="n">
        <v>0</v>
      </c>
      <c r="Q3313" t="n">
        <v>0</v>
      </c>
      <c r="R3313" s="2" t="inlineStr"/>
    </row>
    <row r="3314" ht="15" customHeight="1">
      <c r="A3314" t="inlineStr">
        <is>
          <t>A 15034-2023</t>
        </is>
      </c>
      <c r="B3314" s="1" t="n">
        <v>45015.63715277778</v>
      </c>
      <c r="C3314" s="1" t="n">
        <v>45884</v>
      </c>
      <c r="D3314" t="inlineStr">
        <is>
          <t>KALMAR LÄN</t>
        </is>
      </c>
      <c r="E3314" t="inlineStr">
        <is>
          <t>HÖGSBY</t>
        </is>
      </c>
      <c r="F3314" t="inlineStr">
        <is>
          <t>Sveaskog</t>
        </is>
      </c>
      <c r="G3314" t="n">
        <v>5.3</v>
      </c>
      <c r="H3314" t="n">
        <v>0</v>
      </c>
      <c r="I3314" t="n">
        <v>0</v>
      </c>
      <c r="J3314" t="n">
        <v>0</v>
      </c>
      <c r="K3314" t="n">
        <v>0</v>
      </c>
      <c r="L3314" t="n">
        <v>0</v>
      </c>
      <c r="M3314" t="n">
        <v>0</v>
      </c>
      <c r="N3314" t="n">
        <v>0</v>
      </c>
      <c r="O3314" t="n">
        <v>0</v>
      </c>
      <c r="P3314" t="n">
        <v>0</v>
      </c>
      <c r="Q3314" t="n">
        <v>0</v>
      </c>
      <c r="R3314" s="2" t="inlineStr"/>
    </row>
    <row r="3315" ht="15" customHeight="1">
      <c r="A3315" t="inlineStr">
        <is>
          <t>A 30320-2023</t>
        </is>
      </c>
      <c r="B3315" s="1" t="n">
        <v>45111.3095949074</v>
      </c>
      <c r="C3315" s="1" t="n">
        <v>45884</v>
      </c>
      <c r="D3315" t="inlineStr">
        <is>
          <t>KALMAR LÄN</t>
        </is>
      </c>
      <c r="E3315" t="inlineStr">
        <is>
          <t>NYBRO</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51881-2024</t>
        </is>
      </c>
      <c r="B3316" s="1" t="n">
        <v>45607.56773148148</v>
      </c>
      <c r="C3316" s="1" t="n">
        <v>45884</v>
      </c>
      <c r="D3316" t="inlineStr">
        <is>
          <t>KALMAR LÄN</t>
        </is>
      </c>
      <c r="E3316" t="inlineStr">
        <is>
          <t>VIMMERBY</t>
        </is>
      </c>
      <c r="G3316" t="n">
        <v>3.4</v>
      </c>
      <c r="H3316" t="n">
        <v>0</v>
      </c>
      <c r="I3316" t="n">
        <v>0</v>
      </c>
      <c r="J3316" t="n">
        <v>0</v>
      </c>
      <c r="K3316" t="n">
        <v>0</v>
      </c>
      <c r="L3316" t="n">
        <v>0</v>
      </c>
      <c r="M3316" t="n">
        <v>0</v>
      </c>
      <c r="N3316" t="n">
        <v>0</v>
      </c>
      <c r="O3316" t="n">
        <v>0</v>
      </c>
      <c r="P3316" t="n">
        <v>0</v>
      </c>
      <c r="Q3316" t="n">
        <v>0</v>
      </c>
      <c r="R3316" s="2" t="inlineStr"/>
    </row>
    <row r="3317" ht="15" customHeight="1">
      <c r="A3317" t="inlineStr">
        <is>
          <t>A 60360-2022</t>
        </is>
      </c>
      <c r="B3317" s="1" t="n">
        <v>44910.63961805555</v>
      </c>
      <c r="C3317" s="1" t="n">
        <v>45884</v>
      </c>
      <c r="D3317" t="inlineStr">
        <is>
          <t>KALMAR LÄN</t>
        </is>
      </c>
      <c r="E3317" t="inlineStr">
        <is>
          <t>TORSÅS</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6355-2022</t>
        </is>
      </c>
      <c r="B3318" s="1" t="n">
        <v>44600</v>
      </c>
      <c r="C3318" s="1" t="n">
        <v>45884</v>
      </c>
      <c r="D3318" t="inlineStr">
        <is>
          <t>KALMAR LÄN</t>
        </is>
      </c>
      <c r="E3318" t="inlineStr">
        <is>
          <t>VIMMERBY</t>
        </is>
      </c>
      <c r="G3318" t="n">
        <v>4.9</v>
      </c>
      <c r="H3318" t="n">
        <v>0</v>
      </c>
      <c r="I3318" t="n">
        <v>0</v>
      </c>
      <c r="J3318" t="n">
        <v>0</v>
      </c>
      <c r="K3318" t="n">
        <v>0</v>
      </c>
      <c r="L3318" t="n">
        <v>0</v>
      </c>
      <c r="M3318" t="n">
        <v>0</v>
      </c>
      <c r="N3318" t="n">
        <v>0</v>
      </c>
      <c r="O3318" t="n">
        <v>0</v>
      </c>
      <c r="P3318" t="n">
        <v>0</v>
      </c>
      <c r="Q3318" t="n">
        <v>0</v>
      </c>
      <c r="R3318" s="2" t="inlineStr"/>
    </row>
    <row r="3319" ht="15" customHeight="1">
      <c r="A3319" t="inlineStr">
        <is>
          <t>A 26770-2023</t>
        </is>
      </c>
      <c r="B3319" s="1" t="n">
        <v>45093</v>
      </c>
      <c r="C3319" s="1" t="n">
        <v>45884</v>
      </c>
      <c r="D3319" t="inlineStr">
        <is>
          <t>KALMAR LÄN</t>
        </is>
      </c>
      <c r="E3319" t="inlineStr">
        <is>
          <t>VÄSTERVIK</t>
        </is>
      </c>
      <c r="G3319" t="n">
        <v>2.6</v>
      </c>
      <c r="H3319" t="n">
        <v>0</v>
      </c>
      <c r="I3319" t="n">
        <v>0</v>
      </c>
      <c r="J3319" t="n">
        <v>0</v>
      </c>
      <c r="K3319" t="n">
        <v>0</v>
      </c>
      <c r="L3319" t="n">
        <v>0</v>
      </c>
      <c r="M3319" t="n">
        <v>0</v>
      </c>
      <c r="N3319" t="n">
        <v>0</v>
      </c>
      <c r="O3319" t="n">
        <v>0</v>
      </c>
      <c r="P3319" t="n">
        <v>0</v>
      </c>
      <c r="Q3319" t="n">
        <v>0</v>
      </c>
      <c r="R3319" s="2" t="inlineStr"/>
    </row>
    <row r="3320" ht="15" customHeight="1">
      <c r="A3320" t="inlineStr">
        <is>
          <t>A 26772-2023</t>
        </is>
      </c>
      <c r="B3320" s="1" t="n">
        <v>45093</v>
      </c>
      <c r="C3320" s="1" t="n">
        <v>45884</v>
      </c>
      <c r="D3320" t="inlineStr">
        <is>
          <t>KALMAR LÄN</t>
        </is>
      </c>
      <c r="E3320" t="inlineStr">
        <is>
          <t>VÄSTERVIK</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26773-2023</t>
        </is>
      </c>
      <c r="B3321" s="1" t="n">
        <v>45093</v>
      </c>
      <c r="C3321" s="1" t="n">
        <v>45884</v>
      </c>
      <c r="D3321" t="inlineStr">
        <is>
          <t>KALMAR LÄN</t>
        </is>
      </c>
      <c r="E3321" t="inlineStr">
        <is>
          <t>VÄSTERVIK</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2596-2025</t>
        </is>
      </c>
      <c r="B3322" s="1" t="n">
        <v>45674.71810185185</v>
      </c>
      <c r="C3322" s="1" t="n">
        <v>45884</v>
      </c>
      <c r="D3322" t="inlineStr">
        <is>
          <t>KALMAR LÄN</t>
        </is>
      </c>
      <c r="E3322" t="inlineStr">
        <is>
          <t>VIMMERBY</t>
        </is>
      </c>
      <c r="G3322" t="n">
        <v>9</v>
      </c>
      <c r="H3322" t="n">
        <v>0</v>
      </c>
      <c r="I3322" t="n">
        <v>0</v>
      </c>
      <c r="J3322" t="n">
        <v>0</v>
      </c>
      <c r="K3322" t="n">
        <v>0</v>
      </c>
      <c r="L3322" t="n">
        <v>0</v>
      </c>
      <c r="M3322" t="n">
        <v>0</v>
      </c>
      <c r="N3322" t="n">
        <v>0</v>
      </c>
      <c r="O3322" t="n">
        <v>0</v>
      </c>
      <c r="P3322" t="n">
        <v>0</v>
      </c>
      <c r="Q3322" t="n">
        <v>0</v>
      </c>
      <c r="R3322" s="2" t="inlineStr"/>
    </row>
    <row r="3323" ht="15" customHeight="1">
      <c r="A3323" t="inlineStr">
        <is>
          <t>A 46225-2024</t>
        </is>
      </c>
      <c r="B3323" s="1" t="n">
        <v>45581.57333333333</v>
      </c>
      <c r="C3323" s="1" t="n">
        <v>45884</v>
      </c>
      <c r="D3323" t="inlineStr">
        <is>
          <t>KALMAR LÄN</t>
        </is>
      </c>
      <c r="E3323" t="inlineStr">
        <is>
          <t>VIMMERBY</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44437-2023</t>
        </is>
      </c>
      <c r="B3324" s="1" t="n">
        <v>45189</v>
      </c>
      <c r="C3324" s="1" t="n">
        <v>45884</v>
      </c>
      <c r="D3324" t="inlineStr">
        <is>
          <t>KALMAR LÄN</t>
        </is>
      </c>
      <c r="E3324" t="inlineStr">
        <is>
          <t>HÖGSBY</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41446-2021</t>
        </is>
      </c>
      <c r="B3325" s="1" t="n">
        <v>44424</v>
      </c>
      <c r="C3325" s="1" t="n">
        <v>45884</v>
      </c>
      <c r="D3325" t="inlineStr">
        <is>
          <t>KALMAR LÄN</t>
        </is>
      </c>
      <c r="E3325" t="inlineStr">
        <is>
          <t>EMMABODA</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45877-2020</t>
        </is>
      </c>
      <c r="B3326" s="1" t="n">
        <v>44091</v>
      </c>
      <c r="C3326" s="1" t="n">
        <v>45884</v>
      </c>
      <c r="D3326" t="inlineStr">
        <is>
          <t>KALMAR LÄN</t>
        </is>
      </c>
      <c r="E3326" t="inlineStr">
        <is>
          <t>VÄSTERVIK</t>
        </is>
      </c>
      <c r="F3326" t="inlineStr">
        <is>
          <t>Sveaskog</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24640-2021</t>
        </is>
      </c>
      <c r="B3327" s="1" t="n">
        <v>44340.37858796296</v>
      </c>
      <c r="C3327" s="1" t="n">
        <v>45884</v>
      </c>
      <c r="D3327" t="inlineStr">
        <is>
          <t>KALMAR LÄN</t>
        </is>
      </c>
      <c r="E3327" t="inlineStr">
        <is>
          <t>NYBRO</t>
        </is>
      </c>
      <c r="G3327" t="n">
        <v>0</v>
      </c>
      <c r="H3327" t="n">
        <v>0</v>
      </c>
      <c r="I3327" t="n">
        <v>0</v>
      </c>
      <c r="J3327" t="n">
        <v>0</v>
      </c>
      <c r="K3327" t="n">
        <v>0</v>
      </c>
      <c r="L3327" t="n">
        <v>0</v>
      </c>
      <c r="M3327" t="n">
        <v>0</v>
      </c>
      <c r="N3327" t="n">
        <v>0</v>
      </c>
      <c r="O3327" t="n">
        <v>0</v>
      </c>
      <c r="P3327" t="n">
        <v>0</v>
      </c>
      <c r="Q3327" t="n">
        <v>0</v>
      </c>
      <c r="R3327" s="2" t="inlineStr"/>
    </row>
    <row r="3328" ht="15" customHeight="1">
      <c r="A3328" t="inlineStr">
        <is>
          <t>A 27771-2023</t>
        </is>
      </c>
      <c r="B3328" s="1" t="n">
        <v>45098.42185185185</v>
      </c>
      <c r="C3328" s="1" t="n">
        <v>45884</v>
      </c>
      <c r="D3328" t="inlineStr">
        <is>
          <t>KALMAR LÄN</t>
        </is>
      </c>
      <c r="E3328" t="inlineStr">
        <is>
          <t>TORSÅS</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55053-2024</t>
        </is>
      </c>
      <c r="B3329" s="1" t="n">
        <v>45621.39938657408</v>
      </c>
      <c r="C3329" s="1" t="n">
        <v>45884</v>
      </c>
      <c r="D3329" t="inlineStr">
        <is>
          <t>KALMAR LÄN</t>
        </is>
      </c>
      <c r="E3329" t="inlineStr">
        <is>
          <t>VÄSTERVIK</t>
        </is>
      </c>
      <c r="F3329" t="inlineStr">
        <is>
          <t>Sveaskog</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55129-2024</t>
        </is>
      </c>
      <c r="B3330" s="1" t="n">
        <v>45618</v>
      </c>
      <c r="C3330" s="1" t="n">
        <v>45884</v>
      </c>
      <c r="D3330" t="inlineStr">
        <is>
          <t>KALMAR LÄN</t>
        </is>
      </c>
      <c r="E3330" t="inlineStr">
        <is>
          <t>HULTSFRED</t>
        </is>
      </c>
      <c r="G3330" t="n">
        <v>4.2</v>
      </c>
      <c r="H3330" t="n">
        <v>0</v>
      </c>
      <c r="I3330" t="n">
        <v>0</v>
      </c>
      <c r="J3330" t="n">
        <v>0</v>
      </c>
      <c r="K3330" t="n">
        <v>0</v>
      </c>
      <c r="L3330" t="n">
        <v>0</v>
      </c>
      <c r="M3330" t="n">
        <v>0</v>
      </c>
      <c r="N3330" t="n">
        <v>0</v>
      </c>
      <c r="O3330" t="n">
        <v>0</v>
      </c>
      <c r="P3330" t="n">
        <v>0</v>
      </c>
      <c r="Q3330" t="n">
        <v>0</v>
      </c>
      <c r="R3330" s="2" t="inlineStr"/>
    </row>
    <row r="3331" ht="15" customHeight="1">
      <c r="A3331" t="inlineStr">
        <is>
          <t>A 28238-2024</t>
        </is>
      </c>
      <c r="B3331" s="1" t="n">
        <v>45477.3924537037</v>
      </c>
      <c r="C3331" s="1" t="n">
        <v>45884</v>
      </c>
      <c r="D3331" t="inlineStr">
        <is>
          <t>KALMAR LÄN</t>
        </is>
      </c>
      <c r="E3331" t="inlineStr">
        <is>
          <t>HULTSFRED</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61927-2021</t>
        </is>
      </c>
      <c r="B3332" s="1" t="n">
        <v>44502</v>
      </c>
      <c r="C3332" s="1" t="n">
        <v>45884</v>
      </c>
      <c r="D3332" t="inlineStr">
        <is>
          <t>KALMAR LÄN</t>
        </is>
      </c>
      <c r="E3332" t="inlineStr">
        <is>
          <t>KALMAR</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30215-2023</t>
        </is>
      </c>
      <c r="B3333" s="1" t="n">
        <v>45110</v>
      </c>
      <c r="C3333" s="1" t="n">
        <v>45884</v>
      </c>
      <c r="D3333" t="inlineStr">
        <is>
          <t>KALMAR LÄN</t>
        </is>
      </c>
      <c r="E3333" t="inlineStr">
        <is>
          <t>OSKARSHAMN</t>
        </is>
      </c>
      <c r="G3333" t="n">
        <v>12.9</v>
      </c>
      <c r="H3333" t="n">
        <v>0</v>
      </c>
      <c r="I3333" t="n">
        <v>0</v>
      </c>
      <c r="J3333" t="n">
        <v>0</v>
      </c>
      <c r="K3333" t="n">
        <v>0</v>
      </c>
      <c r="L3333" t="n">
        <v>0</v>
      </c>
      <c r="M3333" t="n">
        <v>0</v>
      </c>
      <c r="N3333" t="n">
        <v>0</v>
      </c>
      <c r="O3333" t="n">
        <v>0</v>
      </c>
      <c r="P3333" t="n">
        <v>0</v>
      </c>
      <c r="Q3333" t="n">
        <v>0</v>
      </c>
      <c r="R3333" s="2" t="inlineStr"/>
    </row>
    <row r="3334" ht="15" customHeight="1">
      <c r="A3334" t="inlineStr">
        <is>
          <t>A 25861-2023</t>
        </is>
      </c>
      <c r="B3334" s="1" t="n">
        <v>45090.59741898148</v>
      </c>
      <c r="C3334" s="1" t="n">
        <v>45884</v>
      </c>
      <c r="D3334" t="inlineStr">
        <is>
          <t>KALMAR LÄN</t>
        </is>
      </c>
      <c r="E3334" t="inlineStr">
        <is>
          <t>HÖGSBY</t>
        </is>
      </c>
      <c r="G3334" t="n">
        <v>4.4</v>
      </c>
      <c r="H3334" t="n">
        <v>0</v>
      </c>
      <c r="I3334" t="n">
        <v>0</v>
      </c>
      <c r="J3334" t="n">
        <v>0</v>
      </c>
      <c r="K3334" t="n">
        <v>0</v>
      </c>
      <c r="L3334" t="n">
        <v>0</v>
      </c>
      <c r="M3334" t="n">
        <v>0</v>
      </c>
      <c r="N3334" t="n">
        <v>0</v>
      </c>
      <c r="O3334" t="n">
        <v>0</v>
      </c>
      <c r="P3334" t="n">
        <v>0</v>
      </c>
      <c r="Q3334" t="n">
        <v>0</v>
      </c>
      <c r="R3334" s="2" t="inlineStr"/>
    </row>
    <row r="3335" ht="15" customHeight="1">
      <c r="A3335" t="inlineStr">
        <is>
          <t>A 25876-2023</t>
        </is>
      </c>
      <c r="B3335" s="1" t="n">
        <v>45090</v>
      </c>
      <c r="C3335" s="1" t="n">
        <v>45884</v>
      </c>
      <c r="D3335" t="inlineStr">
        <is>
          <t>KALMAR LÄN</t>
        </is>
      </c>
      <c r="E3335" t="inlineStr">
        <is>
          <t>HÖGSBY</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12481-2025</t>
        </is>
      </c>
      <c r="B3336" s="1" t="n">
        <v>45730.57878472222</v>
      </c>
      <c r="C3336" s="1" t="n">
        <v>45884</v>
      </c>
      <c r="D3336" t="inlineStr">
        <is>
          <t>KALMAR LÄN</t>
        </is>
      </c>
      <c r="E3336" t="inlineStr">
        <is>
          <t>BORGHOLM</t>
        </is>
      </c>
      <c r="G3336" t="n">
        <v>7.2</v>
      </c>
      <c r="H3336" t="n">
        <v>0</v>
      </c>
      <c r="I3336" t="n">
        <v>0</v>
      </c>
      <c r="J3336" t="n">
        <v>0</v>
      </c>
      <c r="K3336" t="n">
        <v>0</v>
      </c>
      <c r="L3336" t="n">
        <v>0</v>
      </c>
      <c r="M3336" t="n">
        <v>0</v>
      </c>
      <c r="N3336" t="n">
        <v>0</v>
      </c>
      <c r="O3336" t="n">
        <v>0</v>
      </c>
      <c r="P3336" t="n">
        <v>0</v>
      </c>
      <c r="Q3336" t="n">
        <v>0</v>
      </c>
      <c r="R3336" s="2" t="inlineStr"/>
    </row>
    <row r="3337" ht="15" customHeight="1">
      <c r="A3337" t="inlineStr">
        <is>
          <t>A 6368-2023</t>
        </is>
      </c>
      <c r="B3337" s="1" t="n">
        <v>44965</v>
      </c>
      <c r="C3337" s="1" t="n">
        <v>45884</v>
      </c>
      <c r="D3337" t="inlineStr">
        <is>
          <t>KALMAR LÄN</t>
        </is>
      </c>
      <c r="E3337" t="inlineStr">
        <is>
          <t>VIMMERBY</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7495-2023</t>
        </is>
      </c>
      <c r="B3338" s="1" t="n">
        <v>44971</v>
      </c>
      <c r="C3338" s="1" t="n">
        <v>45884</v>
      </c>
      <c r="D3338" t="inlineStr">
        <is>
          <t>KALMAR LÄN</t>
        </is>
      </c>
      <c r="E3338" t="inlineStr">
        <is>
          <t>KALMAR</t>
        </is>
      </c>
      <c r="G3338" t="n">
        <v>3.7</v>
      </c>
      <c r="H3338" t="n">
        <v>0</v>
      </c>
      <c r="I3338" t="n">
        <v>0</v>
      </c>
      <c r="J3338" t="n">
        <v>0</v>
      </c>
      <c r="K3338" t="n">
        <v>0</v>
      </c>
      <c r="L3338" t="n">
        <v>0</v>
      </c>
      <c r="M3338" t="n">
        <v>0</v>
      </c>
      <c r="N3338" t="n">
        <v>0</v>
      </c>
      <c r="O3338" t="n">
        <v>0</v>
      </c>
      <c r="P3338" t="n">
        <v>0</v>
      </c>
      <c r="Q3338" t="n">
        <v>0</v>
      </c>
      <c r="R3338" s="2" t="inlineStr"/>
    </row>
    <row r="3339" ht="15" customHeight="1">
      <c r="A3339" t="inlineStr">
        <is>
          <t>A 9385-2024</t>
        </is>
      </c>
      <c r="B3339" s="1" t="n">
        <v>45359.3833912037</v>
      </c>
      <c r="C3339" s="1" t="n">
        <v>45884</v>
      </c>
      <c r="D3339" t="inlineStr">
        <is>
          <t>KALMAR LÄN</t>
        </is>
      </c>
      <c r="E3339" t="inlineStr">
        <is>
          <t>OSKARSHAMN</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9416-2024</t>
        </is>
      </c>
      <c r="B3340" s="1" t="n">
        <v>45359.44837962963</v>
      </c>
      <c r="C3340" s="1" t="n">
        <v>45884</v>
      </c>
      <c r="D3340" t="inlineStr">
        <is>
          <t>KALMAR LÄN</t>
        </is>
      </c>
      <c r="E3340" t="inlineStr">
        <is>
          <t>VIMMERBY</t>
        </is>
      </c>
      <c r="G3340" t="n">
        <v>3.2</v>
      </c>
      <c r="H3340" t="n">
        <v>0</v>
      </c>
      <c r="I3340" t="n">
        <v>0</v>
      </c>
      <c r="J3340" t="n">
        <v>0</v>
      </c>
      <c r="K3340" t="n">
        <v>0</v>
      </c>
      <c r="L3340" t="n">
        <v>0</v>
      </c>
      <c r="M3340" t="n">
        <v>0</v>
      </c>
      <c r="N3340" t="n">
        <v>0</v>
      </c>
      <c r="O3340" t="n">
        <v>0</v>
      </c>
      <c r="P3340" t="n">
        <v>0</v>
      </c>
      <c r="Q3340" t="n">
        <v>0</v>
      </c>
      <c r="R3340" s="2" t="inlineStr"/>
    </row>
    <row r="3341" ht="15" customHeight="1">
      <c r="A3341" t="inlineStr">
        <is>
          <t>A 15735-2023</t>
        </is>
      </c>
      <c r="B3341" s="1" t="n">
        <v>45021</v>
      </c>
      <c r="C3341" s="1" t="n">
        <v>45884</v>
      </c>
      <c r="D3341" t="inlineStr">
        <is>
          <t>KALMAR LÄN</t>
        </is>
      </c>
      <c r="E3341" t="inlineStr">
        <is>
          <t>NYBRO</t>
        </is>
      </c>
      <c r="G3341" t="n">
        <v>0.4</v>
      </c>
      <c r="H3341" t="n">
        <v>0</v>
      </c>
      <c r="I3341" t="n">
        <v>0</v>
      </c>
      <c r="J3341" t="n">
        <v>0</v>
      </c>
      <c r="K3341" t="n">
        <v>0</v>
      </c>
      <c r="L3341" t="n">
        <v>0</v>
      </c>
      <c r="M3341" t="n">
        <v>0</v>
      </c>
      <c r="N3341" t="n">
        <v>0</v>
      </c>
      <c r="O3341" t="n">
        <v>0</v>
      </c>
      <c r="P3341" t="n">
        <v>0</v>
      </c>
      <c r="Q3341" t="n">
        <v>0</v>
      </c>
      <c r="R3341" s="2" t="inlineStr"/>
    </row>
    <row r="3342" ht="15" customHeight="1">
      <c r="A3342" t="inlineStr">
        <is>
          <t>A 13840-2024</t>
        </is>
      </c>
      <c r="B3342" s="1" t="n">
        <v>45391.44885416667</v>
      </c>
      <c r="C3342" s="1" t="n">
        <v>45884</v>
      </c>
      <c r="D3342" t="inlineStr">
        <is>
          <t>KALMAR LÄN</t>
        </is>
      </c>
      <c r="E3342" t="inlineStr">
        <is>
          <t>VÄSTERVIK</t>
        </is>
      </c>
      <c r="F3342" t="inlineStr">
        <is>
          <t>Sveaskog</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3300-2023</t>
        </is>
      </c>
      <c r="B3343" s="1" t="n">
        <v>44949.39141203704</v>
      </c>
      <c r="C3343" s="1" t="n">
        <v>45884</v>
      </c>
      <c r="D3343" t="inlineStr">
        <is>
          <t>KALMAR LÄN</t>
        </is>
      </c>
      <c r="E3343" t="inlineStr">
        <is>
          <t>NYBRO</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1172-2022</t>
        </is>
      </c>
      <c r="B3344" s="1" t="n">
        <v>44572</v>
      </c>
      <c r="C3344" s="1" t="n">
        <v>45884</v>
      </c>
      <c r="D3344" t="inlineStr">
        <is>
          <t>KALMAR LÄN</t>
        </is>
      </c>
      <c r="E3344" t="inlineStr">
        <is>
          <t>EMMABODA</t>
        </is>
      </c>
      <c r="G3344" t="n">
        <v>3.2</v>
      </c>
      <c r="H3344" t="n">
        <v>0</v>
      </c>
      <c r="I3344" t="n">
        <v>0</v>
      </c>
      <c r="J3344" t="n">
        <v>0</v>
      </c>
      <c r="K3344" t="n">
        <v>0</v>
      </c>
      <c r="L3344" t="n">
        <v>0</v>
      </c>
      <c r="M3344" t="n">
        <v>0</v>
      </c>
      <c r="N3344" t="n">
        <v>0</v>
      </c>
      <c r="O3344" t="n">
        <v>0</v>
      </c>
      <c r="P3344" t="n">
        <v>0</v>
      </c>
      <c r="Q3344" t="n">
        <v>0</v>
      </c>
      <c r="R3344" s="2" t="inlineStr"/>
    </row>
    <row r="3345" ht="15" customHeight="1">
      <c r="A3345" t="inlineStr">
        <is>
          <t>A 39212-2022</t>
        </is>
      </c>
      <c r="B3345" s="1" t="n">
        <v>44817</v>
      </c>
      <c r="C3345" s="1" t="n">
        <v>45884</v>
      </c>
      <c r="D3345" t="inlineStr">
        <is>
          <t>KALMAR LÄN</t>
        </is>
      </c>
      <c r="E3345" t="inlineStr">
        <is>
          <t>MÖNSTERÅS</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56705-2022</t>
        </is>
      </c>
      <c r="B3346" s="1" t="n">
        <v>44893.78201388889</v>
      </c>
      <c r="C3346" s="1" t="n">
        <v>45884</v>
      </c>
      <c r="D3346" t="inlineStr">
        <is>
          <t>KALMAR LÄN</t>
        </is>
      </c>
      <c r="E3346" t="inlineStr">
        <is>
          <t>EMMABODA</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8113-2023</t>
        </is>
      </c>
      <c r="B3347" s="1" t="n">
        <v>44974</v>
      </c>
      <c r="C3347" s="1" t="n">
        <v>45884</v>
      </c>
      <c r="D3347" t="inlineStr">
        <is>
          <t>KALMAR LÄN</t>
        </is>
      </c>
      <c r="E3347" t="inlineStr">
        <is>
          <t>MÖNSTERÅS</t>
        </is>
      </c>
      <c r="F3347" t="inlineStr">
        <is>
          <t>Övriga Aktiebolag</t>
        </is>
      </c>
      <c r="G3347" t="n">
        <v>8.5</v>
      </c>
      <c r="H3347" t="n">
        <v>0</v>
      </c>
      <c r="I3347" t="n">
        <v>0</v>
      </c>
      <c r="J3347" t="n">
        <v>0</v>
      </c>
      <c r="K3347" t="n">
        <v>0</v>
      </c>
      <c r="L3347" t="n">
        <v>0</v>
      </c>
      <c r="M3347" t="n">
        <v>0</v>
      </c>
      <c r="N3347" t="n">
        <v>0</v>
      </c>
      <c r="O3347" t="n">
        <v>0</v>
      </c>
      <c r="P3347" t="n">
        <v>0</v>
      </c>
      <c r="Q3347" t="n">
        <v>0</v>
      </c>
      <c r="R3347" s="2" t="inlineStr"/>
    </row>
    <row r="3348" ht="15" customHeight="1">
      <c r="A3348" t="inlineStr">
        <is>
          <t>A 11707-2025</t>
        </is>
      </c>
      <c r="B3348" s="1" t="n">
        <v>45727.58512731481</v>
      </c>
      <c r="C3348" s="1" t="n">
        <v>45884</v>
      </c>
      <c r="D3348" t="inlineStr">
        <is>
          <t>KALMAR LÄN</t>
        </is>
      </c>
      <c r="E3348" t="inlineStr">
        <is>
          <t>HÖGSBY</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45672-2020</t>
        </is>
      </c>
      <c r="B3349" s="1" t="n">
        <v>44090</v>
      </c>
      <c r="C3349" s="1" t="n">
        <v>45884</v>
      </c>
      <c r="D3349" t="inlineStr">
        <is>
          <t>KALMAR LÄN</t>
        </is>
      </c>
      <c r="E3349" t="inlineStr">
        <is>
          <t>HULTSFRED</t>
        </is>
      </c>
      <c r="G3349" t="n">
        <v>4.4</v>
      </c>
      <c r="H3349" t="n">
        <v>0</v>
      </c>
      <c r="I3349" t="n">
        <v>0</v>
      </c>
      <c r="J3349" t="n">
        <v>0</v>
      </c>
      <c r="K3349" t="n">
        <v>0</v>
      </c>
      <c r="L3349" t="n">
        <v>0</v>
      </c>
      <c r="M3349" t="n">
        <v>0</v>
      </c>
      <c r="N3349" t="n">
        <v>0</v>
      </c>
      <c r="O3349" t="n">
        <v>0</v>
      </c>
      <c r="P3349" t="n">
        <v>0</v>
      </c>
      <c r="Q3349" t="n">
        <v>0</v>
      </c>
      <c r="R3349" s="2" t="inlineStr"/>
    </row>
    <row r="3350" ht="15" customHeight="1">
      <c r="A3350" t="inlineStr">
        <is>
          <t>A 39937-2023</t>
        </is>
      </c>
      <c r="B3350" s="1" t="n">
        <v>45168</v>
      </c>
      <c r="C3350" s="1" t="n">
        <v>45884</v>
      </c>
      <c r="D3350" t="inlineStr">
        <is>
          <t>KALMAR LÄN</t>
        </is>
      </c>
      <c r="E3350" t="inlineStr">
        <is>
          <t>OSKARSHAMN</t>
        </is>
      </c>
      <c r="G3350" t="n">
        <v>2.7</v>
      </c>
      <c r="H3350" t="n">
        <v>0</v>
      </c>
      <c r="I3350" t="n">
        <v>0</v>
      </c>
      <c r="J3350" t="n">
        <v>0</v>
      </c>
      <c r="K3350" t="n">
        <v>0</v>
      </c>
      <c r="L3350" t="n">
        <v>0</v>
      </c>
      <c r="M3350" t="n">
        <v>0</v>
      </c>
      <c r="N3350" t="n">
        <v>0</v>
      </c>
      <c r="O3350" t="n">
        <v>0</v>
      </c>
      <c r="P3350" t="n">
        <v>0</v>
      </c>
      <c r="Q3350" t="n">
        <v>0</v>
      </c>
      <c r="R3350" s="2" t="inlineStr"/>
    </row>
    <row r="3351" ht="15" customHeight="1">
      <c r="A3351" t="inlineStr">
        <is>
          <t>A 54635-2024</t>
        </is>
      </c>
      <c r="B3351" s="1" t="n">
        <v>45617.87493055555</v>
      </c>
      <c r="C3351" s="1" t="n">
        <v>45884</v>
      </c>
      <c r="D3351" t="inlineStr">
        <is>
          <t>KALMAR LÄN</t>
        </is>
      </c>
      <c r="E3351" t="inlineStr">
        <is>
          <t>OSKARSHAMN</t>
        </is>
      </c>
      <c r="F3351" t="inlineStr">
        <is>
          <t>Sveaskog</t>
        </is>
      </c>
      <c r="G3351" t="n">
        <v>2.6</v>
      </c>
      <c r="H3351" t="n">
        <v>0</v>
      </c>
      <c r="I3351" t="n">
        <v>0</v>
      </c>
      <c r="J3351" t="n">
        <v>0</v>
      </c>
      <c r="K3351" t="n">
        <v>0</v>
      </c>
      <c r="L3351" t="n">
        <v>0</v>
      </c>
      <c r="M3351" t="n">
        <v>0</v>
      </c>
      <c r="N3351" t="n">
        <v>0</v>
      </c>
      <c r="O3351" t="n">
        <v>0</v>
      </c>
      <c r="P3351" t="n">
        <v>0</v>
      </c>
      <c r="Q3351" t="n">
        <v>0</v>
      </c>
      <c r="R3351" s="2" t="inlineStr"/>
    </row>
    <row r="3352" ht="15" customHeight="1">
      <c r="A3352" t="inlineStr">
        <is>
          <t>A 10062-2023</t>
        </is>
      </c>
      <c r="B3352" s="1" t="n">
        <v>44985.79425925926</v>
      </c>
      <c r="C3352" s="1" t="n">
        <v>45884</v>
      </c>
      <c r="D3352" t="inlineStr">
        <is>
          <t>KALMAR LÄN</t>
        </is>
      </c>
      <c r="E3352" t="inlineStr">
        <is>
          <t>TORSÅS</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21604-2023</t>
        </is>
      </c>
      <c r="B3353" s="1" t="n">
        <v>45063.61914351852</v>
      </c>
      <c r="C3353" s="1" t="n">
        <v>45884</v>
      </c>
      <c r="D3353" t="inlineStr">
        <is>
          <t>KALMAR LÄN</t>
        </is>
      </c>
      <c r="E3353" t="inlineStr">
        <is>
          <t>TORSÅS</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14936-2023</t>
        </is>
      </c>
      <c r="B3354" s="1" t="n">
        <v>45015</v>
      </c>
      <c r="C3354" s="1" t="n">
        <v>45884</v>
      </c>
      <c r="D3354" t="inlineStr">
        <is>
          <t>KALMAR LÄN</t>
        </is>
      </c>
      <c r="E3354" t="inlineStr">
        <is>
          <t>MÖNSTERÅS</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21613-2023</t>
        </is>
      </c>
      <c r="B3355" s="1" t="n">
        <v>45063</v>
      </c>
      <c r="C3355" s="1" t="n">
        <v>45884</v>
      </c>
      <c r="D3355" t="inlineStr">
        <is>
          <t>KALMAR LÄN</t>
        </is>
      </c>
      <c r="E3355" t="inlineStr">
        <is>
          <t>NYBRO</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26711-2023</t>
        </is>
      </c>
      <c r="B3356" s="1" t="n">
        <v>45093.38070601852</v>
      </c>
      <c r="C3356" s="1" t="n">
        <v>45884</v>
      </c>
      <c r="D3356" t="inlineStr">
        <is>
          <t>KALMAR LÄN</t>
        </is>
      </c>
      <c r="E3356" t="inlineStr">
        <is>
          <t>TORSÅS</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26714-2023</t>
        </is>
      </c>
      <c r="B3357" s="1" t="n">
        <v>45093</v>
      </c>
      <c r="C3357" s="1" t="n">
        <v>45884</v>
      </c>
      <c r="D3357" t="inlineStr">
        <is>
          <t>KALMAR LÄN</t>
        </is>
      </c>
      <c r="E3357" t="inlineStr">
        <is>
          <t>TORSÅS</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55985-2023</t>
        </is>
      </c>
      <c r="B3358" s="1" t="n">
        <v>45240.37828703703</v>
      </c>
      <c r="C3358" s="1" t="n">
        <v>45884</v>
      </c>
      <c r="D3358" t="inlineStr">
        <is>
          <t>KALMAR LÄN</t>
        </is>
      </c>
      <c r="E3358" t="inlineStr">
        <is>
          <t>OSKARSHAMN</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52845-2023</t>
        </is>
      </c>
      <c r="B3359" s="1" t="n">
        <v>45226.43667824074</v>
      </c>
      <c r="C3359" s="1" t="n">
        <v>45884</v>
      </c>
      <c r="D3359" t="inlineStr">
        <is>
          <t>KALMAR LÄN</t>
        </is>
      </c>
      <c r="E3359" t="inlineStr">
        <is>
          <t>VÄSTERVIK</t>
        </is>
      </c>
      <c r="F3359" t="inlineStr">
        <is>
          <t>Holmen skog AB</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5106-2025</t>
        </is>
      </c>
      <c r="B3360" s="1" t="n">
        <v>45691.54719907408</v>
      </c>
      <c r="C3360" s="1" t="n">
        <v>45884</v>
      </c>
      <c r="D3360" t="inlineStr">
        <is>
          <t>KALMAR LÄN</t>
        </is>
      </c>
      <c r="E3360" t="inlineStr">
        <is>
          <t>OSKARSHAMN</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59474-2023</t>
        </is>
      </c>
      <c r="B3361" s="1" t="n">
        <v>45254.43631944444</v>
      </c>
      <c r="C3361" s="1" t="n">
        <v>45884</v>
      </c>
      <c r="D3361" t="inlineStr">
        <is>
          <t>KALMAR LÄN</t>
        </is>
      </c>
      <c r="E3361" t="inlineStr">
        <is>
          <t>OSKARSHAMN</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59545-2023</t>
        </is>
      </c>
      <c r="B3362" s="1" t="n">
        <v>45254.55388888889</v>
      </c>
      <c r="C3362" s="1" t="n">
        <v>45884</v>
      </c>
      <c r="D3362" t="inlineStr">
        <is>
          <t>KALMAR LÄN</t>
        </is>
      </c>
      <c r="E3362" t="inlineStr">
        <is>
          <t>NYBRO</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9418-2024</t>
        </is>
      </c>
      <c r="B3363" s="1" t="n">
        <v>45359.45038194444</v>
      </c>
      <c r="C3363" s="1" t="n">
        <v>45884</v>
      </c>
      <c r="D3363" t="inlineStr">
        <is>
          <t>KALMAR LÄN</t>
        </is>
      </c>
      <c r="E3363" t="inlineStr">
        <is>
          <t>VIMMERBY</t>
        </is>
      </c>
      <c r="G3363" t="n">
        <v>1.9</v>
      </c>
      <c r="H3363" t="n">
        <v>0</v>
      </c>
      <c r="I3363" t="n">
        <v>0</v>
      </c>
      <c r="J3363" t="n">
        <v>0</v>
      </c>
      <c r="K3363" t="n">
        <v>0</v>
      </c>
      <c r="L3363" t="n">
        <v>0</v>
      </c>
      <c r="M3363" t="n">
        <v>0</v>
      </c>
      <c r="N3363" t="n">
        <v>0</v>
      </c>
      <c r="O3363" t="n">
        <v>0</v>
      </c>
      <c r="P3363" t="n">
        <v>0</v>
      </c>
      <c r="Q3363" t="n">
        <v>0</v>
      </c>
      <c r="R3363" s="2" t="inlineStr"/>
    </row>
    <row r="3364" ht="15" customHeight="1">
      <c r="A3364" t="inlineStr">
        <is>
          <t>A 6909-2022</t>
        </is>
      </c>
      <c r="B3364" s="1" t="n">
        <v>44602.92667824074</v>
      </c>
      <c r="C3364" s="1" t="n">
        <v>45884</v>
      </c>
      <c r="D3364" t="inlineStr">
        <is>
          <t>KALMAR LÄN</t>
        </is>
      </c>
      <c r="E3364" t="inlineStr">
        <is>
          <t>OSKARSHAMN</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9520-2024</t>
        </is>
      </c>
      <c r="B3365" s="1" t="n">
        <v>45359.64686342593</v>
      </c>
      <c r="C3365" s="1" t="n">
        <v>45884</v>
      </c>
      <c r="D3365" t="inlineStr">
        <is>
          <t>KALMAR LÄN</t>
        </is>
      </c>
      <c r="E3365" t="inlineStr">
        <is>
          <t>NYBRO</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2797-2023</t>
        </is>
      </c>
      <c r="B3366" s="1" t="n">
        <v>44944.71386574074</v>
      </c>
      <c r="C3366" s="1" t="n">
        <v>45884</v>
      </c>
      <c r="D3366" t="inlineStr">
        <is>
          <t>KALMAR LÄN</t>
        </is>
      </c>
      <c r="E3366" t="inlineStr">
        <is>
          <t>VIMMERBY</t>
        </is>
      </c>
      <c r="G3366" t="n">
        <v>3.4</v>
      </c>
      <c r="H3366" t="n">
        <v>0</v>
      </c>
      <c r="I3366" t="n">
        <v>0</v>
      </c>
      <c r="J3366" t="n">
        <v>0</v>
      </c>
      <c r="K3366" t="n">
        <v>0</v>
      </c>
      <c r="L3366" t="n">
        <v>0</v>
      </c>
      <c r="M3366" t="n">
        <v>0</v>
      </c>
      <c r="N3366" t="n">
        <v>0</v>
      </c>
      <c r="O3366" t="n">
        <v>0</v>
      </c>
      <c r="P3366" t="n">
        <v>0</v>
      </c>
      <c r="Q3366" t="n">
        <v>0</v>
      </c>
      <c r="R3366" s="2" t="inlineStr"/>
    </row>
    <row r="3367" ht="15" customHeight="1">
      <c r="A3367" t="inlineStr">
        <is>
          <t>A 2799-2023</t>
        </is>
      </c>
      <c r="B3367" s="1" t="n">
        <v>44944.72100694444</v>
      </c>
      <c r="C3367" s="1" t="n">
        <v>45884</v>
      </c>
      <c r="D3367" t="inlineStr">
        <is>
          <t>KALMAR LÄN</t>
        </is>
      </c>
      <c r="E3367" t="inlineStr">
        <is>
          <t>VIMMERBY</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51962-2024</t>
        </is>
      </c>
      <c r="B3368" s="1" t="n">
        <v>45607</v>
      </c>
      <c r="C3368" s="1" t="n">
        <v>45884</v>
      </c>
      <c r="D3368" t="inlineStr">
        <is>
          <t>KALMAR LÄN</t>
        </is>
      </c>
      <c r="E3368" t="inlineStr">
        <is>
          <t>KALMAR</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11497-2025</t>
        </is>
      </c>
      <c r="B3369" s="1" t="n">
        <v>45726.75759259259</v>
      </c>
      <c r="C3369" s="1" t="n">
        <v>45884</v>
      </c>
      <c r="D3369" t="inlineStr">
        <is>
          <t>KALMAR LÄN</t>
        </is>
      </c>
      <c r="E3369" t="inlineStr">
        <is>
          <t>HULTSFRED</t>
        </is>
      </c>
      <c r="F3369" t="inlineStr">
        <is>
          <t>Övriga Aktiebolag</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65651-2021</t>
        </is>
      </c>
      <c r="B3370" s="1" t="n">
        <v>44516</v>
      </c>
      <c r="C3370" s="1" t="n">
        <v>45884</v>
      </c>
      <c r="D3370" t="inlineStr">
        <is>
          <t>KALMAR LÄN</t>
        </is>
      </c>
      <c r="E3370" t="inlineStr">
        <is>
          <t>TORSÅS</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22487-2022</t>
        </is>
      </c>
      <c r="B3371" s="1" t="n">
        <v>44713.63319444445</v>
      </c>
      <c r="C3371" s="1" t="n">
        <v>45884</v>
      </c>
      <c r="D3371" t="inlineStr">
        <is>
          <t>KALMAR LÄN</t>
        </is>
      </c>
      <c r="E3371" t="inlineStr">
        <is>
          <t>NYBRO</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17052-2025</t>
        </is>
      </c>
      <c r="B3372" s="1" t="n">
        <v>45755.60236111111</v>
      </c>
      <c r="C3372" s="1" t="n">
        <v>45884</v>
      </c>
      <c r="D3372" t="inlineStr">
        <is>
          <t>KALMAR LÄN</t>
        </is>
      </c>
      <c r="E3372" t="inlineStr">
        <is>
          <t>VÄSTERVIK</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17054-2025</t>
        </is>
      </c>
      <c r="B3373" s="1" t="n">
        <v>45755.60278935185</v>
      </c>
      <c r="C3373" s="1" t="n">
        <v>45884</v>
      </c>
      <c r="D3373" t="inlineStr">
        <is>
          <t>KALMAR LÄN</t>
        </is>
      </c>
      <c r="E3373" t="inlineStr">
        <is>
          <t>VÄSTERVIK</t>
        </is>
      </c>
      <c r="G3373" t="n">
        <v>0.4</v>
      </c>
      <c r="H3373" t="n">
        <v>0</v>
      </c>
      <c r="I3373" t="n">
        <v>0</v>
      </c>
      <c r="J3373" t="n">
        <v>0</v>
      </c>
      <c r="K3373" t="n">
        <v>0</v>
      </c>
      <c r="L3373" t="n">
        <v>0</v>
      </c>
      <c r="M3373" t="n">
        <v>0</v>
      </c>
      <c r="N3373" t="n">
        <v>0</v>
      </c>
      <c r="O3373" t="n">
        <v>0</v>
      </c>
      <c r="P3373" t="n">
        <v>0</v>
      </c>
      <c r="Q3373" t="n">
        <v>0</v>
      </c>
      <c r="R3373" s="2" t="inlineStr"/>
    </row>
    <row r="3374" ht="15" customHeight="1">
      <c r="A3374" t="inlineStr">
        <is>
          <t>A 17074-2025</t>
        </is>
      </c>
      <c r="B3374" s="1" t="n">
        <v>45755.61959490741</v>
      </c>
      <c r="C3374" s="1" t="n">
        <v>45884</v>
      </c>
      <c r="D3374" t="inlineStr">
        <is>
          <t>KALMAR LÄN</t>
        </is>
      </c>
      <c r="E3374" t="inlineStr">
        <is>
          <t>HÖGSBY</t>
        </is>
      </c>
      <c r="G3374" t="n">
        <v>5.3</v>
      </c>
      <c r="H3374" t="n">
        <v>0</v>
      </c>
      <c r="I3374" t="n">
        <v>0</v>
      </c>
      <c r="J3374" t="n">
        <v>0</v>
      </c>
      <c r="K3374" t="n">
        <v>0</v>
      </c>
      <c r="L3374" t="n">
        <v>0</v>
      </c>
      <c r="M3374" t="n">
        <v>0</v>
      </c>
      <c r="N3374" t="n">
        <v>0</v>
      </c>
      <c r="O3374" t="n">
        <v>0</v>
      </c>
      <c r="P3374" t="n">
        <v>0</v>
      </c>
      <c r="Q3374" t="n">
        <v>0</v>
      </c>
      <c r="R3374" s="2" t="inlineStr"/>
    </row>
    <row r="3375" ht="15" customHeight="1">
      <c r="A3375" t="inlineStr">
        <is>
          <t>A 61777-2022</t>
        </is>
      </c>
      <c r="B3375" s="1" t="n">
        <v>44917.52387731482</v>
      </c>
      <c r="C3375" s="1" t="n">
        <v>45884</v>
      </c>
      <c r="D3375" t="inlineStr">
        <is>
          <t>KALMAR LÄN</t>
        </is>
      </c>
      <c r="E3375" t="inlineStr">
        <is>
          <t>NYBRO</t>
        </is>
      </c>
      <c r="F3375" t="inlineStr">
        <is>
          <t>Kommuner</t>
        </is>
      </c>
      <c r="G3375" t="n">
        <v>2.9</v>
      </c>
      <c r="H3375" t="n">
        <v>0</v>
      </c>
      <c r="I3375" t="n">
        <v>0</v>
      </c>
      <c r="J3375" t="n">
        <v>0</v>
      </c>
      <c r="K3375" t="n">
        <v>0</v>
      </c>
      <c r="L3375" t="n">
        <v>0</v>
      </c>
      <c r="M3375" t="n">
        <v>0</v>
      </c>
      <c r="N3375" t="n">
        <v>0</v>
      </c>
      <c r="O3375" t="n">
        <v>0</v>
      </c>
      <c r="P3375" t="n">
        <v>0</v>
      </c>
      <c r="Q3375" t="n">
        <v>0</v>
      </c>
      <c r="R3375" s="2" t="inlineStr"/>
    </row>
    <row r="3376" ht="15" customHeight="1">
      <c r="A3376" t="inlineStr">
        <is>
          <t>A 17139-2025</t>
        </is>
      </c>
      <c r="B3376" s="1" t="n">
        <v>45755.82037037037</v>
      </c>
      <c r="C3376" s="1" t="n">
        <v>45884</v>
      </c>
      <c r="D3376" t="inlineStr">
        <is>
          <t>KALMAR LÄN</t>
        </is>
      </c>
      <c r="E3376" t="inlineStr">
        <is>
          <t>KALMAR</t>
        </is>
      </c>
      <c r="G3376" t="n">
        <v>2</v>
      </c>
      <c r="H3376" t="n">
        <v>0</v>
      </c>
      <c r="I3376" t="n">
        <v>0</v>
      </c>
      <c r="J3376" t="n">
        <v>0</v>
      </c>
      <c r="K3376" t="n">
        <v>0</v>
      </c>
      <c r="L3376" t="n">
        <v>0</v>
      </c>
      <c r="M3376" t="n">
        <v>0</v>
      </c>
      <c r="N3376" t="n">
        <v>0</v>
      </c>
      <c r="O3376" t="n">
        <v>0</v>
      </c>
      <c r="P3376" t="n">
        <v>0</v>
      </c>
      <c r="Q3376" t="n">
        <v>0</v>
      </c>
      <c r="R3376" s="2" t="inlineStr"/>
    </row>
    <row r="3377" ht="15" customHeight="1">
      <c r="A3377" t="inlineStr">
        <is>
          <t>A 37628-2024</t>
        </is>
      </c>
      <c r="B3377" s="1" t="n">
        <v>45541.52309027778</v>
      </c>
      <c r="C3377" s="1" t="n">
        <v>45884</v>
      </c>
      <c r="D3377" t="inlineStr">
        <is>
          <t>KALMAR LÄN</t>
        </is>
      </c>
      <c r="E3377" t="inlineStr">
        <is>
          <t>HULTSFRED</t>
        </is>
      </c>
      <c r="F3377" t="inlineStr">
        <is>
          <t>Övriga Aktiebolag</t>
        </is>
      </c>
      <c r="G3377" t="n">
        <v>2.9</v>
      </c>
      <c r="H3377" t="n">
        <v>0</v>
      </c>
      <c r="I3377" t="n">
        <v>0</v>
      </c>
      <c r="J3377" t="n">
        <v>0</v>
      </c>
      <c r="K3377" t="n">
        <v>0</v>
      </c>
      <c r="L3377" t="n">
        <v>0</v>
      </c>
      <c r="M3377" t="n">
        <v>0</v>
      </c>
      <c r="N3377" t="n">
        <v>0</v>
      </c>
      <c r="O3377" t="n">
        <v>0</v>
      </c>
      <c r="P3377" t="n">
        <v>0</v>
      </c>
      <c r="Q3377" t="n">
        <v>0</v>
      </c>
      <c r="R3377" s="2" t="inlineStr"/>
    </row>
    <row r="3378" ht="15" customHeight="1">
      <c r="A3378" t="inlineStr">
        <is>
          <t>A 4159-2024</t>
        </is>
      </c>
      <c r="B3378" s="1" t="n">
        <v>45323</v>
      </c>
      <c r="C3378" s="1" t="n">
        <v>45884</v>
      </c>
      <c r="D3378" t="inlineStr">
        <is>
          <t>KALMAR LÄN</t>
        </is>
      </c>
      <c r="E3378" t="inlineStr">
        <is>
          <t>BORGHOLM</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4257-2024</t>
        </is>
      </c>
      <c r="B3379" s="1" t="n">
        <v>45324</v>
      </c>
      <c r="C3379" s="1" t="n">
        <v>45884</v>
      </c>
      <c r="D3379" t="inlineStr">
        <is>
          <t>KALMAR LÄN</t>
        </is>
      </c>
      <c r="E3379" t="inlineStr">
        <is>
          <t>HULTSFRED</t>
        </is>
      </c>
      <c r="G3379" t="n">
        <v>0.3</v>
      </c>
      <c r="H3379" t="n">
        <v>0</v>
      </c>
      <c r="I3379" t="n">
        <v>0</v>
      </c>
      <c r="J3379" t="n">
        <v>0</v>
      </c>
      <c r="K3379" t="n">
        <v>0</v>
      </c>
      <c r="L3379" t="n">
        <v>0</v>
      </c>
      <c r="M3379" t="n">
        <v>0</v>
      </c>
      <c r="N3379" t="n">
        <v>0</v>
      </c>
      <c r="O3379" t="n">
        <v>0</v>
      </c>
      <c r="P3379" t="n">
        <v>0</v>
      </c>
      <c r="Q3379" t="n">
        <v>0</v>
      </c>
      <c r="R3379" s="2" t="inlineStr"/>
      <c r="U3379">
        <f>HYPERLINK("https://klasma.github.io/Logging_0860/knärot/A 4257-2024 karta knärot.png", "A 4257-2024")</f>
        <v/>
      </c>
      <c r="V3379">
        <f>HYPERLINK("https://klasma.github.io/Logging_0860/klagomål/A 4257-2024 FSC-klagomål.docx", "A 4257-2024")</f>
        <v/>
      </c>
      <c r="W3379">
        <f>HYPERLINK("https://klasma.github.io/Logging_0860/klagomålsmail/A 4257-2024 FSC-klagomål mail.docx", "A 4257-2024")</f>
        <v/>
      </c>
      <c r="X3379">
        <f>HYPERLINK("https://klasma.github.io/Logging_0860/tillsyn/A 4257-2024 tillsynsbegäran.docx", "A 4257-2024")</f>
        <v/>
      </c>
      <c r="Y3379">
        <f>HYPERLINK("https://klasma.github.io/Logging_0860/tillsynsmail/A 4257-2024 tillsynsbegäran mail.docx", "A 4257-2024")</f>
        <v/>
      </c>
    </row>
    <row r="3380" ht="15" customHeight="1">
      <c r="A3380" t="inlineStr">
        <is>
          <t>A 27101-2023</t>
        </is>
      </c>
      <c r="B3380" s="1" t="n">
        <v>45096</v>
      </c>
      <c r="C3380" s="1" t="n">
        <v>45884</v>
      </c>
      <c r="D3380" t="inlineStr">
        <is>
          <t>KALMAR LÄN</t>
        </is>
      </c>
      <c r="E3380" t="inlineStr">
        <is>
          <t>NYBRO</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44490-2024</t>
        </is>
      </c>
      <c r="B3381" s="1" t="n">
        <v>45574.38966435185</v>
      </c>
      <c r="C3381" s="1" t="n">
        <v>45884</v>
      </c>
      <c r="D3381" t="inlineStr">
        <is>
          <t>KALMAR LÄN</t>
        </is>
      </c>
      <c r="E3381" t="inlineStr">
        <is>
          <t>EMMABODA</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25987-2024</t>
        </is>
      </c>
      <c r="B3382" s="1" t="n">
        <v>45467.74417824074</v>
      </c>
      <c r="C3382" s="1" t="n">
        <v>45884</v>
      </c>
      <c r="D3382" t="inlineStr">
        <is>
          <t>KALMAR LÄN</t>
        </is>
      </c>
      <c r="E3382" t="inlineStr">
        <is>
          <t>VIMMERBY</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57091-2022</t>
        </is>
      </c>
      <c r="B3383" s="1" t="n">
        <v>44895.46524305556</v>
      </c>
      <c r="C3383" s="1" t="n">
        <v>45884</v>
      </c>
      <c r="D3383" t="inlineStr">
        <is>
          <t>KALMAR LÄN</t>
        </is>
      </c>
      <c r="E3383" t="inlineStr">
        <is>
          <t>VIMMERBY</t>
        </is>
      </c>
      <c r="G3383" t="n">
        <v>2.6</v>
      </c>
      <c r="H3383" t="n">
        <v>0</v>
      </c>
      <c r="I3383" t="n">
        <v>0</v>
      </c>
      <c r="J3383" t="n">
        <v>0</v>
      </c>
      <c r="K3383" t="n">
        <v>0</v>
      </c>
      <c r="L3383" t="n">
        <v>0</v>
      </c>
      <c r="M3383" t="n">
        <v>0</v>
      </c>
      <c r="N3383" t="n">
        <v>0</v>
      </c>
      <c r="O3383" t="n">
        <v>0</v>
      </c>
      <c r="P3383" t="n">
        <v>0</v>
      </c>
      <c r="Q3383" t="n">
        <v>0</v>
      </c>
      <c r="R3383" s="2" t="inlineStr"/>
    </row>
    <row r="3384" ht="15" customHeight="1">
      <c r="A3384" t="inlineStr">
        <is>
          <t>A 3816-2022</t>
        </is>
      </c>
      <c r="B3384" s="1" t="n">
        <v>44587</v>
      </c>
      <c r="C3384" s="1" t="n">
        <v>45884</v>
      </c>
      <c r="D3384" t="inlineStr">
        <is>
          <t>KALMAR LÄN</t>
        </is>
      </c>
      <c r="E3384" t="inlineStr">
        <is>
          <t>VIMMERBY</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48312-2024</t>
        </is>
      </c>
      <c r="B3385" s="1" t="n">
        <v>45590.48756944444</v>
      </c>
      <c r="C3385" s="1" t="n">
        <v>45884</v>
      </c>
      <c r="D3385" t="inlineStr">
        <is>
          <t>KALMAR LÄN</t>
        </is>
      </c>
      <c r="E3385" t="inlineStr">
        <is>
          <t>NYBRO</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18694-2024</t>
        </is>
      </c>
      <c r="B3386" s="1" t="n">
        <v>45426</v>
      </c>
      <c r="C3386" s="1" t="n">
        <v>45884</v>
      </c>
      <c r="D3386" t="inlineStr">
        <is>
          <t>KALMAR LÄN</t>
        </is>
      </c>
      <c r="E3386" t="inlineStr">
        <is>
          <t>TORSÅS</t>
        </is>
      </c>
      <c r="G3386" t="n">
        <v>3</v>
      </c>
      <c r="H3386" t="n">
        <v>0</v>
      </c>
      <c r="I3386" t="n">
        <v>0</v>
      </c>
      <c r="J3386" t="n">
        <v>0</v>
      </c>
      <c r="K3386" t="n">
        <v>0</v>
      </c>
      <c r="L3386" t="n">
        <v>0</v>
      </c>
      <c r="M3386" t="n">
        <v>0</v>
      </c>
      <c r="N3386" t="n">
        <v>0</v>
      </c>
      <c r="O3386" t="n">
        <v>0</v>
      </c>
      <c r="P3386" t="n">
        <v>0</v>
      </c>
      <c r="Q3386" t="n">
        <v>0</v>
      </c>
      <c r="R3386" s="2" t="inlineStr"/>
    </row>
    <row r="3387" ht="15" customHeight="1">
      <c r="A3387" t="inlineStr">
        <is>
          <t>A 57483-2021</t>
        </is>
      </c>
      <c r="B3387" s="1" t="n">
        <v>44483</v>
      </c>
      <c r="C3387" s="1" t="n">
        <v>45884</v>
      </c>
      <c r="D3387" t="inlineStr">
        <is>
          <t>KALMAR LÄN</t>
        </is>
      </c>
      <c r="E3387" t="inlineStr">
        <is>
          <t>OSKARSHAMN</t>
        </is>
      </c>
      <c r="G3387" t="n">
        <v>6.2</v>
      </c>
      <c r="H3387" t="n">
        <v>0</v>
      </c>
      <c r="I3387" t="n">
        <v>0</v>
      </c>
      <c r="J3387" t="n">
        <v>0</v>
      </c>
      <c r="K3387" t="n">
        <v>0</v>
      </c>
      <c r="L3387" t="n">
        <v>0</v>
      </c>
      <c r="M3387" t="n">
        <v>0</v>
      </c>
      <c r="N3387" t="n">
        <v>0</v>
      </c>
      <c r="O3387" t="n">
        <v>0</v>
      </c>
      <c r="P3387" t="n">
        <v>0</v>
      </c>
      <c r="Q3387" t="n">
        <v>0</v>
      </c>
      <c r="R3387" s="2" t="inlineStr"/>
    </row>
    <row r="3388" ht="15" customHeight="1">
      <c r="A3388" t="inlineStr">
        <is>
          <t>A 5340-2023</t>
        </is>
      </c>
      <c r="B3388" s="1" t="n">
        <v>44959.60054398148</v>
      </c>
      <c r="C3388" s="1" t="n">
        <v>45884</v>
      </c>
      <c r="D3388" t="inlineStr">
        <is>
          <t>KALMAR LÄN</t>
        </is>
      </c>
      <c r="E3388" t="inlineStr">
        <is>
          <t>NYBRO</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22194-2024</t>
        </is>
      </c>
      <c r="B3389" s="1" t="n">
        <v>45446.36482638889</v>
      </c>
      <c r="C3389" s="1" t="n">
        <v>45884</v>
      </c>
      <c r="D3389" t="inlineStr">
        <is>
          <t>KALMAR LÄN</t>
        </is>
      </c>
      <c r="E3389" t="inlineStr">
        <is>
          <t>VIMMERBY</t>
        </is>
      </c>
      <c r="F3389" t="inlineStr">
        <is>
          <t>Sveaskog</t>
        </is>
      </c>
      <c r="G3389" t="n">
        <v>8.699999999999999</v>
      </c>
      <c r="H3389" t="n">
        <v>0</v>
      </c>
      <c r="I3389" t="n">
        <v>0</v>
      </c>
      <c r="J3389" t="n">
        <v>0</v>
      </c>
      <c r="K3389" t="n">
        <v>0</v>
      </c>
      <c r="L3389" t="n">
        <v>0</v>
      </c>
      <c r="M3389" t="n">
        <v>0</v>
      </c>
      <c r="N3389" t="n">
        <v>0</v>
      </c>
      <c r="O3389" t="n">
        <v>0</v>
      </c>
      <c r="P3389" t="n">
        <v>0</v>
      </c>
      <c r="Q3389" t="n">
        <v>0</v>
      </c>
      <c r="R3389" s="2" t="inlineStr"/>
    </row>
    <row r="3390" ht="15" customHeight="1">
      <c r="A3390" t="inlineStr">
        <is>
          <t>A 23743-2022</t>
        </is>
      </c>
      <c r="B3390" s="1" t="n">
        <v>44722.35611111111</v>
      </c>
      <c r="C3390" s="1" t="n">
        <v>45884</v>
      </c>
      <c r="D3390" t="inlineStr">
        <is>
          <t>KALMAR LÄN</t>
        </is>
      </c>
      <c r="E3390" t="inlineStr">
        <is>
          <t>VÄSTERVIK</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2245-2021</t>
        </is>
      </c>
      <c r="B3391" s="1" t="n">
        <v>44211.68319444444</v>
      </c>
      <c r="C3391" s="1" t="n">
        <v>45884</v>
      </c>
      <c r="D3391" t="inlineStr">
        <is>
          <t>KALMAR LÄN</t>
        </is>
      </c>
      <c r="E3391" t="inlineStr">
        <is>
          <t>TORSÅS</t>
        </is>
      </c>
      <c r="G3391" t="n">
        <v>0.4</v>
      </c>
      <c r="H3391" t="n">
        <v>0</v>
      </c>
      <c r="I3391" t="n">
        <v>0</v>
      </c>
      <c r="J3391" t="n">
        <v>0</v>
      </c>
      <c r="K3391" t="n">
        <v>0</v>
      </c>
      <c r="L3391" t="n">
        <v>0</v>
      </c>
      <c r="M3391" t="n">
        <v>0</v>
      </c>
      <c r="N3391" t="n">
        <v>0</v>
      </c>
      <c r="O3391" t="n">
        <v>0</v>
      </c>
      <c r="P3391" t="n">
        <v>0</v>
      </c>
      <c r="Q3391" t="n">
        <v>0</v>
      </c>
      <c r="R3391" s="2" t="inlineStr"/>
    </row>
    <row r="3392" ht="15" customHeight="1">
      <c r="A3392" t="inlineStr">
        <is>
          <t>A 48918-2023</t>
        </is>
      </c>
      <c r="B3392" s="1" t="n">
        <v>45204</v>
      </c>
      <c r="C3392" s="1" t="n">
        <v>45884</v>
      </c>
      <c r="D3392" t="inlineStr">
        <is>
          <t>KALMAR LÄN</t>
        </is>
      </c>
      <c r="E3392" t="inlineStr">
        <is>
          <t>EMMABODA</t>
        </is>
      </c>
      <c r="F3392" t="inlineStr">
        <is>
          <t>Övriga Aktiebolag</t>
        </is>
      </c>
      <c r="G3392" t="n">
        <v>5.9</v>
      </c>
      <c r="H3392" t="n">
        <v>0</v>
      </c>
      <c r="I3392" t="n">
        <v>0</v>
      </c>
      <c r="J3392" t="n">
        <v>0</v>
      </c>
      <c r="K3392" t="n">
        <v>0</v>
      </c>
      <c r="L3392" t="n">
        <v>0</v>
      </c>
      <c r="M3392" t="n">
        <v>0</v>
      </c>
      <c r="N3392" t="n">
        <v>0</v>
      </c>
      <c r="O3392" t="n">
        <v>0</v>
      </c>
      <c r="P3392" t="n">
        <v>0</v>
      </c>
      <c r="Q3392" t="n">
        <v>0</v>
      </c>
      <c r="R3392" s="2" t="inlineStr"/>
    </row>
    <row r="3393" ht="15" customHeight="1">
      <c r="A3393" t="inlineStr">
        <is>
          <t>A 48927-2023</t>
        </is>
      </c>
      <c r="B3393" s="1" t="n">
        <v>45209.55802083333</v>
      </c>
      <c r="C3393" s="1" t="n">
        <v>45884</v>
      </c>
      <c r="D3393" t="inlineStr">
        <is>
          <t>KALMAR LÄN</t>
        </is>
      </c>
      <c r="E3393" t="inlineStr">
        <is>
          <t>HULTSFRED</t>
        </is>
      </c>
      <c r="F3393" t="inlineStr">
        <is>
          <t>Övriga Aktiebolag</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14079-2024</t>
        </is>
      </c>
      <c r="B3394" s="1" t="n">
        <v>45392.58570601852</v>
      </c>
      <c r="C3394" s="1" t="n">
        <v>45884</v>
      </c>
      <c r="D3394" t="inlineStr">
        <is>
          <t>KALMAR LÄN</t>
        </is>
      </c>
      <c r="E3394" t="inlineStr">
        <is>
          <t>EMMABODA</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21384-2023</t>
        </is>
      </c>
      <c r="B3395" s="1" t="n">
        <v>45061</v>
      </c>
      <c r="C3395" s="1" t="n">
        <v>45884</v>
      </c>
      <c r="D3395" t="inlineStr">
        <is>
          <t>KALMAR LÄN</t>
        </is>
      </c>
      <c r="E3395" t="inlineStr">
        <is>
          <t>KALMAR</t>
        </is>
      </c>
      <c r="G3395" t="n">
        <v>4.1</v>
      </c>
      <c r="H3395" t="n">
        <v>0</v>
      </c>
      <c r="I3395" t="n">
        <v>0</v>
      </c>
      <c r="J3395" t="n">
        <v>0</v>
      </c>
      <c r="K3395" t="n">
        <v>0</v>
      </c>
      <c r="L3395" t="n">
        <v>0</v>
      </c>
      <c r="M3395" t="n">
        <v>0</v>
      </c>
      <c r="N3395" t="n">
        <v>0</v>
      </c>
      <c r="O3395" t="n">
        <v>0</v>
      </c>
      <c r="P3395" t="n">
        <v>0</v>
      </c>
      <c r="Q3395" t="n">
        <v>0</v>
      </c>
      <c r="R3395" s="2" t="inlineStr"/>
    </row>
    <row r="3396" ht="15" customHeight="1">
      <c r="A3396" t="inlineStr">
        <is>
          <t>A 23088-2023</t>
        </is>
      </c>
      <c r="B3396" s="1" t="n">
        <v>45075</v>
      </c>
      <c r="C3396" s="1" t="n">
        <v>45884</v>
      </c>
      <c r="D3396" t="inlineStr">
        <is>
          <t>KALMAR LÄN</t>
        </is>
      </c>
      <c r="E3396" t="inlineStr">
        <is>
          <t>TORSÅS</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43606-2024</t>
        </is>
      </c>
      <c r="B3397" s="1" t="n">
        <v>45569.45017361111</v>
      </c>
      <c r="C3397" s="1" t="n">
        <v>45884</v>
      </c>
      <c r="D3397" t="inlineStr">
        <is>
          <t>KALMAR LÄN</t>
        </is>
      </c>
      <c r="E3397" t="inlineStr">
        <is>
          <t>VIMMERBY</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43617-2024</t>
        </is>
      </c>
      <c r="B3398" s="1" t="n">
        <v>45569.47494212963</v>
      </c>
      <c r="C3398" s="1" t="n">
        <v>45884</v>
      </c>
      <c r="D3398" t="inlineStr">
        <is>
          <t>KALMAR LÄN</t>
        </is>
      </c>
      <c r="E3398" t="inlineStr">
        <is>
          <t>VIMMERBY</t>
        </is>
      </c>
      <c r="G3398" t="n">
        <v>2.7</v>
      </c>
      <c r="H3398" t="n">
        <v>0</v>
      </c>
      <c r="I3398" t="n">
        <v>0</v>
      </c>
      <c r="J3398" t="n">
        <v>0</v>
      </c>
      <c r="K3398" t="n">
        <v>0</v>
      </c>
      <c r="L3398" t="n">
        <v>0</v>
      </c>
      <c r="M3398" t="n">
        <v>0</v>
      </c>
      <c r="N3398" t="n">
        <v>0</v>
      </c>
      <c r="O3398" t="n">
        <v>0</v>
      </c>
      <c r="P3398" t="n">
        <v>0</v>
      </c>
      <c r="Q3398" t="n">
        <v>0</v>
      </c>
      <c r="R3398" s="2" t="inlineStr"/>
    </row>
    <row r="3399" ht="15" customHeight="1">
      <c r="A3399" t="inlineStr">
        <is>
          <t>A 19865-2021</t>
        </is>
      </c>
      <c r="B3399" s="1" t="n">
        <v>44312</v>
      </c>
      <c r="C3399" s="1" t="n">
        <v>45884</v>
      </c>
      <c r="D3399" t="inlineStr">
        <is>
          <t>KALMAR LÄN</t>
        </is>
      </c>
      <c r="E3399" t="inlineStr">
        <is>
          <t>VIMMERBY</t>
        </is>
      </c>
      <c r="G3399" t="n">
        <v>8.6</v>
      </c>
      <c r="H3399" t="n">
        <v>0</v>
      </c>
      <c r="I3399" t="n">
        <v>0</v>
      </c>
      <c r="J3399" t="n">
        <v>0</v>
      </c>
      <c r="K3399" t="n">
        <v>0</v>
      </c>
      <c r="L3399" t="n">
        <v>0</v>
      </c>
      <c r="M3399" t="n">
        <v>0</v>
      </c>
      <c r="N3399" t="n">
        <v>0</v>
      </c>
      <c r="O3399" t="n">
        <v>0</v>
      </c>
      <c r="P3399" t="n">
        <v>0</v>
      </c>
      <c r="Q3399" t="n">
        <v>0</v>
      </c>
      <c r="R3399" s="2" t="inlineStr"/>
    </row>
    <row r="3400" ht="15" customHeight="1">
      <c r="A3400" t="inlineStr">
        <is>
          <t>A 44368-2023</t>
        </is>
      </c>
      <c r="B3400" s="1" t="n">
        <v>45188</v>
      </c>
      <c r="C3400" s="1" t="n">
        <v>45884</v>
      </c>
      <c r="D3400" t="inlineStr">
        <is>
          <t>KALMAR LÄN</t>
        </is>
      </c>
      <c r="E3400" t="inlineStr">
        <is>
          <t>NYBRO</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18966-2021</t>
        </is>
      </c>
      <c r="B3401" s="1" t="n">
        <v>44308</v>
      </c>
      <c r="C3401" s="1" t="n">
        <v>45884</v>
      </c>
      <c r="D3401" t="inlineStr">
        <is>
          <t>KALMAR LÄN</t>
        </is>
      </c>
      <c r="E3401" t="inlineStr">
        <is>
          <t>NYBRO</t>
        </is>
      </c>
      <c r="G3401" t="n">
        <v>5</v>
      </c>
      <c r="H3401" t="n">
        <v>0</v>
      </c>
      <c r="I3401" t="n">
        <v>0</v>
      </c>
      <c r="J3401" t="n">
        <v>0</v>
      </c>
      <c r="K3401" t="n">
        <v>0</v>
      </c>
      <c r="L3401" t="n">
        <v>0</v>
      </c>
      <c r="M3401" t="n">
        <v>0</v>
      </c>
      <c r="N3401" t="n">
        <v>0</v>
      </c>
      <c r="O3401" t="n">
        <v>0</v>
      </c>
      <c r="P3401" t="n">
        <v>0</v>
      </c>
      <c r="Q3401" t="n">
        <v>0</v>
      </c>
      <c r="R3401" s="2" t="inlineStr"/>
    </row>
    <row r="3402" ht="15" customHeight="1">
      <c r="A3402" t="inlineStr">
        <is>
          <t>A 1401-2022</t>
        </is>
      </c>
      <c r="B3402" s="1" t="n">
        <v>44573</v>
      </c>
      <c r="C3402" s="1" t="n">
        <v>45884</v>
      </c>
      <c r="D3402" t="inlineStr">
        <is>
          <t>KALMAR LÄN</t>
        </is>
      </c>
      <c r="E3402" t="inlineStr">
        <is>
          <t>OSKARSHAMN</t>
        </is>
      </c>
      <c r="G3402" t="n">
        <v>2.9</v>
      </c>
      <c r="H3402" t="n">
        <v>0</v>
      </c>
      <c r="I3402" t="n">
        <v>0</v>
      </c>
      <c r="J3402" t="n">
        <v>0</v>
      </c>
      <c r="K3402" t="n">
        <v>0</v>
      </c>
      <c r="L3402" t="n">
        <v>0</v>
      </c>
      <c r="M3402" t="n">
        <v>0</v>
      </c>
      <c r="N3402" t="n">
        <v>0</v>
      </c>
      <c r="O3402" t="n">
        <v>0</v>
      </c>
      <c r="P3402" t="n">
        <v>0</v>
      </c>
      <c r="Q3402" t="n">
        <v>0</v>
      </c>
      <c r="R3402" s="2" t="inlineStr"/>
    </row>
    <row r="3403" ht="15" customHeight="1">
      <c r="A3403" t="inlineStr">
        <is>
          <t>A 12166-2023</t>
        </is>
      </c>
      <c r="B3403" s="1" t="n">
        <v>44998.50371527778</v>
      </c>
      <c r="C3403" s="1" t="n">
        <v>45884</v>
      </c>
      <c r="D3403" t="inlineStr">
        <is>
          <t>KALMAR LÄN</t>
        </is>
      </c>
      <c r="E3403" t="inlineStr">
        <is>
          <t>HULTSFRED</t>
        </is>
      </c>
      <c r="F3403" t="inlineStr">
        <is>
          <t>Övriga Aktiebolag</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33277-2023</t>
        </is>
      </c>
      <c r="B3404" s="1" t="n">
        <v>45114</v>
      </c>
      <c r="C3404" s="1" t="n">
        <v>45884</v>
      </c>
      <c r="D3404" t="inlineStr">
        <is>
          <t>KALMAR LÄN</t>
        </is>
      </c>
      <c r="E3404" t="inlineStr">
        <is>
          <t>VÄSTERVIK</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1420-2025</t>
        </is>
      </c>
      <c r="B3405" s="1" t="n">
        <v>45668.49403935186</v>
      </c>
      <c r="C3405" s="1" t="n">
        <v>45884</v>
      </c>
      <c r="D3405" t="inlineStr">
        <is>
          <t>KALMAR LÄN</t>
        </is>
      </c>
      <c r="E3405" t="inlineStr">
        <is>
          <t>NYBRO</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41219-2023</t>
        </is>
      </c>
      <c r="B3406" s="1" t="n">
        <v>45174</v>
      </c>
      <c r="C3406" s="1" t="n">
        <v>45884</v>
      </c>
      <c r="D3406" t="inlineStr">
        <is>
          <t>KALMAR LÄN</t>
        </is>
      </c>
      <c r="E3406" t="inlineStr">
        <is>
          <t>HULTSFRED</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35723-2024</t>
        </is>
      </c>
      <c r="B3407" s="1" t="n">
        <v>45532.49380787037</v>
      </c>
      <c r="C3407" s="1" t="n">
        <v>45884</v>
      </c>
      <c r="D3407" t="inlineStr">
        <is>
          <t>KALMAR LÄN</t>
        </is>
      </c>
      <c r="E3407" t="inlineStr">
        <is>
          <t>HÖGSBY</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6940-2025</t>
        </is>
      </c>
      <c r="B3408" s="1" t="n">
        <v>45701.46581018518</v>
      </c>
      <c r="C3408" s="1" t="n">
        <v>45884</v>
      </c>
      <c r="D3408" t="inlineStr">
        <is>
          <t>KALMAR LÄN</t>
        </is>
      </c>
      <c r="E3408" t="inlineStr">
        <is>
          <t>VÄSTERVIK</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47859-2024</t>
        </is>
      </c>
      <c r="B3409" s="1" t="n">
        <v>45588.67070601852</v>
      </c>
      <c r="C3409" s="1" t="n">
        <v>45884</v>
      </c>
      <c r="D3409" t="inlineStr">
        <is>
          <t>KALMAR LÄN</t>
        </is>
      </c>
      <c r="E3409" t="inlineStr">
        <is>
          <t>VIMMERBY</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3389-2023</t>
        </is>
      </c>
      <c r="B3410" s="1" t="n">
        <v>44949</v>
      </c>
      <c r="C3410" s="1" t="n">
        <v>45884</v>
      </c>
      <c r="D3410" t="inlineStr">
        <is>
          <t>KALMAR LÄN</t>
        </is>
      </c>
      <c r="E3410" t="inlineStr">
        <is>
          <t>TORSÅS</t>
        </is>
      </c>
      <c r="G3410" t="n">
        <v>2.9</v>
      </c>
      <c r="H3410" t="n">
        <v>0</v>
      </c>
      <c r="I3410" t="n">
        <v>0</v>
      </c>
      <c r="J3410" t="n">
        <v>0</v>
      </c>
      <c r="K3410" t="n">
        <v>0</v>
      </c>
      <c r="L3410" t="n">
        <v>0</v>
      </c>
      <c r="M3410" t="n">
        <v>0</v>
      </c>
      <c r="N3410" t="n">
        <v>0</v>
      </c>
      <c r="O3410" t="n">
        <v>0</v>
      </c>
      <c r="P3410" t="n">
        <v>0</v>
      </c>
      <c r="Q3410" t="n">
        <v>0</v>
      </c>
      <c r="R3410" s="2" t="inlineStr"/>
    </row>
    <row r="3411" ht="15" customHeight="1">
      <c r="A3411" t="inlineStr">
        <is>
          <t>A 44681-2023</t>
        </is>
      </c>
      <c r="B3411" s="1" t="n">
        <v>45189.84020833333</v>
      </c>
      <c r="C3411" s="1" t="n">
        <v>45884</v>
      </c>
      <c r="D3411" t="inlineStr">
        <is>
          <t>KALMAR LÄN</t>
        </is>
      </c>
      <c r="E3411" t="inlineStr">
        <is>
          <t>HULTSFRED</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8876-2025</t>
        </is>
      </c>
      <c r="B3412" s="1" t="n">
        <v>45713.37621527778</v>
      </c>
      <c r="C3412" s="1" t="n">
        <v>45884</v>
      </c>
      <c r="D3412" t="inlineStr">
        <is>
          <t>KALMAR LÄN</t>
        </is>
      </c>
      <c r="E3412" t="inlineStr">
        <is>
          <t>HULTSFRED</t>
        </is>
      </c>
      <c r="F3412" t="inlineStr">
        <is>
          <t>Sveaskog</t>
        </is>
      </c>
      <c r="G3412" t="n">
        <v>7.7</v>
      </c>
      <c r="H3412" t="n">
        <v>0</v>
      </c>
      <c r="I3412" t="n">
        <v>0</v>
      </c>
      <c r="J3412" t="n">
        <v>0</v>
      </c>
      <c r="K3412" t="n">
        <v>0</v>
      </c>
      <c r="L3412" t="n">
        <v>0</v>
      </c>
      <c r="M3412" t="n">
        <v>0</v>
      </c>
      <c r="N3412" t="n">
        <v>0</v>
      </c>
      <c r="O3412" t="n">
        <v>0</v>
      </c>
      <c r="P3412" t="n">
        <v>0</v>
      </c>
      <c r="Q3412" t="n">
        <v>0</v>
      </c>
      <c r="R3412" s="2" t="inlineStr"/>
    </row>
    <row r="3413" ht="15" customHeight="1">
      <c r="A3413" t="inlineStr">
        <is>
          <t>A 54230-2023</t>
        </is>
      </c>
      <c r="B3413" s="1" t="n">
        <v>45232</v>
      </c>
      <c r="C3413" s="1" t="n">
        <v>45884</v>
      </c>
      <c r="D3413" t="inlineStr">
        <is>
          <t>KALMAR LÄN</t>
        </is>
      </c>
      <c r="E3413" t="inlineStr">
        <is>
          <t>EMMABODA</t>
        </is>
      </c>
      <c r="G3413" t="n">
        <v>4.3</v>
      </c>
      <c r="H3413" t="n">
        <v>0</v>
      </c>
      <c r="I3413" t="n">
        <v>0</v>
      </c>
      <c r="J3413" t="n">
        <v>0</v>
      </c>
      <c r="K3413" t="n">
        <v>0</v>
      </c>
      <c r="L3413" t="n">
        <v>0</v>
      </c>
      <c r="M3413" t="n">
        <v>0</v>
      </c>
      <c r="N3413" t="n">
        <v>0</v>
      </c>
      <c r="O3413" t="n">
        <v>0</v>
      </c>
      <c r="P3413" t="n">
        <v>0</v>
      </c>
      <c r="Q3413" t="n">
        <v>0</v>
      </c>
      <c r="R3413" s="2" t="inlineStr"/>
    </row>
    <row r="3414" ht="15" customHeight="1">
      <c r="A3414" t="inlineStr">
        <is>
          <t>A 10995-2025</t>
        </is>
      </c>
      <c r="B3414" s="1" t="n">
        <v>45723.43553240741</v>
      </c>
      <c r="C3414" s="1" t="n">
        <v>45884</v>
      </c>
      <c r="D3414" t="inlineStr">
        <is>
          <t>KALMAR LÄN</t>
        </is>
      </c>
      <c r="E3414" t="inlineStr">
        <is>
          <t>HULTSFRED</t>
        </is>
      </c>
      <c r="F3414" t="inlineStr">
        <is>
          <t>Sveaskog</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16734-2023</t>
        </is>
      </c>
      <c r="B3415" s="1" t="n">
        <v>45030.71012731481</v>
      </c>
      <c r="C3415" s="1" t="n">
        <v>45884</v>
      </c>
      <c r="D3415" t="inlineStr">
        <is>
          <t>KALMAR LÄN</t>
        </is>
      </c>
      <c r="E3415" t="inlineStr">
        <is>
          <t>VIMMERBY</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15335-2023</t>
        </is>
      </c>
      <c r="B3416" s="1" t="n">
        <v>45019</v>
      </c>
      <c r="C3416" s="1" t="n">
        <v>45884</v>
      </c>
      <c r="D3416" t="inlineStr">
        <is>
          <t>KALMAR LÄN</t>
        </is>
      </c>
      <c r="E3416" t="inlineStr">
        <is>
          <t>TORSÅS</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15410-2023</t>
        </is>
      </c>
      <c r="B3417" s="1" t="n">
        <v>45019.67677083334</v>
      </c>
      <c r="C3417" s="1" t="n">
        <v>45884</v>
      </c>
      <c r="D3417" t="inlineStr">
        <is>
          <t>KALMAR LÄN</t>
        </is>
      </c>
      <c r="E3417" t="inlineStr">
        <is>
          <t>EMMABODA</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4223-2025</t>
        </is>
      </c>
      <c r="B3418" s="1" t="n">
        <v>45685.52724537037</v>
      </c>
      <c r="C3418" s="1" t="n">
        <v>45884</v>
      </c>
      <c r="D3418" t="inlineStr">
        <is>
          <t>KALMAR LÄN</t>
        </is>
      </c>
      <c r="E3418" t="inlineStr">
        <is>
          <t>HULTSFRED</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54450-2023</t>
        </is>
      </c>
      <c r="B3419" s="1" t="n">
        <v>45233.44423611111</v>
      </c>
      <c r="C3419" s="1" t="n">
        <v>45884</v>
      </c>
      <c r="D3419" t="inlineStr">
        <is>
          <t>KALMAR LÄN</t>
        </is>
      </c>
      <c r="E3419" t="inlineStr">
        <is>
          <t>KALMAR</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37305-2024</t>
        </is>
      </c>
      <c r="B3420" s="1" t="n">
        <v>45540.46863425926</v>
      </c>
      <c r="C3420" s="1" t="n">
        <v>45884</v>
      </c>
      <c r="D3420" t="inlineStr">
        <is>
          <t>KALMAR LÄN</t>
        </is>
      </c>
      <c r="E3420" t="inlineStr">
        <is>
          <t>KALMAR</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37326-2024</t>
        </is>
      </c>
      <c r="B3421" s="1" t="n">
        <v>45540</v>
      </c>
      <c r="C3421" s="1" t="n">
        <v>45884</v>
      </c>
      <c r="D3421" t="inlineStr">
        <is>
          <t>KALMAR LÄN</t>
        </is>
      </c>
      <c r="E3421" t="inlineStr">
        <is>
          <t>VÄSTERVIK</t>
        </is>
      </c>
      <c r="F3421" t="inlineStr">
        <is>
          <t>Holmen skog AB</t>
        </is>
      </c>
      <c r="G3421" t="n">
        <v>6</v>
      </c>
      <c r="H3421" t="n">
        <v>0</v>
      </c>
      <c r="I3421" t="n">
        <v>0</v>
      </c>
      <c r="J3421" t="n">
        <v>0</v>
      </c>
      <c r="K3421" t="n">
        <v>0</v>
      </c>
      <c r="L3421" t="n">
        <v>0</v>
      </c>
      <c r="M3421" t="n">
        <v>0</v>
      </c>
      <c r="N3421" t="n">
        <v>0</v>
      </c>
      <c r="O3421" t="n">
        <v>0</v>
      </c>
      <c r="P3421" t="n">
        <v>0</v>
      </c>
      <c r="Q3421" t="n">
        <v>0</v>
      </c>
      <c r="R3421" s="2" t="inlineStr"/>
    </row>
    <row r="3422" ht="15" customHeight="1">
      <c r="A3422" t="inlineStr">
        <is>
          <t>A 10406-2022</t>
        </is>
      </c>
      <c r="B3422" s="1" t="n">
        <v>44623</v>
      </c>
      <c r="C3422" s="1" t="n">
        <v>45884</v>
      </c>
      <c r="D3422" t="inlineStr">
        <is>
          <t>KALMAR LÄN</t>
        </is>
      </c>
      <c r="E3422" t="inlineStr">
        <is>
          <t>VÄSTERVIK</t>
        </is>
      </c>
      <c r="F3422" t="inlineStr">
        <is>
          <t>Holmen skog AB</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40554-2023</t>
        </is>
      </c>
      <c r="B3423" s="1" t="n">
        <v>45170.45482638889</v>
      </c>
      <c r="C3423" s="1" t="n">
        <v>45884</v>
      </c>
      <c r="D3423" t="inlineStr">
        <is>
          <t>KALMAR LÄN</t>
        </is>
      </c>
      <c r="E3423" t="inlineStr">
        <is>
          <t>HULTSFRED</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13902-2023</t>
        </is>
      </c>
      <c r="B3424" s="1" t="n">
        <v>45008</v>
      </c>
      <c r="C3424" s="1" t="n">
        <v>45884</v>
      </c>
      <c r="D3424" t="inlineStr">
        <is>
          <t>KALMAR LÄN</t>
        </is>
      </c>
      <c r="E3424" t="inlineStr">
        <is>
          <t>MÖNSTERÅS</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7238-2025</t>
        </is>
      </c>
      <c r="B3425" s="1" t="n">
        <v>45702.52855324074</v>
      </c>
      <c r="C3425" s="1" t="n">
        <v>45884</v>
      </c>
      <c r="D3425" t="inlineStr">
        <is>
          <t>KALMAR LÄN</t>
        </is>
      </c>
      <c r="E3425" t="inlineStr">
        <is>
          <t>NYBRO</t>
        </is>
      </c>
      <c r="G3425" t="n">
        <v>6.5</v>
      </c>
      <c r="H3425" t="n">
        <v>0</v>
      </c>
      <c r="I3425" t="n">
        <v>0</v>
      </c>
      <c r="J3425" t="n">
        <v>0</v>
      </c>
      <c r="K3425" t="n">
        <v>0</v>
      </c>
      <c r="L3425" t="n">
        <v>0</v>
      </c>
      <c r="M3425" t="n">
        <v>0</v>
      </c>
      <c r="N3425" t="n">
        <v>0</v>
      </c>
      <c r="O3425" t="n">
        <v>0</v>
      </c>
      <c r="P3425" t="n">
        <v>0</v>
      </c>
      <c r="Q3425" t="n">
        <v>0</v>
      </c>
      <c r="R3425" s="2" t="inlineStr"/>
    </row>
    <row r="3426" ht="15" customHeight="1">
      <c r="A3426" t="inlineStr">
        <is>
          <t>A 8108-2025</t>
        </is>
      </c>
      <c r="B3426" s="1" t="n">
        <v>45707.71280092592</v>
      </c>
      <c r="C3426" s="1" t="n">
        <v>45884</v>
      </c>
      <c r="D3426" t="inlineStr">
        <is>
          <t>KALMAR LÄN</t>
        </is>
      </c>
      <c r="E3426" t="inlineStr">
        <is>
          <t>HÖGSBY</t>
        </is>
      </c>
      <c r="G3426" t="n">
        <v>4.1</v>
      </c>
      <c r="H3426" t="n">
        <v>0</v>
      </c>
      <c r="I3426" t="n">
        <v>0</v>
      </c>
      <c r="J3426" t="n">
        <v>0</v>
      </c>
      <c r="K3426" t="n">
        <v>0</v>
      </c>
      <c r="L3426" t="n">
        <v>0</v>
      </c>
      <c r="M3426" t="n">
        <v>0</v>
      </c>
      <c r="N3426" t="n">
        <v>0</v>
      </c>
      <c r="O3426" t="n">
        <v>0</v>
      </c>
      <c r="P3426" t="n">
        <v>0</v>
      </c>
      <c r="Q3426" t="n">
        <v>0</v>
      </c>
      <c r="R3426" s="2" t="inlineStr"/>
    </row>
    <row r="3427" ht="15" customHeight="1">
      <c r="A3427" t="inlineStr">
        <is>
          <t>A 2360-2025</t>
        </is>
      </c>
      <c r="B3427" s="1" t="n">
        <v>45673.69037037037</v>
      </c>
      <c r="C3427" s="1" t="n">
        <v>45884</v>
      </c>
      <c r="D3427" t="inlineStr">
        <is>
          <t>KALMAR LÄN</t>
        </is>
      </c>
      <c r="E3427" t="inlineStr">
        <is>
          <t>VÄSTERVIK</t>
        </is>
      </c>
      <c r="G3427" t="n">
        <v>3</v>
      </c>
      <c r="H3427" t="n">
        <v>0</v>
      </c>
      <c r="I3427" t="n">
        <v>0</v>
      </c>
      <c r="J3427" t="n">
        <v>0</v>
      </c>
      <c r="K3427" t="n">
        <v>0</v>
      </c>
      <c r="L3427" t="n">
        <v>0</v>
      </c>
      <c r="M3427" t="n">
        <v>0</v>
      </c>
      <c r="N3427" t="n">
        <v>0</v>
      </c>
      <c r="O3427" t="n">
        <v>0</v>
      </c>
      <c r="P3427" t="n">
        <v>0</v>
      </c>
      <c r="Q3427" t="n">
        <v>0</v>
      </c>
      <c r="R3427" s="2" t="inlineStr"/>
    </row>
    <row r="3428" ht="15" customHeight="1">
      <c r="A3428" t="inlineStr">
        <is>
          <t>A 12630-2023</t>
        </is>
      </c>
      <c r="B3428" s="1" t="n">
        <v>45000.47998842593</v>
      </c>
      <c r="C3428" s="1" t="n">
        <v>45884</v>
      </c>
      <c r="D3428" t="inlineStr">
        <is>
          <t>KALMAR LÄN</t>
        </is>
      </c>
      <c r="E3428" t="inlineStr">
        <is>
          <t>VIMMERBY</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20204-2021</t>
        </is>
      </c>
      <c r="B3429" s="1" t="n">
        <v>44314</v>
      </c>
      <c r="C3429" s="1" t="n">
        <v>45884</v>
      </c>
      <c r="D3429" t="inlineStr">
        <is>
          <t>KALMAR LÄN</t>
        </is>
      </c>
      <c r="E3429" t="inlineStr">
        <is>
          <t>VÄSTERVIK</t>
        </is>
      </c>
      <c r="F3429" t="inlineStr">
        <is>
          <t>Holmen skog AB</t>
        </is>
      </c>
      <c r="G3429" t="n">
        <v>12.1</v>
      </c>
      <c r="H3429" t="n">
        <v>0</v>
      </c>
      <c r="I3429" t="n">
        <v>0</v>
      </c>
      <c r="J3429" t="n">
        <v>0</v>
      </c>
      <c r="K3429" t="n">
        <v>0</v>
      </c>
      <c r="L3429" t="n">
        <v>0</v>
      </c>
      <c r="M3429" t="n">
        <v>0</v>
      </c>
      <c r="N3429" t="n">
        <v>0</v>
      </c>
      <c r="O3429" t="n">
        <v>0</v>
      </c>
      <c r="P3429" t="n">
        <v>0</v>
      </c>
      <c r="Q3429" t="n">
        <v>0</v>
      </c>
      <c r="R3429" s="2" t="inlineStr"/>
    </row>
    <row r="3430" ht="15" customHeight="1">
      <c r="A3430" t="inlineStr">
        <is>
          <t>A 7288-2025</t>
        </is>
      </c>
      <c r="B3430" s="1" t="n">
        <v>45702.6415625</v>
      </c>
      <c r="C3430" s="1" t="n">
        <v>45884</v>
      </c>
      <c r="D3430" t="inlineStr">
        <is>
          <t>KALMAR LÄN</t>
        </is>
      </c>
      <c r="E3430" t="inlineStr">
        <is>
          <t>NYBRO</t>
        </is>
      </c>
      <c r="F3430" t="inlineStr">
        <is>
          <t>Sveaskog</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40177-2023</t>
        </is>
      </c>
      <c r="B3431" s="1" t="n">
        <v>45169</v>
      </c>
      <c r="C3431" s="1" t="n">
        <v>45884</v>
      </c>
      <c r="D3431" t="inlineStr">
        <is>
          <t>KALMAR LÄN</t>
        </is>
      </c>
      <c r="E3431" t="inlineStr">
        <is>
          <t>OSKARSHAMN</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10043-2025</t>
        </is>
      </c>
      <c r="B3432" s="1" t="n">
        <v>45719.50435185185</v>
      </c>
      <c r="C3432" s="1" t="n">
        <v>45884</v>
      </c>
      <c r="D3432" t="inlineStr">
        <is>
          <t>KALMAR LÄN</t>
        </is>
      </c>
      <c r="E3432" t="inlineStr">
        <is>
          <t>KALMAR</t>
        </is>
      </c>
      <c r="F3432" t="inlineStr">
        <is>
          <t>Sveaskog</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8002-2023</t>
        </is>
      </c>
      <c r="B3433" s="1" t="n">
        <v>44973.864375</v>
      </c>
      <c r="C3433" s="1" t="n">
        <v>45884</v>
      </c>
      <c r="D3433" t="inlineStr">
        <is>
          <t>KALMAR LÄN</t>
        </is>
      </c>
      <c r="E3433" t="inlineStr">
        <is>
          <t>EMMABODA</t>
        </is>
      </c>
      <c r="F3433" t="inlineStr">
        <is>
          <t>Kommuner</t>
        </is>
      </c>
      <c r="G3433" t="n">
        <v>2.4</v>
      </c>
      <c r="H3433" t="n">
        <v>0</v>
      </c>
      <c r="I3433" t="n">
        <v>0</v>
      </c>
      <c r="J3433" t="n">
        <v>0</v>
      </c>
      <c r="K3433" t="n">
        <v>0</v>
      </c>
      <c r="L3433" t="n">
        <v>0</v>
      </c>
      <c r="M3433" t="n">
        <v>0</v>
      </c>
      <c r="N3433" t="n">
        <v>0</v>
      </c>
      <c r="O3433" t="n">
        <v>0</v>
      </c>
      <c r="P3433" t="n">
        <v>0</v>
      </c>
      <c r="Q3433" t="n">
        <v>0</v>
      </c>
      <c r="R3433" s="2" t="inlineStr"/>
    </row>
    <row r="3434" ht="15" customHeight="1">
      <c r="A3434" t="inlineStr">
        <is>
          <t>A 8007-2023</t>
        </is>
      </c>
      <c r="B3434" s="1" t="n">
        <v>44973.88759259259</v>
      </c>
      <c r="C3434" s="1" t="n">
        <v>45884</v>
      </c>
      <c r="D3434" t="inlineStr">
        <is>
          <t>KALMAR LÄN</t>
        </is>
      </c>
      <c r="E3434" t="inlineStr">
        <is>
          <t>VÄSTERVIK</t>
        </is>
      </c>
      <c r="G3434" t="n">
        <v>4.5</v>
      </c>
      <c r="H3434" t="n">
        <v>0</v>
      </c>
      <c r="I3434" t="n">
        <v>0</v>
      </c>
      <c r="J3434" t="n">
        <v>0</v>
      </c>
      <c r="K3434" t="n">
        <v>0</v>
      </c>
      <c r="L3434" t="n">
        <v>0</v>
      </c>
      <c r="M3434" t="n">
        <v>0</v>
      </c>
      <c r="N3434" t="n">
        <v>0</v>
      </c>
      <c r="O3434" t="n">
        <v>0</v>
      </c>
      <c r="P3434" t="n">
        <v>0</v>
      </c>
      <c r="Q3434" t="n">
        <v>0</v>
      </c>
      <c r="R3434" s="2" t="inlineStr"/>
    </row>
    <row r="3435" ht="15" customHeight="1">
      <c r="A3435" t="inlineStr">
        <is>
          <t>A 40180-2023</t>
        </is>
      </c>
      <c r="B3435" s="1" t="n">
        <v>45169.40732638889</v>
      </c>
      <c r="C3435" s="1" t="n">
        <v>45884</v>
      </c>
      <c r="D3435" t="inlineStr">
        <is>
          <t>KALMAR LÄN</t>
        </is>
      </c>
      <c r="E3435" t="inlineStr">
        <is>
          <t>KALMAR</t>
        </is>
      </c>
      <c r="G3435" t="n">
        <v>2.5</v>
      </c>
      <c r="H3435" t="n">
        <v>0</v>
      </c>
      <c r="I3435" t="n">
        <v>0</v>
      </c>
      <c r="J3435" t="n">
        <v>0</v>
      </c>
      <c r="K3435" t="n">
        <v>0</v>
      </c>
      <c r="L3435" t="n">
        <v>0</v>
      </c>
      <c r="M3435" t="n">
        <v>0</v>
      </c>
      <c r="N3435" t="n">
        <v>0</v>
      </c>
      <c r="O3435" t="n">
        <v>0</v>
      </c>
      <c r="P3435" t="n">
        <v>0</v>
      </c>
      <c r="Q3435" t="n">
        <v>0</v>
      </c>
      <c r="R3435" s="2" t="inlineStr"/>
    </row>
    <row r="3436" ht="15" customHeight="1">
      <c r="A3436" t="inlineStr">
        <is>
          <t>A 42130-2022</t>
        </is>
      </c>
      <c r="B3436" s="1" t="n">
        <v>44830</v>
      </c>
      <c r="C3436" s="1" t="n">
        <v>45884</v>
      </c>
      <c r="D3436" t="inlineStr">
        <is>
          <t>KALMAR LÄN</t>
        </is>
      </c>
      <c r="E3436" t="inlineStr">
        <is>
          <t>VÄSTERVIK</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29789-2024</t>
        </is>
      </c>
      <c r="B3437" s="1" t="n">
        <v>45485.46721064814</v>
      </c>
      <c r="C3437" s="1" t="n">
        <v>45884</v>
      </c>
      <c r="D3437" t="inlineStr">
        <is>
          <t>KALMAR LÄN</t>
        </is>
      </c>
      <c r="E3437" t="inlineStr">
        <is>
          <t>VÄSTERVIK</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64762-2023</t>
        </is>
      </c>
      <c r="B3438" s="1" t="n">
        <v>45282.27841435185</v>
      </c>
      <c r="C3438" s="1" t="n">
        <v>45884</v>
      </c>
      <c r="D3438" t="inlineStr">
        <is>
          <t>KALMAR LÄN</t>
        </is>
      </c>
      <c r="E3438" t="inlineStr">
        <is>
          <t>VÄSTERVIK</t>
        </is>
      </c>
      <c r="F3438" t="inlineStr">
        <is>
          <t>Övriga Aktiebolag</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64763-2023</t>
        </is>
      </c>
      <c r="B3439" s="1" t="n">
        <v>45282.28041666667</v>
      </c>
      <c r="C3439" s="1" t="n">
        <v>45884</v>
      </c>
      <c r="D3439" t="inlineStr">
        <is>
          <t>KALMAR LÄN</t>
        </is>
      </c>
      <c r="E3439" t="inlineStr">
        <is>
          <t>VÄSTERVIK</t>
        </is>
      </c>
      <c r="F3439" t="inlineStr">
        <is>
          <t>Övriga Aktiebolag</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8540-2024</t>
        </is>
      </c>
      <c r="B3440" s="1" t="n">
        <v>45355.54138888889</v>
      </c>
      <c r="C3440" s="1" t="n">
        <v>45884</v>
      </c>
      <c r="D3440" t="inlineStr">
        <is>
          <t>KALMAR LÄN</t>
        </is>
      </c>
      <c r="E3440" t="inlineStr">
        <is>
          <t>VIMMERBY</t>
        </is>
      </c>
      <c r="G3440" t="n">
        <v>1.9</v>
      </c>
      <c r="H3440" t="n">
        <v>0</v>
      </c>
      <c r="I3440" t="n">
        <v>0</v>
      </c>
      <c r="J3440" t="n">
        <v>0</v>
      </c>
      <c r="K3440" t="n">
        <v>0</v>
      </c>
      <c r="L3440" t="n">
        <v>0</v>
      </c>
      <c r="M3440" t="n">
        <v>0</v>
      </c>
      <c r="N3440" t="n">
        <v>0</v>
      </c>
      <c r="O3440" t="n">
        <v>0</v>
      </c>
      <c r="P3440" t="n">
        <v>0</v>
      </c>
      <c r="Q3440" t="n">
        <v>0</v>
      </c>
      <c r="R3440" s="2" t="inlineStr"/>
    </row>
    <row r="3441" ht="15" customHeight="1">
      <c r="A3441" t="inlineStr">
        <is>
          <t>A 1582-2024</t>
        </is>
      </c>
      <c r="B3441" s="1" t="n">
        <v>45306</v>
      </c>
      <c r="C3441" s="1" t="n">
        <v>45884</v>
      </c>
      <c r="D3441" t="inlineStr">
        <is>
          <t>KALMAR LÄN</t>
        </is>
      </c>
      <c r="E3441" t="inlineStr">
        <is>
          <t>HÖGSBY</t>
        </is>
      </c>
      <c r="F3441" t="inlineStr">
        <is>
          <t>Övriga Aktiebolag</t>
        </is>
      </c>
      <c r="G3441" t="n">
        <v>6.7</v>
      </c>
      <c r="H3441" t="n">
        <v>0</v>
      </c>
      <c r="I3441" t="n">
        <v>0</v>
      </c>
      <c r="J3441" t="n">
        <v>0</v>
      </c>
      <c r="K3441" t="n">
        <v>0</v>
      </c>
      <c r="L3441" t="n">
        <v>0</v>
      </c>
      <c r="M3441" t="n">
        <v>0</v>
      </c>
      <c r="N3441" t="n">
        <v>0</v>
      </c>
      <c r="O3441" t="n">
        <v>0</v>
      </c>
      <c r="P3441" t="n">
        <v>0</v>
      </c>
      <c r="Q3441" t="n">
        <v>0</v>
      </c>
      <c r="R3441" s="2" t="inlineStr"/>
    </row>
    <row r="3442" ht="15" customHeight="1">
      <c r="A3442" t="inlineStr">
        <is>
          <t>A 16305-2024</t>
        </is>
      </c>
      <c r="B3442" s="1" t="n">
        <v>45407.42733796296</v>
      </c>
      <c r="C3442" s="1" t="n">
        <v>45884</v>
      </c>
      <c r="D3442" t="inlineStr">
        <is>
          <t>KALMAR LÄN</t>
        </is>
      </c>
      <c r="E3442" t="inlineStr">
        <is>
          <t>TORSÅS</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25223-2022</t>
        </is>
      </c>
      <c r="B3443" s="1" t="n">
        <v>44729</v>
      </c>
      <c r="C3443" s="1" t="n">
        <v>45884</v>
      </c>
      <c r="D3443" t="inlineStr">
        <is>
          <t>KALMAR LÄN</t>
        </is>
      </c>
      <c r="E3443" t="inlineStr">
        <is>
          <t>HÖGSBY</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3565-2022</t>
        </is>
      </c>
      <c r="B3444" s="1" t="n">
        <v>44585.98170138889</v>
      </c>
      <c r="C3444" s="1" t="n">
        <v>45884</v>
      </c>
      <c r="D3444" t="inlineStr">
        <is>
          <t>KALMAR LÄN</t>
        </is>
      </c>
      <c r="E3444" t="inlineStr">
        <is>
          <t>OSKARSHAMN</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27551-2024</t>
        </is>
      </c>
      <c r="B3445" s="1" t="n">
        <v>45474.61877314815</v>
      </c>
      <c r="C3445" s="1" t="n">
        <v>45884</v>
      </c>
      <c r="D3445" t="inlineStr">
        <is>
          <t>KALMAR LÄN</t>
        </is>
      </c>
      <c r="E3445" t="inlineStr">
        <is>
          <t>EMMABODA</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35406-2022</t>
        </is>
      </c>
      <c r="B3446" s="1" t="n">
        <v>44798</v>
      </c>
      <c r="C3446" s="1" t="n">
        <v>45884</v>
      </c>
      <c r="D3446" t="inlineStr">
        <is>
          <t>KALMAR LÄN</t>
        </is>
      </c>
      <c r="E3446" t="inlineStr">
        <is>
          <t>NYBRO</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11910-2024</t>
        </is>
      </c>
      <c r="B3447" s="1" t="n">
        <v>45376.57670138889</v>
      </c>
      <c r="C3447" s="1" t="n">
        <v>45884</v>
      </c>
      <c r="D3447" t="inlineStr">
        <is>
          <t>KALMAR LÄN</t>
        </is>
      </c>
      <c r="E3447" t="inlineStr">
        <is>
          <t>NYBRO</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59675-2022</t>
        </is>
      </c>
      <c r="B3448" s="1" t="n">
        <v>44908</v>
      </c>
      <c r="C3448" s="1" t="n">
        <v>45884</v>
      </c>
      <c r="D3448" t="inlineStr">
        <is>
          <t>KALMAR LÄN</t>
        </is>
      </c>
      <c r="E3448" t="inlineStr">
        <is>
          <t>VÄSTERVIK</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50911-2022</t>
        </is>
      </c>
      <c r="B3449" s="1" t="n">
        <v>44867.62262731481</v>
      </c>
      <c r="C3449" s="1" t="n">
        <v>45884</v>
      </c>
      <c r="D3449" t="inlineStr">
        <is>
          <t>KALMAR LÄN</t>
        </is>
      </c>
      <c r="E3449" t="inlineStr">
        <is>
          <t>VÄSTERVIK</t>
        </is>
      </c>
      <c r="F3449" t="inlineStr">
        <is>
          <t>Sveaskog</t>
        </is>
      </c>
      <c r="G3449" t="n">
        <v>3</v>
      </c>
      <c r="H3449" t="n">
        <v>0</v>
      </c>
      <c r="I3449" t="n">
        <v>0</v>
      </c>
      <c r="J3449" t="n">
        <v>0</v>
      </c>
      <c r="K3449" t="n">
        <v>0</v>
      </c>
      <c r="L3449" t="n">
        <v>0</v>
      </c>
      <c r="M3449" t="n">
        <v>0</v>
      </c>
      <c r="N3449" t="n">
        <v>0</v>
      </c>
      <c r="O3449" t="n">
        <v>0</v>
      </c>
      <c r="P3449" t="n">
        <v>0</v>
      </c>
      <c r="Q3449" t="n">
        <v>0</v>
      </c>
      <c r="R3449" s="2" t="inlineStr"/>
    </row>
    <row r="3450" ht="15" customHeight="1">
      <c r="A3450" t="inlineStr">
        <is>
          <t>A 3331-2023</t>
        </is>
      </c>
      <c r="B3450" s="1" t="n">
        <v>44949</v>
      </c>
      <c r="C3450" s="1" t="n">
        <v>45884</v>
      </c>
      <c r="D3450" t="inlineStr">
        <is>
          <t>KALMAR LÄN</t>
        </is>
      </c>
      <c r="E3450" t="inlineStr">
        <is>
          <t>VIMMERBY</t>
        </is>
      </c>
      <c r="G3450" t="n">
        <v>6.2</v>
      </c>
      <c r="H3450" t="n">
        <v>0</v>
      </c>
      <c r="I3450" t="n">
        <v>0</v>
      </c>
      <c r="J3450" t="n">
        <v>0</v>
      </c>
      <c r="K3450" t="n">
        <v>0</v>
      </c>
      <c r="L3450" t="n">
        <v>0</v>
      </c>
      <c r="M3450" t="n">
        <v>0</v>
      </c>
      <c r="N3450" t="n">
        <v>0</v>
      </c>
      <c r="O3450" t="n">
        <v>0</v>
      </c>
      <c r="P3450" t="n">
        <v>0</v>
      </c>
      <c r="Q3450" t="n">
        <v>0</v>
      </c>
      <c r="R3450" s="2" t="inlineStr"/>
    </row>
    <row r="3451" ht="15" customHeight="1">
      <c r="A3451" t="inlineStr">
        <is>
          <t>A 3373-2023</t>
        </is>
      </c>
      <c r="B3451" s="1" t="n">
        <v>44949.49305555555</v>
      </c>
      <c r="C3451" s="1" t="n">
        <v>45884</v>
      </c>
      <c r="D3451" t="inlineStr">
        <is>
          <t>KALMAR LÄN</t>
        </is>
      </c>
      <c r="E3451" t="inlineStr">
        <is>
          <t>TORSÅS</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53726-2022</t>
        </is>
      </c>
      <c r="B3452" s="1" t="n">
        <v>44880</v>
      </c>
      <c r="C3452" s="1" t="n">
        <v>45884</v>
      </c>
      <c r="D3452" t="inlineStr">
        <is>
          <t>KALMAR LÄN</t>
        </is>
      </c>
      <c r="E3452" t="inlineStr">
        <is>
          <t>HULTSFRED</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40334-2023</t>
        </is>
      </c>
      <c r="B3453" s="1" t="n">
        <v>45169.62482638889</v>
      </c>
      <c r="C3453" s="1" t="n">
        <v>45884</v>
      </c>
      <c r="D3453" t="inlineStr">
        <is>
          <t>KALMAR LÄN</t>
        </is>
      </c>
      <c r="E3453" t="inlineStr">
        <is>
          <t>HULTSFRED</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40347-2023</t>
        </is>
      </c>
      <c r="B3454" s="1" t="n">
        <v>45169.63607638889</v>
      </c>
      <c r="C3454" s="1" t="n">
        <v>45884</v>
      </c>
      <c r="D3454" t="inlineStr">
        <is>
          <t>KALMAR LÄN</t>
        </is>
      </c>
      <c r="E3454" t="inlineStr">
        <is>
          <t>NYBRO</t>
        </is>
      </c>
      <c r="G3454" t="n">
        <v>2.8</v>
      </c>
      <c r="H3454" t="n">
        <v>0</v>
      </c>
      <c r="I3454" t="n">
        <v>0</v>
      </c>
      <c r="J3454" t="n">
        <v>0</v>
      </c>
      <c r="K3454" t="n">
        <v>0</v>
      </c>
      <c r="L3454" t="n">
        <v>0</v>
      </c>
      <c r="M3454" t="n">
        <v>0</v>
      </c>
      <c r="N3454" t="n">
        <v>0</v>
      </c>
      <c r="O3454" t="n">
        <v>0</v>
      </c>
      <c r="P3454" t="n">
        <v>0</v>
      </c>
      <c r="Q3454" t="n">
        <v>0</v>
      </c>
      <c r="R3454" s="2" t="inlineStr"/>
    </row>
    <row r="3455" ht="15" customHeight="1">
      <c r="A3455" t="inlineStr">
        <is>
          <t>A 12245-2025</t>
        </is>
      </c>
      <c r="B3455" s="1" t="n">
        <v>45729.59702546296</v>
      </c>
      <c r="C3455" s="1" t="n">
        <v>45884</v>
      </c>
      <c r="D3455" t="inlineStr">
        <is>
          <t>KALMAR LÄN</t>
        </is>
      </c>
      <c r="E3455" t="inlineStr">
        <is>
          <t>HULTSFRED</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4863-2022</t>
        </is>
      </c>
      <c r="B3456" s="1" t="n">
        <v>44593</v>
      </c>
      <c r="C3456" s="1" t="n">
        <v>45884</v>
      </c>
      <c r="D3456" t="inlineStr">
        <is>
          <t>KALMAR LÄN</t>
        </is>
      </c>
      <c r="E3456" t="inlineStr">
        <is>
          <t>NYBRO</t>
        </is>
      </c>
      <c r="G3456" t="n">
        <v>2.1</v>
      </c>
      <c r="H3456" t="n">
        <v>0</v>
      </c>
      <c r="I3456" t="n">
        <v>0</v>
      </c>
      <c r="J3456" t="n">
        <v>0</v>
      </c>
      <c r="K3456" t="n">
        <v>0</v>
      </c>
      <c r="L3456" t="n">
        <v>0</v>
      </c>
      <c r="M3456" t="n">
        <v>0</v>
      </c>
      <c r="N3456" t="n">
        <v>0</v>
      </c>
      <c r="O3456" t="n">
        <v>0</v>
      </c>
      <c r="P3456" t="n">
        <v>0</v>
      </c>
      <c r="Q3456" t="n">
        <v>0</v>
      </c>
      <c r="R3456" s="2" t="inlineStr"/>
    </row>
    <row r="3457" ht="15" customHeight="1">
      <c r="A3457" t="inlineStr">
        <is>
          <t>A 47350-2021</t>
        </is>
      </c>
      <c r="B3457" s="1" t="n">
        <v>44447</v>
      </c>
      <c r="C3457" s="1" t="n">
        <v>45884</v>
      </c>
      <c r="D3457" t="inlineStr">
        <is>
          <t>KALMAR LÄN</t>
        </is>
      </c>
      <c r="E3457" t="inlineStr">
        <is>
          <t>HULTSFRED</t>
        </is>
      </c>
      <c r="F3457" t="inlineStr">
        <is>
          <t>Kommuner</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4139-2024</t>
        </is>
      </c>
      <c r="B3458" s="1" t="n">
        <v>45323.75855324074</v>
      </c>
      <c r="C3458" s="1" t="n">
        <v>45884</v>
      </c>
      <c r="D3458" t="inlineStr">
        <is>
          <t>KALMAR LÄN</t>
        </is>
      </c>
      <c r="E3458" t="inlineStr">
        <is>
          <t>EMMABODA</t>
        </is>
      </c>
      <c r="F3458" t="inlineStr">
        <is>
          <t>Sveaskog</t>
        </is>
      </c>
      <c r="G3458" t="n">
        <v>5.4</v>
      </c>
      <c r="H3458" t="n">
        <v>0</v>
      </c>
      <c r="I3458" t="n">
        <v>0</v>
      </c>
      <c r="J3458" t="n">
        <v>0</v>
      </c>
      <c r="K3458" t="n">
        <v>0</v>
      </c>
      <c r="L3458" t="n">
        <v>0</v>
      </c>
      <c r="M3458" t="n">
        <v>0</v>
      </c>
      <c r="N3458" t="n">
        <v>0</v>
      </c>
      <c r="O3458" t="n">
        <v>0</v>
      </c>
      <c r="P3458" t="n">
        <v>0</v>
      </c>
      <c r="Q3458" t="n">
        <v>0</v>
      </c>
      <c r="R3458" s="2" t="inlineStr"/>
    </row>
    <row r="3459" ht="15" customHeight="1">
      <c r="A3459" t="inlineStr">
        <is>
          <t>A 25202-2023</t>
        </is>
      </c>
      <c r="B3459" s="1" t="n">
        <v>45086.58806712963</v>
      </c>
      <c r="C3459" s="1" t="n">
        <v>45884</v>
      </c>
      <c r="D3459" t="inlineStr">
        <is>
          <t>KALMAR LÄN</t>
        </is>
      </c>
      <c r="E3459" t="inlineStr">
        <is>
          <t>KALMAR</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25246-2023</t>
        </is>
      </c>
      <c r="B3460" s="1" t="n">
        <v>45086.64048611111</v>
      </c>
      <c r="C3460" s="1" t="n">
        <v>45884</v>
      </c>
      <c r="D3460" t="inlineStr">
        <is>
          <t>KALMAR LÄN</t>
        </is>
      </c>
      <c r="E3460" t="inlineStr">
        <is>
          <t>HULTSFRED</t>
        </is>
      </c>
      <c r="G3460" t="n">
        <v>3.8</v>
      </c>
      <c r="H3460" t="n">
        <v>0</v>
      </c>
      <c r="I3460" t="n">
        <v>0</v>
      </c>
      <c r="J3460" t="n">
        <v>0</v>
      </c>
      <c r="K3460" t="n">
        <v>0</v>
      </c>
      <c r="L3460" t="n">
        <v>0</v>
      </c>
      <c r="M3460" t="n">
        <v>0</v>
      </c>
      <c r="N3460" t="n">
        <v>0</v>
      </c>
      <c r="O3460" t="n">
        <v>0</v>
      </c>
      <c r="P3460" t="n">
        <v>0</v>
      </c>
      <c r="Q3460" t="n">
        <v>0</v>
      </c>
      <c r="R3460" s="2" t="inlineStr"/>
    </row>
    <row r="3461" ht="15" customHeight="1">
      <c r="A3461" t="inlineStr">
        <is>
          <t>A 48539-2023</t>
        </is>
      </c>
      <c r="B3461" s="1" t="n">
        <v>45208.38356481482</v>
      </c>
      <c r="C3461" s="1" t="n">
        <v>45884</v>
      </c>
      <c r="D3461" t="inlineStr">
        <is>
          <t>KALMAR LÄN</t>
        </is>
      </c>
      <c r="E3461" t="inlineStr">
        <is>
          <t>OSKARSHAMN</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47120-2022</t>
        </is>
      </c>
      <c r="B3462" s="1" t="n">
        <v>44852.5103125</v>
      </c>
      <c r="C3462" s="1" t="n">
        <v>45884</v>
      </c>
      <c r="D3462" t="inlineStr">
        <is>
          <t>KALMAR LÄN</t>
        </is>
      </c>
      <c r="E3462" t="inlineStr">
        <is>
          <t>EMMABODA</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46065-2023</t>
        </is>
      </c>
      <c r="B3463" s="1" t="n">
        <v>45190</v>
      </c>
      <c r="C3463" s="1" t="n">
        <v>45884</v>
      </c>
      <c r="D3463" t="inlineStr">
        <is>
          <t>KALMAR LÄN</t>
        </is>
      </c>
      <c r="E3463" t="inlineStr">
        <is>
          <t>EMMABODA</t>
        </is>
      </c>
      <c r="G3463" t="n">
        <v>2.6</v>
      </c>
      <c r="H3463" t="n">
        <v>0</v>
      </c>
      <c r="I3463" t="n">
        <v>0</v>
      </c>
      <c r="J3463" t="n">
        <v>0</v>
      </c>
      <c r="K3463" t="n">
        <v>0</v>
      </c>
      <c r="L3463" t="n">
        <v>0</v>
      </c>
      <c r="M3463" t="n">
        <v>0</v>
      </c>
      <c r="N3463" t="n">
        <v>0</v>
      </c>
      <c r="O3463" t="n">
        <v>0</v>
      </c>
      <c r="P3463" t="n">
        <v>0</v>
      </c>
      <c r="Q3463" t="n">
        <v>0</v>
      </c>
      <c r="R3463" s="2" t="inlineStr"/>
    </row>
    <row r="3464" ht="15" customHeight="1">
      <c r="A3464" t="inlineStr">
        <is>
          <t>A 46088-2023</t>
        </is>
      </c>
      <c r="B3464" s="1" t="n">
        <v>45196.50065972222</v>
      </c>
      <c r="C3464" s="1" t="n">
        <v>45884</v>
      </c>
      <c r="D3464" t="inlineStr">
        <is>
          <t>KALMAR LÄN</t>
        </is>
      </c>
      <c r="E3464" t="inlineStr">
        <is>
          <t>VÄSTERVIK</t>
        </is>
      </c>
      <c r="F3464" t="inlineStr">
        <is>
          <t>Sveaskog</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19854-2024</t>
        </is>
      </c>
      <c r="B3465" s="1" t="n">
        <v>45433</v>
      </c>
      <c r="C3465" s="1" t="n">
        <v>45884</v>
      </c>
      <c r="D3465" t="inlineStr">
        <is>
          <t>KALMAR LÄN</t>
        </is>
      </c>
      <c r="E3465" t="inlineStr">
        <is>
          <t>EMMABODA</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42770-2024</t>
        </is>
      </c>
      <c r="B3466" s="1" t="n">
        <v>45566</v>
      </c>
      <c r="C3466" s="1" t="n">
        <v>45884</v>
      </c>
      <c r="D3466" t="inlineStr">
        <is>
          <t>KALMAR LÄN</t>
        </is>
      </c>
      <c r="E3466" t="inlineStr">
        <is>
          <t>HULTSFRED</t>
        </is>
      </c>
      <c r="G3466" t="n">
        <v>0.3</v>
      </c>
      <c r="H3466" t="n">
        <v>0</v>
      </c>
      <c r="I3466" t="n">
        <v>0</v>
      </c>
      <c r="J3466" t="n">
        <v>0</v>
      </c>
      <c r="K3466" t="n">
        <v>0</v>
      </c>
      <c r="L3466" t="n">
        <v>0</v>
      </c>
      <c r="M3466" t="n">
        <v>0</v>
      </c>
      <c r="N3466" t="n">
        <v>0</v>
      </c>
      <c r="O3466" t="n">
        <v>0</v>
      </c>
      <c r="P3466" t="n">
        <v>0</v>
      </c>
      <c r="Q3466" t="n">
        <v>0</v>
      </c>
      <c r="R3466" s="2" t="inlineStr"/>
    </row>
    <row r="3467" ht="15" customHeight="1">
      <c r="A3467" t="inlineStr">
        <is>
          <t>A 54712-2021</t>
        </is>
      </c>
      <c r="B3467" s="1" t="n">
        <v>44473</v>
      </c>
      <c r="C3467" s="1" t="n">
        <v>45884</v>
      </c>
      <c r="D3467" t="inlineStr">
        <is>
          <t>KALMAR LÄN</t>
        </is>
      </c>
      <c r="E3467" t="inlineStr">
        <is>
          <t>HULTSFRED</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21798-2023</t>
        </is>
      </c>
      <c r="B3468" s="1" t="n">
        <v>45067</v>
      </c>
      <c r="C3468" s="1" t="n">
        <v>45884</v>
      </c>
      <c r="D3468" t="inlineStr">
        <is>
          <t>KALMAR LÄN</t>
        </is>
      </c>
      <c r="E3468" t="inlineStr">
        <is>
          <t>EMMABODA</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21109-2024</t>
        </is>
      </c>
      <c r="B3469" s="1" t="n">
        <v>45440.28329861111</v>
      </c>
      <c r="C3469" s="1" t="n">
        <v>45884</v>
      </c>
      <c r="D3469" t="inlineStr">
        <is>
          <t>KALMAR LÄN</t>
        </is>
      </c>
      <c r="E3469" t="inlineStr">
        <is>
          <t>VIMMERBY</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21184-2024</t>
        </is>
      </c>
      <c r="B3470" s="1" t="n">
        <v>45440</v>
      </c>
      <c r="C3470" s="1" t="n">
        <v>45884</v>
      </c>
      <c r="D3470" t="inlineStr">
        <is>
          <t>KALMAR LÄN</t>
        </is>
      </c>
      <c r="E3470" t="inlineStr">
        <is>
          <t>EMMABODA</t>
        </is>
      </c>
      <c r="F3470" t="inlineStr">
        <is>
          <t>Kommuner</t>
        </is>
      </c>
      <c r="G3470" t="n">
        <v>8.5</v>
      </c>
      <c r="H3470" t="n">
        <v>0</v>
      </c>
      <c r="I3470" t="n">
        <v>0</v>
      </c>
      <c r="J3470" t="n">
        <v>0</v>
      </c>
      <c r="K3470" t="n">
        <v>0</v>
      </c>
      <c r="L3470" t="n">
        <v>0</v>
      </c>
      <c r="M3470" t="n">
        <v>0</v>
      </c>
      <c r="N3470" t="n">
        <v>0</v>
      </c>
      <c r="O3470" t="n">
        <v>0</v>
      </c>
      <c r="P3470" t="n">
        <v>0</v>
      </c>
      <c r="Q3470" t="n">
        <v>0</v>
      </c>
      <c r="R3470" s="2" t="inlineStr"/>
    </row>
    <row r="3471" ht="15" customHeight="1">
      <c r="A3471" t="inlineStr">
        <is>
          <t>A 12176-2025</t>
        </is>
      </c>
      <c r="B3471" s="1" t="n">
        <v>45729.45061342593</v>
      </c>
      <c r="C3471" s="1" t="n">
        <v>45884</v>
      </c>
      <c r="D3471" t="inlineStr">
        <is>
          <t>KALMAR LÄN</t>
        </is>
      </c>
      <c r="E3471" t="inlineStr">
        <is>
          <t>OSKARSHAMN</t>
        </is>
      </c>
      <c r="G3471" t="n">
        <v>2.2</v>
      </c>
      <c r="H3471" t="n">
        <v>0</v>
      </c>
      <c r="I3471" t="n">
        <v>0</v>
      </c>
      <c r="J3471" t="n">
        <v>0</v>
      </c>
      <c r="K3471" t="n">
        <v>0</v>
      </c>
      <c r="L3471" t="n">
        <v>0</v>
      </c>
      <c r="M3471" t="n">
        <v>0</v>
      </c>
      <c r="N3471" t="n">
        <v>0</v>
      </c>
      <c r="O3471" t="n">
        <v>0</v>
      </c>
      <c r="P3471" t="n">
        <v>0</v>
      </c>
      <c r="Q3471" t="n">
        <v>0</v>
      </c>
      <c r="R3471" s="2" t="inlineStr"/>
    </row>
    <row r="3472" ht="15" customHeight="1">
      <c r="A3472" t="inlineStr">
        <is>
          <t>A 598-2025</t>
        </is>
      </c>
      <c r="B3472" s="1" t="n">
        <v>45660</v>
      </c>
      <c r="C3472" s="1" t="n">
        <v>45884</v>
      </c>
      <c r="D3472" t="inlineStr">
        <is>
          <t>KALMAR LÄN</t>
        </is>
      </c>
      <c r="E3472" t="inlineStr">
        <is>
          <t>VIMMERBY</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26061-2024</t>
        </is>
      </c>
      <c r="B3473" s="1" t="n">
        <v>45468.35030092593</v>
      </c>
      <c r="C3473" s="1" t="n">
        <v>45884</v>
      </c>
      <c r="D3473" t="inlineStr">
        <is>
          <t>KALMAR LÄN</t>
        </is>
      </c>
      <c r="E3473" t="inlineStr">
        <is>
          <t>VÄSTERVIK</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26066-2024</t>
        </is>
      </c>
      <c r="B3474" s="1" t="n">
        <v>45468.35390046296</v>
      </c>
      <c r="C3474" s="1" t="n">
        <v>45884</v>
      </c>
      <c r="D3474" t="inlineStr">
        <is>
          <t>KALMAR LÄN</t>
        </is>
      </c>
      <c r="E3474" t="inlineStr">
        <is>
          <t>VÄSTERVIK</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4198-2023</t>
        </is>
      </c>
      <c r="B3475" s="1" t="n">
        <v>44953</v>
      </c>
      <c r="C3475" s="1" t="n">
        <v>45884</v>
      </c>
      <c r="D3475" t="inlineStr">
        <is>
          <t>KALMAR LÄN</t>
        </is>
      </c>
      <c r="E3475" t="inlineStr">
        <is>
          <t>EMMABODA</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20129-2024</t>
        </is>
      </c>
      <c r="B3476" s="1" t="n">
        <v>45434.55831018519</v>
      </c>
      <c r="C3476" s="1" t="n">
        <v>45884</v>
      </c>
      <c r="D3476" t="inlineStr">
        <is>
          <t>KALMAR LÄN</t>
        </is>
      </c>
      <c r="E3476" t="inlineStr">
        <is>
          <t>VIMMERBY</t>
        </is>
      </c>
      <c r="F3476" t="inlineStr">
        <is>
          <t>Sveaskog</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20137-2024</t>
        </is>
      </c>
      <c r="B3477" s="1" t="n">
        <v>45434.56398148148</v>
      </c>
      <c r="C3477" s="1" t="n">
        <v>45884</v>
      </c>
      <c r="D3477" t="inlineStr">
        <is>
          <t>KALMAR LÄN</t>
        </is>
      </c>
      <c r="E3477" t="inlineStr">
        <is>
          <t>VIMMERBY</t>
        </is>
      </c>
      <c r="F3477" t="inlineStr">
        <is>
          <t>Sveaskog</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42462-2023</t>
        </is>
      </c>
      <c r="B3478" s="1" t="n">
        <v>45175</v>
      </c>
      <c r="C3478" s="1" t="n">
        <v>45884</v>
      </c>
      <c r="D3478" t="inlineStr">
        <is>
          <t>KALMAR LÄN</t>
        </is>
      </c>
      <c r="E3478" t="inlineStr">
        <is>
          <t>HULTSFRED</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7456-2024</t>
        </is>
      </c>
      <c r="B3479" s="1" t="n">
        <v>45345.83557870371</v>
      </c>
      <c r="C3479" s="1" t="n">
        <v>45884</v>
      </c>
      <c r="D3479" t="inlineStr">
        <is>
          <t>KALMAR LÄN</t>
        </is>
      </c>
      <c r="E3479" t="inlineStr">
        <is>
          <t>VIMMERBY</t>
        </is>
      </c>
      <c r="G3479" t="n">
        <v>4.1</v>
      </c>
      <c r="H3479" t="n">
        <v>0</v>
      </c>
      <c r="I3479" t="n">
        <v>0</v>
      </c>
      <c r="J3479" t="n">
        <v>0</v>
      </c>
      <c r="K3479" t="n">
        <v>0</v>
      </c>
      <c r="L3479" t="n">
        <v>0</v>
      </c>
      <c r="M3479" t="n">
        <v>0</v>
      </c>
      <c r="N3479" t="n">
        <v>0</v>
      </c>
      <c r="O3479" t="n">
        <v>0</v>
      </c>
      <c r="P3479" t="n">
        <v>0</v>
      </c>
      <c r="Q3479" t="n">
        <v>0</v>
      </c>
      <c r="R3479" s="2" t="inlineStr"/>
    </row>
    <row r="3480" ht="15" customHeight="1">
      <c r="A3480" t="inlineStr">
        <is>
          <t>A 6535-2024</t>
        </is>
      </c>
      <c r="B3480" s="1" t="n">
        <v>45341.38545138889</v>
      </c>
      <c r="C3480" s="1" t="n">
        <v>45884</v>
      </c>
      <c r="D3480" t="inlineStr">
        <is>
          <t>KALMAR LÄN</t>
        </is>
      </c>
      <c r="E3480" t="inlineStr">
        <is>
          <t>EMMABODA</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17749-2023</t>
        </is>
      </c>
      <c r="B3481" s="1" t="n">
        <v>45037</v>
      </c>
      <c r="C3481" s="1" t="n">
        <v>45884</v>
      </c>
      <c r="D3481" t="inlineStr">
        <is>
          <t>KALMAR LÄN</t>
        </is>
      </c>
      <c r="E3481" t="inlineStr">
        <is>
          <t>NYBRO</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29755-2023</t>
        </is>
      </c>
      <c r="B3482" s="1" t="n">
        <v>45107</v>
      </c>
      <c r="C3482" s="1" t="n">
        <v>45884</v>
      </c>
      <c r="D3482" t="inlineStr">
        <is>
          <t>KALMAR LÄN</t>
        </is>
      </c>
      <c r="E3482" t="inlineStr">
        <is>
          <t>EMMABODA</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30634-2024</t>
        </is>
      </c>
      <c r="B3483" s="1" t="n">
        <v>45495</v>
      </c>
      <c r="C3483" s="1" t="n">
        <v>45884</v>
      </c>
      <c r="D3483" t="inlineStr">
        <is>
          <t>KALMAR LÄN</t>
        </is>
      </c>
      <c r="E3483" t="inlineStr">
        <is>
          <t>VIMMERBY</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61316-2022</t>
        </is>
      </c>
      <c r="B3484" s="1" t="n">
        <v>44915.64974537037</v>
      </c>
      <c r="C3484" s="1" t="n">
        <v>45884</v>
      </c>
      <c r="D3484" t="inlineStr">
        <is>
          <t>KALMAR LÄN</t>
        </is>
      </c>
      <c r="E3484" t="inlineStr">
        <is>
          <t>NYBRO</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27629-2023</t>
        </is>
      </c>
      <c r="B3485" s="1" t="n">
        <v>45097.65108796296</v>
      </c>
      <c r="C3485" s="1" t="n">
        <v>45884</v>
      </c>
      <c r="D3485" t="inlineStr">
        <is>
          <t>KALMAR LÄN</t>
        </is>
      </c>
      <c r="E3485" t="inlineStr">
        <is>
          <t>MÖNSTERÅS</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24609-2024</t>
        </is>
      </c>
      <c r="B3486" s="1" t="n">
        <v>45460.48144675926</v>
      </c>
      <c r="C3486" s="1" t="n">
        <v>45884</v>
      </c>
      <c r="D3486" t="inlineStr">
        <is>
          <t>KALMAR LÄN</t>
        </is>
      </c>
      <c r="E3486" t="inlineStr">
        <is>
          <t>HÖGSBY</t>
        </is>
      </c>
      <c r="F3486" t="inlineStr">
        <is>
          <t>Sveaskog</t>
        </is>
      </c>
      <c r="G3486" t="n">
        <v>7.7</v>
      </c>
      <c r="H3486" t="n">
        <v>0</v>
      </c>
      <c r="I3486" t="n">
        <v>0</v>
      </c>
      <c r="J3486" t="n">
        <v>0</v>
      </c>
      <c r="K3486" t="n">
        <v>0</v>
      </c>
      <c r="L3486" t="n">
        <v>0</v>
      </c>
      <c r="M3486" t="n">
        <v>0</v>
      </c>
      <c r="N3486" t="n">
        <v>0</v>
      </c>
      <c r="O3486" t="n">
        <v>0</v>
      </c>
      <c r="P3486" t="n">
        <v>0</v>
      </c>
      <c r="Q3486" t="n">
        <v>0</v>
      </c>
      <c r="R3486" s="2" t="inlineStr"/>
    </row>
    <row r="3487" ht="15" customHeight="1">
      <c r="A3487" t="inlineStr">
        <is>
          <t>A 11409-2023</t>
        </is>
      </c>
      <c r="B3487" s="1" t="n">
        <v>44993.50293981482</v>
      </c>
      <c r="C3487" s="1" t="n">
        <v>45884</v>
      </c>
      <c r="D3487" t="inlineStr">
        <is>
          <t>KALMAR LÄN</t>
        </is>
      </c>
      <c r="E3487" t="inlineStr">
        <is>
          <t>KALMAR</t>
        </is>
      </c>
      <c r="G3487" t="n">
        <v>7.6</v>
      </c>
      <c r="H3487" t="n">
        <v>0</v>
      </c>
      <c r="I3487" t="n">
        <v>0</v>
      </c>
      <c r="J3487" t="n">
        <v>0</v>
      </c>
      <c r="K3487" t="n">
        <v>0</v>
      </c>
      <c r="L3487" t="n">
        <v>0</v>
      </c>
      <c r="M3487" t="n">
        <v>0</v>
      </c>
      <c r="N3487" t="n">
        <v>0</v>
      </c>
      <c r="O3487" t="n">
        <v>0</v>
      </c>
      <c r="P3487" t="n">
        <v>0</v>
      </c>
      <c r="Q3487" t="n">
        <v>0</v>
      </c>
      <c r="R3487" s="2" t="inlineStr"/>
    </row>
    <row r="3488" ht="15" customHeight="1">
      <c r="A3488" t="inlineStr">
        <is>
          <t>A 15100-2025</t>
        </is>
      </c>
      <c r="B3488" s="1" t="n">
        <v>45744.34409722222</v>
      </c>
      <c r="C3488" s="1" t="n">
        <v>45884</v>
      </c>
      <c r="D3488" t="inlineStr">
        <is>
          <t>KALMAR LÄN</t>
        </is>
      </c>
      <c r="E3488" t="inlineStr">
        <is>
          <t>NYBRO</t>
        </is>
      </c>
      <c r="G3488" t="n">
        <v>2.8</v>
      </c>
      <c r="H3488" t="n">
        <v>0</v>
      </c>
      <c r="I3488" t="n">
        <v>0</v>
      </c>
      <c r="J3488" t="n">
        <v>0</v>
      </c>
      <c r="K3488" t="n">
        <v>0</v>
      </c>
      <c r="L3488" t="n">
        <v>0</v>
      </c>
      <c r="M3488" t="n">
        <v>0</v>
      </c>
      <c r="N3488" t="n">
        <v>0</v>
      </c>
      <c r="O3488" t="n">
        <v>0</v>
      </c>
      <c r="P3488" t="n">
        <v>0</v>
      </c>
      <c r="Q3488" t="n">
        <v>0</v>
      </c>
      <c r="R3488" s="2" t="inlineStr"/>
    </row>
    <row r="3489" ht="15" customHeight="1">
      <c r="A3489" t="inlineStr">
        <is>
          <t>A 11487-2023</t>
        </is>
      </c>
      <c r="B3489" s="1" t="n">
        <v>44993.63946759259</v>
      </c>
      <c r="C3489" s="1" t="n">
        <v>45884</v>
      </c>
      <c r="D3489" t="inlineStr">
        <is>
          <t>KALMAR LÄN</t>
        </is>
      </c>
      <c r="E3489" t="inlineStr">
        <is>
          <t>KALMAR</t>
        </is>
      </c>
      <c r="G3489" t="n">
        <v>5.8</v>
      </c>
      <c r="H3489" t="n">
        <v>0</v>
      </c>
      <c r="I3489" t="n">
        <v>0</v>
      </c>
      <c r="J3489" t="n">
        <v>0</v>
      </c>
      <c r="K3489" t="n">
        <v>0</v>
      </c>
      <c r="L3489" t="n">
        <v>0</v>
      </c>
      <c r="M3489" t="n">
        <v>0</v>
      </c>
      <c r="N3489" t="n">
        <v>0</v>
      </c>
      <c r="O3489" t="n">
        <v>0</v>
      </c>
      <c r="P3489" t="n">
        <v>0</v>
      </c>
      <c r="Q3489" t="n">
        <v>0</v>
      </c>
      <c r="R3489" s="2" t="inlineStr"/>
    </row>
    <row r="3490" ht="15" customHeight="1">
      <c r="A3490" t="inlineStr">
        <is>
          <t>A 40260-2024</t>
        </is>
      </c>
      <c r="B3490" s="1" t="n">
        <v>45554.63225694445</v>
      </c>
      <c r="C3490" s="1" t="n">
        <v>45884</v>
      </c>
      <c r="D3490" t="inlineStr">
        <is>
          <t>KALMAR LÄN</t>
        </is>
      </c>
      <c r="E3490" t="inlineStr">
        <is>
          <t>VIMMERBY</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23938-2023</t>
        </is>
      </c>
      <c r="B3491" s="1" t="n">
        <v>45078.59818287037</v>
      </c>
      <c r="C3491" s="1" t="n">
        <v>45884</v>
      </c>
      <c r="D3491" t="inlineStr">
        <is>
          <t>KALMAR LÄN</t>
        </is>
      </c>
      <c r="E3491" t="inlineStr">
        <is>
          <t>EMMABODA</t>
        </is>
      </c>
      <c r="F3491" t="inlineStr">
        <is>
          <t>Sveaskog</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19704-2024</t>
        </is>
      </c>
      <c r="B3492" s="1" t="n">
        <v>45432.5475</v>
      </c>
      <c r="C3492" s="1" t="n">
        <v>45884</v>
      </c>
      <c r="D3492" t="inlineStr">
        <is>
          <t>KALMAR LÄN</t>
        </is>
      </c>
      <c r="E3492" t="inlineStr">
        <is>
          <t>OSKARSHAMN</t>
        </is>
      </c>
      <c r="G3492" t="n">
        <v>5.8</v>
      </c>
      <c r="H3492" t="n">
        <v>0</v>
      </c>
      <c r="I3492" t="n">
        <v>0</v>
      </c>
      <c r="J3492" t="n">
        <v>0</v>
      </c>
      <c r="K3492" t="n">
        <v>0</v>
      </c>
      <c r="L3492" t="n">
        <v>0</v>
      </c>
      <c r="M3492" t="n">
        <v>0</v>
      </c>
      <c r="N3492" t="n">
        <v>0</v>
      </c>
      <c r="O3492" t="n">
        <v>0</v>
      </c>
      <c r="P3492" t="n">
        <v>0</v>
      </c>
      <c r="Q3492" t="n">
        <v>0</v>
      </c>
      <c r="R3492" s="2" t="inlineStr"/>
    </row>
    <row r="3493" ht="15" customHeight="1">
      <c r="A3493" t="inlineStr">
        <is>
          <t>A 5801-2024</t>
        </is>
      </c>
      <c r="B3493" s="1" t="n">
        <v>45335.48046296297</v>
      </c>
      <c r="C3493" s="1" t="n">
        <v>45884</v>
      </c>
      <c r="D3493" t="inlineStr">
        <is>
          <t>KALMAR LÄN</t>
        </is>
      </c>
      <c r="E3493" t="inlineStr">
        <is>
          <t>HULTSFRED</t>
        </is>
      </c>
      <c r="G3493" t="n">
        <v>0</v>
      </c>
      <c r="H3493" t="n">
        <v>0</v>
      </c>
      <c r="I3493" t="n">
        <v>0</v>
      </c>
      <c r="J3493" t="n">
        <v>0</v>
      </c>
      <c r="K3493" t="n">
        <v>0</v>
      </c>
      <c r="L3493" t="n">
        <v>0</v>
      </c>
      <c r="M3493" t="n">
        <v>0</v>
      </c>
      <c r="N3493" t="n">
        <v>0</v>
      </c>
      <c r="O3493" t="n">
        <v>0</v>
      </c>
      <c r="P3493" t="n">
        <v>0</v>
      </c>
      <c r="Q3493" t="n">
        <v>0</v>
      </c>
      <c r="R3493" s="2" t="inlineStr"/>
    </row>
    <row r="3494" ht="15" customHeight="1">
      <c r="A3494" t="inlineStr">
        <is>
          <t>A 48-2025</t>
        </is>
      </c>
      <c r="B3494" s="1" t="n">
        <v>45648</v>
      </c>
      <c r="C3494" s="1" t="n">
        <v>45884</v>
      </c>
      <c r="D3494" t="inlineStr">
        <is>
          <t>KALMAR LÄN</t>
        </is>
      </c>
      <c r="E3494" t="inlineStr">
        <is>
          <t>NYBRO</t>
        </is>
      </c>
      <c r="G3494" t="n">
        <v>6.6</v>
      </c>
      <c r="H3494" t="n">
        <v>0</v>
      </c>
      <c r="I3494" t="n">
        <v>0</v>
      </c>
      <c r="J3494" t="n">
        <v>0</v>
      </c>
      <c r="K3494" t="n">
        <v>0</v>
      </c>
      <c r="L3494" t="n">
        <v>0</v>
      </c>
      <c r="M3494" t="n">
        <v>0</v>
      </c>
      <c r="N3494" t="n">
        <v>0</v>
      </c>
      <c r="O3494" t="n">
        <v>0</v>
      </c>
      <c r="P3494" t="n">
        <v>0</v>
      </c>
      <c r="Q3494" t="n">
        <v>0</v>
      </c>
      <c r="R3494" s="2" t="inlineStr"/>
    </row>
    <row r="3495" ht="15" customHeight="1">
      <c r="A3495" t="inlineStr">
        <is>
          <t>A 27996-2023</t>
        </is>
      </c>
      <c r="B3495" s="1" t="n">
        <v>45098.91159722222</v>
      </c>
      <c r="C3495" s="1" t="n">
        <v>45884</v>
      </c>
      <c r="D3495" t="inlineStr">
        <is>
          <t>KALMAR LÄN</t>
        </is>
      </c>
      <c r="E3495" t="inlineStr">
        <is>
          <t>EMMABODA</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27997-2023</t>
        </is>
      </c>
      <c r="B3496" s="1" t="n">
        <v>45098</v>
      </c>
      <c r="C3496" s="1" t="n">
        <v>45884</v>
      </c>
      <c r="D3496" t="inlineStr">
        <is>
          <t>KALMAR LÄN</t>
        </is>
      </c>
      <c r="E3496" t="inlineStr">
        <is>
          <t>NYBRO</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58615-2023</t>
        </is>
      </c>
      <c r="B3497" s="1" t="n">
        <v>45251.51339120371</v>
      </c>
      <c r="C3497" s="1" t="n">
        <v>45884</v>
      </c>
      <c r="D3497" t="inlineStr">
        <is>
          <t>KALMAR LÄN</t>
        </is>
      </c>
      <c r="E3497" t="inlineStr">
        <is>
          <t>TORSÅS</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7969-2024</t>
        </is>
      </c>
      <c r="B3498" s="1" t="n">
        <v>45350.58255787037</v>
      </c>
      <c r="C3498" s="1" t="n">
        <v>45884</v>
      </c>
      <c r="D3498" t="inlineStr">
        <is>
          <t>KALMAR LÄN</t>
        </is>
      </c>
      <c r="E3498" t="inlineStr">
        <is>
          <t>TORSÅS</t>
        </is>
      </c>
      <c r="G3498" t="n">
        <v>13.8</v>
      </c>
      <c r="H3498" t="n">
        <v>0</v>
      </c>
      <c r="I3498" t="n">
        <v>0</v>
      </c>
      <c r="J3498" t="n">
        <v>0</v>
      </c>
      <c r="K3498" t="n">
        <v>0</v>
      </c>
      <c r="L3498" t="n">
        <v>0</v>
      </c>
      <c r="M3498" t="n">
        <v>0</v>
      </c>
      <c r="N3498" t="n">
        <v>0</v>
      </c>
      <c r="O3498" t="n">
        <v>0</v>
      </c>
      <c r="P3498" t="n">
        <v>0</v>
      </c>
      <c r="Q3498" t="n">
        <v>0</v>
      </c>
      <c r="R3498" s="2" t="inlineStr"/>
    </row>
    <row r="3499" ht="15" customHeight="1">
      <c r="A3499" t="inlineStr">
        <is>
          <t>A 25799-2023</t>
        </is>
      </c>
      <c r="B3499" s="1" t="n">
        <v>45090</v>
      </c>
      <c r="C3499" s="1" t="n">
        <v>45884</v>
      </c>
      <c r="D3499" t="inlineStr">
        <is>
          <t>KALMAR LÄN</t>
        </is>
      </c>
      <c r="E3499" t="inlineStr">
        <is>
          <t>VIMMERBY</t>
        </is>
      </c>
      <c r="G3499" t="n">
        <v>7.7</v>
      </c>
      <c r="H3499" t="n">
        <v>0</v>
      </c>
      <c r="I3499" t="n">
        <v>0</v>
      </c>
      <c r="J3499" t="n">
        <v>0</v>
      </c>
      <c r="K3499" t="n">
        <v>0</v>
      </c>
      <c r="L3499" t="n">
        <v>0</v>
      </c>
      <c r="M3499" t="n">
        <v>0</v>
      </c>
      <c r="N3499" t="n">
        <v>0</v>
      </c>
      <c r="O3499" t="n">
        <v>0</v>
      </c>
      <c r="P3499" t="n">
        <v>0</v>
      </c>
      <c r="Q3499" t="n">
        <v>0</v>
      </c>
      <c r="R3499" s="2" t="inlineStr"/>
    </row>
    <row r="3500" ht="15" customHeight="1">
      <c r="A3500" t="inlineStr">
        <is>
          <t>A 51610-2023</t>
        </is>
      </c>
      <c r="B3500" s="1" t="n">
        <v>45222.49922453704</v>
      </c>
      <c r="C3500" s="1" t="n">
        <v>45884</v>
      </c>
      <c r="D3500" t="inlineStr">
        <is>
          <t>KALMAR LÄN</t>
        </is>
      </c>
      <c r="E3500" t="inlineStr">
        <is>
          <t>TORSÅS</t>
        </is>
      </c>
      <c r="G3500" t="n">
        <v>6.3</v>
      </c>
      <c r="H3500" t="n">
        <v>0</v>
      </c>
      <c r="I3500" t="n">
        <v>0</v>
      </c>
      <c r="J3500" t="n">
        <v>0</v>
      </c>
      <c r="K3500" t="n">
        <v>0</v>
      </c>
      <c r="L3500" t="n">
        <v>0</v>
      </c>
      <c r="M3500" t="n">
        <v>0</v>
      </c>
      <c r="N3500" t="n">
        <v>0</v>
      </c>
      <c r="O3500" t="n">
        <v>0</v>
      </c>
      <c r="P3500" t="n">
        <v>0</v>
      </c>
      <c r="Q3500" t="n">
        <v>0</v>
      </c>
      <c r="R3500" s="2" t="inlineStr"/>
    </row>
    <row r="3501" ht="15" customHeight="1">
      <c r="A3501" t="inlineStr">
        <is>
          <t>A 51621-2023</t>
        </is>
      </c>
      <c r="B3501" s="1" t="n">
        <v>45222</v>
      </c>
      <c r="C3501" s="1" t="n">
        <v>45884</v>
      </c>
      <c r="D3501" t="inlineStr">
        <is>
          <t>KALMAR LÄN</t>
        </is>
      </c>
      <c r="E3501" t="inlineStr">
        <is>
          <t>HÖGSBY</t>
        </is>
      </c>
      <c r="F3501" t="inlineStr">
        <is>
          <t>Sveaskog</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67133-2020</t>
        </is>
      </c>
      <c r="B3502" s="1" t="n">
        <v>44180</v>
      </c>
      <c r="C3502" s="1" t="n">
        <v>45884</v>
      </c>
      <c r="D3502" t="inlineStr">
        <is>
          <t>KALMAR LÄN</t>
        </is>
      </c>
      <c r="E3502" t="inlineStr">
        <is>
          <t>VÄSTERVIK</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53367-2022</t>
        </is>
      </c>
      <c r="B3503" s="1" t="n">
        <v>44879</v>
      </c>
      <c r="C3503" s="1" t="n">
        <v>45884</v>
      </c>
      <c r="D3503" t="inlineStr">
        <is>
          <t>KALMAR LÄN</t>
        </is>
      </c>
      <c r="E3503" t="inlineStr">
        <is>
          <t>TORSÅS</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57036-2021</t>
        </is>
      </c>
      <c r="B3504" s="1" t="n">
        <v>44482</v>
      </c>
      <c r="C3504" s="1" t="n">
        <v>45884</v>
      </c>
      <c r="D3504" t="inlineStr">
        <is>
          <t>KALMAR LÄN</t>
        </is>
      </c>
      <c r="E3504" t="inlineStr">
        <is>
          <t>KALMAR</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41572-2022</t>
        </is>
      </c>
      <c r="B3505" s="1" t="n">
        <v>44827.41934027777</v>
      </c>
      <c r="C3505" s="1" t="n">
        <v>45884</v>
      </c>
      <c r="D3505" t="inlineStr">
        <is>
          <t>KALMAR LÄN</t>
        </is>
      </c>
      <c r="E3505" t="inlineStr">
        <is>
          <t>TORSÅS</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53083-2021</t>
        </is>
      </c>
      <c r="B3506" s="1" t="n">
        <v>44467.83386574074</v>
      </c>
      <c r="C3506" s="1" t="n">
        <v>45884</v>
      </c>
      <c r="D3506" t="inlineStr">
        <is>
          <t>KALMAR LÄN</t>
        </is>
      </c>
      <c r="E3506" t="inlineStr">
        <is>
          <t>VIMMERBY</t>
        </is>
      </c>
      <c r="G3506" t="n">
        <v>6.8</v>
      </c>
      <c r="H3506" t="n">
        <v>0</v>
      </c>
      <c r="I3506" t="n">
        <v>0</v>
      </c>
      <c r="J3506" t="n">
        <v>0</v>
      </c>
      <c r="K3506" t="n">
        <v>0</v>
      </c>
      <c r="L3506" t="n">
        <v>0</v>
      </c>
      <c r="M3506" t="n">
        <v>0</v>
      </c>
      <c r="N3506" t="n">
        <v>0</v>
      </c>
      <c r="O3506" t="n">
        <v>0</v>
      </c>
      <c r="P3506" t="n">
        <v>0</v>
      </c>
      <c r="Q3506" t="n">
        <v>0</v>
      </c>
      <c r="R3506" s="2" t="inlineStr"/>
    </row>
    <row r="3507" ht="15" customHeight="1">
      <c r="A3507" t="inlineStr">
        <is>
          <t>A 66658-2021</t>
        </is>
      </c>
      <c r="B3507" s="1" t="n">
        <v>44519</v>
      </c>
      <c r="C3507" s="1" t="n">
        <v>45884</v>
      </c>
      <c r="D3507" t="inlineStr">
        <is>
          <t>KALMAR LÄN</t>
        </is>
      </c>
      <c r="E3507" t="inlineStr">
        <is>
          <t>EMMABODA</t>
        </is>
      </c>
      <c r="G3507" t="n">
        <v>6.3</v>
      </c>
      <c r="H3507" t="n">
        <v>0</v>
      </c>
      <c r="I3507" t="n">
        <v>0</v>
      </c>
      <c r="J3507" t="n">
        <v>0</v>
      </c>
      <c r="K3507" t="n">
        <v>0</v>
      </c>
      <c r="L3507" t="n">
        <v>0</v>
      </c>
      <c r="M3507" t="n">
        <v>0</v>
      </c>
      <c r="N3507" t="n">
        <v>0</v>
      </c>
      <c r="O3507" t="n">
        <v>0</v>
      </c>
      <c r="P3507" t="n">
        <v>0</v>
      </c>
      <c r="Q3507" t="n">
        <v>0</v>
      </c>
      <c r="R3507" s="2" t="inlineStr"/>
    </row>
    <row r="3508" ht="15" customHeight="1">
      <c r="A3508" t="inlineStr">
        <is>
          <t>A 22401-2023</t>
        </is>
      </c>
      <c r="B3508" s="1" t="n">
        <v>45070.64072916667</v>
      </c>
      <c r="C3508" s="1" t="n">
        <v>45884</v>
      </c>
      <c r="D3508" t="inlineStr">
        <is>
          <t>KALMAR LÄN</t>
        </is>
      </c>
      <c r="E3508" t="inlineStr">
        <is>
          <t>HULTSFRED</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11005-2025</t>
        </is>
      </c>
      <c r="B3509" s="1" t="n">
        <v>45723.44528935185</v>
      </c>
      <c r="C3509" s="1" t="n">
        <v>45884</v>
      </c>
      <c r="D3509" t="inlineStr">
        <is>
          <t>KALMAR LÄN</t>
        </is>
      </c>
      <c r="E3509" t="inlineStr">
        <is>
          <t>HULTSFRED</t>
        </is>
      </c>
      <c r="F3509" t="inlineStr">
        <is>
          <t>Sveaskog</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50955-2024</t>
        </is>
      </c>
      <c r="B3510" s="1" t="n">
        <v>45602</v>
      </c>
      <c r="C3510" s="1" t="n">
        <v>45884</v>
      </c>
      <c r="D3510" t="inlineStr">
        <is>
          <t>KALMAR LÄN</t>
        </is>
      </c>
      <c r="E3510" t="inlineStr">
        <is>
          <t>NYBRO</t>
        </is>
      </c>
      <c r="G3510" t="n">
        <v>5.3</v>
      </c>
      <c r="H3510" t="n">
        <v>0</v>
      </c>
      <c r="I3510" t="n">
        <v>0</v>
      </c>
      <c r="J3510" t="n">
        <v>0</v>
      </c>
      <c r="K3510" t="n">
        <v>0</v>
      </c>
      <c r="L3510" t="n">
        <v>0</v>
      </c>
      <c r="M3510" t="n">
        <v>0</v>
      </c>
      <c r="N3510" t="n">
        <v>0</v>
      </c>
      <c r="O3510" t="n">
        <v>0</v>
      </c>
      <c r="P3510" t="n">
        <v>0</v>
      </c>
      <c r="Q3510" t="n">
        <v>0</v>
      </c>
      <c r="R3510" s="2" t="inlineStr"/>
    </row>
    <row r="3511" ht="15" customHeight="1">
      <c r="A3511" t="inlineStr">
        <is>
          <t>A 52324-2023</t>
        </is>
      </c>
      <c r="B3511" s="1" t="n">
        <v>45224.64659722222</v>
      </c>
      <c r="C3511" s="1" t="n">
        <v>45884</v>
      </c>
      <c r="D3511" t="inlineStr">
        <is>
          <t>KALMAR LÄN</t>
        </is>
      </c>
      <c r="E3511" t="inlineStr">
        <is>
          <t>VIMMERBY</t>
        </is>
      </c>
      <c r="F3511" t="inlineStr">
        <is>
          <t>Sveaskog</t>
        </is>
      </c>
      <c r="G3511" t="n">
        <v>2.9</v>
      </c>
      <c r="H3511" t="n">
        <v>0</v>
      </c>
      <c r="I3511" t="n">
        <v>0</v>
      </c>
      <c r="J3511" t="n">
        <v>0</v>
      </c>
      <c r="K3511" t="n">
        <v>0</v>
      </c>
      <c r="L3511" t="n">
        <v>0</v>
      </c>
      <c r="M3511" t="n">
        <v>0</v>
      </c>
      <c r="N3511" t="n">
        <v>0</v>
      </c>
      <c r="O3511" t="n">
        <v>0</v>
      </c>
      <c r="P3511" t="n">
        <v>0</v>
      </c>
      <c r="Q3511" t="n">
        <v>0</v>
      </c>
      <c r="R3511" s="2" t="inlineStr"/>
    </row>
    <row r="3512" ht="15" customHeight="1">
      <c r="A3512" t="inlineStr">
        <is>
          <t>A 11450-2024</t>
        </is>
      </c>
      <c r="B3512" s="1" t="n">
        <v>45372.56440972222</v>
      </c>
      <c r="C3512" s="1" t="n">
        <v>45884</v>
      </c>
      <c r="D3512" t="inlineStr">
        <is>
          <t>KALMAR LÄN</t>
        </is>
      </c>
      <c r="E3512" t="inlineStr">
        <is>
          <t>OSKARSHAMN</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55615-2023</t>
        </is>
      </c>
      <c r="B3513" s="1" t="n">
        <v>45238</v>
      </c>
      <c r="C3513" s="1" t="n">
        <v>45884</v>
      </c>
      <c r="D3513" t="inlineStr">
        <is>
          <t>KALMAR LÄN</t>
        </is>
      </c>
      <c r="E3513" t="inlineStr">
        <is>
          <t>EMMABODA</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43746-2024</t>
        </is>
      </c>
      <c r="B3514" s="1" t="n">
        <v>45569</v>
      </c>
      <c r="C3514" s="1" t="n">
        <v>45884</v>
      </c>
      <c r="D3514" t="inlineStr">
        <is>
          <t>KALMAR LÄN</t>
        </is>
      </c>
      <c r="E3514" t="inlineStr">
        <is>
          <t>MÖNSTERÅS</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59943-2023</t>
        </is>
      </c>
      <c r="B3515" s="1" t="n">
        <v>45257.67958333333</v>
      </c>
      <c r="C3515" s="1" t="n">
        <v>45884</v>
      </c>
      <c r="D3515" t="inlineStr">
        <is>
          <t>KALMAR LÄN</t>
        </is>
      </c>
      <c r="E3515" t="inlineStr">
        <is>
          <t>VIMMERBY</t>
        </is>
      </c>
      <c r="G3515" t="n">
        <v>6.4</v>
      </c>
      <c r="H3515" t="n">
        <v>0</v>
      </c>
      <c r="I3515" t="n">
        <v>0</v>
      </c>
      <c r="J3515" t="n">
        <v>0</v>
      </c>
      <c r="K3515" t="n">
        <v>0</v>
      </c>
      <c r="L3515" t="n">
        <v>0</v>
      </c>
      <c r="M3515" t="n">
        <v>0</v>
      </c>
      <c r="N3515" t="n">
        <v>0</v>
      </c>
      <c r="O3515" t="n">
        <v>0</v>
      </c>
      <c r="P3515" t="n">
        <v>0</v>
      </c>
      <c r="Q3515" t="n">
        <v>0</v>
      </c>
      <c r="R3515" s="2" t="inlineStr"/>
    </row>
    <row r="3516" ht="15" customHeight="1">
      <c r="A3516" t="inlineStr">
        <is>
          <t>A 23701-2023</t>
        </is>
      </c>
      <c r="B3516" s="1" t="n">
        <v>45075</v>
      </c>
      <c r="C3516" s="1" t="n">
        <v>45884</v>
      </c>
      <c r="D3516" t="inlineStr">
        <is>
          <t>KALMAR LÄN</t>
        </is>
      </c>
      <c r="E3516" t="inlineStr">
        <is>
          <t>MÖNSTERÅS</t>
        </is>
      </c>
      <c r="G3516" t="n">
        <v>7</v>
      </c>
      <c r="H3516" t="n">
        <v>0</v>
      </c>
      <c r="I3516" t="n">
        <v>0</v>
      </c>
      <c r="J3516" t="n">
        <v>0</v>
      </c>
      <c r="K3516" t="n">
        <v>0</v>
      </c>
      <c r="L3516" t="n">
        <v>0</v>
      </c>
      <c r="M3516" t="n">
        <v>0</v>
      </c>
      <c r="N3516" t="n">
        <v>0</v>
      </c>
      <c r="O3516" t="n">
        <v>0</v>
      </c>
      <c r="P3516" t="n">
        <v>0</v>
      </c>
      <c r="Q3516" t="n">
        <v>0</v>
      </c>
      <c r="R3516" s="2" t="inlineStr"/>
    </row>
    <row r="3517" ht="15" customHeight="1">
      <c r="A3517" t="inlineStr">
        <is>
          <t>A 14534-2024</t>
        </is>
      </c>
      <c r="B3517" s="1" t="n">
        <v>45394.64731481481</v>
      </c>
      <c r="C3517" s="1" t="n">
        <v>45884</v>
      </c>
      <c r="D3517" t="inlineStr">
        <is>
          <t>KALMAR LÄN</t>
        </is>
      </c>
      <c r="E3517" t="inlineStr">
        <is>
          <t>NYBRO</t>
        </is>
      </c>
      <c r="F3517" t="inlineStr">
        <is>
          <t>Kommuner</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39728-2024</t>
        </is>
      </c>
      <c r="B3518" s="1" t="n">
        <v>45552.63032407407</v>
      </c>
      <c r="C3518" s="1" t="n">
        <v>45884</v>
      </c>
      <c r="D3518" t="inlineStr">
        <is>
          <t>KALMAR LÄN</t>
        </is>
      </c>
      <c r="E3518" t="inlineStr">
        <is>
          <t>TORSÅS</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57707-2021</t>
        </is>
      </c>
      <c r="B3519" s="1" t="n">
        <v>44484</v>
      </c>
      <c r="C3519" s="1" t="n">
        <v>45884</v>
      </c>
      <c r="D3519" t="inlineStr">
        <is>
          <t>KALMAR LÄN</t>
        </is>
      </c>
      <c r="E3519" t="inlineStr">
        <is>
          <t>HULTSFRED</t>
        </is>
      </c>
      <c r="F3519" t="inlineStr">
        <is>
          <t>Kyrkan</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59281-2022</t>
        </is>
      </c>
      <c r="B3520" s="1" t="n">
        <v>44904</v>
      </c>
      <c r="C3520" s="1" t="n">
        <v>45884</v>
      </c>
      <c r="D3520" t="inlineStr">
        <is>
          <t>KALMAR LÄN</t>
        </is>
      </c>
      <c r="E3520" t="inlineStr">
        <is>
          <t>HÖGSBY</t>
        </is>
      </c>
      <c r="F3520" t="inlineStr">
        <is>
          <t>Sveaskog</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7165-2025</t>
        </is>
      </c>
      <c r="B3521" s="1" t="n">
        <v>45702.39491898148</v>
      </c>
      <c r="C3521" s="1" t="n">
        <v>45884</v>
      </c>
      <c r="D3521" t="inlineStr">
        <is>
          <t>KALMAR LÄN</t>
        </is>
      </c>
      <c r="E3521" t="inlineStr">
        <is>
          <t>VÄSTERVIK</t>
        </is>
      </c>
      <c r="F3521" t="inlineStr">
        <is>
          <t>Sveaskog</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24655-2021</t>
        </is>
      </c>
      <c r="B3522" s="1" t="n">
        <v>44340</v>
      </c>
      <c r="C3522" s="1" t="n">
        <v>45884</v>
      </c>
      <c r="D3522" t="inlineStr">
        <is>
          <t>KALMAR LÄN</t>
        </is>
      </c>
      <c r="E3522" t="inlineStr">
        <is>
          <t>VIMMERBY</t>
        </is>
      </c>
      <c r="G3522" t="n">
        <v>14.9</v>
      </c>
      <c r="H3522" t="n">
        <v>0</v>
      </c>
      <c r="I3522" t="n">
        <v>0</v>
      </c>
      <c r="J3522" t="n">
        <v>0</v>
      </c>
      <c r="K3522" t="n">
        <v>0</v>
      </c>
      <c r="L3522" t="n">
        <v>0</v>
      </c>
      <c r="M3522" t="n">
        <v>0</v>
      </c>
      <c r="N3522" t="n">
        <v>0</v>
      </c>
      <c r="O3522" t="n">
        <v>0</v>
      </c>
      <c r="P3522" t="n">
        <v>0</v>
      </c>
      <c r="Q3522" t="n">
        <v>0</v>
      </c>
      <c r="R3522" s="2" t="inlineStr"/>
    </row>
    <row r="3523" ht="15" customHeight="1">
      <c r="A3523" t="inlineStr">
        <is>
          <t>A 47236-2023</t>
        </is>
      </c>
      <c r="B3523" s="1" t="n">
        <v>45202</v>
      </c>
      <c r="C3523" s="1" t="n">
        <v>45884</v>
      </c>
      <c r="D3523" t="inlineStr">
        <is>
          <t>KALMAR LÄN</t>
        </is>
      </c>
      <c r="E3523" t="inlineStr">
        <is>
          <t>HÖGSBY</t>
        </is>
      </c>
      <c r="G3523" t="n">
        <v>13.2</v>
      </c>
      <c r="H3523" t="n">
        <v>0</v>
      </c>
      <c r="I3523" t="n">
        <v>0</v>
      </c>
      <c r="J3523" t="n">
        <v>0</v>
      </c>
      <c r="K3523" t="n">
        <v>0</v>
      </c>
      <c r="L3523" t="n">
        <v>0</v>
      </c>
      <c r="M3523" t="n">
        <v>0</v>
      </c>
      <c r="N3523" t="n">
        <v>0</v>
      </c>
      <c r="O3523" t="n">
        <v>0</v>
      </c>
      <c r="P3523" t="n">
        <v>0</v>
      </c>
      <c r="Q3523" t="n">
        <v>0</v>
      </c>
      <c r="R3523" s="2" t="inlineStr"/>
    </row>
    <row r="3524" ht="15" customHeight="1">
      <c r="A3524" t="inlineStr">
        <is>
          <t>A 54951-2023</t>
        </is>
      </c>
      <c r="B3524" s="1" t="n">
        <v>45236.82902777778</v>
      </c>
      <c r="C3524" s="1" t="n">
        <v>45884</v>
      </c>
      <c r="D3524" t="inlineStr">
        <is>
          <t>KALMAR LÄN</t>
        </is>
      </c>
      <c r="E3524" t="inlineStr">
        <is>
          <t>VÄSTERVIK</t>
        </is>
      </c>
      <c r="F3524" t="inlineStr">
        <is>
          <t>Övriga Aktiebolag</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57617-2023</t>
        </is>
      </c>
      <c r="B3525" s="1" t="n">
        <v>45246</v>
      </c>
      <c r="C3525" s="1" t="n">
        <v>45884</v>
      </c>
      <c r="D3525" t="inlineStr">
        <is>
          <t>KALMAR LÄN</t>
        </is>
      </c>
      <c r="E3525" t="inlineStr">
        <is>
          <t>KALMAR</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47965-2023</t>
        </is>
      </c>
      <c r="B3526" s="1" t="n">
        <v>45204.60113425926</v>
      </c>
      <c r="C3526" s="1" t="n">
        <v>45884</v>
      </c>
      <c r="D3526" t="inlineStr">
        <is>
          <t>KALMAR LÄN</t>
        </is>
      </c>
      <c r="E3526" t="inlineStr">
        <is>
          <t>OSKARSHAMN</t>
        </is>
      </c>
      <c r="G3526" t="n">
        <v>4</v>
      </c>
      <c r="H3526" t="n">
        <v>0</v>
      </c>
      <c r="I3526" t="n">
        <v>0</v>
      </c>
      <c r="J3526" t="n">
        <v>0</v>
      </c>
      <c r="K3526" t="n">
        <v>0</v>
      </c>
      <c r="L3526" t="n">
        <v>0</v>
      </c>
      <c r="M3526" t="n">
        <v>0</v>
      </c>
      <c r="N3526" t="n">
        <v>0</v>
      </c>
      <c r="O3526" t="n">
        <v>0</v>
      </c>
      <c r="P3526" t="n">
        <v>0</v>
      </c>
      <c r="Q3526" t="n">
        <v>0</v>
      </c>
      <c r="R3526" s="2" t="inlineStr"/>
    </row>
    <row r="3527" ht="15" customHeight="1">
      <c r="A3527" t="inlineStr">
        <is>
          <t>A 11198-2024</t>
        </is>
      </c>
      <c r="B3527" s="1" t="n">
        <v>45371</v>
      </c>
      <c r="C3527" s="1" t="n">
        <v>45884</v>
      </c>
      <c r="D3527" t="inlineStr">
        <is>
          <t>KALMAR LÄN</t>
        </is>
      </c>
      <c r="E3527" t="inlineStr">
        <is>
          <t>VÄSTERVIK</t>
        </is>
      </c>
      <c r="G3527" t="n">
        <v>4.1</v>
      </c>
      <c r="H3527" t="n">
        <v>0</v>
      </c>
      <c r="I3527" t="n">
        <v>0</v>
      </c>
      <c r="J3527" t="n">
        <v>0</v>
      </c>
      <c r="K3527" t="n">
        <v>0</v>
      </c>
      <c r="L3527" t="n">
        <v>0</v>
      </c>
      <c r="M3527" t="n">
        <v>0</v>
      </c>
      <c r="N3527" t="n">
        <v>0</v>
      </c>
      <c r="O3527" t="n">
        <v>0</v>
      </c>
      <c r="P3527" t="n">
        <v>0</v>
      </c>
      <c r="Q3527" t="n">
        <v>0</v>
      </c>
      <c r="R3527" s="2" t="inlineStr"/>
    </row>
    <row r="3528" ht="15" customHeight="1">
      <c r="A3528" t="inlineStr">
        <is>
          <t>A 25090-2022</t>
        </is>
      </c>
      <c r="B3528" s="1" t="n">
        <v>44729.41611111111</v>
      </c>
      <c r="C3528" s="1" t="n">
        <v>45884</v>
      </c>
      <c r="D3528" t="inlineStr">
        <is>
          <t>KALMAR LÄN</t>
        </is>
      </c>
      <c r="E3528" t="inlineStr">
        <is>
          <t>EMMABODA</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14057-2024</t>
        </is>
      </c>
      <c r="B3529" s="1" t="n">
        <v>45392.56177083333</v>
      </c>
      <c r="C3529" s="1" t="n">
        <v>45884</v>
      </c>
      <c r="D3529" t="inlineStr">
        <is>
          <t>KALMAR LÄN</t>
        </is>
      </c>
      <c r="E3529" t="inlineStr">
        <is>
          <t>NYBRO</t>
        </is>
      </c>
      <c r="G3529" t="n">
        <v>2.2</v>
      </c>
      <c r="H3529" t="n">
        <v>0</v>
      </c>
      <c r="I3529" t="n">
        <v>0</v>
      </c>
      <c r="J3529" t="n">
        <v>0</v>
      </c>
      <c r="K3529" t="n">
        <v>0</v>
      </c>
      <c r="L3529" t="n">
        <v>0</v>
      </c>
      <c r="M3529" t="n">
        <v>0</v>
      </c>
      <c r="N3529" t="n">
        <v>0</v>
      </c>
      <c r="O3529" t="n">
        <v>0</v>
      </c>
      <c r="P3529" t="n">
        <v>0</v>
      </c>
      <c r="Q3529" t="n">
        <v>0</v>
      </c>
      <c r="R3529" s="2" t="inlineStr"/>
    </row>
    <row r="3530" ht="15" customHeight="1">
      <c r="A3530" t="inlineStr">
        <is>
          <t>A 14071-2024</t>
        </is>
      </c>
      <c r="B3530" s="1" t="n">
        <v>45392.5746412037</v>
      </c>
      <c r="C3530" s="1" t="n">
        <v>45884</v>
      </c>
      <c r="D3530" t="inlineStr">
        <is>
          <t>KALMAR LÄN</t>
        </is>
      </c>
      <c r="E3530" t="inlineStr">
        <is>
          <t>EMMABODA</t>
        </is>
      </c>
      <c r="G3530" t="n">
        <v>2.5</v>
      </c>
      <c r="H3530" t="n">
        <v>0</v>
      </c>
      <c r="I3530" t="n">
        <v>0</v>
      </c>
      <c r="J3530" t="n">
        <v>0</v>
      </c>
      <c r="K3530" t="n">
        <v>0</v>
      </c>
      <c r="L3530" t="n">
        <v>0</v>
      </c>
      <c r="M3530" t="n">
        <v>0</v>
      </c>
      <c r="N3530" t="n">
        <v>0</v>
      </c>
      <c r="O3530" t="n">
        <v>0</v>
      </c>
      <c r="P3530" t="n">
        <v>0</v>
      </c>
      <c r="Q3530" t="n">
        <v>0</v>
      </c>
      <c r="R3530" s="2" t="inlineStr"/>
    </row>
    <row r="3531" ht="15" customHeight="1">
      <c r="A3531" t="inlineStr">
        <is>
          <t>A 42114-2020</t>
        </is>
      </c>
      <c r="B3531" s="1" t="n">
        <v>44075</v>
      </c>
      <c r="C3531" s="1" t="n">
        <v>45884</v>
      </c>
      <c r="D3531" t="inlineStr">
        <is>
          <t>KALMAR LÄN</t>
        </is>
      </c>
      <c r="E3531" t="inlineStr">
        <is>
          <t>NYBRO</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40366-2020</t>
        </is>
      </c>
      <c r="B3532" s="1" t="n">
        <v>44068</v>
      </c>
      <c r="C3532" s="1" t="n">
        <v>45884</v>
      </c>
      <c r="D3532" t="inlineStr">
        <is>
          <t>KALMAR LÄN</t>
        </is>
      </c>
      <c r="E3532" t="inlineStr">
        <is>
          <t>HULTSFRED</t>
        </is>
      </c>
      <c r="G3532" t="n">
        <v>2.6</v>
      </c>
      <c r="H3532" t="n">
        <v>0</v>
      </c>
      <c r="I3532" t="n">
        <v>0</v>
      </c>
      <c r="J3532" t="n">
        <v>0</v>
      </c>
      <c r="K3532" t="n">
        <v>0</v>
      </c>
      <c r="L3532" t="n">
        <v>0</v>
      </c>
      <c r="M3532" t="n">
        <v>0</v>
      </c>
      <c r="N3532" t="n">
        <v>0</v>
      </c>
      <c r="O3532" t="n">
        <v>0</v>
      </c>
      <c r="P3532" t="n">
        <v>0</v>
      </c>
      <c r="Q3532" t="n">
        <v>0</v>
      </c>
      <c r="R3532" s="2" t="inlineStr"/>
    </row>
    <row r="3533" ht="15" customHeight="1">
      <c r="A3533" t="inlineStr">
        <is>
          <t>A 4402-2024</t>
        </is>
      </c>
      <c r="B3533" s="1" t="n">
        <v>45327.3969212963</v>
      </c>
      <c r="C3533" s="1" t="n">
        <v>45884</v>
      </c>
      <c r="D3533" t="inlineStr">
        <is>
          <t>KALMAR LÄN</t>
        </is>
      </c>
      <c r="E3533" t="inlineStr">
        <is>
          <t>NYBRO</t>
        </is>
      </c>
      <c r="G3533" t="n">
        <v>6.5</v>
      </c>
      <c r="H3533" t="n">
        <v>0</v>
      </c>
      <c r="I3533" t="n">
        <v>0</v>
      </c>
      <c r="J3533" t="n">
        <v>0</v>
      </c>
      <c r="K3533" t="n">
        <v>0</v>
      </c>
      <c r="L3533" t="n">
        <v>0</v>
      </c>
      <c r="M3533" t="n">
        <v>0</v>
      </c>
      <c r="N3533" t="n">
        <v>0</v>
      </c>
      <c r="O3533" t="n">
        <v>0</v>
      </c>
      <c r="P3533" t="n">
        <v>0</v>
      </c>
      <c r="Q3533" t="n">
        <v>0</v>
      </c>
      <c r="R3533" s="2" t="inlineStr"/>
    </row>
    <row r="3534" ht="15" customHeight="1">
      <c r="A3534" t="inlineStr">
        <is>
          <t>A 52202-2023</t>
        </is>
      </c>
      <c r="B3534" s="1" t="n">
        <v>45224.41850694444</v>
      </c>
      <c r="C3534" s="1" t="n">
        <v>45884</v>
      </c>
      <c r="D3534" t="inlineStr">
        <is>
          <t>KALMAR LÄN</t>
        </is>
      </c>
      <c r="E3534" t="inlineStr">
        <is>
          <t>OSKARSHAMN</t>
        </is>
      </c>
      <c r="G3534" t="n">
        <v>9.1</v>
      </c>
      <c r="H3534" t="n">
        <v>0</v>
      </c>
      <c r="I3534" t="n">
        <v>0</v>
      </c>
      <c r="J3534" t="n">
        <v>0</v>
      </c>
      <c r="K3534" t="n">
        <v>0</v>
      </c>
      <c r="L3534" t="n">
        <v>0</v>
      </c>
      <c r="M3534" t="n">
        <v>0</v>
      </c>
      <c r="N3534" t="n">
        <v>0</v>
      </c>
      <c r="O3534" t="n">
        <v>0</v>
      </c>
      <c r="P3534" t="n">
        <v>0</v>
      </c>
      <c r="Q3534" t="n">
        <v>0</v>
      </c>
      <c r="R3534" s="2" t="inlineStr"/>
    </row>
    <row r="3535" ht="15" customHeight="1">
      <c r="A3535" t="inlineStr">
        <is>
          <t>A 32345-2022</t>
        </is>
      </c>
      <c r="B3535" s="1" t="n">
        <v>44781.91173611111</v>
      </c>
      <c r="C3535" s="1" t="n">
        <v>45884</v>
      </c>
      <c r="D3535" t="inlineStr">
        <is>
          <t>KALMAR LÄN</t>
        </is>
      </c>
      <c r="E3535" t="inlineStr">
        <is>
          <t>HULTSFRED</t>
        </is>
      </c>
      <c r="G3535" t="n">
        <v>11.7</v>
      </c>
      <c r="H3535" t="n">
        <v>0</v>
      </c>
      <c r="I3535" t="n">
        <v>0</v>
      </c>
      <c r="J3535" t="n">
        <v>0</v>
      </c>
      <c r="K3535" t="n">
        <v>0</v>
      </c>
      <c r="L3535" t="n">
        <v>0</v>
      </c>
      <c r="M3535" t="n">
        <v>0</v>
      </c>
      <c r="N3535" t="n">
        <v>0</v>
      </c>
      <c r="O3535" t="n">
        <v>0</v>
      </c>
      <c r="P3535" t="n">
        <v>0</v>
      </c>
      <c r="Q3535" t="n">
        <v>0</v>
      </c>
      <c r="R3535" s="2" t="inlineStr"/>
    </row>
    <row r="3536" ht="15" customHeight="1">
      <c r="A3536" t="inlineStr">
        <is>
          <t>A 9151-2023</t>
        </is>
      </c>
      <c r="B3536" s="1" t="n">
        <v>44980.3834375</v>
      </c>
      <c r="C3536" s="1" t="n">
        <v>45884</v>
      </c>
      <c r="D3536" t="inlineStr">
        <is>
          <t>KALMAR LÄN</t>
        </is>
      </c>
      <c r="E3536" t="inlineStr">
        <is>
          <t>TORSÅS</t>
        </is>
      </c>
      <c r="G3536" t="n">
        <v>5.3</v>
      </c>
      <c r="H3536" t="n">
        <v>0</v>
      </c>
      <c r="I3536" t="n">
        <v>0</v>
      </c>
      <c r="J3536" t="n">
        <v>0</v>
      </c>
      <c r="K3536" t="n">
        <v>0</v>
      </c>
      <c r="L3536" t="n">
        <v>0</v>
      </c>
      <c r="M3536" t="n">
        <v>0</v>
      </c>
      <c r="N3536" t="n">
        <v>0</v>
      </c>
      <c r="O3536" t="n">
        <v>0</v>
      </c>
      <c r="P3536" t="n">
        <v>0</v>
      </c>
      <c r="Q3536" t="n">
        <v>0</v>
      </c>
      <c r="R3536" s="2" t="inlineStr"/>
    </row>
    <row r="3537" ht="15" customHeight="1">
      <c r="A3537" t="inlineStr">
        <is>
          <t>A 28164-2022</t>
        </is>
      </c>
      <c r="B3537" s="1" t="n">
        <v>44746.56648148148</v>
      </c>
      <c r="C3537" s="1" t="n">
        <v>45884</v>
      </c>
      <c r="D3537" t="inlineStr">
        <is>
          <t>KALMAR LÄN</t>
        </is>
      </c>
      <c r="E3537" t="inlineStr">
        <is>
          <t>NYBRO</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34345-2024</t>
        </is>
      </c>
      <c r="B3538" s="1" t="n">
        <v>45525.33855324074</v>
      </c>
      <c r="C3538" s="1" t="n">
        <v>45884</v>
      </c>
      <c r="D3538" t="inlineStr">
        <is>
          <t>KALMAR LÄN</t>
        </is>
      </c>
      <c r="E3538" t="inlineStr">
        <is>
          <t>NYBRO</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9700-2023</t>
        </is>
      </c>
      <c r="B3539" s="1" t="n">
        <v>44984.46820601852</v>
      </c>
      <c r="C3539" s="1" t="n">
        <v>45884</v>
      </c>
      <c r="D3539" t="inlineStr">
        <is>
          <t>KALMAR LÄN</t>
        </is>
      </c>
      <c r="E3539" t="inlineStr">
        <is>
          <t>HÖGSBY</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23607-2022</t>
        </is>
      </c>
      <c r="B3540" s="1" t="n">
        <v>44721</v>
      </c>
      <c r="C3540" s="1" t="n">
        <v>45884</v>
      </c>
      <c r="D3540" t="inlineStr">
        <is>
          <t>KALMAR LÄN</t>
        </is>
      </c>
      <c r="E3540" t="inlineStr">
        <is>
          <t>NYBRO</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9534-2022</t>
        </is>
      </c>
      <c r="B3541" s="1" t="n">
        <v>44617</v>
      </c>
      <c r="C3541" s="1" t="n">
        <v>45884</v>
      </c>
      <c r="D3541" t="inlineStr">
        <is>
          <t>KALMAR LÄN</t>
        </is>
      </c>
      <c r="E3541" t="inlineStr">
        <is>
          <t>KALMAR</t>
        </is>
      </c>
      <c r="G3541" t="n">
        <v>0.4</v>
      </c>
      <c r="H3541" t="n">
        <v>0</v>
      </c>
      <c r="I3541" t="n">
        <v>0</v>
      </c>
      <c r="J3541" t="n">
        <v>0</v>
      </c>
      <c r="K3541" t="n">
        <v>0</v>
      </c>
      <c r="L3541" t="n">
        <v>0</v>
      </c>
      <c r="M3541" t="n">
        <v>0</v>
      </c>
      <c r="N3541" t="n">
        <v>0</v>
      </c>
      <c r="O3541" t="n">
        <v>0</v>
      </c>
      <c r="P3541" t="n">
        <v>0</v>
      </c>
      <c r="Q3541" t="n">
        <v>0</v>
      </c>
      <c r="R3541" s="2" t="inlineStr"/>
    </row>
    <row r="3542" ht="15" customHeight="1">
      <c r="A3542" t="inlineStr">
        <is>
          <t>A 9535-2022</t>
        </is>
      </c>
      <c r="B3542" s="1" t="n">
        <v>44617</v>
      </c>
      <c r="C3542" s="1" t="n">
        <v>45884</v>
      </c>
      <c r="D3542" t="inlineStr">
        <is>
          <t>KALMAR LÄN</t>
        </is>
      </c>
      <c r="E3542" t="inlineStr">
        <is>
          <t>KALMAR</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5527-2022</t>
        </is>
      </c>
      <c r="B3543" s="1" t="n">
        <v>44595.583125</v>
      </c>
      <c r="C3543" s="1" t="n">
        <v>45884</v>
      </c>
      <c r="D3543" t="inlineStr">
        <is>
          <t>KALMAR LÄN</t>
        </is>
      </c>
      <c r="E3543" t="inlineStr">
        <is>
          <t>VIMMERBY</t>
        </is>
      </c>
      <c r="G3543" t="n">
        <v>3.6</v>
      </c>
      <c r="H3543" t="n">
        <v>0</v>
      </c>
      <c r="I3543" t="n">
        <v>0</v>
      </c>
      <c r="J3543" t="n">
        <v>0</v>
      </c>
      <c r="K3543" t="n">
        <v>0</v>
      </c>
      <c r="L3543" t="n">
        <v>0</v>
      </c>
      <c r="M3543" t="n">
        <v>0</v>
      </c>
      <c r="N3543" t="n">
        <v>0</v>
      </c>
      <c r="O3543" t="n">
        <v>0</v>
      </c>
      <c r="P3543" t="n">
        <v>0</v>
      </c>
      <c r="Q3543" t="n">
        <v>0</v>
      </c>
      <c r="R3543" s="2" t="inlineStr"/>
    </row>
    <row r="3544" ht="15" customHeight="1">
      <c r="A3544" t="inlineStr">
        <is>
          <t>A 14535-2025</t>
        </is>
      </c>
      <c r="B3544" s="1" t="n">
        <v>45741.65971064815</v>
      </c>
      <c r="C3544" s="1" t="n">
        <v>45884</v>
      </c>
      <c r="D3544" t="inlineStr">
        <is>
          <t>KALMAR LÄN</t>
        </is>
      </c>
      <c r="E3544" t="inlineStr">
        <is>
          <t>KALMAR</t>
        </is>
      </c>
      <c r="G3544" t="n">
        <v>5.3</v>
      </c>
      <c r="H3544" t="n">
        <v>0</v>
      </c>
      <c r="I3544" t="n">
        <v>0</v>
      </c>
      <c r="J3544" t="n">
        <v>0</v>
      </c>
      <c r="K3544" t="n">
        <v>0</v>
      </c>
      <c r="L3544" t="n">
        <v>0</v>
      </c>
      <c r="M3544" t="n">
        <v>0</v>
      </c>
      <c r="N3544" t="n">
        <v>0</v>
      </c>
      <c r="O3544" t="n">
        <v>0</v>
      </c>
      <c r="P3544" t="n">
        <v>0</v>
      </c>
      <c r="Q3544" t="n">
        <v>0</v>
      </c>
      <c r="R3544" s="2" t="inlineStr"/>
    </row>
    <row r="3545" ht="15" customHeight="1">
      <c r="A3545" t="inlineStr">
        <is>
          <t>A 3554-2023</t>
        </is>
      </c>
      <c r="B3545" s="1" t="n">
        <v>44950.45729166667</v>
      </c>
      <c r="C3545" s="1" t="n">
        <v>45884</v>
      </c>
      <c r="D3545" t="inlineStr">
        <is>
          <t>KALMAR LÄN</t>
        </is>
      </c>
      <c r="E3545" t="inlineStr">
        <is>
          <t>TORSÅS</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3559-2023</t>
        </is>
      </c>
      <c r="B3546" s="1" t="n">
        <v>44950.46746527778</v>
      </c>
      <c r="C3546" s="1" t="n">
        <v>45884</v>
      </c>
      <c r="D3546" t="inlineStr">
        <is>
          <t>KALMAR LÄN</t>
        </is>
      </c>
      <c r="E3546" t="inlineStr">
        <is>
          <t>MÖNSTERÅS</t>
        </is>
      </c>
      <c r="G3546" t="n">
        <v>16.4</v>
      </c>
      <c r="H3546" t="n">
        <v>0</v>
      </c>
      <c r="I3546" t="n">
        <v>0</v>
      </c>
      <c r="J3546" t="n">
        <v>0</v>
      </c>
      <c r="K3546" t="n">
        <v>0</v>
      </c>
      <c r="L3546" t="n">
        <v>0</v>
      </c>
      <c r="M3546" t="n">
        <v>0</v>
      </c>
      <c r="N3546" t="n">
        <v>0</v>
      </c>
      <c r="O3546" t="n">
        <v>0</v>
      </c>
      <c r="P3546" t="n">
        <v>0</v>
      </c>
      <c r="Q3546" t="n">
        <v>0</v>
      </c>
      <c r="R3546" s="2" t="inlineStr"/>
    </row>
    <row r="3547" ht="15" customHeight="1">
      <c r="A3547" t="inlineStr">
        <is>
          <t>A 17988-2025</t>
        </is>
      </c>
      <c r="B3547" s="1" t="n">
        <v>45761.39600694444</v>
      </c>
      <c r="C3547" s="1" t="n">
        <v>45884</v>
      </c>
      <c r="D3547" t="inlineStr">
        <is>
          <t>KALMAR LÄN</t>
        </is>
      </c>
      <c r="E3547" t="inlineStr">
        <is>
          <t>VIMMERBY</t>
        </is>
      </c>
      <c r="G3547" t="n">
        <v>2.8</v>
      </c>
      <c r="H3547" t="n">
        <v>0</v>
      </c>
      <c r="I3547" t="n">
        <v>0</v>
      </c>
      <c r="J3547" t="n">
        <v>0</v>
      </c>
      <c r="K3547" t="n">
        <v>0</v>
      </c>
      <c r="L3547" t="n">
        <v>0</v>
      </c>
      <c r="M3547" t="n">
        <v>0</v>
      </c>
      <c r="N3547" t="n">
        <v>0</v>
      </c>
      <c r="O3547" t="n">
        <v>0</v>
      </c>
      <c r="P3547" t="n">
        <v>0</v>
      </c>
      <c r="Q3547" t="n">
        <v>0</v>
      </c>
      <c r="R3547" s="2" t="inlineStr"/>
    </row>
    <row r="3548" ht="15" customHeight="1">
      <c r="A3548" t="inlineStr">
        <is>
          <t>A 57359-2024</t>
        </is>
      </c>
      <c r="B3548" s="1" t="n">
        <v>45629.65581018518</v>
      </c>
      <c r="C3548" s="1" t="n">
        <v>45884</v>
      </c>
      <c r="D3548" t="inlineStr">
        <is>
          <t>KALMAR LÄN</t>
        </is>
      </c>
      <c r="E3548" t="inlineStr">
        <is>
          <t>OSKARSHAMN</t>
        </is>
      </c>
      <c r="G3548" t="n">
        <v>2.7</v>
      </c>
      <c r="H3548" t="n">
        <v>0</v>
      </c>
      <c r="I3548" t="n">
        <v>0</v>
      </c>
      <c r="J3548" t="n">
        <v>0</v>
      </c>
      <c r="K3548" t="n">
        <v>0</v>
      </c>
      <c r="L3548" t="n">
        <v>0</v>
      </c>
      <c r="M3548" t="n">
        <v>0</v>
      </c>
      <c r="N3548" t="n">
        <v>0</v>
      </c>
      <c r="O3548" t="n">
        <v>0</v>
      </c>
      <c r="P3548" t="n">
        <v>0</v>
      </c>
      <c r="Q3548" t="n">
        <v>0</v>
      </c>
      <c r="R3548" s="2" t="inlineStr"/>
    </row>
    <row r="3549" ht="15" customHeight="1">
      <c r="A3549" t="inlineStr">
        <is>
          <t>A 23341-2022</t>
        </is>
      </c>
      <c r="B3549" s="1" t="n">
        <v>44720.53898148148</v>
      </c>
      <c r="C3549" s="1" t="n">
        <v>45884</v>
      </c>
      <c r="D3549" t="inlineStr">
        <is>
          <t>KALMAR LÄN</t>
        </is>
      </c>
      <c r="E3549" t="inlineStr">
        <is>
          <t>VIMMERBY</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32171-2021</t>
        </is>
      </c>
      <c r="B3550" s="1" t="n">
        <v>44371</v>
      </c>
      <c r="C3550" s="1" t="n">
        <v>45884</v>
      </c>
      <c r="D3550" t="inlineStr">
        <is>
          <t>KALMAR LÄN</t>
        </is>
      </c>
      <c r="E3550" t="inlineStr">
        <is>
          <t>MÖNSTERÅS</t>
        </is>
      </c>
      <c r="G3550" t="n">
        <v>4.2</v>
      </c>
      <c r="H3550" t="n">
        <v>0</v>
      </c>
      <c r="I3550" t="n">
        <v>0</v>
      </c>
      <c r="J3550" t="n">
        <v>0</v>
      </c>
      <c r="K3550" t="n">
        <v>0</v>
      </c>
      <c r="L3550" t="n">
        <v>0</v>
      </c>
      <c r="M3550" t="n">
        <v>0</v>
      </c>
      <c r="N3550" t="n">
        <v>0</v>
      </c>
      <c r="O3550" t="n">
        <v>0</v>
      </c>
      <c r="P3550" t="n">
        <v>0</v>
      </c>
      <c r="Q3550" t="n">
        <v>0</v>
      </c>
      <c r="R3550" s="2" t="inlineStr"/>
    </row>
    <row r="3551" ht="15" customHeight="1">
      <c r="A3551" t="inlineStr">
        <is>
          <t>A 59221-2022</t>
        </is>
      </c>
      <c r="B3551" s="1" t="n">
        <v>44904.53858796296</v>
      </c>
      <c r="C3551" s="1" t="n">
        <v>45884</v>
      </c>
      <c r="D3551" t="inlineStr">
        <is>
          <t>KALMAR LÄN</t>
        </is>
      </c>
      <c r="E3551" t="inlineStr">
        <is>
          <t>VÄSTERVIK</t>
        </is>
      </c>
      <c r="G3551" t="n">
        <v>6.1</v>
      </c>
      <c r="H3551" t="n">
        <v>0</v>
      </c>
      <c r="I3551" t="n">
        <v>0</v>
      </c>
      <c r="J3551" t="n">
        <v>0</v>
      </c>
      <c r="K3551" t="n">
        <v>0</v>
      </c>
      <c r="L3551" t="n">
        <v>0</v>
      </c>
      <c r="M3551" t="n">
        <v>0</v>
      </c>
      <c r="N3551" t="n">
        <v>0</v>
      </c>
      <c r="O3551" t="n">
        <v>0</v>
      </c>
      <c r="P3551" t="n">
        <v>0</v>
      </c>
      <c r="Q3551" t="n">
        <v>0</v>
      </c>
      <c r="R3551" s="2" t="inlineStr"/>
    </row>
    <row r="3552" ht="15" customHeight="1">
      <c r="A3552" t="inlineStr">
        <is>
          <t>A 57479-2022</t>
        </is>
      </c>
      <c r="B3552" s="1" t="n">
        <v>44896.59528935186</v>
      </c>
      <c r="C3552" s="1" t="n">
        <v>45884</v>
      </c>
      <c r="D3552" t="inlineStr">
        <is>
          <t>KALMAR LÄN</t>
        </is>
      </c>
      <c r="E3552" t="inlineStr">
        <is>
          <t>HULTSFRED</t>
        </is>
      </c>
      <c r="G3552" t="n">
        <v>6</v>
      </c>
      <c r="H3552" t="n">
        <v>0</v>
      </c>
      <c r="I3552" t="n">
        <v>0</v>
      </c>
      <c r="J3552" t="n">
        <v>0</v>
      </c>
      <c r="K3552" t="n">
        <v>0</v>
      </c>
      <c r="L3552" t="n">
        <v>0</v>
      </c>
      <c r="M3552" t="n">
        <v>0</v>
      </c>
      <c r="N3552" t="n">
        <v>0</v>
      </c>
      <c r="O3552" t="n">
        <v>0</v>
      </c>
      <c r="P3552" t="n">
        <v>0</v>
      </c>
      <c r="Q3552" t="n">
        <v>0</v>
      </c>
      <c r="R3552" s="2" t="inlineStr"/>
    </row>
    <row r="3553" ht="15" customHeight="1">
      <c r="A3553" t="inlineStr">
        <is>
          <t>A 18277-2025</t>
        </is>
      </c>
      <c r="B3553" s="1" t="n">
        <v>45762.3843287037</v>
      </c>
      <c r="C3553" s="1" t="n">
        <v>45884</v>
      </c>
      <c r="D3553" t="inlineStr">
        <is>
          <t>KALMAR LÄN</t>
        </is>
      </c>
      <c r="E3553" t="inlineStr">
        <is>
          <t>NYBRO</t>
        </is>
      </c>
      <c r="F3553" t="inlineStr">
        <is>
          <t>Sveaskog</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13946-2023</t>
        </is>
      </c>
      <c r="B3554" s="1" t="n">
        <v>45008.45369212963</v>
      </c>
      <c r="C3554" s="1" t="n">
        <v>45884</v>
      </c>
      <c r="D3554" t="inlineStr">
        <is>
          <t>KALMAR LÄN</t>
        </is>
      </c>
      <c r="E3554" t="inlineStr">
        <is>
          <t>HULTSFRED</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9712-2023</t>
        </is>
      </c>
      <c r="B3555" s="1" t="n">
        <v>44984.48538194445</v>
      </c>
      <c r="C3555" s="1" t="n">
        <v>45884</v>
      </c>
      <c r="D3555" t="inlineStr">
        <is>
          <t>KALMAR LÄN</t>
        </is>
      </c>
      <c r="E3555" t="inlineStr">
        <is>
          <t>KALMAR</t>
        </is>
      </c>
      <c r="G3555" t="n">
        <v>1.1</v>
      </c>
      <c r="H3555" t="n">
        <v>0</v>
      </c>
      <c r="I3555" t="n">
        <v>0</v>
      </c>
      <c r="J3555" t="n">
        <v>0</v>
      </c>
      <c r="K3555" t="n">
        <v>0</v>
      </c>
      <c r="L3555" t="n">
        <v>0</v>
      </c>
      <c r="M3555" t="n">
        <v>0</v>
      </c>
      <c r="N3555" t="n">
        <v>0</v>
      </c>
      <c r="O3555" t="n">
        <v>0</v>
      </c>
      <c r="P3555" t="n">
        <v>0</v>
      </c>
      <c r="Q3555" t="n">
        <v>0</v>
      </c>
      <c r="R3555" s="2" t="inlineStr"/>
      <c r="U3555">
        <f>HYPERLINK("https://klasma.github.io/Logging_0880/knärot/A 9712-2023 karta knärot.png", "A 9712-2023")</f>
        <v/>
      </c>
      <c r="V3555">
        <f>HYPERLINK("https://klasma.github.io/Logging_0880/klagomål/A 9712-2023 FSC-klagomål.docx", "A 9712-2023")</f>
        <v/>
      </c>
      <c r="W3555">
        <f>HYPERLINK("https://klasma.github.io/Logging_0880/klagomålsmail/A 9712-2023 FSC-klagomål mail.docx", "A 9712-2023")</f>
        <v/>
      </c>
      <c r="X3555">
        <f>HYPERLINK("https://klasma.github.io/Logging_0880/tillsyn/A 9712-2023 tillsynsbegäran.docx", "A 9712-2023")</f>
        <v/>
      </c>
      <c r="Y3555">
        <f>HYPERLINK("https://klasma.github.io/Logging_0880/tillsynsmail/A 9712-2023 tillsynsbegäran mail.docx", "A 9712-2023")</f>
        <v/>
      </c>
    </row>
    <row r="3556" ht="15" customHeight="1">
      <c r="A3556" t="inlineStr">
        <is>
          <t>A 31760-2022</t>
        </is>
      </c>
      <c r="B3556" s="1" t="n">
        <v>44776</v>
      </c>
      <c r="C3556" s="1" t="n">
        <v>45884</v>
      </c>
      <c r="D3556" t="inlineStr">
        <is>
          <t>KALMAR LÄN</t>
        </is>
      </c>
      <c r="E3556" t="inlineStr">
        <is>
          <t>TORSÅS</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9727-2023</t>
        </is>
      </c>
      <c r="B3557" s="1" t="n">
        <v>44984.51159722222</v>
      </c>
      <c r="C3557" s="1" t="n">
        <v>45884</v>
      </c>
      <c r="D3557" t="inlineStr">
        <is>
          <t>KALMAR LÄN</t>
        </is>
      </c>
      <c r="E3557" t="inlineStr">
        <is>
          <t>KALMAR</t>
        </is>
      </c>
      <c r="G3557" t="n">
        <v>2.7</v>
      </c>
      <c r="H3557" t="n">
        <v>0</v>
      </c>
      <c r="I3557" t="n">
        <v>0</v>
      </c>
      <c r="J3557" t="n">
        <v>0</v>
      </c>
      <c r="K3557" t="n">
        <v>0</v>
      </c>
      <c r="L3557" t="n">
        <v>0</v>
      </c>
      <c r="M3557" t="n">
        <v>0</v>
      </c>
      <c r="N3557" t="n">
        <v>0</v>
      </c>
      <c r="O3557" t="n">
        <v>0</v>
      </c>
      <c r="P3557" t="n">
        <v>0</v>
      </c>
      <c r="Q3557" t="n">
        <v>0</v>
      </c>
      <c r="R3557" s="2" t="inlineStr"/>
    </row>
    <row r="3558" ht="15" customHeight="1">
      <c r="A3558" t="inlineStr">
        <is>
          <t>A 43346-2020</t>
        </is>
      </c>
      <c r="B3558" s="1" t="n">
        <v>44081</v>
      </c>
      <c r="C3558" s="1" t="n">
        <v>45884</v>
      </c>
      <c r="D3558" t="inlineStr">
        <is>
          <t>KALMAR LÄN</t>
        </is>
      </c>
      <c r="E3558" t="inlineStr">
        <is>
          <t>OSKARSHAMN</t>
        </is>
      </c>
      <c r="G3558" t="n">
        <v>2.7</v>
      </c>
      <c r="H3558" t="n">
        <v>0</v>
      </c>
      <c r="I3558" t="n">
        <v>0</v>
      </c>
      <c r="J3558" t="n">
        <v>0</v>
      </c>
      <c r="K3558" t="n">
        <v>0</v>
      </c>
      <c r="L3558" t="n">
        <v>0</v>
      </c>
      <c r="M3558" t="n">
        <v>0</v>
      </c>
      <c r="N3558" t="n">
        <v>0</v>
      </c>
      <c r="O3558" t="n">
        <v>0</v>
      </c>
      <c r="P3558" t="n">
        <v>0</v>
      </c>
      <c r="Q3558" t="n">
        <v>0</v>
      </c>
      <c r="R3558" s="2" t="inlineStr"/>
    </row>
    <row r="3559" ht="15" customHeight="1">
      <c r="A3559" t="inlineStr">
        <is>
          <t>A 63469-2023</t>
        </is>
      </c>
      <c r="B3559" s="1" t="n">
        <v>45274.62921296297</v>
      </c>
      <c r="C3559" s="1" t="n">
        <v>45884</v>
      </c>
      <c r="D3559" t="inlineStr">
        <is>
          <t>KALMAR LÄN</t>
        </is>
      </c>
      <c r="E3559" t="inlineStr">
        <is>
          <t>MÖNSTERÅS</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12325-2023</t>
        </is>
      </c>
      <c r="B3560" s="1" t="n">
        <v>44999.35858796296</v>
      </c>
      <c r="C3560" s="1" t="n">
        <v>45884</v>
      </c>
      <c r="D3560" t="inlineStr">
        <is>
          <t>KALMAR LÄN</t>
        </is>
      </c>
      <c r="E3560" t="inlineStr">
        <is>
          <t>VIMMERBY</t>
        </is>
      </c>
      <c r="G3560" t="n">
        <v>3.4</v>
      </c>
      <c r="H3560" t="n">
        <v>0</v>
      </c>
      <c r="I3560" t="n">
        <v>0</v>
      </c>
      <c r="J3560" t="n">
        <v>0</v>
      </c>
      <c r="K3560" t="n">
        <v>0</v>
      </c>
      <c r="L3560" t="n">
        <v>0</v>
      </c>
      <c r="M3560" t="n">
        <v>0</v>
      </c>
      <c r="N3560" t="n">
        <v>0</v>
      </c>
      <c r="O3560" t="n">
        <v>0</v>
      </c>
      <c r="P3560" t="n">
        <v>0</v>
      </c>
      <c r="Q3560" t="n">
        <v>0</v>
      </c>
      <c r="R3560" s="2" t="inlineStr"/>
    </row>
    <row r="3561" ht="15" customHeight="1">
      <c r="A3561" t="inlineStr">
        <is>
          <t>A 55980-2022</t>
        </is>
      </c>
      <c r="B3561" s="1" t="n">
        <v>44889.45887731481</v>
      </c>
      <c r="C3561" s="1" t="n">
        <v>45884</v>
      </c>
      <c r="D3561" t="inlineStr">
        <is>
          <t>KALMAR LÄN</t>
        </is>
      </c>
      <c r="E3561" t="inlineStr">
        <is>
          <t>TORSÅS</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37028-2024</t>
        </is>
      </c>
      <c r="B3562" s="1" t="n">
        <v>45539.38744212963</v>
      </c>
      <c r="C3562" s="1" t="n">
        <v>45884</v>
      </c>
      <c r="D3562" t="inlineStr">
        <is>
          <t>KALMAR LÄN</t>
        </is>
      </c>
      <c r="E3562" t="inlineStr">
        <is>
          <t>VIMMERBY</t>
        </is>
      </c>
      <c r="G3562" t="n">
        <v>5.2</v>
      </c>
      <c r="H3562" t="n">
        <v>0</v>
      </c>
      <c r="I3562" t="n">
        <v>0</v>
      </c>
      <c r="J3562" t="n">
        <v>0</v>
      </c>
      <c r="K3562" t="n">
        <v>0</v>
      </c>
      <c r="L3562" t="n">
        <v>0</v>
      </c>
      <c r="M3562" t="n">
        <v>0</v>
      </c>
      <c r="N3562" t="n">
        <v>0</v>
      </c>
      <c r="O3562" t="n">
        <v>0</v>
      </c>
      <c r="P3562" t="n">
        <v>0</v>
      </c>
      <c r="Q3562" t="n">
        <v>0</v>
      </c>
      <c r="R3562" s="2" t="inlineStr"/>
    </row>
    <row r="3563" ht="15" customHeight="1">
      <c r="A3563" t="inlineStr">
        <is>
          <t>A 39860-2024</t>
        </is>
      </c>
      <c r="B3563" s="1" t="n">
        <v>45553.44331018518</v>
      </c>
      <c r="C3563" s="1" t="n">
        <v>45884</v>
      </c>
      <c r="D3563" t="inlineStr">
        <is>
          <t>KALMAR LÄN</t>
        </is>
      </c>
      <c r="E3563" t="inlineStr">
        <is>
          <t>MÖNSTERÅS</t>
        </is>
      </c>
      <c r="G3563" t="n">
        <v>6.6</v>
      </c>
      <c r="H3563" t="n">
        <v>0</v>
      </c>
      <c r="I3563" t="n">
        <v>0</v>
      </c>
      <c r="J3563" t="n">
        <v>0</v>
      </c>
      <c r="K3563" t="n">
        <v>0</v>
      </c>
      <c r="L3563" t="n">
        <v>0</v>
      </c>
      <c r="M3563" t="n">
        <v>0</v>
      </c>
      <c r="N3563" t="n">
        <v>0</v>
      </c>
      <c r="O3563" t="n">
        <v>0</v>
      </c>
      <c r="P3563" t="n">
        <v>0</v>
      </c>
      <c r="Q3563" t="n">
        <v>0</v>
      </c>
      <c r="R3563" s="2" t="inlineStr"/>
    </row>
    <row r="3564" ht="15" customHeight="1">
      <c r="A3564" t="inlineStr">
        <is>
          <t>A 44410-2024</t>
        </is>
      </c>
      <c r="B3564" s="1" t="n">
        <v>45573.74909722222</v>
      </c>
      <c r="C3564" s="1" t="n">
        <v>45884</v>
      </c>
      <c r="D3564" t="inlineStr">
        <is>
          <t>KALMAR LÄN</t>
        </is>
      </c>
      <c r="E3564" t="inlineStr">
        <is>
          <t>KALMAR</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58708-2020</t>
        </is>
      </c>
      <c r="B3565" s="1" t="n">
        <v>44146.39836805555</v>
      </c>
      <c r="C3565" s="1" t="n">
        <v>45884</v>
      </c>
      <c r="D3565" t="inlineStr">
        <is>
          <t>KALMAR LÄN</t>
        </is>
      </c>
      <c r="E3565" t="inlineStr">
        <is>
          <t>TORSÅS</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7673-2024</t>
        </is>
      </c>
      <c r="B3566" s="1" t="n">
        <v>45348.84033564815</v>
      </c>
      <c r="C3566" s="1" t="n">
        <v>45884</v>
      </c>
      <c r="D3566" t="inlineStr">
        <is>
          <t>KALMAR LÄN</t>
        </is>
      </c>
      <c r="E3566" t="inlineStr">
        <is>
          <t>OSKARSHAMN</t>
        </is>
      </c>
      <c r="F3566" t="inlineStr">
        <is>
          <t>Sveaskog</t>
        </is>
      </c>
      <c r="G3566" t="n">
        <v>15.8</v>
      </c>
      <c r="H3566" t="n">
        <v>0</v>
      </c>
      <c r="I3566" t="n">
        <v>0</v>
      </c>
      <c r="J3566" t="n">
        <v>0</v>
      </c>
      <c r="K3566" t="n">
        <v>0</v>
      </c>
      <c r="L3566" t="n">
        <v>0</v>
      </c>
      <c r="M3566" t="n">
        <v>0</v>
      </c>
      <c r="N3566" t="n">
        <v>0</v>
      </c>
      <c r="O3566" t="n">
        <v>0</v>
      </c>
      <c r="P3566" t="n">
        <v>0</v>
      </c>
      <c r="Q3566" t="n">
        <v>0</v>
      </c>
      <c r="R3566" s="2" t="inlineStr"/>
    </row>
    <row r="3567" ht="15" customHeight="1">
      <c r="A3567" t="inlineStr">
        <is>
          <t>A 7674-2024</t>
        </is>
      </c>
      <c r="B3567" s="1" t="n">
        <v>45348.84243055555</v>
      </c>
      <c r="C3567" s="1" t="n">
        <v>45884</v>
      </c>
      <c r="D3567" t="inlineStr">
        <is>
          <t>KALMAR LÄN</t>
        </is>
      </c>
      <c r="E3567" t="inlineStr">
        <is>
          <t>OSKARSHAMN</t>
        </is>
      </c>
      <c r="F3567" t="inlineStr">
        <is>
          <t>Sveaskog</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7675-2024</t>
        </is>
      </c>
      <c r="B3568" s="1" t="n">
        <v>45348.84297453704</v>
      </c>
      <c r="C3568" s="1" t="n">
        <v>45884</v>
      </c>
      <c r="D3568" t="inlineStr">
        <is>
          <t>KALMAR LÄN</t>
        </is>
      </c>
      <c r="E3568" t="inlineStr">
        <is>
          <t>OSKARSHAMN</t>
        </is>
      </c>
      <c r="F3568" t="inlineStr">
        <is>
          <t>Sveaskog</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3530-2025</t>
        </is>
      </c>
      <c r="B3569" s="1" t="n">
        <v>45680</v>
      </c>
      <c r="C3569" s="1" t="n">
        <v>45884</v>
      </c>
      <c r="D3569" t="inlineStr">
        <is>
          <t>KALMAR LÄN</t>
        </is>
      </c>
      <c r="E3569" t="inlineStr">
        <is>
          <t>HULTSFRED</t>
        </is>
      </c>
      <c r="F3569" t="inlineStr">
        <is>
          <t>Sveaskog</t>
        </is>
      </c>
      <c r="G3569" t="n">
        <v>2.6</v>
      </c>
      <c r="H3569" t="n">
        <v>0</v>
      </c>
      <c r="I3569" t="n">
        <v>0</v>
      </c>
      <c r="J3569" t="n">
        <v>0</v>
      </c>
      <c r="K3569" t="n">
        <v>0</v>
      </c>
      <c r="L3569" t="n">
        <v>0</v>
      </c>
      <c r="M3569" t="n">
        <v>0</v>
      </c>
      <c r="N3569" t="n">
        <v>0</v>
      </c>
      <c r="O3569" t="n">
        <v>0</v>
      </c>
      <c r="P3569" t="n">
        <v>0</v>
      </c>
      <c r="Q3569" t="n">
        <v>0</v>
      </c>
      <c r="R3569" s="2" t="inlineStr"/>
    </row>
    <row r="3570" ht="15" customHeight="1">
      <c r="A3570" t="inlineStr">
        <is>
          <t>A 1016-2024</t>
        </is>
      </c>
      <c r="B3570" s="1" t="n">
        <v>45301</v>
      </c>
      <c r="C3570" s="1" t="n">
        <v>45884</v>
      </c>
      <c r="D3570" t="inlineStr">
        <is>
          <t>KALMAR LÄN</t>
        </is>
      </c>
      <c r="E3570" t="inlineStr">
        <is>
          <t>VIMMERBY</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58933-2022</t>
        </is>
      </c>
      <c r="B3571" s="1" t="n">
        <v>44903.63063657407</v>
      </c>
      <c r="C3571" s="1" t="n">
        <v>45884</v>
      </c>
      <c r="D3571" t="inlineStr">
        <is>
          <t>KALMAR LÄN</t>
        </is>
      </c>
      <c r="E3571" t="inlineStr">
        <is>
          <t>NYBRO</t>
        </is>
      </c>
      <c r="G3571" t="n">
        <v>3</v>
      </c>
      <c r="H3571" t="n">
        <v>0</v>
      </c>
      <c r="I3571" t="n">
        <v>0</v>
      </c>
      <c r="J3571" t="n">
        <v>0</v>
      </c>
      <c r="K3571" t="n">
        <v>0</v>
      </c>
      <c r="L3571" t="n">
        <v>0</v>
      </c>
      <c r="M3571" t="n">
        <v>0</v>
      </c>
      <c r="N3571" t="n">
        <v>0</v>
      </c>
      <c r="O3571" t="n">
        <v>0</v>
      </c>
      <c r="P3571" t="n">
        <v>0</v>
      </c>
      <c r="Q3571" t="n">
        <v>0</v>
      </c>
      <c r="R3571" s="2" t="inlineStr"/>
    </row>
    <row r="3572" ht="15" customHeight="1">
      <c r="A3572" t="inlineStr">
        <is>
          <t>A 49051-2021</t>
        </is>
      </c>
      <c r="B3572" s="1" t="n">
        <v>44453</v>
      </c>
      <c r="C3572" s="1" t="n">
        <v>45884</v>
      </c>
      <c r="D3572" t="inlineStr">
        <is>
          <t>KALMAR LÄN</t>
        </is>
      </c>
      <c r="E3572" t="inlineStr">
        <is>
          <t>NYBRO</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20386-2023</t>
        </is>
      </c>
      <c r="B3573" s="1" t="n">
        <v>45056</v>
      </c>
      <c r="C3573" s="1" t="n">
        <v>45884</v>
      </c>
      <c r="D3573" t="inlineStr">
        <is>
          <t>KALMAR LÄN</t>
        </is>
      </c>
      <c r="E3573" t="inlineStr">
        <is>
          <t>NYBRO</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10654-2024</t>
        </is>
      </c>
      <c r="B3574" s="1" t="n">
        <v>45368.71136574074</v>
      </c>
      <c r="C3574" s="1" t="n">
        <v>45884</v>
      </c>
      <c r="D3574" t="inlineStr">
        <is>
          <t>KALMAR LÄN</t>
        </is>
      </c>
      <c r="E3574" t="inlineStr">
        <is>
          <t>NYBRO</t>
        </is>
      </c>
      <c r="G3574" t="n">
        <v>2.6</v>
      </c>
      <c r="H3574" t="n">
        <v>0</v>
      </c>
      <c r="I3574" t="n">
        <v>0</v>
      </c>
      <c r="J3574" t="n">
        <v>0</v>
      </c>
      <c r="K3574" t="n">
        <v>0</v>
      </c>
      <c r="L3574" t="n">
        <v>0</v>
      </c>
      <c r="M3574" t="n">
        <v>0</v>
      </c>
      <c r="N3574" t="n">
        <v>0</v>
      </c>
      <c r="O3574" t="n">
        <v>0</v>
      </c>
      <c r="P3574" t="n">
        <v>0</v>
      </c>
      <c r="Q3574" t="n">
        <v>0</v>
      </c>
      <c r="R3574" s="2" t="inlineStr"/>
    </row>
    <row r="3575" ht="15" customHeight="1">
      <c r="A3575" t="inlineStr">
        <is>
          <t>A 33838-2022</t>
        </is>
      </c>
      <c r="B3575" s="1" t="n">
        <v>44790.49040509259</v>
      </c>
      <c r="C3575" s="1" t="n">
        <v>45884</v>
      </c>
      <c r="D3575" t="inlineStr">
        <is>
          <t>KALMAR LÄN</t>
        </is>
      </c>
      <c r="E3575" t="inlineStr">
        <is>
          <t>VIMMERBY</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45065-2024</t>
        </is>
      </c>
      <c r="B3576" s="1" t="n">
        <v>45575.55944444444</v>
      </c>
      <c r="C3576" s="1" t="n">
        <v>45884</v>
      </c>
      <c r="D3576" t="inlineStr">
        <is>
          <t>KALMAR LÄN</t>
        </is>
      </c>
      <c r="E3576" t="inlineStr">
        <is>
          <t>MÖNSTERÅS</t>
        </is>
      </c>
      <c r="G3576" t="n">
        <v>2.5</v>
      </c>
      <c r="H3576" t="n">
        <v>0</v>
      </c>
      <c r="I3576" t="n">
        <v>0</v>
      </c>
      <c r="J3576" t="n">
        <v>0</v>
      </c>
      <c r="K3576" t="n">
        <v>0</v>
      </c>
      <c r="L3576" t="n">
        <v>0</v>
      </c>
      <c r="M3576" t="n">
        <v>0</v>
      </c>
      <c r="N3576" t="n">
        <v>0</v>
      </c>
      <c r="O3576" t="n">
        <v>0</v>
      </c>
      <c r="P3576" t="n">
        <v>0</v>
      </c>
      <c r="Q3576" t="n">
        <v>0</v>
      </c>
      <c r="R3576" s="2" t="inlineStr"/>
    </row>
    <row r="3577" ht="15" customHeight="1">
      <c r="A3577" t="inlineStr">
        <is>
          <t>A 10721-2024</t>
        </is>
      </c>
      <c r="B3577" s="1" t="n">
        <v>45369.46770833333</v>
      </c>
      <c r="C3577" s="1" t="n">
        <v>45884</v>
      </c>
      <c r="D3577" t="inlineStr">
        <is>
          <t>KALMAR LÄN</t>
        </is>
      </c>
      <c r="E3577" t="inlineStr">
        <is>
          <t>OSKARSHAMN</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10724-2024</t>
        </is>
      </c>
      <c r="B3578" s="1" t="n">
        <v>45369.47578703704</v>
      </c>
      <c r="C3578" s="1" t="n">
        <v>45884</v>
      </c>
      <c r="D3578" t="inlineStr">
        <is>
          <t>KALMAR LÄN</t>
        </is>
      </c>
      <c r="E3578" t="inlineStr">
        <is>
          <t>OSKARSHAMN</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10737-2024</t>
        </is>
      </c>
      <c r="B3579" s="1" t="n">
        <v>45369.51261574074</v>
      </c>
      <c r="C3579" s="1" t="n">
        <v>45884</v>
      </c>
      <c r="D3579" t="inlineStr">
        <is>
          <t>KALMAR LÄN</t>
        </is>
      </c>
      <c r="E3579" t="inlineStr">
        <is>
          <t>NYBRO</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20162-2025</t>
        </is>
      </c>
      <c r="B3580" s="1" t="n">
        <v>45772.56983796296</v>
      </c>
      <c r="C3580" s="1" t="n">
        <v>45884</v>
      </c>
      <c r="D3580" t="inlineStr">
        <is>
          <t>KALMAR LÄN</t>
        </is>
      </c>
      <c r="E3580" t="inlineStr">
        <is>
          <t>NYBRO</t>
        </is>
      </c>
      <c r="G3580" t="n">
        <v>3</v>
      </c>
      <c r="H3580" t="n">
        <v>0</v>
      </c>
      <c r="I3580" t="n">
        <v>0</v>
      </c>
      <c r="J3580" t="n">
        <v>0</v>
      </c>
      <c r="K3580" t="n">
        <v>0</v>
      </c>
      <c r="L3580" t="n">
        <v>0</v>
      </c>
      <c r="M3580" t="n">
        <v>0</v>
      </c>
      <c r="N3580" t="n">
        <v>0</v>
      </c>
      <c r="O3580" t="n">
        <v>0</v>
      </c>
      <c r="P3580" t="n">
        <v>0</v>
      </c>
      <c r="Q3580" t="n">
        <v>0</v>
      </c>
      <c r="R3580" s="2" t="inlineStr"/>
    </row>
    <row r="3581" ht="15" customHeight="1">
      <c r="A3581" t="inlineStr">
        <is>
          <t>A 9662-2023</t>
        </is>
      </c>
      <c r="B3581" s="1" t="n">
        <v>44984.39417824074</v>
      </c>
      <c r="C3581" s="1" t="n">
        <v>45884</v>
      </c>
      <c r="D3581" t="inlineStr">
        <is>
          <t>KALMAR LÄN</t>
        </is>
      </c>
      <c r="E3581" t="inlineStr">
        <is>
          <t>EMMABODA</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23411-2022</t>
        </is>
      </c>
      <c r="B3582" s="1" t="n">
        <v>44720.70361111111</v>
      </c>
      <c r="C3582" s="1" t="n">
        <v>45884</v>
      </c>
      <c r="D3582" t="inlineStr">
        <is>
          <t>KALMAR LÄN</t>
        </is>
      </c>
      <c r="E3582" t="inlineStr">
        <is>
          <t>VÄSTERVIK</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44317-2023</t>
        </is>
      </c>
      <c r="B3583" s="1" t="n">
        <v>45188</v>
      </c>
      <c r="C3583" s="1" t="n">
        <v>45884</v>
      </c>
      <c r="D3583" t="inlineStr">
        <is>
          <t>KALMAR LÄN</t>
        </is>
      </c>
      <c r="E3583" t="inlineStr">
        <is>
          <t>MÖNSTERÅS</t>
        </is>
      </c>
      <c r="G3583" t="n">
        <v>5.8</v>
      </c>
      <c r="H3583" t="n">
        <v>0</v>
      </c>
      <c r="I3583" t="n">
        <v>0</v>
      </c>
      <c r="J3583" t="n">
        <v>0</v>
      </c>
      <c r="K3583" t="n">
        <v>0</v>
      </c>
      <c r="L3583" t="n">
        <v>0</v>
      </c>
      <c r="M3583" t="n">
        <v>0</v>
      </c>
      <c r="N3583" t="n">
        <v>0</v>
      </c>
      <c r="O3583" t="n">
        <v>0</v>
      </c>
      <c r="P3583" t="n">
        <v>0</v>
      </c>
      <c r="Q3583" t="n">
        <v>0</v>
      </c>
      <c r="R3583" s="2" t="inlineStr"/>
    </row>
    <row r="3584" ht="15" customHeight="1">
      <c r="A3584" t="inlineStr">
        <is>
          <t>A 15780-2025</t>
        </is>
      </c>
      <c r="B3584" s="1" t="n">
        <v>45748.61495370371</v>
      </c>
      <c r="C3584" s="1" t="n">
        <v>45884</v>
      </c>
      <c r="D3584" t="inlineStr">
        <is>
          <t>KALMAR LÄN</t>
        </is>
      </c>
      <c r="E3584" t="inlineStr">
        <is>
          <t>HULTSFRED</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17012-2023</t>
        </is>
      </c>
      <c r="B3585" s="1" t="n">
        <v>45034.31502314815</v>
      </c>
      <c r="C3585" s="1" t="n">
        <v>45884</v>
      </c>
      <c r="D3585" t="inlineStr">
        <is>
          <t>KALMAR LÄN</t>
        </is>
      </c>
      <c r="E3585" t="inlineStr">
        <is>
          <t>HULTSFRED</t>
        </is>
      </c>
      <c r="G3585" t="n">
        <v>5.2</v>
      </c>
      <c r="H3585" t="n">
        <v>0</v>
      </c>
      <c r="I3585" t="n">
        <v>0</v>
      </c>
      <c r="J3585" t="n">
        <v>0</v>
      </c>
      <c r="K3585" t="n">
        <v>0</v>
      </c>
      <c r="L3585" t="n">
        <v>0</v>
      </c>
      <c r="M3585" t="n">
        <v>0</v>
      </c>
      <c r="N3585" t="n">
        <v>0</v>
      </c>
      <c r="O3585" t="n">
        <v>0</v>
      </c>
      <c r="P3585" t="n">
        <v>0</v>
      </c>
      <c r="Q3585" t="n">
        <v>0</v>
      </c>
      <c r="R3585" s="2" t="inlineStr"/>
    </row>
    <row r="3586" ht="15" customHeight="1">
      <c r="A3586" t="inlineStr">
        <is>
          <t>A 32763-2022</t>
        </is>
      </c>
      <c r="B3586" s="1" t="n">
        <v>44783</v>
      </c>
      <c r="C3586" s="1" t="n">
        <v>45884</v>
      </c>
      <c r="D3586" t="inlineStr">
        <is>
          <t>KALMAR LÄN</t>
        </is>
      </c>
      <c r="E3586" t="inlineStr">
        <is>
          <t>VÄSTERVIK</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13308-2024</t>
        </is>
      </c>
      <c r="B3587" s="1" t="n">
        <v>45386.71230324074</v>
      </c>
      <c r="C3587" s="1" t="n">
        <v>45884</v>
      </c>
      <c r="D3587" t="inlineStr">
        <is>
          <t>KALMAR LÄN</t>
        </is>
      </c>
      <c r="E3587" t="inlineStr">
        <is>
          <t>HÖGSBY</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32835-2022</t>
        </is>
      </c>
      <c r="B3588" s="1" t="n">
        <v>44784.42528935185</v>
      </c>
      <c r="C3588" s="1" t="n">
        <v>45884</v>
      </c>
      <c r="D3588" t="inlineStr">
        <is>
          <t>KALMAR LÄN</t>
        </is>
      </c>
      <c r="E3588" t="inlineStr">
        <is>
          <t>VIMMERBY</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58346-2023</t>
        </is>
      </c>
      <c r="B3589" s="1" t="n">
        <v>45250.61736111111</v>
      </c>
      <c r="C3589" s="1" t="n">
        <v>45884</v>
      </c>
      <c r="D3589" t="inlineStr">
        <is>
          <t>KALMAR LÄN</t>
        </is>
      </c>
      <c r="E3589" t="inlineStr">
        <is>
          <t>TORSÅS</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22622-2024</t>
        </is>
      </c>
      <c r="B3590" s="1" t="n">
        <v>45447</v>
      </c>
      <c r="C3590" s="1" t="n">
        <v>45884</v>
      </c>
      <c r="D3590" t="inlineStr">
        <is>
          <t>KALMAR LÄN</t>
        </is>
      </c>
      <c r="E3590" t="inlineStr">
        <is>
          <t>HULTSFRED</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37233-2024</t>
        </is>
      </c>
      <c r="B3591" s="1" t="n">
        <v>45540.31068287037</v>
      </c>
      <c r="C3591" s="1" t="n">
        <v>45884</v>
      </c>
      <c r="D3591" t="inlineStr">
        <is>
          <t>KALMAR LÄN</t>
        </is>
      </c>
      <c r="E3591" t="inlineStr">
        <is>
          <t>MÖNSTERÅS</t>
        </is>
      </c>
      <c r="G3591" t="n">
        <v>4.8</v>
      </c>
      <c r="H3591" t="n">
        <v>0</v>
      </c>
      <c r="I3591" t="n">
        <v>0</v>
      </c>
      <c r="J3591" t="n">
        <v>0</v>
      </c>
      <c r="K3591" t="n">
        <v>0</v>
      </c>
      <c r="L3591" t="n">
        <v>0</v>
      </c>
      <c r="M3591" t="n">
        <v>0</v>
      </c>
      <c r="N3591" t="n">
        <v>0</v>
      </c>
      <c r="O3591" t="n">
        <v>0</v>
      </c>
      <c r="P3591" t="n">
        <v>0</v>
      </c>
      <c r="Q3591" t="n">
        <v>0</v>
      </c>
      <c r="R3591" s="2" t="inlineStr"/>
    </row>
    <row r="3592" ht="15" customHeight="1">
      <c r="A3592" t="inlineStr">
        <is>
          <t>A 37237-2024</t>
        </is>
      </c>
      <c r="B3592" s="1" t="n">
        <v>45540.33099537037</v>
      </c>
      <c r="C3592" s="1" t="n">
        <v>45884</v>
      </c>
      <c r="D3592" t="inlineStr">
        <is>
          <t>KALMAR LÄN</t>
        </is>
      </c>
      <c r="E3592" t="inlineStr">
        <is>
          <t>MÖNSTERÅS</t>
        </is>
      </c>
      <c r="G3592" t="n">
        <v>6</v>
      </c>
      <c r="H3592" t="n">
        <v>0</v>
      </c>
      <c r="I3592" t="n">
        <v>0</v>
      </c>
      <c r="J3592" t="n">
        <v>0</v>
      </c>
      <c r="K3592" t="n">
        <v>0</v>
      </c>
      <c r="L3592" t="n">
        <v>0</v>
      </c>
      <c r="M3592" t="n">
        <v>0</v>
      </c>
      <c r="N3592" t="n">
        <v>0</v>
      </c>
      <c r="O3592" t="n">
        <v>0</v>
      </c>
      <c r="P3592" t="n">
        <v>0</v>
      </c>
      <c r="Q3592" t="n">
        <v>0</v>
      </c>
      <c r="R3592" s="2" t="inlineStr"/>
    </row>
    <row r="3593" ht="15" customHeight="1">
      <c r="A3593" t="inlineStr">
        <is>
          <t>A 14080-2025</t>
        </is>
      </c>
      <c r="B3593" s="1" t="n">
        <v>45740.43785879629</v>
      </c>
      <c r="C3593" s="1" t="n">
        <v>45884</v>
      </c>
      <c r="D3593" t="inlineStr">
        <is>
          <t>KALMAR LÄN</t>
        </is>
      </c>
      <c r="E3593" t="inlineStr">
        <is>
          <t>VÄSTERVIK</t>
        </is>
      </c>
      <c r="F3593" t="inlineStr">
        <is>
          <t>Sveaskog</t>
        </is>
      </c>
      <c r="G3593" t="n">
        <v>2</v>
      </c>
      <c r="H3593" t="n">
        <v>0</v>
      </c>
      <c r="I3593" t="n">
        <v>0</v>
      </c>
      <c r="J3593" t="n">
        <v>0</v>
      </c>
      <c r="K3593" t="n">
        <v>0</v>
      </c>
      <c r="L3593" t="n">
        <v>0</v>
      </c>
      <c r="M3593" t="n">
        <v>0</v>
      </c>
      <c r="N3593" t="n">
        <v>0</v>
      </c>
      <c r="O3593" t="n">
        <v>0</v>
      </c>
      <c r="P3593" t="n">
        <v>0</v>
      </c>
      <c r="Q3593" t="n">
        <v>0</v>
      </c>
      <c r="R3593" s="2" t="inlineStr"/>
    </row>
    <row r="3594" ht="15" customHeight="1">
      <c r="A3594" t="inlineStr">
        <is>
          <t>A 14163-2025</t>
        </is>
      </c>
      <c r="B3594" s="1" t="n">
        <v>45740.50775462963</v>
      </c>
      <c r="C3594" s="1" t="n">
        <v>45884</v>
      </c>
      <c r="D3594" t="inlineStr">
        <is>
          <t>KALMAR LÄN</t>
        </is>
      </c>
      <c r="E3594" t="inlineStr">
        <is>
          <t>EMMABODA</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14165-2025</t>
        </is>
      </c>
      <c r="B3595" s="1" t="n">
        <v>45740.5121412037</v>
      </c>
      <c r="C3595" s="1" t="n">
        <v>45884</v>
      </c>
      <c r="D3595" t="inlineStr">
        <is>
          <t>KALMAR LÄN</t>
        </is>
      </c>
      <c r="E3595" t="inlineStr">
        <is>
          <t>HULTSFRED</t>
        </is>
      </c>
      <c r="G3595" t="n">
        <v>5.6</v>
      </c>
      <c r="H3595" t="n">
        <v>0</v>
      </c>
      <c r="I3595" t="n">
        <v>0</v>
      </c>
      <c r="J3595" t="n">
        <v>0</v>
      </c>
      <c r="K3595" t="n">
        <v>0</v>
      </c>
      <c r="L3595" t="n">
        <v>0</v>
      </c>
      <c r="M3595" t="n">
        <v>0</v>
      </c>
      <c r="N3595" t="n">
        <v>0</v>
      </c>
      <c r="O3595" t="n">
        <v>0</v>
      </c>
      <c r="P3595" t="n">
        <v>0</v>
      </c>
      <c r="Q3595" t="n">
        <v>0</v>
      </c>
      <c r="R3595" s="2" t="inlineStr"/>
    </row>
    <row r="3596" ht="15" customHeight="1">
      <c r="A3596" t="inlineStr">
        <is>
          <t>A 19050-2023</t>
        </is>
      </c>
      <c r="B3596" s="1" t="n">
        <v>45047.82030092592</v>
      </c>
      <c r="C3596" s="1" t="n">
        <v>45884</v>
      </c>
      <c r="D3596" t="inlineStr">
        <is>
          <t>KALMAR LÄN</t>
        </is>
      </c>
      <c r="E3596" t="inlineStr">
        <is>
          <t>HULTSFRED</t>
        </is>
      </c>
      <c r="G3596" t="n">
        <v>4.7</v>
      </c>
      <c r="H3596" t="n">
        <v>0</v>
      </c>
      <c r="I3596" t="n">
        <v>0</v>
      </c>
      <c r="J3596" t="n">
        <v>0</v>
      </c>
      <c r="K3596" t="n">
        <v>0</v>
      </c>
      <c r="L3596" t="n">
        <v>0</v>
      </c>
      <c r="M3596" t="n">
        <v>0</v>
      </c>
      <c r="N3596" t="n">
        <v>0</v>
      </c>
      <c r="O3596" t="n">
        <v>0</v>
      </c>
      <c r="P3596" t="n">
        <v>0</v>
      </c>
      <c r="Q3596" t="n">
        <v>0</v>
      </c>
      <c r="R3596" s="2" t="inlineStr"/>
    </row>
    <row r="3597" ht="15" customHeight="1">
      <c r="A3597" t="inlineStr">
        <is>
          <t>A 36383-2021</t>
        </is>
      </c>
      <c r="B3597" s="1" t="n">
        <v>44390</v>
      </c>
      <c r="C3597" s="1" t="n">
        <v>45884</v>
      </c>
      <c r="D3597" t="inlineStr">
        <is>
          <t>KALMAR LÄN</t>
        </is>
      </c>
      <c r="E3597" t="inlineStr">
        <is>
          <t>NYBRO</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23080-2023</t>
        </is>
      </c>
      <c r="B3598" s="1" t="n">
        <v>45075</v>
      </c>
      <c r="C3598" s="1" t="n">
        <v>45884</v>
      </c>
      <c r="D3598" t="inlineStr">
        <is>
          <t>KALMAR LÄN</t>
        </is>
      </c>
      <c r="E3598" t="inlineStr">
        <is>
          <t>VÄSTERVIK</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31076-2021</t>
        </is>
      </c>
      <c r="B3599" s="1" t="n">
        <v>44368.47782407407</v>
      </c>
      <c r="C3599" s="1" t="n">
        <v>45884</v>
      </c>
      <c r="D3599" t="inlineStr">
        <is>
          <t>KALMAR LÄN</t>
        </is>
      </c>
      <c r="E3599" t="inlineStr">
        <is>
          <t>NYBRO</t>
        </is>
      </c>
      <c r="G3599" t="n">
        <v>6.3</v>
      </c>
      <c r="H3599" t="n">
        <v>0</v>
      </c>
      <c r="I3599" t="n">
        <v>0</v>
      </c>
      <c r="J3599" t="n">
        <v>0</v>
      </c>
      <c r="K3599" t="n">
        <v>0</v>
      </c>
      <c r="L3599" t="n">
        <v>0</v>
      </c>
      <c r="M3599" t="n">
        <v>0</v>
      </c>
      <c r="N3599" t="n">
        <v>0</v>
      </c>
      <c r="O3599" t="n">
        <v>0</v>
      </c>
      <c r="P3599" t="n">
        <v>0</v>
      </c>
      <c r="Q3599" t="n">
        <v>0</v>
      </c>
      <c r="R3599" s="2" t="inlineStr"/>
    </row>
    <row r="3600" ht="15" customHeight="1">
      <c r="A3600" t="inlineStr">
        <is>
          <t>A 3356-2024</t>
        </is>
      </c>
      <c r="B3600" s="1" t="n">
        <v>45317</v>
      </c>
      <c r="C3600" s="1" t="n">
        <v>45884</v>
      </c>
      <c r="D3600" t="inlineStr">
        <is>
          <t>KALMAR LÄN</t>
        </is>
      </c>
      <c r="E3600" t="inlineStr">
        <is>
          <t>OSKARSHAMN</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6532-2024</t>
        </is>
      </c>
      <c r="B3601" s="1" t="n">
        <v>45341.37961805556</v>
      </c>
      <c r="C3601" s="1" t="n">
        <v>45884</v>
      </c>
      <c r="D3601" t="inlineStr">
        <is>
          <t>KALMAR LÄN</t>
        </is>
      </c>
      <c r="E3601" t="inlineStr">
        <is>
          <t>EMMABODA</t>
        </is>
      </c>
      <c r="G3601" t="n">
        <v>3.2</v>
      </c>
      <c r="H3601" t="n">
        <v>0</v>
      </c>
      <c r="I3601" t="n">
        <v>0</v>
      </c>
      <c r="J3601" t="n">
        <v>0</v>
      </c>
      <c r="K3601" t="n">
        <v>0</v>
      </c>
      <c r="L3601" t="n">
        <v>0</v>
      </c>
      <c r="M3601" t="n">
        <v>0</v>
      </c>
      <c r="N3601" t="n">
        <v>0</v>
      </c>
      <c r="O3601" t="n">
        <v>0</v>
      </c>
      <c r="P3601" t="n">
        <v>0</v>
      </c>
      <c r="Q3601" t="n">
        <v>0</v>
      </c>
      <c r="R3601" s="2" t="inlineStr"/>
    </row>
    <row r="3602" ht="15" customHeight="1">
      <c r="A3602" t="inlineStr">
        <is>
          <t>A 4496-2022</t>
        </is>
      </c>
      <c r="B3602" s="1" t="n">
        <v>44589.67060185185</v>
      </c>
      <c r="C3602" s="1" t="n">
        <v>45884</v>
      </c>
      <c r="D3602" t="inlineStr">
        <is>
          <t>KALMAR LÄN</t>
        </is>
      </c>
      <c r="E3602" t="inlineStr">
        <is>
          <t>VÄSTERVIK</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38269-2024</t>
        </is>
      </c>
      <c r="B3603" s="1" t="n">
        <v>45545</v>
      </c>
      <c r="C3603" s="1" t="n">
        <v>45884</v>
      </c>
      <c r="D3603" t="inlineStr">
        <is>
          <t>KALMAR LÄN</t>
        </is>
      </c>
      <c r="E3603" t="inlineStr">
        <is>
          <t>HÖGSBY</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31861-2023</t>
        </is>
      </c>
      <c r="B3604" s="1" t="n">
        <v>45118</v>
      </c>
      <c r="C3604" s="1" t="n">
        <v>45884</v>
      </c>
      <c r="D3604" t="inlineStr">
        <is>
          <t>KALMAR LÄN</t>
        </is>
      </c>
      <c r="E3604" t="inlineStr">
        <is>
          <t>NYBRO</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26140-2024</t>
        </is>
      </c>
      <c r="B3605" s="1" t="n">
        <v>45468</v>
      </c>
      <c r="C3605" s="1" t="n">
        <v>45884</v>
      </c>
      <c r="D3605" t="inlineStr">
        <is>
          <t>KALMAR LÄN</t>
        </is>
      </c>
      <c r="E3605" t="inlineStr">
        <is>
          <t>VÄSTERVIK</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30294-2022</t>
        </is>
      </c>
      <c r="B3606" s="1" t="n">
        <v>44760</v>
      </c>
      <c r="C3606" s="1" t="n">
        <v>45884</v>
      </c>
      <c r="D3606" t="inlineStr">
        <is>
          <t>KALMAR LÄN</t>
        </is>
      </c>
      <c r="E3606" t="inlineStr">
        <is>
          <t>HÖGSBY</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9037-2023</t>
        </is>
      </c>
      <c r="B3607" s="1" t="n">
        <v>44979.65015046296</v>
      </c>
      <c r="C3607" s="1" t="n">
        <v>45884</v>
      </c>
      <c r="D3607" t="inlineStr">
        <is>
          <t>KALMAR LÄN</t>
        </is>
      </c>
      <c r="E3607" t="inlineStr">
        <is>
          <t>VÄSTERVIK</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1798-2023</t>
        </is>
      </c>
      <c r="B3608" s="1" t="n">
        <v>44938</v>
      </c>
      <c r="C3608" s="1" t="n">
        <v>45884</v>
      </c>
      <c r="D3608" t="inlineStr">
        <is>
          <t>KALMAR LÄN</t>
        </is>
      </c>
      <c r="E3608" t="inlineStr">
        <is>
          <t>VÄSTERVIK</t>
        </is>
      </c>
      <c r="G3608" t="n">
        <v>3.9</v>
      </c>
      <c r="H3608" t="n">
        <v>0</v>
      </c>
      <c r="I3608" t="n">
        <v>0</v>
      </c>
      <c r="J3608" t="n">
        <v>0</v>
      </c>
      <c r="K3608" t="n">
        <v>0</v>
      </c>
      <c r="L3608" t="n">
        <v>0</v>
      </c>
      <c r="M3608" t="n">
        <v>0</v>
      </c>
      <c r="N3608" t="n">
        <v>0</v>
      </c>
      <c r="O3608" t="n">
        <v>0</v>
      </c>
      <c r="P3608" t="n">
        <v>0</v>
      </c>
      <c r="Q3608" t="n">
        <v>0</v>
      </c>
      <c r="R3608" s="2" t="inlineStr"/>
    </row>
    <row r="3609" ht="15" customHeight="1">
      <c r="A3609" t="inlineStr">
        <is>
          <t>A 33681-2022</t>
        </is>
      </c>
      <c r="B3609" s="1" t="n">
        <v>44789</v>
      </c>
      <c r="C3609" s="1" t="n">
        <v>45884</v>
      </c>
      <c r="D3609" t="inlineStr">
        <is>
          <t>KALMAR LÄN</t>
        </is>
      </c>
      <c r="E3609" t="inlineStr">
        <is>
          <t>VIMMERBY</t>
        </is>
      </c>
      <c r="G3609" t="n">
        <v>3.2</v>
      </c>
      <c r="H3609" t="n">
        <v>0</v>
      </c>
      <c r="I3609" t="n">
        <v>0</v>
      </c>
      <c r="J3609" t="n">
        <v>0</v>
      </c>
      <c r="K3609" t="n">
        <v>0</v>
      </c>
      <c r="L3609" t="n">
        <v>0</v>
      </c>
      <c r="M3609" t="n">
        <v>0</v>
      </c>
      <c r="N3609" t="n">
        <v>0</v>
      </c>
      <c r="O3609" t="n">
        <v>0</v>
      </c>
      <c r="P3609" t="n">
        <v>0</v>
      </c>
      <c r="Q3609" t="n">
        <v>0</v>
      </c>
      <c r="R3609" s="2" t="inlineStr"/>
    </row>
    <row r="3610" ht="15" customHeight="1">
      <c r="A3610" t="inlineStr">
        <is>
          <t>A 3129-2021</t>
        </is>
      </c>
      <c r="B3610" s="1" t="n">
        <v>44217</v>
      </c>
      <c r="C3610" s="1" t="n">
        <v>45884</v>
      </c>
      <c r="D3610" t="inlineStr">
        <is>
          <t>KALMAR LÄN</t>
        </is>
      </c>
      <c r="E3610" t="inlineStr">
        <is>
          <t>TORSÅS</t>
        </is>
      </c>
      <c r="G3610" t="n">
        <v>0.4</v>
      </c>
      <c r="H3610" t="n">
        <v>0</v>
      </c>
      <c r="I3610" t="n">
        <v>0</v>
      </c>
      <c r="J3610" t="n">
        <v>0</v>
      </c>
      <c r="K3610" t="n">
        <v>0</v>
      </c>
      <c r="L3610" t="n">
        <v>0</v>
      </c>
      <c r="M3610" t="n">
        <v>0</v>
      </c>
      <c r="N3610" t="n">
        <v>0</v>
      </c>
      <c r="O3610" t="n">
        <v>0</v>
      </c>
      <c r="P3610" t="n">
        <v>0</v>
      </c>
      <c r="Q3610" t="n">
        <v>0</v>
      </c>
      <c r="R3610" s="2" t="inlineStr"/>
    </row>
    <row r="3611" ht="15" customHeight="1">
      <c r="A3611" t="inlineStr">
        <is>
          <t>A 12956-2023</t>
        </is>
      </c>
      <c r="B3611" s="1" t="n">
        <v>45001.76078703703</v>
      </c>
      <c r="C3611" s="1" t="n">
        <v>45884</v>
      </c>
      <c r="D3611" t="inlineStr">
        <is>
          <t>KALMAR LÄN</t>
        </is>
      </c>
      <c r="E3611" t="inlineStr">
        <is>
          <t>TORSÅS</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12957-2023</t>
        </is>
      </c>
      <c r="B3612" s="1" t="n">
        <v>45001.76564814815</v>
      </c>
      <c r="C3612" s="1" t="n">
        <v>45884</v>
      </c>
      <c r="D3612" t="inlineStr">
        <is>
          <t>KALMAR LÄN</t>
        </is>
      </c>
      <c r="E3612" t="inlineStr">
        <is>
          <t>TORSÅS</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13275-2023</t>
        </is>
      </c>
      <c r="B3613" s="1" t="n">
        <v>45003</v>
      </c>
      <c r="C3613" s="1" t="n">
        <v>45884</v>
      </c>
      <c r="D3613" t="inlineStr">
        <is>
          <t>KALMAR LÄN</t>
        </is>
      </c>
      <c r="E3613" t="inlineStr">
        <is>
          <t>VÄSTERVIK</t>
        </is>
      </c>
      <c r="G3613" t="n">
        <v>1.6</v>
      </c>
      <c r="H3613" t="n">
        <v>0</v>
      </c>
      <c r="I3613" t="n">
        <v>0</v>
      </c>
      <c r="J3613" t="n">
        <v>0</v>
      </c>
      <c r="K3613" t="n">
        <v>0</v>
      </c>
      <c r="L3613" t="n">
        <v>0</v>
      </c>
      <c r="M3613" t="n">
        <v>0</v>
      </c>
      <c r="N3613" t="n">
        <v>0</v>
      </c>
      <c r="O3613" t="n">
        <v>0</v>
      </c>
      <c r="P3613" t="n">
        <v>0</v>
      </c>
      <c r="Q3613" t="n">
        <v>0</v>
      </c>
      <c r="R3613" s="2" t="inlineStr"/>
      <c r="U3613">
        <f>HYPERLINK("https://klasma.github.io/Logging_0883/knärot/A 13275-2023 karta knärot.png", "A 13275-2023")</f>
        <v/>
      </c>
      <c r="V3613">
        <f>HYPERLINK("https://klasma.github.io/Logging_0883/klagomål/A 13275-2023 FSC-klagomål.docx", "A 13275-2023")</f>
        <v/>
      </c>
      <c r="W3613">
        <f>HYPERLINK("https://klasma.github.io/Logging_0883/klagomålsmail/A 13275-2023 FSC-klagomål mail.docx", "A 13275-2023")</f>
        <v/>
      </c>
      <c r="X3613">
        <f>HYPERLINK("https://klasma.github.io/Logging_0883/tillsyn/A 13275-2023 tillsynsbegäran.docx", "A 13275-2023")</f>
        <v/>
      </c>
      <c r="Y3613">
        <f>HYPERLINK("https://klasma.github.io/Logging_0883/tillsynsmail/A 13275-2023 tillsynsbegäran mail.docx", "A 13275-2023")</f>
        <v/>
      </c>
    </row>
    <row r="3614" ht="15" customHeight="1">
      <c r="A3614" t="inlineStr">
        <is>
          <t>A 15782-2023</t>
        </is>
      </c>
      <c r="B3614" s="1" t="n">
        <v>45021</v>
      </c>
      <c r="C3614" s="1" t="n">
        <v>45884</v>
      </c>
      <c r="D3614" t="inlineStr">
        <is>
          <t>KALMAR LÄN</t>
        </is>
      </c>
      <c r="E3614" t="inlineStr">
        <is>
          <t>OSKARSHAMN</t>
        </is>
      </c>
      <c r="G3614" t="n">
        <v>2.5</v>
      </c>
      <c r="H3614" t="n">
        <v>0</v>
      </c>
      <c r="I3614" t="n">
        <v>0</v>
      </c>
      <c r="J3614" t="n">
        <v>0</v>
      </c>
      <c r="K3614" t="n">
        <v>0</v>
      </c>
      <c r="L3614" t="n">
        <v>0</v>
      </c>
      <c r="M3614" t="n">
        <v>0</v>
      </c>
      <c r="N3614" t="n">
        <v>0</v>
      </c>
      <c r="O3614" t="n">
        <v>0</v>
      </c>
      <c r="P3614" t="n">
        <v>0</v>
      </c>
      <c r="Q3614" t="n">
        <v>0</v>
      </c>
      <c r="R3614" s="2" t="inlineStr"/>
    </row>
    <row r="3615" ht="15" customHeight="1">
      <c r="A3615" t="inlineStr">
        <is>
          <t>A 37180-2024</t>
        </is>
      </c>
      <c r="B3615" s="1" t="n">
        <v>45539.64475694444</v>
      </c>
      <c r="C3615" s="1" t="n">
        <v>45884</v>
      </c>
      <c r="D3615" t="inlineStr">
        <is>
          <t>KALMAR LÄN</t>
        </is>
      </c>
      <c r="E3615" t="inlineStr">
        <is>
          <t>MÖNSTERÅS</t>
        </is>
      </c>
      <c r="G3615" t="n">
        <v>7.5</v>
      </c>
      <c r="H3615" t="n">
        <v>0</v>
      </c>
      <c r="I3615" t="n">
        <v>0</v>
      </c>
      <c r="J3615" t="n">
        <v>0</v>
      </c>
      <c r="K3615" t="n">
        <v>0</v>
      </c>
      <c r="L3615" t="n">
        <v>0</v>
      </c>
      <c r="M3615" t="n">
        <v>0</v>
      </c>
      <c r="N3615" t="n">
        <v>0</v>
      </c>
      <c r="O3615" t="n">
        <v>0</v>
      </c>
      <c r="P3615" t="n">
        <v>0</v>
      </c>
      <c r="Q3615" t="n">
        <v>0</v>
      </c>
      <c r="R3615" s="2" t="inlineStr"/>
    </row>
    <row r="3616" ht="15" customHeight="1">
      <c r="A3616" t="inlineStr">
        <is>
          <t>A 11469-2024</t>
        </is>
      </c>
      <c r="B3616" s="1" t="n">
        <v>45372.60196759259</v>
      </c>
      <c r="C3616" s="1" t="n">
        <v>45884</v>
      </c>
      <c r="D3616" t="inlineStr">
        <is>
          <t>KALMAR LÄN</t>
        </is>
      </c>
      <c r="E3616" t="inlineStr">
        <is>
          <t>OSKARSHAMN</t>
        </is>
      </c>
      <c r="G3616" t="n">
        <v>3</v>
      </c>
      <c r="H3616" t="n">
        <v>0</v>
      </c>
      <c r="I3616" t="n">
        <v>0</v>
      </c>
      <c r="J3616" t="n">
        <v>0</v>
      </c>
      <c r="K3616" t="n">
        <v>0</v>
      </c>
      <c r="L3616" t="n">
        <v>0</v>
      </c>
      <c r="M3616" t="n">
        <v>0</v>
      </c>
      <c r="N3616" t="n">
        <v>0</v>
      </c>
      <c r="O3616" t="n">
        <v>0</v>
      </c>
      <c r="P3616" t="n">
        <v>0</v>
      </c>
      <c r="Q3616" t="n">
        <v>0</v>
      </c>
      <c r="R3616" s="2" t="inlineStr"/>
    </row>
    <row r="3617" ht="15" customHeight="1">
      <c r="A3617" t="inlineStr">
        <is>
          <t>A 31799-2023</t>
        </is>
      </c>
      <c r="B3617" s="1" t="n">
        <v>45118.44516203704</v>
      </c>
      <c r="C3617" s="1" t="n">
        <v>45884</v>
      </c>
      <c r="D3617" t="inlineStr">
        <is>
          <t>KALMAR LÄN</t>
        </is>
      </c>
      <c r="E3617" t="inlineStr">
        <is>
          <t>NYBRO</t>
        </is>
      </c>
      <c r="G3617" t="n">
        <v>2.4</v>
      </c>
      <c r="H3617" t="n">
        <v>0</v>
      </c>
      <c r="I3617" t="n">
        <v>0</v>
      </c>
      <c r="J3617" t="n">
        <v>0</v>
      </c>
      <c r="K3617" t="n">
        <v>0</v>
      </c>
      <c r="L3617" t="n">
        <v>0</v>
      </c>
      <c r="M3617" t="n">
        <v>0</v>
      </c>
      <c r="N3617" t="n">
        <v>0</v>
      </c>
      <c r="O3617" t="n">
        <v>0</v>
      </c>
      <c r="P3617" t="n">
        <v>0</v>
      </c>
      <c r="Q3617" t="n">
        <v>0</v>
      </c>
      <c r="R3617" s="2" t="inlineStr"/>
    </row>
    <row r="3618" ht="15" customHeight="1">
      <c r="A3618" t="inlineStr">
        <is>
          <t>A 31806-2023</t>
        </is>
      </c>
      <c r="B3618" s="1" t="n">
        <v>45118</v>
      </c>
      <c r="C3618" s="1" t="n">
        <v>45884</v>
      </c>
      <c r="D3618" t="inlineStr">
        <is>
          <t>KALMAR LÄN</t>
        </is>
      </c>
      <c r="E3618" t="inlineStr">
        <is>
          <t>KALMAR</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37239-2024</t>
        </is>
      </c>
      <c r="B3619" s="1" t="n">
        <v>45540.34068287037</v>
      </c>
      <c r="C3619" s="1" t="n">
        <v>45884</v>
      </c>
      <c r="D3619" t="inlineStr">
        <is>
          <t>KALMAR LÄN</t>
        </is>
      </c>
      <c r="E3619" t="inlineStr">
        <is>
          <t>MÖNSTERÅS</t>
        </is>
      </c>
      <c r="G3619" t="n">
        <v>10.6</v>
      </c>
      <c r="H3619" t="n">
        <v>0</v>
      </c>
      <c r="I3619" t="n">
        <v>0</v>
      </c>
      <c r="J3619" t="n">
        <v>0</v>
      </c>
      <c r="K3619" t="n">
        <v>0</v>
      </c>
      <c r="L3619" t="n">
        <v>0</v>
      </c>
      <c r="M3619" t="n">
        <v>0</v>
      </c>
      <c r="N3619" t="n">
        <v>0</v>
      </c>
      <c r="O3619" t="n">
        <v>0</v>
      </c>
      <c r="P3619" t="n">
        <v>0</v>
      </c>
      <c r="Q3619" t="n">
        <v>0</v>
      </c>
      <c r="R3619" s="2" t="inlineStr"/>
    </row>
    <row r="3620" ht="15" customHeight="1">
      <c r="A3620" t="inlineStr">
        <is>
          <t>A 37245-2024</t>
        </is>
      </c>
      <c r="B3620" s="1" t="n">
        <v>45540.34633101852</v>
      </c>
      <c r="C3620" s="1" t="n">
        <v>45884</v>
      </c>
      <c r="D3620" t="inlineStr">
        <is>
          <t>KALMAR LÄN</t>
        </is>
      </c>
      <c r="E3620" t="inlineStr">
        <is>
          <t>MÖNSTERÅS</t>
        </is>
      </c>
      <c r="G3620" t="n">
        <v>3.6</v>
      </c>
      <c r="H3620" t="n">
        <v>0</v>
      </c>
      <c r="I3620" t="n">
        <v>0</v>
      </c>
      <c r="J3620" t="n">
        <v>0</v>
      </c>
      <c r="K3620" t="n">
        <v>0</v>
      </c>
      <c r="L3620" t="n">
        <v>0</v>
      </c>
      <c r="M3620" t="n">
        <v>0</v>
      </c>
      <c r="N3620" t="n">
        <v>0</v>
      </c>
      <c r="O3620" t="n">
        <v>0</v>
      </c>
      <c r="P3620" t="n">
        <v>0</v>
      </c>
      <c r="Q3620" t="n">
        <v>0</v>
      </c>
      <c r="R3620" s="2" t="inlineStr"/>
    </row>
    <row r="3621" ht="15" customHeight="1">
      <c r="A3621" t="inlineStr">
        <is>
          <t>A 45896-2023</t>
        </is>
      </c>
      <c r="B3621" s="1" t="n">
        <v>45195</v>
      </c>
      <c r="C3621" s="1" t="n">
        <v>45884</v>
      </c>
      <c r="D3621" t="inlineStr">
        <is>
          <t>KALMAR LÄN</t>
        </is>
      </c>
      <c r="E3621" t="inlineStr">
        <is>
          <t>KALMAR</t>
        </is>
      </c>
      <c r="G3621" t="n">
        <v>3.7</v>
      </c>
      <c r="H3621" t="n">
        <v>0</v>
      </c>
      <c r="I3621" t="n">
        <v>0</v>
      </c>
      <c r="J3621" t="n">
        <v>0</v>
      </c>
      <c r="K3621" t="n">
        <v>0</v>
      </c>
      <c r="L3621" t="n">
        <v>0</v>
      </c>
      <c r="M3621" t="n">
        <v>0</v>
      </c>
      <c r="N3621" t="n">
        <v>0</v>
      </c>
      <c r="O3621" t="n">
        <v>0</v>
      </c>
      <c r="P3621" t="n">
        <v>0</v>
      </c>
      <c r="Q3621" t="n">
        <v>0</v>
      </c>
      <c r="R3621" s="2" t="inlineStr"/>
    </row>
    <row r="3622" ht="15" customHeight="1">
      <c r="A3622" t="inlineStr">
        <is>
          <t>A 6668-2023</t>
        </is>
      </c>
      <c r="B3622" s="1" t="n">
        <v>44966</v>
      </c>
      <c r="C3622" s="1" t="n">
        <v>45884</v>
      </c>
      <c r="D3622" t="inlineStr">
        <is>
          <t>KALMAR LÄN</t>
        </is>
      </c>
      <c r="E3622" t="inlineStr">
        <is>
          <t>VIMMERBY</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1081-2023</t>
        </is>
      </c>
      <c r="B3623" s="1" t="n">
        <v>44935</v>
      </c>
      <c r="C3623" s="1" t="n">
        <v>45884</v>
      </c>
      <c r="D3623" t="inlineStr">
        <is>
          <t>KALMAR LÄN</t>
        </is>
      </c>
      <c r="E3623" t="inlineStr">
        <is>
          <t>VIMMERBY</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29168-2024</t>
        </is>
      </c>
      <c r="B3624" s="1" t="n">
        <v>45482.49870370371</v>
      </c>
      <c r="C3624" s="1" t="n">
        <v>45884</v>
      </c>
      <c r="D3624" t="inlineStr">
        <is>
          <t>KALMAR LÄN</t>
        </is>
      </c>
      <c r="E3624" t="inlineStr">
        <is>
          <t>VIMMERBY</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8086-2021</t>
        </is>
      </c>
      <c r="B3625" s="1" t="n">
        <v>44243</v>
      </c>
      <c r="C3625" s="1" t="n">
        <v>45884</v>
      </c>
      <c r="D3625" t="inlineStr">
        <is>
          <t>KALMAR LÄN</t>
        </is>
      </c>
      <c r="E3625" t="inlineStr">
        <is>
          <t>VIMMERBY</t>
        </is>
      </c>
      <c r="G3625" t="n">
        <v>4.1</v>
      </c>
      <c r="H3625" t="n">
        <v>0</v>
      </c>
      <c r="I3625" t="n">
        <v>0</v>
      </c>
      <c r="J3625" t="n">
        <v>0</v>
      </c>
      <c r="K3625" t="n">
        <v>0</v>
      </c>
      <c r="L3625" t="n">
        <v>0</v>
      </c>
      <c r="M3625" t="n">
        <v>0</v>
      </c>
      <c r="N3625" t="n">
        <v>0</v>
      </c>
      <c r="O3625" t="n">
        <v>0</v>
      </c>
      <c r="P3625" t="n">
        <v>0</v>
      </c>
      <c r="Q3625" t="n">
        <v>0</v>
      </c>
      <c r="R3625" s="2" t="inlineStr"/>
    </row>
    <row r="3626" ht="15" customHeight="1">
      <c r="A3626" t="inlineStr">
        <is>
          <t>A 47063-2022</t>
        </is>
      </c>
      <c r="B3626" s="1" t="n">
        <v>44852</v>
      </c>
      <c r="C3626" s="1" t="n">
        <v>45884</v>
      </c>
      <c r="D3626" t="inlineStr">
        <is>
          <t>KALMAR LÄN</t>
        </is>
      </c>
      <c r="E3626" t="inlineStr">
        <is>
          <t>VIMMERBY</t>
        </is>
      </c>
      <c r="G3626" t="n">
        <v>2.5</v>
      </c>
      <c r="H3626" t="n">
        <v>0</v>
      </c>
      <c r="I3626" t="n">
        <v>0</v>
      </c>
      <c r="J3626" t="n">
        <v>0</v>
      </c>
      <c r="K3626" t="n">
        <v>0</v>
      </c>
      <c r="L3626" t="n">
        <v>0</v>
      </c>
      <c r="M3626" t="n">
        <v>0</v>
      </c>
      <c r="N3626" t="n">
        <v>0</v>
      </c>
      <c r="O3626" t="n">
        <v>0</v>
      </c>
      <c r="P3626" t="n">
        <v>0</v>
      </c>
      <c r="Q3626" t="n">
        <v>0</v>
      </c>
      <c r="R3626" s="2" t="inlineStr"/>
    </row>
    <row r="3627" ht="15" customHeight="1">
      <c r="A3627" t="inlineStr">
        <is>
          <t>A 29022-2022</t>
        </is>
      </c>
      <c r="B3627" s="1" t="n">
        <v>44749.77997685185</v>
      </c>
      <c r="C3627" s="1" t="n">
        <v>45884</v>
      </c>
      <c r="D3627" t="inlineStr">
        <is>
          <t>KALMAR LÄN</t>
        </is>
      </c>
      <c r="E3627" t="inlineStr">
        <is>
          <t>OSKARSHAMN</t>
        </is>
      </c>
      <c r="G3627" t="n">
        <v>5.6</v>
      </c>
      <c r="H3627" t="n">
        <v>0</v>
      </c>
      <c r="I3627" t="n">
        <v>0</v>
      </c>
      <c r="J3627" t="n">
        <v>0</v>
      </c>
      <c r="K3627" t="n">
        <v>0</v>
      </c>
      <c r="L3627" t="n">
        <v>0</v>
      </c>
      <c r="M3627" t="n">
        <v>0</v>
      </c>
      <c r="N3627" t="n">
        <v>0</v>
      </c>
      <c r="O3627" t="n">
        <v>0</v>
      </c>
      <c r="P3627" t="n">
        <v>0</v>
      </c>
      <c r="Q3627" t="n">
        <v>0</v>
      </c>
      <c r="R3627" s="2" t="inlineStr"/>
    </row>
    <row r="3628" ht="15" customHeight="1">
      <c r="A3628" t="inlineStr">
        <is>
          <t>A 18849-2025</t>
        </is>
      </c>
      <c r="B3628" s="1" t="n">
        <v>45764.41733796296</v>
      </c>
      <c r="C3628" s="1" t="n">
        <v>45884</v>
      </c>
      <c r="D3628" t="inlineStr">
        <is>
          <t>KALMAR LÄN</t>
        </is>
      </c>
      <c r="E3628" t="inlineStr">
        <is>
          <t>MÖNSTERÅS</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18857-2025</t>
        </is>
      </c>
      <c r="B3629" s="1" t="n">
        <v>45764.42305555556</v>
      </c>
      <c r="C3629" s="1" t="n">
        <v>45884</v>
      </c>
      <c r="D3629" t="inlineStr">
        <is>
          <t>KALMAR LÄN</t>
        </is>
      </c>
      <c r="E3629" t="inlineStr">
        <is>
          <t>MÖNSTERÅS</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18880-2025</t>
        </is>
      </c>
      <c r="B3630" s="1" t="n">
        <v>45764.43959490741</v>
      </c>
      <c r="C3630" s="1" t="n">
        <v>45884</v>
      </c>
      <c r="D3630" t="inlineStr">
        <is>
          <t>KALMAR LÄN</t>
        </is>
      </c>
      <c r="E3630" t="inlineStr">
        <is>
          <t>VÄSTERVIK</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55236-2023</t>
        </is>
      </c>
      <c r="B3631" s="1" t="n">
        <v>45237.63225694445</v>
      </c>
      <c r="C3631" s="1" t="n">
        <v>45884</v>
      </c>
      <c r="D3631" t="inlineStr">
        <is>
          <t>KALMAR LÄN</t>
        </is>
      </c>
      <c r="E3631" t="inlineStr">
        <is>
          <t>VIMMERBY</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55245-2023</t>
        </is>
      </c>
      <c r="B3632" s="1" t="n">
        <v>45237.64408564815</v>
      </c>
      <c r="C3632" s="1" t="n">
        <v>45884</v>
      </c>
      <c r="D3632" t="inlineStr">
        <is>
          <t>KALMAR LÄN</t>
        </is>
      </c>
      <c r="E3632" t="inlineStr">
        <is>
          <t>VIMMERBY</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55287-2023</t>
        </is>
      </c>
      <c r="B3633" s="1" t="n">
        <v>45237.75578703704</v>
      </c>
      <c r="C3633" s="1" t="n">
        <v>45884</v>
      </c>
      <c r="D3633" t="inlineStr">
        <is>
          <t>KALMAR LÄN</t>
        </is>
      </c>
      <c r="E3633" t="inlineStr">
        <is>
          <t>VÄSTERVIK</t>
        </is>
      </c>
      <c r="G3633" t="n">
        <v>2.3</v>
      </c>
      <c r="H3633" t="n">
        <v>0</v>
      </c>
      <c r="I3633" t="n">
        <v>0</v>
      </c>
      <c r="J3633" t="n">
        <v>0</v>
      </c>
      <c r="K3633" t="n">
        <v>0</v>
      </c>
      <c r="L3633" t="n">
        <v>0</v>
      </c>
      <c r="M3633" t="n">
        <v>0</v>
      </c>
      <c r="N3633" t="n">
        <v>0</v>
      </c>
      <c r="O3633" t="n">
        <v>0</v>
      </c>
      <c r="P3633" t="n">
        <v>0</v>
      </c>
      <c r="Q3633" t="n">
        <v>0</v>
      </c>
      <c r="R3633" s="2" t="inlineStr"/>
    </row>
    <row r="3634" ht="15" customHeight="1">
      <c r="A3634" t="inlineStr">
        <is>
          <t>A 55958-2023</t>
        </is>
      </c>
      <c r="B3634" s="1" t="n">
        <v>45240.34900462963</v>
      </c>
      <c r="C3634" s="1" t="n">
        <v>45884</v>
      </c>
      <c r="D3634" t="inlineStr">
        <is>
          <t>KALMAR LÄN</t>
        </is>
      </c>
      <c r="E3634" t="inlineStr">
        <is>
          <t>VÄSTERVIK</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38579-2022</t>
        </is>
      </c>
      <c r="B3635" s="1" t="n">
        <v>44813</v>
      </c>
      <c r="C3635" s="1" t="n">
        <v>45884</v>
      </c>
      <c r="D3635" t="inlineStr">
        <is>
          <t>KALMAR LÄN</t>
        </is>
      </c>
      <c r="E3635" t="inlineStr">
        <is>
          <t>MÖNSTERÅS</t>
        </is>
      </c>
      <c r="G3635" t="n">
        <v>2.2</v>
      </c>
      <c r="H3635" t="n">
        <v>0</v>
      </c>
      <c r="I3635" t="n">
        <v>0</v>
      </c>
      <c r="J3635" t="n">
        <v>0</v>
      </c>
      <c r="K3635" t="n">
        <v>0</v>
      </c>
      <c r="L3635" t="n">
        <v>0</v>
      </c>
      <c r="M3635" t="n">
        <v>0</v>
      </c>
      <c r="N3635" t="n">
        <v>0</v>
      </c>
      <c r="O3635" t="n">
        <v>0</v>
      </c>
      <c r="P3635" t="n">
        <v>0</v>
      </c>
      <c r="Q3635" t="n">
        <v>0</v>
      </c>
      <c r="R3635" s="2" t="inlineStr"/>
    </row>
    <row r="3636" ht="15" customHeight="1">
      <c r="A3636" t="inlineStr">
        <is>
          <t>A 39201-2022</t>
        </is>
      </c>
      <c r="B3636" s="1" t="n">
        <v>44817</v>
      </c>
      <c r="C3636" s="1" t="n">
        <v>45884</v>
      </c>
      <c r="D3636" t="inlineStr">
        <is>
          <t>KALMAR LÄN</t>
        </is>
      </c>
      <c r="E3636" t="inlineStr">
        <is>
          <t>OSKARSHAMN</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55967-2023</t>
        </is>
      </c>
      <c r="B3637" s="1" t="n">
        <v>45240</v>
      </c>
      <c r="C3637" s="1" t="n">
        <v>45884</v>
      </c>
      <c r="D3637" t="inlineStr">
        <is>
          <t>KALMAR LÄN</t>
        </is>
      </c>
      <c r="E3637" t="inlineStr">
        <is>
          <t>TORSÅS</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36050-2024</t>
        </is>
      </c>
      <c r="B3638" s="1" t="n">
        <v>45533.620625</v>
      </c>
      <c r="C3638" s="1" t="n">
        <v>45884</v>
      </c>
      <c r="D3638" t="inlineStr">
        <is>
          <t>KALMAR LÄN</t>
        </is>
      </c>
      <c r="E3638" t="inlineStr">
        <is>
          <t>VÄSTERVIK</t>
        </is>
      </c>
      <c r="F3638" t="inlineStr">
        <is>
          <t>Holmen skog AB</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28403-2023</t>
        </is>
      </c>
      <c r="B3639" s="1" t="n">
        <v>45100.85270833333</v>
      </c>
      <c r="C3639" s="1" t="n">
        <v>45884</v>
      </c>
      <c r="D3639" t="inlineStr">
        <is>
          <t>KALMAR LÄN</t>
        </is>
      </c>
      <c r="E3639" t="inlineStr">
        <is>
          <t>VIMMERBY</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36055-2024</t>
        </is>
      </c>
      <c r="B3640" s="1" t="n">
        <v>45533.63056712963</v>
      </c>
      <c r="C3640" s="1" t="n">
        <v>45884</v>
      </c>
      <c r="D3640" t="inlineStr">
        <is>
          <t>KALMAR LÄN</t>
        </is>
      </c>
      <c r="E3640" t="inlineStr">
        <is>
          <t>VIMMERBY</t>
        </is>
      </c>
      <c r="F3640" t="inlineStr">
        <is>
          <t>Kommuner</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45712-2024</t>
        </is>
      </c>
      <c r="B3641" s="1" t="n">
        <v>45579</v>
      </c>
      <c r="C3641" s="1" t="n">
        <v>45884</v>
      </c>
      <c r="D3641" t="inlineStr">
        <is>
          <t>KALMAR LÄN</t>
        </is>
      </c>
      <c r="E3641" t="inlineStr">
        <is>
          <t>NYBRO</t>
        </is>
      </c>
      <c r="G3641" t="n">
        <v>6.5</v>
      </c>
      <c r="H3641" t="n">
        <v>0</v>
      </c>
      <c r="I3641" t="n">
        <v>0</v>
      </c>
      <c r="J3641" t="n">
        <v>0</v>
      </c>
      <c r="K3641" t="n">
        <v>0</v>
      </c>
      <c r="L3641" t="n">
        <v>0</v>
      </c>
      <c r="M3641" t="n">
        <v>0</v>
      </c>
      <c r="N3641" t="n">
        <v>0</v>
      </c>
      <c r="O3641" t="n">
        <v>0</v>
      </c>
      <c r="P3641" t="n">
        <v>0</v>
      </c>
      <c r="Q3641" t="n">
        <v>0</v>
      </c>
      <c r="R3641" s="2" t="inlineStr"/>
    </row>
    <row r="3642" ht="15" customHeight="1">
      <c r="A3642" t="inlineStr">
        <is>
          <t>A 56042-2023</t>
        </is>
      </c>
      <c r="B3642" s="1" t="n">
        <v>45240.44670138889</v>
      </c>
      <c r="C3642" s="1" t="n">
        <v>45884</v>
      </c>
      <c r="D3642" t="inlineStr">
        <is>
          <t>KALMAR LÄN</t>
        </is>
      </c>
      <c r="E3642" t="inlineStr">
        <is>
          <t>VÄSTERVIK</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52893-2024</t>
        </is>
      </c>
      <c r="B3643" s="1" t="n">
        <v>45610.66920138889</v>
      </c>
      <c r="C3643" s="1" t="n">
        <v>45884</v>
      </c>
      <c r="D3643" t="inlineStr">
        <is>
          <t>KALMAR LÄN</t>
        </is>
      </c>
      <c r="E3643" t="inlineStr">
        <is>
          <t>HULTSFRED</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11975-2023</t>
        </is>
      </c>
      <c r="B3644" s="1" t="n">
        <v>44995.57965277778</v>
      </c>
      <c r="C3644" s="1" t="n">
        <v>45884</v>
      </c>
      <c r="D3644" t="inlineStr">
        <is>
          <t>KALMAR LÄN</t>
        </is>
      </c>
      <c r="E3644" t="inlineStr">
        <is>
          <t>EMMABODA</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58209-2022</t>
        </is>
      </c>
      <c r="B3645" s="1" t="n">
        <v>44901</v>
      </c>
      <c r="C3645" s="1" t="n">
        <v>45884</v>
      </c>
      <c r="D3645" t="inlineStr">
        <is>
          <t>KALMAR LÄN</t>
        </is>
      </c>
      <c r="E3645" t="inlineStr">
        <is>
          <t>VÄSTERVIK</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37811-2024</t>
        </is>
      </c>
      <c r="B3646" s="1" t="n">
        <v>45544</v>
      </c>
      <c r="C3646" s="1" t="n">
        <v>45884</v>
      </c>
      <c r="D3646" t="inlineStr">
        <is>
          <t>KALMAR LÄN</t>
        </is>
      </c>
      <c r="E3646" t="inlineStr">
        <is>
          <t>HÖGSBY</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30946-2021</t>
        </is>
      </c>
      <c r="B3647" s="1" t="n">
        <v>44365</v>
      </c>
      <c r="C3647" s="1" t="n">
        <v>45884</v>
      </c>
      <c r="D3647" t="inlineStr">
        <is>
          <t>KALMAR LÄN</t>
        </is>
      </c>
      <c r="E3647" t="inlineStr">
        <is>
          <t>OSKARSHAMN</t>
        </is>
      </c>
      <c r="G3647" t="n">
        <v>7.7</v>
      </c>
      <c r="H3647" t="n">
        <v>0</v>
      </c>
      <c r="I3647" t="n">
        <v>0</v>
      </c>
      <c r="J3647" t="n">
        <v>0</v>
      </c>
      <c r="K3647" t="n">
        <v>0</v>
      </c>
      <c r="L3647" t="n">
        <v>0</v>
      </c>
      <c r="M3647" t="n">
        <v>0</v>
      </c>
      <c r="N3647" t="n">
        <v>0</v>
      </c>
      <c r="O3647" t="n">
        <v>0</v>
      </c>
      <c r="P3647" t="n">
        <v>0</v>
      </c>
      <c r="Q3647" t="n">
        <v>0</v>
      </c>
      <c r="R3647" s="2" t="inlineStr"/>
    </row>
    <row r="3648" ht="15" customHeight="1">
      <c r="A3648" t="inlineStr">
        <is>
          <t>A 44257-2024</t>
        </is>
      </c>
      <c r="B3648" s="1" t="n">
        <v>45573.46162037037</v>
      </c>
      <c r="C3648" s="1" t="n">
        <v>45884</v>
      </c>
      <c r="D3648" t="inlineStr">
        <is>
          <t>KALMAR LÄN</t>
        </is>
      </c>
      <c r="E3648" t="inlineStr">
        <is>
          <t>HULTSFRED</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61898-2023</t>
        </is>
      </c>
      <c r="B3649" s="1" t="n">
        <v>45266.45414351852</v>
      </c>
      <c r="C3649" s="1" t="n">
        <v>45884</v>
      </c>
      <c r="D3649" t="inlineStr">
        <is>
          <t>KALMAR LÄN</t>
        </is>
      </c>
      <c r="E3649" t="inlineStr">
        <is>
          <t>HULTSFRED</t>
        </is>
      </c>
      <c r="G3649" t="n">
        <v>3</v>
      </c>
      <c r="H3649" t="n">
        <v>0</v>
      </c>
      <c r="I3649" t="n">
        <v>0</v>
      </c>
      <c r="J3649" t="n">
        <v>0</v>
      </c>
      <c r="K3649" t="n">
        <v>0</v>
      </c>
      <c r="L3649" t="n">
        <v>0</v>
      </c>
      <c r="M3649" t="n">
        <v>0</v>
      </c>
      <c r="N3649" t="n">
        <v>0</v>
      </c>
      <c r="O3649" t="n">
        <v>0</v>
      </c>
      <c r="P3649" t="n">
        <v>0</v>
      </c>
      <c r="Q3649" t="n">
        <v>0</v>
      </c>
      <c r="R3649" s="2" t="inlineStr"/>
    </row>
    <row r="3650" ht="15" customHeight="1">
      <c r="A3650" t="inlineStr">
        <is>
          <t>A 53328-2022</t>
        </is>
      </c>
      <c r="B3650" s="1" t="n">
        <v>44879.29515046296</v>
      </c>
      <c r="C3650" s="1" t="n">
        <v>45884</v>
      </c>
      <c r="D3650" t="inlineStr">
        <is>
          <t>KALMAR LÄN</t>
        </is>
      </c>
      <c r="E3650" t="inlineStr">
        <is>
          <t>HÖGSBY</t>
        </is>
      </c>
      <c r="G3650" t="n">
        <v>8.699999999999999</v>
      </c>
      <c r="H3650" t="n">
        <v>0</v>
      </c>
      <c r="I3650" t="n">
        <v>0</v>
      </c>
      <c r="J3650" t="n">
        <v>0</v>
      </c>
      <c r="K3650" t="n">
        <v>0</v>
      </c>
      <c r="L3650" t="n">
        <v>0</v>
      </c>
      <c r="M3650" t="n">
        <v>0</v>
      </c>
      <c r="N3650" t="n">
        <v>0</v>
      </c>
      <c r="O3650" t="n">
        <v>0</v>
      </c>
      <c r="P3650" t="n">
        <v>0</v>
      </c>
      <c r="Q3650" t="n">
        <v>0</v>
      </c>
      <c r="R3650" s="2" t="inlineStr"/>
    </row>
    <row r="3651" ht="15" customHeight="1">
      <c r="A3651" t="inlineStr">
        <is>
          <t>A 28292-2023</t>
        </is>
      </c>
      <c r="B3651" s="1" t="n">
        <v>45099.63752314815</v>
      </c>
      <c r="C3651" s="1" t="n">
        <v>45884</v>
      </c>
      <c r="D3651" t="inlineStr">
        <is>
          <t>KALMAR LÄN</t>
        </is>
      </c>
      <c r="E3651" t="inlineStr">
        <is>
          <t>KALMAR</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17648-2023</t>
        </is>
      </c>
      <c r="B3652" s="1" t="n">
        <v>45036</v>
      </c>
      <c r="C3652" s="1" t="n">
        <v>45884</v>
      </c>
      <c r="D3652" t="inlineStr">
        <is>
          <t>KALMAR LÄN</t>
        </is>
      </c>
      <c r="E3652" t="inlineStr">
        <is>
          <t>VÄSTERVIK</t>
        </is>
      </c>
      <c r="G3652" t="n">
        <v>0.4</v>
      </c>
      <c r="H3652" t="n">
        <v>0</v>
      </c>
      <c r="I3652" t="n">
        <v>0</v>
      </c>
      <c r="J3652" t="n">
        <v>0</v>
      </c>
      <c r="K3652" t="n">
        <v>0</v>
      </c>
      <c r="L3652" t="n">
        <v>0</v>
      </c>
      <c r="M3652" t="n">
        <v>0</v>
      </c>
      <c r="N3652" t="n">
        <v>0</v>
      </c>
      <c r="O3652" t="n">
        <v>0</v>
      </c>
      <c r="P3652" t="n">
        <v>0</v>
      </c>
      <c r="Q3652" t="n">
        <v>0</v>
      </c>
      <c r="R3652" s="2" t="inlineStr"/>
    </row>
    <row r="3653" ht="15" customHeight="1">
      <c r="A3653" t="inlineStr">
        <is>
          <t>A 53203-2022</t>
        </is>
      </c>
      <c r="B3653" s="1" t="n">
        <v>44876</v>
      </c>
      <c r="C3653" s="1" t="n">
        <v>45884</v>
      </c>
      <c r="D3653" t="inlineStr">
        <is>
          <t>KALMAR LÄN</t>
        </is>
      </c>
      <c r="E3653" t="inlineStr">
        <is>
          <t>HULTSFRED</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18321-2023</t>
        </is>
      </c>
      <c r="B3654" s="1" t="n">
        <v>45041.6187037037</v>
      </c>
      <c r="C3654" s="1" t="n">
        <v>45884</v>
      </c>
      <c r="D3654" t="inlineStr">
        <is>
          <t>KALMAR LÄN</t>
        </is>
      </c>
      <c r="E3654" t="inlineStr">
        <is>
          <t>HULTSFRED</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12553-2023</t>
        </is>
      </c>
      <c r="B3655" s="1" t="n">
        <v>45000.35226851852</v>
      </c>
      <c r="C3655" s="1" t="n">
        <v>45884</v>
      </c>
      <c r="D3655" t="inlineStr">
        <is>
          <t>KALMAR LÄN</t>
        </is>
      </c>
      <c r="E3655" t="inlineStr">
        <is>
          <t>TORSÅS</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33103-2024</t>
        </is>
      </c>
      <c r="B3656" s="1" t="n">
        <v>45517.8162037037</v>
      </c>
      <c r="C3656" s="1" t="n">
        <v>45884</v>
      </c>
      <c r="D3656" t="inlineStr">
        <is>
          <t>KALMAR LÄN</t>
        </is>
      </c>
      <c r="E3656" t="inlineStr">
        <is>
          <t>VIMMERBY</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12595-2023</t>
        </is>
      </c>
      <c r="B3657" s="1" t="n">
        <v>45000.43240740741</v>
      </c>
      <c r="C3657" s="1" t="n">
        <v>45884</v>
      </c>
      <c r="D3657" t="inlineStr">
        <is>
          <t>KALMAR LÄN</t>
        </is>
      </c>
      <c r="E3657" t="inlineStr">
        <is>
          <t>VÄSTERVIK</t>
        </is>
      </c>
      <c r="F3657" t="inlineStr">
        <is>
          <t>Holmen skog AB</t>
        </is>
      </c>
      <c r="G3657" t="n">
        <v>2.2</v>
      </c>
      <c r="H3657" t="n">
        <v>0</v>
      </c>
      <c r="I3657" t="n">
        <v>0</v>
      </c>
      <c r="J3657" t="n">
        <v>0</v>
      </c>
      <c r="K3657" t="n">
        <v>0</v>
      </c>
      <c r="L3657" t="n">
        <v>0</v>
      </c>
      <c r="M3657" t="n">
        <v>0</v>
      </c>
      <c r="N3657" t="n">
        <v>0</v>
      </c>
      <c r="O3657" t="n">
        <v>0</v>
      </c>
      <c r="P3657" t="n">
        <v>0</v>
      </c>
      <c r="Q3657" t="n">
        <v>0</v>
      </c>
      <c r="R3657" s="2" t="inlineStr"/>
    </row>
    <row r="3658" ht="15" customHeight="1">
      <c r="A3658" t="inlineStr">
        <is>
          <t>A 14569-2023</t>
        </is>
      </c>
      <c r="B3658" s="1" t="n">
        <v>45013</v>
      </c>
      <c r="C3658" s="1" t="n">
        <v>45884</v>
      </c>
      <c r="D3658" t="inlineStr">
        <is>
          <t>KALMAR LÄN</t>
        </is>
      </c>
      <c r="E3658" t="inlineStr">
        <is>
          <t>HULTSFRED</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33144-2024</t>
        </is>
      </c>
      <c r="B3659" s="1" t="n">
        <v>45518.36287037037</v>
      </c>
      <c r="C3659" s="1" t="n">
        <v>45884</v>
      </c>
      <c r="D3659" t="inlineStr">
        <is>
          <t>KALMAR LÄN</t>
        </is>
      </c>
      <c r="E3659" t="inlineStr">
        <is>
          <t>TORSÅS</t>
        </is>
      </c>
      <c r="G3659" t="n">
        <v>2.6</v>
      </c>
      <c r="H3659" t="n">
        <v>0</v>
      </c>
      <c r="I3659" t="n">
        <v>0</v>
      </c>
      <c r="J3659" t="n">
        <v>0</v>
      </c>
      <c r="K3659" t="n">
        <v>0</v>
      </c>
      <c r="L3659" t="n">
        <v>0</v>
      </c>
      <c r="M3659" t="n">
        <v>0</v>
      </c>
      <c r="N3659" t="n">
        <v>0</v>
      </c>
      <c r="O3659" t="n">
        <v>0</v>
      </c>
      <c r="P3659" t="n">
        <v>0</v>
      </c>
      <c r="Q3659" t="n">
        <v>0</v>
      </c>
      <c r="R3659" s="2" t="inlineStr"/>
    </row>
    <row r="3660" ht="15" customHeight="1">
      <c r="A3660" t="inlineStr">
        <is>
          <t>A 25020-2023</t>
        </is>
      </c>
      <c r="B3660" s="1" t="n">
        <v>45085</v>
      </c>
      <c r="C3660" s="1" t="n">
        <v>45884</v>
      </c>
      <c r="D3660" t="inlineStr">
        <is>
          <t>KALMAR LÄN</t>
        </is>
      </c>
      <c r="E3660" t="inlineStr">
        <is>
          <t>HULTSFRED</t>
        </is>
      </c>
      <c r="G3660" t="n">
        <v>2.5</v>
      </c>
      <c r="H3660" t="n">
        <v>0</v>
      </c>
      <c r="I3660" t="n">
        <v>0</v>
      </c>
      <c r="J3660" t="n">
        <v>0</v>
      </c>
      <c r="K3660" t="n">
        <v>0</v>
      </c>
      <c r="L3660" t="n">
        <v>0</v>
      </c>
      <c r="M3660" t="n">
        <v>0</v>
      </c>
      <c r="N3660" t="n">
        <v>0</v>
      </c>
      <c r="O3660" t="n">
        <v>0</v>
      </c>
      <c r="P3660" t="n">
        <v>0</v>
      </c>
      <c r="Q3660" t="n">
        <v>0</v>
      </c>
      <c r="R3660" s="2" t="inlineStr"/>
    </row>
    <row r="3661" ht="15" customHeight="1">
      <c r="A3661" t="inlineStr">
        <is>
          <t>A 5684-2023</t>
        </is>
      </c>
      <c r="B3661" s="1" t="n">
        <v>44960.73170138889</v>
      </c>
      <c r="C3661" s="1" t="n">
        <v>45884</v>
      </c>
      <c r="D3661" t="inlineStr">
        <is>
          <t>KALMAR LÄN</t>
        </is>
      </c>
      <c r="E3661" t="inlineStr">
        <is>
          <t>VÄSTERVIK</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58792-2022</t>
        </is>
      </c>
      <c r="B3662" s="1" t="n">
        <v>44903</v>
      </c>
      <c r="C3662" s="1" t="n">
        <v>45884</v>
      </c>
      <c r="D3662" t="inlineStr">
        <is>
          <t>KALMAR LÄN</t>
        </is>
      </c>
      <c r="E3662" t="inlineStr">
        <is>
          <t>HÖGSBY</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51819-2024</t>
        </is>
      </c>
      <c r="B3663" s="1" t="n">
        <v>45604</v>
      </c>
      <c r="C3663" s="1" t="n">
        <v>45884</v>
      </c>
      <c r="D3663" t="inlineStr">
        <is>
          <t>KALMAR LÄN</t>
        </is>
      </c>
      <c r="E3663" t="inlineStr">
        <is>
          <t>HÖGSBY</t>
        </is>
      </c>
      <c r="G3663" t="n">
        <v>3.9</v>
      </c>
      <c r="H3663" t="n">
        <v>0</v>
      </c>
      <c r="I3663" t="n">
        <v>0</v>
      </c>
      <c r="J3663" t="n">
        <v>0</v>
      </c>
      <c r="K3663" t="n">
        <v>0</v>
      </c>
      <c r="L3663" t="n">
        <v>0</v>
      </c>
      <c r="M3663" t="n">
        <v>0</v>
      </c>
      <c r="N3663" t="n">
        <v>0</v>
      </c>
      <c r="O3663" t="n">
        <v>0</v>
      </c>
      <c r="P3663" t="n">
        <v>0</v>
      </c>
      <c r="Q3663" t="n">
        <v>0</v>
      </c>
      <c r="R3663" s="2" t="inlineStr"/>
    </row>
    <row r="3664" ht="15" customHeight="1">
      <c r="A3664" t="inlineStr">
        <is>
          <t>A 47053-2024</t>
        </is>
      </c>
      <c r="B3664" s="1" t="n">
        <v>45586.46196759259</v>
      </c>
      <c r="C3664" s="1" t="n">
        <v>45884</v>
      </c>
      <c r="D3664" t="inlineStr">
        <is>
          <t>KALMAR LÄN</t>
        </is>
      </c>
      <c r="E3664" t="inlineStr">
        <is>
          <t>VÄSTERVIK</t>
        </is>
      </c>
      <c r="F3664" t="inlineStr">
        <is>
          <t>Holmen skog AB</t>
        </is>
      </c>
      <c r="G3664" t="n">
        <v>13.7</v>
      </c>
      <c r="H3664" t="n">
        <v>0</v>
      </c>
      <c r="I3664" t="n">
        <v>0</v>
      </c>
      <c r="J3664" t="n">
        <v>0</v>
      </c>
      <c r="K3664" t="n">
        <v>0</v>
      </c>
      <c r="L3664" t="n">
        <v>0</v>
      </c>
      <c r="M3664" t="n">
        <v>0</v>
      </c>
      <c r="N3664" t="n">
        <v>0</v>
      </c>
      <c r="O3664" t="n">
        <v>0</v>
      </c>
      <c r="P3664" t="n">
        <v>0</v>
      </c>
      <c r="Q3664" t="n">
        <v>0</v>
      </c>
      <c r="R3664" s="2" t="inlineStr"/>
    </row>
    <row r="3665" ht="15" customHeight="1">
      <c r="A3665" t="inlineStr">
        <is>
          <t>A 47435-2022</t>
        </is>
      </c>
      <c r="B3665" s="1" t="n">
        <v>44853.58972222222</v>
      </c>
      <c r="C3665" s="1" t="n">
        <v>45884</v>
      </c>
      <c r="D3665" t="inlineStr">
        <is>
          <t>KALMAR LÄN</t>
        </is>
      </c>
      <c r="E3665" t="inlineStr">
        <is>
          <t>NYBRO</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49817-2023</t>
        </is>
      </c>
      <c r="B3666" s="1" t="n">
        <v>45212</v>
      </c>
      <c r="C3666" s="1" t="n">
        <v>45884</v>
      </c>
      <c r="D3666" t="inlineStr">
        <is>
          <t>KALMAR LÄN</t>
        </is>
      </c>
      <c r="E3666" t="inlineStr">
        <is>
          <t>OSKARSHAMN</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9249-2024</t>
        </is>
      </c>
      <c r="B3667" s="1" t="n">
        <v>45358.59056712963</v>
      </c>
      <c r="C3667" s="1" t="n">
        <v>45884</v>
      </c>
      <c r="D3667" t="inlineStr">
        <is>
          <t>KALMAR LÄN</t>
        </is>
      </c>
      <c r="E3667" t="inlineStr">
        <is>
          <t>VÄSTERVIK</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19403-2023</t>
        </is>
      </c>
      <c r="B3668" s="1" t="n">
        <v>45049</v>
      </c>
      <c r="C3668" s="1" t="n">
        <v>45884</v>
      </c>
      <c r="D3668" t="inlineStr">
        <is>
          <t>KALMAR LÄN</t>
        </is>
      </c>
      <c r="E3668" t="inlineStr">
        <is>
          <t>HULTSFRED</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13276-2023</t>
        </is>
      </c>
      <c r="B3669" s="1" t="n">
        <v>45003.90380787037</v>
      </c>
      <c r="C3669" s="1" t="n">
        <v>45884</v>
      </c>
      <c r="D3669" t="inlineStr">
        <is>
          <t>KALMAR LÄN</t>
        </is>
      </c>
      <c r="E3669" t="inlineStr">
        <is>
          <t>EMMABODA</t>
        </is>
      </c>
      <c r="G3669" t="n">
        <v>3</v>
      </c>
      <c r="H3669" t="n">
        <v>0</v>
      </c>
      <c r="I3669" t="n">
        <v>0</v>
      </c>
      <c r="J3669" t="n">
        <v>0</v>
      </c>
      <c r="K3669" t="n">
        <v>0</v>
      </c>
      <c r="L3669" t="n">
        <v>0</v>
      </c>
      <c r="M3669" t="n">
        <v>0</v>
      </c>
      <c r="N3669" t="n">
        <v>0</v>
      </c>
      <c r="O3669" t="n">
        <v>0</v>
      </c>
      <c r="P3669" t="n">
        <v>0</v>
      </c>
      <c r="Q3669" t="n">
        <v>0</v>
      </c>
      <c r="R3669" s="2" t="inlineStr"/>
    </row>
    <row r="3670" ht="15" customHeight="1">
      <c r="A3670" t="inlineStr">
        <is>
          <t>A 20363-2021</t>
        </is>
      </c>
      <c r="B3670" s="1" t="n">
        <v>44315</v>
      </c>
      <c r="C3670" s="1" t="n">
        <v>45884</v>
      </c>
      <c r="D3670" t="inlineStr">
        <is>
          <t>KALMAR LÄN</t>
        </is>
      </c>
      <c r="E3670" t="inlineStr">
        <is>
          <t>EMMABODA</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21906-2022</t>
        </is>
      </c>
      <c r="B3671" s="1" t="n">
        <v>44711.45408564815</v>
      </c>
      <c r="C3671" s="1" t="n">
        <v>45884</v>
      </c>
      <c r="D3671" t="inlineStr">
        <is>
          <t>KALMAR LÄN</t>
        </is>
      </c>
      <c r="E3671" t="inlineStr">
        <is>
          <t>OSKARSHAMN</t>
        </is>
      </c>
      <c r="G3671" t="n">
        <v>4.5</v>
      </c>
      <c r="H3671" t="n">
        <v>0</v>
      </c>
      <c r="I3671" t="n">
        <v>0</v>
      </c>
      <c r="J3671" t="n">
        <v>0</v>
      </c>
      <c r="K3671" t="n">
        <v>0</v>
      </c>
      <c r="L3671" t="n">
        <v>0</v>
      </c>
      <c r="M3671" t="n">
        <v>0</v>
      </c>
      <c r="N3671" t="n">
        <v>0</v>
      </c>
      <c r="O3671" t="n">
        <v>0</v>
      </c>
      <c r="P3671" t="n">
        <v>0</v>
      </c>
      <c r="Q3671" t="n">
        <v>0</v>
      </c>
      <c r="R3671" s="2" t="inlineStr"/>
    </row>
    <row r="3672" ht="15" customHeight="1">
      <c r="A3672" t="inlineStr">
        <is>
          <t>A 13930-2023</t>
        </is>
      </c>
      <c r="B3672" s="1" t="n">
        <v>45008.43048611111</v>
      </c>
      <c r="C3672" s="1" t="n">
        <v>45884</v>
      </c>
      <c r="D3672" t="inlineStr">
        <is>
          <t>KALMAR LÄN</t>
        </is>
      </c>
      <c r="E3672" t="inlineStr">
        <is>
          <t>TORSÅS</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49706-2024</t>
        </is>
      </c>
      <c r="B3673" s="1" t="n">
        <v>45596.69706018519</v>
      </c>
      <c r="C3673" s="1" t="n">
        <v>45884</v>
      </c>
      <c r="D3673" t="inlineStr">
        <is>
          <t>KALMAR LÄN</t>
        </is>
      </c>
      <c r="E3673" t="inlineStr">
        <is>
          <t>VÄSTERVIK</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9326-2025</t>
        </is>
      </c>
      <c r="B3674" s="1" t="n">
        <v>45714.74789351852</v>
      </c>
      <c r="C3674" s="1" t="n">
        <v>45884</v>
      </c>
      <c r="D3674" t="inlineStr">
        <is>
          <t>KALMAR LÄN</t>
        </is>
      </c>
      <c r="E3674" t="inlineStr">
        <is>
          <t>HULTSFRED</t>
        </is>
      </c>
      <c r="F3674" t="inlineStr">
        <is>
          <t>Sveaskog</t>
        </is>
      </c>
      <c r="G3674" t="n">
        <v>4.4</v>
      </c>
      <c r="H3674" t="n">
        <v>0</v>
      </c>
      <c r="I3674" t="n">
        <v>0</v>
      </c>
      <c r="J3674" t="n">
        <v>0</v>
      </c>
      <c r="K3674" t="n">
        <v>0</v>
      </c>
      <c r="L3674" t="n">
        <v>0</v>
      </c>
      <c r="M3674" t="n">
        <v>0</v>
      </c>
      <c r="N3674" t="n">
        <v>0</v>
      </c>
      <c r="O3674" t="n">
        <v>0</v>
      </c>
      <c r="P3674" t="n">
        <v>0</v>
      </c>
      <c r="Q3674" t="n">
        <v>0</v>
      </c>
      <c r="R3674" s="2" t="inlineStr"/>
    </row>
    <row r="3675" ht="15" customHeight="1">
      <c r="A3675" t="inlineStr">
        <is>
          <t>A 11966-2023</t>
        </is>
      </c>
      <c r="B3675" s="1" t="n">
        <v>44995.56314814815</v>
      </c>
      <c r="C3675" s="1" t="n">
        <v>45884</v>
      </c>
      <c r="D3675" t="inlineStr">
        <is>
          <t>KALMAR LÄN</t>
        </is>
      </c>
      <c r="E3675" t="inlineStr">
        <is>
          <t>OSKARSHAMN</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13724-2023</t>
        </is>
      </c>
      <c r="B3676" s="1" t="n">
        <v>45007</v>
      </c>
      <c r="C3676" s="1" t="n">
        <v>45884</v>
      </c>
      <c r="D3676" t="inlineStr">
        <is>
          <t>KALMAR LÄN</t>
        </is>
      </c>
      <c r="E3676" t="inlineStr">
        <is>
          <t>KALMAR</t>
        </is>
      </c>
      <c r="G3676" t="n">
        <v>2.5</v>
      </c>
      <c r="H3676" t="n">
        <v>0</v>
      </c>
      <c r="I3676" t="n">
        <v>0</v>
      </c>
      <c r="J3676" t="n">
        <v>0</v>
      </c>
      <c r="K3676" t="n">
        <v>0</v>
      </c>
      <c r="L3676" t="n">
        <v>0</v>
      </c>
      <c r="M3676" t="n">
        <v>0</v>
      </c>
      <c r="N3676" t="n">
        <v>0</v>
      </c>
      <c r="O3676" t="n">
        <v>0</v>
      </c>
      <c r="P3676" t="n">
        <v>0</v>
      </c>
      <c r="Q3676" t="n">
        <v>0</v>
      </c>
      <c r="R3676" s="2" t="inlineStr"/>
    </row>
    <row r="3677" ht="15" customHeight="1">
      <c r="A3677" t="inlineStr">
        <is>
          <t>A 56215-2022</t>
        </is>
      </c>
      <c r="B3677" s="1" t="n">
        <v>44890.45898148148</v>
      </c>
      <c r="C3677" s="1" t="n">
        <v>45884</v>
      </c>
      <c r="D3677" t="inlineStr">
        <is>
          <t>KALMAR LÄN</t>
        </is>
      </c>
      <c r="E3677" t="inlineStr">
        <is>
          <t>NYBRO</t>
        </is>
      </c>
      <c r="G3677" t="n">
        <v>5.3</v>
      </c>
      <c r="H3677" t="n">
        <v>0</v>
      </c>
      <c r="I3677" t="n">
        <v>0</v>
      </c>
      <c r="J3677" t="n">
        <v>0</v>
      </c>
      <c r="K3677" t="n">
        <v>0</v>
      </c>
      <c r="L3677" t="n">
        <v>0</v>
      </c>
      <c r="M3677" t="n">
        <v>0</v>
      </c>
      <c r="N3677" t="n">
        <v>0</v>
      </c>
      <c r="O3677" t="n">
        <v>0</v>
      </c>
      <c r="P3677" t="n">
        <v>0</v>
      </c>
      <c r="Q3677" t="n">
        <v>0</v>
      </c>
      <c r="R3677" s="2" t="inlineStr"/>
    </row>
    <row r="3678" ht="15" customHeight="1">
      <c r="A3678" t="inlineStr">
        <is>
          <t>A 13734-2023</t>
        </is>
      </c>
      <c r="B3678" s="1" t="n">
        <v>45007.36232638889</v>
      </c>
      <c r="C3678" s="1" t="n">
        <v>45884</v>
      </c>
      <c r="D3678" t="inlineStr">
        <is>
          <t>KALMAR LÄN</t>
        </is>
      </c>
      <c r="E3678" t="inlineStr">
        <is>
          <t>KALMAR</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13735-2023</t>
        </is>
      </c>
      <c r="B3679" s="1" t="n">
        <v>45007.36420138889</v>
      </c>
      <c r="C3679" s="1" t="n">
        <v>45884</v>
      </c>
      <c r="D3679" t="inlineStr">
        <is>
          <t>KALMAR LÄN</t>
        </is>
      </c>
      <c r="E3679" t="inlineStr">
        <is>
          <t>KALMAR</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41296-2024</t>
        </is>
      </c>
      <c r="B3680" s="1" t="n">
        <v>45559.60966435185</v>
      </c>
      <c r="C3680" s="1" t="n">
        <v>45884</v>
      </c>
      <c r="D3680" t="inlineStr">
        <is>
          <t>KALMAR LÄN</t>
        </is>
      </c>
      <c r="E3680" t="inlineStr">
        <is>
          <t>EMMABODA</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39598-2022</t>
        </is>
      </c>
      <c r="B3681" s="1" t="n">
        <v>44818.62078703703</v>
      </c>
      <c r="C3681" s="1" t="n">
        <v>45884</v>
      </c>
      <c r="D3681" t="inlineStr">
        <is>
          <t>KALMAR LÄN</t>
        </is>
      </c>
      <c r="E3681" t="inlineStr">
        <is>
          <t>HULTSFRED</t>
        </is>
      </c>
      <c r="F3681" t="inlineStr">
        <is>
          <t>Övriga Aktiebolag</t>
        </is>
      </c>
      <c r="G3681" t="n">
        <v>17.1</v>
      </c>
      <c r="H3681" t="n">
        <v>0</v>
      </c>
      <c r="I3681" t="n">
        <v>0</v>
      </c>
      <c r="J3681" t="n">
        <v>0</v>
      </c>
      <c r="K3681" t="n">
        <v>0</v>
      </c>
      <c r="L3681" t="n">
        <v>0</v>
      </c>
      <c r="M3681" t="n">
        <v>0</v>
      </c>
      <c r="N3681" t="n">
        <v>0</v>
      </c>
      <c r="O3681" t="n">
        <v>0</v>
      </c>
      <c r="P3681" t="n">
        <v>0</v>
      </c>
      <c r="Q3681" t="n">
        <v>0</v>
      </c>
      <c r="R3681" s="2" t="inlineStr"/>
    </row>
    <row r="3682" ht="15" customHeight="1">
      <c r="A3682" t="inlineStr">
        <is>
          <t>A 23814-2023</t>
        </is>
      </c>
      <c r="B3682" s="1" t="n">
        <v>45078</v>
      </c>
      <c r="C3682" s="1" t="n">
        <v>45884</v>
      </c>
      <c r="D3682" t="inlineStr">
        <is>
          <t>KALMAR LÄN</t>
        </is>
      </c>
      <c r="E3682" t="inlineStr">
        <is>
          <t>NYBRO</t>
        </is>
      </c>
      <c r="G3682" t="n">
        <v>2.6</v>
      </c>
      <c r="H3682" t="n">
        <v>0</v>
      </c>
      <c r="I3682" t="n">
        <v>0</v>
      </c>
      <c r="J3682" t="n">
        <v>0</v>
      </c>
      <c r="K3682" t="n">
        <v>0</v>
      </c>
      <c r="L3682" t="n">
        <v>0</v>
      </c>
      <c r="M3682" t="n">
        <v>0</v>
      </c>
      <c r="N3682" t="n">
        <v>0</v>
      </c>
      <c r="O3682" t="n">
        <v>0</v>
      </c>
      <c r="P3682" t="n">
        <v>0</v>
      </c>
      <c r="Q3682" t="n">
        <v>0</v>
      </c>
      <c r="R3682" s="2" t="inlineStr"/>
    </row>
    <row r="3683" ht="15" customHeight="1">
      <c r="A3683" t="inlineStr">
        <is>
          <t>A 42172-2023</t>
        </is>
      </c>
      <c r="B3683" s="1" t="n">
        <v>45178.42225694445</v>
      </c>
      <c r="C3683" s="1" t="n">
        <v>45884</v>
      </c>
      <c r="D3683" t="inlineStr">
        <is>
          <t>KALMAR LÄN</t>
        </is>
      </c>
      <c r="E3683" t="inlineStr">
        <is>
          <t>TORSÅS</t>
        </is>
      </c>
      <c r="G3683" t="n">
        <v>5.4</v>
      </c>
      <c r="H3683" t="n">
        <v>0</v>
      </c>
      <c r="I3683" t="n">
        <v>0</v>
      </c>
      <c r="J3683" t="n">
        <v>0</v>
      </c>
      <c r="K3683" t="n">
        <v>0</v>
      </c>
      <c r="L3683" t="n">
        <v>0</v>
      </c>
      <c r="M3683" t="n">
        <v>0</v>
      </c>
      <c r="N3683" t="n">
        <v>0</v>
      </c>
      <c r="O3683" t="n">
        <v>0</v>
      </c>
      <c r="P3683" t="n">
        <v>0</v>
      </c>
      <c r="Q3683" t="n">
        <v>0</v>
      </c>
      <c r="R3683" s="2" t="inlineStr"/>
    </row>
    <row r="3684" ht="15" customHeight="1">
      <c r="A3684" t="inlineStr">
        <is>
          <t>A 44277-2020</t>
        </is>
      </c>
      <c r="B3684" s="1" t="n">
        <v>44084</v>
      </c>
      <c r="C3684" s="1" t="n">
        <v>45884</v>
      </c>
      <c r="D3684" t="inlineStr">
        <is>
          <t>KALMAR LÄN</t>
        </is>
      </c>
      <c r="E3684" t="inlineStr">
        <is>
          <t>HULTSFRED</t>
        </is>
      </c>
      <c r="G3684" t="n">
        <v>5.8</v>
      </c>
      <c r="H3684" t="n">
        <v>0</v>
      </c>
      <c r="I3684" t="n">
        <v>0</v>
      </c>
      <c r="J3684" t="n">
        <v>0</v>
      </c>
      <c r="K3684" t="n">
        <v>0</v>
      </c>
      <c r="L3684" t="n">
        <v>0</v>
      </c>
      <c r="M3684" t="n">
        <v>0</v>
      </c>
      <c r="N3684" t="n">
        <v>0</v>
      </c>
      <c r="O3684" t="n">
        <v>0</v>
      </c>
      <c r="P3684" t="n">
        <v>0</v>
      </c>
      <c r="Q3684" t="n">
        <v>0</v>
      </c>
      <c r="R3684" s="2" t="inlineStr"/>
    </row>
    <row r="3685" ht="15" customHeight="1">
      <c r="A3685" t="inlineStr">
        <is>
          <t>A 14726-2022</t>
        </is>
      </c>
      <c r="B3685" s="1" t="n">
        <v>44656.3625925926</v>
      </c>
      <c r="C3685" s="1" t="n">
        <v>45884</v>
      </c>
      <c r="D3685" t="inlineStr">
        <is>
          <t>KALMAR LÄN</t>
        </is>
      </c>
      <c r="E3685" t="inlineStr">
        <is>
          <t>KALMAR</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28291-2024</t>
        </is>
      </c>
      <c r="B3686" s="1" t="n">
        <v>45477</v>
      </c>
      <c r="C3686" s="1" t="n">
        <v>45884</v>
      </c>
      <c r="D3686" t="inlineStr">
        <is>
          <t>KALMAR LÄN</t>
        </is>
      </c>
      <c r="E3686" t="inlineStr">
        <is>
          <t>VÄSTERVIK</t>
        </is>
      </c>
      <c r="G3686" t="n">
        <v>3.2</v>
      </c>
      <c r="H3686" t="n">
        <v>0</v>
      </c>
      <c r="I3686" t="n">
        <v>0</v>
      </c>
      <c r="J3686" t="n">
        <v>0</v>
      </c>
      <c r="K3686" t="n">
        <v>0</v>
      </c>
      <c r="L3686" t="n">
        <v>0</v>
      </c>
      <c r="M3686" t="n">
        <v>0</v>
      </c>
      <c r="N3686" t="n">
        <v>0</v>
      </c>
      <c r="O3686" t="n">
        <v>0</v>
      </c>
      <c r="P3686" t="n">
        <v>0</v>
      </c>
      <c r="Q3686" t="n">
        <v>0</v>
      </c>
      <c r="R3686" s="2" t="inlineStr"/>
    </row>
    <row r="3687" ht="15" customHeight="1">
      <c r="A3687" t="inlineStr">
        <is>
          <t>A 28323-2024</t>
        </is>
      </c>
      <c r="B3687" s="1" t="n">
        <v>45477.50987268519</v>
      </c>
      <c r="C3687" s="1" t="n">
        <v>45884</v>
      </c>
      <c r="D3687" t="inlineStr">
        <is>
          <t>KALMAR LÄN</t>
        </is>
      </c>
      <c r="E3687" t="inlineStr">
        <is>
          <t>EMMABODA</t>
        </is>
      </c>
      <c r="G3687" t="n">
        <v>1.7</v>
      </c>
      <c r="H3687" t="n">
        <v>0</v>
      </c>
      <c r="I3687" t="n">
        <v>0</v>
      </c>
      <c r="J3687" t="n">
        <v>0</v>
      </c>
      <c r="K3687" t="n">
        <v>0</v>
      </c>
      <c r="L3687" t="n">
        <v>0</v>
      </c>
      <c r="M3687" t="n">
        <v>0</v>
      </c>
      <c r="N3687" t="n">
        <v>0</v>
      </c>
      <c r="O3687" t="n">
        <v>0</v>
      </c>
      <c r="P3687" t="n">
        <v>0</v>
      </c>
      <c r="Q3687" t="n">
        <v>0</v>
      </c>
      <c r="R3687" s="2" t="inlineStr"/>
    </row>
    <row r="3688" ht="15" customHeight="1">
      <c r="A3688" t="inlineStr">
        <is>
          <t>A 12014-2023</t>
        </is>
      </c>
      <c r="B3688" s="1" t="n">
        <v>44995</v>
      </c>
      <c r="C3688" s="1" t="n">
        <v>45884</v>
      </c>
      <c r="D3688" t="inlineStr">
        <is>
          <t>KALMAR LÄN</t>
        </is>
      </c>
      <c r="E3688" t="inlineStr">
        <is>
          <t>EMMABODA</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2260-2022</t>
        </is>
      </c>
      <c r="B3689" s="1" t="n">
        <v>44578.62943287037</v>
      </c>
      <c r="C3689" s="1" t="n">
        <v>45884</v>
      </c>
      <c r="D3689" t="inlineStr">
        <is>
          <t>KALMAR LÄN</t>
        </is>
      </c>
      <c r="E3689" t="inlineStr">
        <is>
          <t>VIMMERBY</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63180-2021</t>
        </is>
      </c>
      <c r="B3690" s="1" t="n">
        <v>44507</v>
      </c>
      <c r="C3690" s="1" t="n">
        <v>45884</v>
      </c>
      <c r="D3690" t="inlineStr">
        <is>
          <t>KALMAR LÄN</t>
        </is>
      </c>
      <c r="E3690" t="inlineStr">
        <is>
          <t>EMMABODA</t>
        </is>
      </c>
      <c r="G3690" t="n">
        <v>3.3</v>
      </c>
      <c r="H3690" t="n">
        <v>0</v>
      </c>
      <c r="I3690" t="n">
        <v>0</v>
      </c>
      <c r="J3690" t="n">
        <v>0</v>
      </c>
      <c r="K3690" t="n">
        <v>0</v>
      </c>
      <c r="L3690" t="n">
        <v>0</v>
      </c>
      <c r="M3690" t="n">
        <v>0</v>
      </c>
      <c r="N3690" t="n">
        <v>0</v>
      </c>
      <c r="O3690" t="n">
        <v>0</v>
      </c>
      <c r="P3690" t="n">
        <v>0</v>
      </c>
      <c r="Q3690" t="n">
        <v>0</v>
      </c>
      <c r="R3690" s="2" t="inlineStr"/>
    </row>
    <row r="3691" ht="15" customHeight="1">
      <c r="A3691" t="inlineStr">
        <is>
          <t>A 18804-2022</t>
        </is>
      </c>
      <c r="B3691" s="1" t="n">
        <v>44690.35951388889</v>
      </c>
      <c r="C3691" s="1" t="n">
        <v>45884</v>
      </c>
      <c r="D3691" t="inlineStr">
        <is>
          <t>KALMAR LÄN</t>
        </is>
      </c>
      <c r="E3691" t="inlineStr">
        <is>
          <t>KALMAR</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3726-2023</t>
        </is>
      </c>
      <c r="B3692" s="1" t="n">
        <v>44951.40828703704</v>
      </c>
      <c r="C3692" s="1" t="n">
        <v>45884</v>
      </c>
      <c r="D3692" t="inlineStr">
        <is>
          <t>KALMAR LÄN</t>
        </is>
      </c>
      <c r="E3692" t="inlineStr">
        <is>
          <t>NYBRO</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19047-2023</t>
        </is>
      </c>
      <c r="B3693" s="1" t="n">
        <v>45047</v>
      </c>
      <c r="C3693" s="1" t="n">
        <v>45884</v>
      </c>
      <c r="D3693" t="inlineStr">
        <is>
          <t>KALMAR LÄN</t>
        </is>
      </c>
      <c r="E3693" t="inlineStr">
        <is>
          <t>HULTSFRED</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4769-2025</t>
        </is>
      </c>
      <c r="B3694" s="1" t="n">
        <v>45688.49143518518</v>
      </c>
      <c r="C3694" s="1" t="n">
        <v>45884</v>
      </c>
      <c r="D3694" t="inlineStr">
        <is>
          <t>KALMAR LÄN</t>
        </is>
      </c>
      <c r="E3694" t="inlineStr">
        <is>
          <t>KALMAR</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25577-2023</t>
        </is>
      </c>
      <c r="B3695" s="1" t="n">
        <v>45089</v>
      </c>
      <c r="C3695" s="1" t="n">
        <v>45884</v>
      </c>
      <c r="D3695" t="inlineStr">
        <is>
          <t>KALMAR LÄN</t>
        </is>
      </c>
      <c r="E3695" t="inlineStr">
        <is>
          <t>MÖNSTERÅS</t>
        </is>
      </c>
      <c r="G3695" t="n">
        <v>6.3</v>
      </c>
      <c r="H3695" t="n">
        <v>0</v>
      </c>
      <c r="I3695" t="n">
        <v>0</v>
      </c>
      <c r="J3695" t="n">
        <v>0</v>
      </c>
      <c r="K3695" t="n">
        <v>0</v>
      </c>
      <c r="L3695" t="n">
        <v>0</v>
      </c>
      <c r="M3695" t="n">
        <v>0</v>
      </c>
      <c r="N3695" t="n">
        <v>0</v>
      </c>
      <c r="O3695" t="n">
        <v>0</v>
      </c>
      <c r="P3695" t="n">
        <v>0</v>
      </c>
      <c r="Q3695" t="n">
        <v>0</v>
      </c>
      <c r="R3695" s="2" t="inlineStr"/>
    </row>
    <row r="3696" ht="15" customHeight="1">
      <c r="A3696" t="inlineStr">
        <is>
          <t>A 39651-2022</t>
        </is>
      </c>
      <c r="B3696" s="1" t="n">
        <v>44818</v>
      </c>
      <c r="C3696" s="1" t="n">
        <v>45884</v>
      </c>
      <c r="D3696" t="inlineStr">
        <is>
          <t>KALMAR LÄN</t>
        </is>
      </c>
      <c r="E3696" t="inlineStr">
        <is>
          <t>OSKARSHAMN</t>
        </is>
      </c>
      <c r="G3696" t="n">
        <v>2.5</v>
      </c>
      <c r="H3696" t="n">
        <v>0</v>
      </c>
      <c r="I3696" t="n">
        <v>0</v>
      </c>
      <c r="J3696" t="n">
        <v>0</v>
      </c>
      <c r="K3696" t="n">
        <v>0</v>
      </c>
      <c r="L3696" t="n">
        <v>0</v>
      </c>
      <c r="M3696" t="n">
        <v>0</v>
      </c>
      <c r="N3696" t="n">
        <v>0</v>
      </c>
      <c r="O3696" t="n">
        <v>0</v>
      </c>
      <c r="P3696" t="n">
        <v>0</v>
      </c>
      <c r="Q3696" t="n">
        <v>0</v>
      </c>
      <c r="R3696" s="2" t="inlineStr"/>
    </row>
    <row r="3697" ht="15" customHeight="1">
      <c r="A3697" t="inlineStr">
        <is>
          <t>A 2166-2024</t>
        </is>
      </c>
      <c r="B3697" s="1" t="n">
        <v>45309.61168981482</v>
      </c>
      <c r="C3697" s="1" t="n">
        <v>45884</v>
      </c>
      <c r="D3697" t="inlineStr">
        <is>
          <t>KALMAR LÄN</t>
        </is>
      </c>
      <c r="E3697" t="inlineStr">
        <is>
          <t>EMMABODA</t>
        </is>
      </c>
      <c r="G3697" t="n">
        <v>4.1</v>
      </c>
      <c r="H3697" t="n">
        <v>0</v>
      </c>
      <c r="I3697" t="n">
        <v>0</v>
      </c>
      <c r="J3697" t="n">
        <v>0</v>
      </c>
      <c r="K3697" t="n">
        <v>0</v>
      </c>
      <c r="L3697" t="n">
        <v>0</v>
      </c>
      <c r="M3697" t="n">
        <v>0</v>
      </c>
      <c r="N3697" t="n">
        <v>0</v>
      </c>
      <c r="O3697" t="n">
        <v>0</v>
      </c>
      <c r="P3697" t="n">
        <v>0</v>
      </c>
      <c r="Q3697" t="n">
        <v>0</v>
      </c>
      <c r="R3697" s="2" t="inlineStr"/>
    </row>
    <row r="3698" ht="15" customHeight="1">
      <c r="A3698" t="inlineStr">
        <is>
          <t>A 2168-2024</t>
        </is>
      </c>
      <c r="B3698" s="1" t="n">
        <v>45309.61756944445</v>
      </c>
      <c r="C3698" s="1" t="n">
        <v>45884</v>
      </c>
      <c r="D3698" t="inlineStr">
        <is>
          <t>KALMAR LÄN</t>
        </is>
      </c>
      <c r="E3698" t="inlineStr">
        <is>
          <t>VÄSTERVIK</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48225-2023</t>
        </is>
      </c>
      <c r="B3699" s="1" t="n">
        <v>45205.49322916667</v>
      </c>
      <c r="C3699" s="1" t="n">
        <v>45884</v>
      </c>
      <c r="D3699" t="inlineStr">
        <is>
          <t>KALMAR LÄN</t>
        </is>
      </c>
      <c r="E3699" t="inlineStr">
        <is>
          <t>KALMAR</t>
        </is>
      </c>
      <c r="G3699" t="n">
        <v>3</v>
      </c>
      <c r="H3699" t="n">
        <v>0</v>
      </c>
      <c r="I3699" t="n">
        <v>0</v>
      </c>
      <c r="J3699" t="n">
        <v>0</v>
      </c>
      <c r="K3699" t="n">
        <v>0</v>
      </c>
      <c r="L3699" t="n">
        <v>0</v>
      </c>
      <c r="M3699" t="n">
        <v>0</v>
      </c>
      <c r="N3699" t="n">
        <v>0</v>
      </c>
      <c r="O3699" t="n">
        <v>0</v>
      </c>
      <c r="P3699" t="n">
        <v>0</v>
      </c>
      <c r="Q3699" t="n">
        <v>0</v>
      </c>
      <c r="R3699" s="2" t="inlineStr"/>
    </row>
    <row r="3700" ht="15" customHeight="1">
      <c r="A3700" t="inlineStr">
        <is>
          <t>A 2267-2024</t>
        </is>
      </c>
      <c r="B3700" s="1" t="n">
        <v>45310</v>
      </c>
      <c r="C3700" s="1" t="n">
        <v>45884</v>
      </c>
      <c r="D3700" t="inlineStr">
        <is>
          <t>KALMAR LÄN</t>
        </is>
      </c>
      <c r="E3700" t="inlineStr">
        <is>
          <t>HULTSFRED</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10538-2025</t>
        </is>
      </c>
      <c r="B3701" s="1" t="n">
        <v>45721.47692129629</v>
      </c>
      <c r="C3701" s="1" t="n">
        <v>45884</v>
      </c>
      <c r="D3701" t="inlineStr">
        <is>
          <t>KALMAR LÄN</t>
        </is>
      </c>
      <c r="E3701" t="inlineStr">
        <is>
          <t>OSKARSHAMN</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12240-2022</t>
        </is>
      </c>
      <c r="B3702" s="1" t="n">
        <v>44637.38395833333</v>
      </c>
      <c r="C3702" s="1" t="n">
        <v>45884</v>
      </c>
      <c r="D3702" t="inlineStr">
        <is>
          <t>KALMAR LÄN</t>
        </is>
      </c>
      <c r="E3702" t="inlineStr">
        <is>
          <t>TORSÅS</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15106-2023</t>
        </is>
      </c>
      <c r="B3703" s="1" t="n">
        <v>45016.41767361111</v>
      </c>
      <c r="C3703" s="1" t="n">
        <v>45884</v>
      </c>
      <c r="D3703" t="inlineStr">
        <is>
          <t>KALMAR LÄN</t>
        </is>
      </c>
      <c r="E3703" t="inlineStr">
        <is>
          <t>VÄSTERVIK</t>
        </is>
      </c>
      <c r="G3703" t="n">
        <v>0.4</v>
      </c>
      <c r="H3703" t="n">
        <v>0</v>
      </c>
      <c r="I3703" t="n">
        <v>0</v>
      </c>
      <c r="J3703" t="n">
        <v>0</v>
      </c>
      <c r="K3703" t="n">
        <v>0</v>
      </c>
      <c r="L3703" t="n">
        <v>0</v>
      </c>
      <c r="M3703" t="n">
        <v>0</v>
      </c>
      <c r="N3703" t="n">
        <v>0</v>
      </c>
      <c r="O3703" t="n">
        <v>0</v>
      </c>
      <c r="P3703" t="n">
        <v>0</v>
      </c>
      <c r="Q3703" t="n">
        <v>0</v>
      </c>
      <c r="R3703" s="2" t="inlineStr"/>
    </row>
    <row r="3704" ht="15" customHeight="1">
      <c r="A3704" t="inlineStr">
        <is>
          <t>A 5074-2023</t>
        </is>
      </c>
      <c r="B3704" s="1" t="n">
        <v>44958.61047453704</v>
      </c>
      <c r="C3704" s="1" t="n">
        <v>45884</v>
      </c>
      <c r="D3704" t="inlineStr">
        <is>
          <t>KALMAR LÄN</t>
        </is>
      </c>
      <c r="E3704" t="inlineStr">
        <is>
          <t>VIMMERBY</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11661-2023</t>
        </is>
      </c>
      <c r="B3705" s="1" t="n">
        <v>44994.46908564815</v>
      </c>
      <c r="C3705" s="1" t="n">
        <v>45884</v>
      </c>
      <c r="D3705" t="inlineStr">
        <is>
          <t>KALMAR LÄN</t>
        </is>
      </c>
      <c r="E3705" t="inlineStr">
        <is>
          <t>VIMMERBY</t>
        </is>
      </c>
      <c r="G3705" t="n">
        <v>2.7</v>
      </c>
      <c r="H3705" t="n">
        <v>0</v>
      </c>
      <c r="I3705" t="n">
        <v>0</v>
      </c>
      <c r="J3705" t="n">
        <v>0</v>
      </c>
      <c r="K3705" t="n">
        <v>0</v>
      </c>
      <c r="L3705" t="n">
        <v>0</v>
      </c>
      <c r="M3705" t="n">
        <v>0</v>
      </c>
      <c r="N3705" t="n">
        <v>0</v>
      </c>
      <c r="O3705" t="n">
        <v>0</v>
      </c>
      <c r="P3705" t="n">
        <v>0</v>
      </c>
      <c r="Q3705" t="n">
        <v>0</v>
      </c>
      <c r="R3705" s="2" t="inlineStr"/>
    </row>
    <row r="3706" ht="15" customHeight="1">
      <c r="A3706" t="inlineStr">
        <is>
          <t>A 20434-2023</t>
        </is>
      </c>
      <c r="B3706" s="1" t="n">
        <v>45056.72038194445</v>
      </c>
      <c r="C3706" s="1" t="n">
        <v>45884</v>
      </c>
      <c r="D3706" t="inlineStr">
        <is>
          <t>KALMAR LÄN</t>
        </is>
      </c>
      <c r="E3706" t="inlineStr">
        <is>
          <t>NYBRO</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11703-2023</t>
        </is>
      </c>
      <c r="B3707" s="1" t="n">
        <v>44994.54207175926</v>
      </c>
      <c r="C3707" s="1" t="n">
        <v>45884</v>
      </c>
      <c r="D3707" t="inlineStr">
        <is>
          <t>KALMAR LÄN</t>
        </is>
      </c>
      <c r="E3707" t="inlineStr">
        <is>
          <t>HULTSFRED</t>
        </is>
      </c>
      <c r="G3707" t="n">
        <v>6.2</v>
      </c>
      <c r="H3707" t="n">
        <v>0</v>
      </c>
      <c r="I3707" t="n">
        <v>0</v>
      </c>
      <c r="J3707" t="n">
        <v>0</v>
      </c>
      <c r="K3707" t="n">
        <v>0</v>
      </c>
      <c r="L3707" t="n">
        <v>0</v>
      </c>
      <c r="M3707" t="n">
        <v>0</v>
      </c>
      <c r="N3707" t="n">
        <v>0</v>
      </c>
      <c r="O3707" t="n">
        <v>0</v>
      </c>
      <c r="P3707" t="n">
        <v>0</v>
      </c>
      <c r="Q3707" t="n">
        <v>0</v>
      </c>
      <c r="R3707" s="2" t="inlineStr"/>
    </row>
    <row r="3708" ht="15" customHeight="1">
      <c r="A3708" t="inlineStr">
        <is>
          <t>A 11710-2023</t>
        </is>
      </c>
      <c r="B3708" s="1" t="n">
        <v>44994</v>
      </c>
      <c r="C3708" s="1" t="n">
        <v>45884</v>
      </c>
      <c r="D3708" t="inlineStr">
        <is>
          <t>KALMAR LÄN</t>
        </is>
      </c>
      <c r="E3708" t="inlineStr">
        <is>
          <t>HULTSFRED</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58038-2022</t>
        </is>
      </c>
      <c r="B3709" s="1" t="n">
        <v>44900</v>
      </c>
      <c r="C3709" s="1" t="n">
        <v>45884</v>
      </c>
      <c r="D3709" t="inlineStr">
        <is>
          <t>KALMAR LÄN</t>
        </is>
      </c>
      <c r="E3709" t="inlineStr">
        <is>
          <t>TORSÅS</t>
        </is>
      </c>
      <c r="G3709" t="n">
        <v>7.8</v>
      </c>
      <c r="H3709" t="n">
        <v>0</v>
      </c>
      <c r="I3709" t="n">
        <v>0</v>
      </c>
      <c r="J3709" t="n">
        <v>0</v>
      </c>
      <c r="K3709" t="n">
        <v>0</v>
      </c>
      <c r="L3709" t="n">
        <v>0</v>
      </c>
      <c r="M3709" t="n">
        <v>0</v>
      </c>
      <c r="N3709" t="n">
        <v>0</v>
      </c>
      <c r="O3709" t="n">
        <v>0</v>
      </c>
      <c r="P3709" t="n">
        <v>0</v>
      </c>
      <c r="Q3709" t="n">
        <v>0</v>
      </c>
      <c r="R3709" s="2" t="inlineStr"/>
    </row>
    <row r="3710" ht="15" customHeight="1">
      <c r="A3710" t="inlineStr">
        <is>
          <t>A 58046-2022</t>
        </is>
      </c>
      <c r="B3710" s="1" t="n">
        <v>44900.57393518519</v>
      </c>
      <c r="C3710" s="1" t="n">
        <v>45884</v>
      </c>
      <c r="D3710" t="inlineStr">
        <is>
          <t>KALMAR LÄN</t>
        </is>
      </c>
      <c r="E3710" t="inlineStr">
        <is>
          <t>VIMMERBY</t>
        </is>
      </c>
      <c r="G3710" t="n">
        <v>2.5</v>
      </c>
      <c r="H3710" t="n">
        <v>0</v>
      </c>
      <c r="I3710" t="n">
        <v>0</v>
      </c>
      <c r="J3710" t="n">
        <v>0</v>
      </c>
      <c r="K3710" t="n">
        <v>0</v>
      </c>
      <c r="L3710" t="n">
        <v>0</v>
      </c>
      <c r="M3710" t="n">
        <v>0</v>
      </c>
      <c r="N3710" t="n">
        <v>0</v>
      </c>
      <c r="O3710" t="n">
        <v>0</v>
      </c>
      <c r="P3710" t="n">
        <v>0</v>
      </c>
      <c r="Q3710" t="n">
        <v>0</v>
      </c>
      <c r="R3710" s="2" t="inlineStr"/>
    </row>
    <row r="3711" ht="15" customHeight="1">
      <c r="A3711" t="inlineStr">
        <is>
          <t>A 27443-2023</t>
        </is>
      </c>
      <c r="B3711" s="1" t="n">
        <v>45097.40524305555</v>
      </c>
      <c r="C3711" s="1" t="n">
        <v>45884</v>
      </c>
      <c r="D3711" t="inlineStr">
        <is>
          <t>KALMAR LÄN</t>
        </is>
      </c>
      <c r="E3711" t="inlineStr">
        <is>
          <t>VIMMERBY</t>
        </is>
      </c>
      <c r="F3711" t="inlineStr">
        <is>
          <t>Övriga Aktiebolag</t>
        </is>
      </c>
      <c r="G3711" t="n">
        <v>2.3</v>
      </c>
      <c r="H3711" t="n">
        <v>0</v>
      </c>
      <c r="I3711" t="n">
        <v>0</v>
      </c>
      <c r="J3711" t="n">
        <v>0</v>
      </c>
      <c r="K3711" t="n">
        <v>0</v>
      </c>
      <c r="L3711" t="n">
        <v>0</v>
      </c>
      <c r="M3711" t="n">
        <v>0</v>
      </c>
      <c r="N3711" t="n">
        <v>0</v>
      </c>
      <c r="O3711" t="n">
        <v>0</v>
      </c>
      <c r="P3711" t="n">
        <v>0</v>
      </c>
      <c r="Q3711" t="n">
        <v>0</v>
      </c>
      <c r="R3711" s="2" t="inlineStr"/>
    </row>
    <row r="3712" ht="15" customHeight="1">
      <c r="A3712" t="inlineStr">
        <is>
          <t>A 13743-2024</t>
        </is>
      </c>
      <c r="B3712" s="1" t="n">
        <v>45390.8940625</v>
      </c>
      <c r="C3712" s="1" t="n">
        <v>45884</v>
      </c>
      <c r="D3712" t="inlineStr">
        <is>
          <t>KALMAR LÄN</t>
        </is>
      </c>
      <c r="E3712" t="inlineStr">
        <is>
          <t>VÄSTERVIK</t>
        </is>
      </c>
      <c r="F3712" t="inlineStr">
        <is>
          <t>Sveaskog</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37936-2022</t>
        </is>
      </c>
      <c r="B3713" s="1" t="n">
        <v>44811.46958333333</v>
      </c>
      <c r="C3713" s="1" t="n">
        <v>45884</v>
      </c>
      <c r="D3713" t="inlineStr">
        <is>
          <t>KALMAR LÄN</t>
        </is>
      </c>
      <c r="E3713" t="inlineStr">
        <is>
          <t>VÄSTERVIK</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51187-2023</t>
        </is>
      </c>
      <c r="B3714" s="1" t="n">
        <v>45219.40528935185</v>
      </c>
      <c r="C3714" s="1" t="n">
        <v>45884</v>
      </c>
      <c r="D3714" t="inlineStr">
        <is>
          <t>KALMAR LÄN</t>
        </is>
      </c>
      <c r="E3714" t="inlineStr">
        <is>
          <t>VIMMERBY</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39670-2022</t>
        </is>
      </c>
      <c r="B3715" s="1" t="n">
        <v>44818</v>
      </c>
      <c r="C3715" s="1" t="n">
        <v>45884</v>
      </c>
      <c r="D3715" t="inlineStr">
        <is>
          <t>KALMAR LÄN</t>
        </is>
      </c>
      <c r="E3715" t="inlineStr">
        <is>
          <t>OSKARSHAMN</t>
        </is>
      </c>
      <c r="G3715" t="n">
        <v>4.1</v>
      </c>
      <c r="H3715" t="n">
        <v>0</v>
      </c>
      <c r="I3715" t="n">
        <v>0</v>
      </c>
      <c r="J3715" t="n">
        <v>0</v>
      </c>
      <c r="K3715" t="n">
        <v>0</v>
      </c>
      <c r="L3715" t="n">
        <v>0</v>
      </c>
      <c r="M3715" t="n">
        <v>0</v>
      </c>
      <c r="N3715" t="n">
        <v>0</v>
      </c>
      <c r="O3715" t="n">
        <v>0</v>
      </c>
      <c r="P3715" t="n">
        <v>0</v>
      </c>
      <c r="Q3715" t="n">
        <v>0</v>
      </c>
      <c r="R3715" s="2" t="inlineStr"/>
    </row>
    <row r="3716" ht="15" customHeight="1">
      <c r="A3716" t="inlineStr">
        <is>
          <t>A 19363-2024</t>
        </is>
      </c>
      <c r="B3716" s="1" t="n">
        <v>45429.32715277778</v>
      </c>
      <c r="C3716" s="1" t="n">
        <v>45884</v>
      </c>
      <c r="D3716" t="inlineStr">
        <is>
          <t>KALMAR LÄN</t>
        </is>
      </c>
      <c r="E3716" t="inlineStr">
        <is>
          <t>NYBRO</t>
        </is>
      </c>
      <c r="G3716" t="n">
        <v>4.4</v>
      </c>
      <c r="H3716" t="n">
        <v>0</v>
      </c>
      <c r="I3716" t="n">
        <v>0</v>
      </c>
      <c r="J3716" t="n">
        <v>0</v>
      </c>
      <c r="K3716" t="n">
        <v>0</v>
      </c>
      <c r="L3716" t="n">
        <v>0</v>
      </c>
      <c r="M3716" t="n">
        <v>0</v>
      </c>
      <c r="N3716" t="n">
        <v>0</v>
      </c>
      <c r="O3716" t="n">
        <v>0</v>
      </c>
      <c r="P3716" t="n">
        <v>0</v>
      </c>
      <c r="Q3716" t="n">
        <v>0</v>
      </c>
      <c r="R3716" s="2" t="inlineStr"/>
    </row>
    <row r="3717" ht="15" customHeight="1">
      <c r="A3717" t="inlineStr">
        <is>
          <t>A 32921-2023</t>
        </is>
      </c>
      <c r="B3717" s="1" t="n">
        <v>45125</v>
      </c>
      <c r="C3717" s="1" t="n">
        <v>45884</v>
      </c>
      <c r="D3717" t="inlineStr">
        <is>
          <t>KALMAR LÄN</t>
        </is>
      </c>
      <c r="E3717" t="inlineStr">
        <is>
          <t>BORGHOLM</t>
        </is>
      </c>
      <c r="G3717" t="n">
        <v>2.9</v>
      </c>
      <c r="H3717" t="n">
        <v>0</v>
      </c>
      <c r="I3717" t="n">
        <v>0</v>
      </c>
      <c r="J3717" t="n">
        <v>0</v>
      </c>
      <c r="K3717" t="n">
        <v>0</v>
      </c>
      <c r="L3717" t="n">
        <v>0</v>
      </c>
      <c r="M3717" t="n">
        <v>0</v>
      </c>
      <c r="N3717" t="n">
        <v>0</v>
      </c>
      <c r="O3717" t="n">
        <v>0</v>
      </c>
      <c r="P3717" t="n">
        <v>0</v>
      </c>
      <c r="Q3717" t="n">
        <v>0</v>
      </c>
      <c r="R3717" s="2" t="inlineStr"/>
    </row>
    <row r="3718" ht="15" customHeight="1">
      <c r="A3718" t="inlineStr">
        <is>
          <t>A 845-2023</t>
        </is>
      </c>
      <c r="B3718" s="1" t="n">
        <v>44931</v>
      </c>
      <c r="C3718" s="1" t="n">
        <v>45884</v>
      </c>
      <c r="D3718" t="inlineStr">
        <is>
          <t>KALMAR LÄN</t>
        </is>
      </c>
      <c r="E3718" t="inlineStr">
        <is>
          <t>VIMMERBY</t>
        </is>
      </c>
      <c r="F3718" t="inlineStr">
        <is>
          <t>Övriga Aktiebolag</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57804-2021</t>
        </is>
      </c>
      <c r="B3719" s="1" t="n">
        <v>44484</v>
      </c>
      <c r="C3719" s="1" t="n">
        <v>45884</v>
      </c>
      <c r="D3719" t="inlineStr">
        <is>
          <t>KALMAR LÄN</t>
        </is>
      </c>
      <c r="E3719" t="inlineStr">
        <is>
          <t>VÄSTERVIK</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45528-2021</t>
        </is>
      </c>
      <c r="B3720" s="1" t="n">
        <v>44440.60415509259</v>
      </c>
      <c r="C3720" s="1" t="n">
        <v>45884</v>
      </c>
      <c r="D3720" t="inlineStr">
        <is>
          <t>KALMAR LÄN</t>
        </is>
      </c>
      <c r="E3720" t="inlineStr">
        <is>
          <t>VIMMERBY</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34655-2023</t>
        </is>
      </c>
      <c r="B3721" s="1" t="n">
        <v>45140</v>
      </c>
      <c r="C3721" s="1" t="n">
        <v>45884</v>
      </c>
      <c r="D3721" t="inlineStr">
        <is>
          <t>KALMAR LÄN</t>
        </is>
      </c>
      <c r="E3721" t="inlineStr">
        <is>
          <t>VÄSTERVIK</t>
        </is>
      </c>
      <c r="G3721" t="n">
        <v>3.6</v>
      </c>
      <c r="H3721" t="n">
        <v>0</v>
      </c>
      <c r="I3721" t="n">
        <v>0</v>
      </c>
      <c r="J3721" t="n">
        <v>0</v>
      </c>
      <c r="K3721" t="n">
        <v>0</v>
      </c>
      <c r="L3721" t="n">
        <v>0</v>
      </c>
      <c r="M3721" t="n">
        <v>0</v>
      </c>
      <c r="N3721" t="n">
        <v>0</v>
      </c>
      <c r="O3721" t="n">
        <v>0</v>
      </c>
      <c r="P3721" t="n">
        <v>0</v>
      </c>
      <c r="Q3721" t="n">
        <v>0</v>
      </c>
      <c r="R3721" s="2" t="inlineStr"/>
    </row>
    <row r="3722" ht="15" customHeight="1">
      <c r="A3722" t="inlineStr">
        <is>
          <t>A 46979-2023</t>
        </is>
      </c>
      <c r="B3722" s="1" t="n">
        <v>45201</v>
      </c>
      <c r="C3722" s="1" t="n">
        <v>45884</v>
      </c>
      <c r="D3722" t="inlineStr">
        <is>
          <t>KALMAR LÄN</t>
        </is>
      </c>
      <c r="E3722" t="inlineStr">
        <is>
          <t>VIMMERBY</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7847-2023</t>
        </is>
      </c>
      <c r="B3723" s="1" t="n">
        <v>44973.51290509259</v>
      </c>
      <c r="C3723" s="1" t="n">
        <v>45884</v>
      </c>
      <c r="D3723" t="inlineStr">
        <is>
          <t>KALMAR LÄN</t>
        </is>
      </c>
      <c r="E3723" t="inlineStr">
        <is>
          <t>NYBRO</t>
        </is>
      </c>
      <c r="G3723" t="n">
        <v>0.4</v>
      </c>
      <c r="H3723" t="n">
        <v>0</v>
      </c>
      <c r="I3723" t="n">
        <v>0</v>
      </c>
      <c r="J3723" t="n">
        <v>0</v>
      </c>
      <c r="K3723" t="n">
        <v>0</v>
      </c>
      <c r="L3723" t="n">
        <v>0</v>
      </c>
      <c r="M3723" t="n">
        <v>0</v>
      </c>
      <c r="N3723" t="n">
        <v>0</v>
      </c>
      <c r="O3723" t="n">
        <v>0</v>
      </c>
      <c r="P3723" t="n">
        <v>0</v>
      </c>
      <c r="Q3723" t="n">
        <v>0</v>
      </c>
      <c r="R3723" s="2" t="inlineStr"/>
    </row>
    <row r="3724" ht="15" customHeight="1">
      <c r="A3724" t="inlineStr">
        <is>
          <t>A 5959-2025</t>
        </is>
      </c>
      <c r="B3724" s="1" t="n">
        <v>45695.4821875</v>
      </c>
      <c r="C3724" s="1" t="n">
        <v>45884</v>
      </c>
      <c r="D3724" t="inlineStr">
        <is>
          <t>KALMAR LÄN</t>
        </is>
      </c>
      <c r="E3724" t="inlineStr">
        <is>
          <t>TORSÅS</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49623-2023</t>
        </is>
      </c>
      <c r="B3725" s="1" t="n">
        <v>45211</v>
      </c>
      <c r="C3725" s="1" t="n">
        <v>45884</v>
      </c>
      <c r="D3725" t="inlineStr">
        <is>
          <t>KALMAR LÄN</t>
        </is>
      </c>
      <c r="E3725" t="inlineStr">
        <is>
          <t>EMMABODA</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49627-2023</t>
        </is>
      </c>
      <c r="B3726" s="1" t="n">
        <v>45211</v>
      </c>
      <c r="C3726" s="1" t="n">
        <v>45884</v>
      </c>
      <c r="D3726" t="inlineStr">
        <is>
          <t>KALMAR LÄN</t>
        </is>
      </c>
      <c r="E3726" t="inlineStr">
        <is>
          <t>EMMABODA</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45658-2023</t>
        </is>
      </c>
      <c r="B3727" s="1" t="n">
        <v>45194</v>
      </c>
      <c r="C3727" s="1" t="n">
        <v>45884</v>
      </c>
      <c r="D3727" t="inlineStr">
        <is>
          <t>KALMAR LÄN</t>
        </is>
      </c>
      <c r="E3727" t="inlineStr">
        <is>
          <t>HULTSFRED</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38059-2024</t>
        </is>
      </c>
      <c r="B3728" s="1" t="n">
        <v>45544.7580787037</v>
      </c>
      <c r="C3728" s="1" t="n">
        <v>45884</v>
      </c>
      <c r="D3728" t="inlineStr">
        <is>
          <t>KALMAR LÄN</t>
        </is>
      </c>
      <c r="E3728" t="inlineStr">
        <is>
          <t>NYBRO</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3820-2023</t>
        </is>
      </c>
      <c r="B3729" s="1" t="n">
        <v>44951</v>
      </c>
      <c r="C3729" s="1" t="n">
        <v>45884</v>
      </c>
      <c r="D3729" t="inlineStr">
        <is>
          <t>KALMAR LÄN</t>
        </is>
      </c>
      <c r="E3729" t="inlineStr">
        <is>
          <t>OSKARSHAMN</t>
        </is>
      </c>
      <c r="G3729" t="n">
        <v>5.3</v>
      </c>
      <c r="H3729" t="n">
        <v>0</v>
      </c>
      <c r="I3729" t="n">
        <v>0</v>
      </c>
      <c r="J3729" t="n">
        <v>0</v>
      </c>
      <c r="K3729" t="n">
        <v>0</v>
      </c>
      <c r="L3729" t="n">
        <v>0</v>
      </c>
      <c r="M3729" t="n">
        <v>0</v>
      </c>
      <c r="N3729" t="n">
        <v>0</v>
      </c>
      <c r="O3729" t="n">
        <v>0</v>
      </c>
      <c r="P3729" t="n">
        <v>0</v>
      </c>
      <c r="Q3729" t="n">
        <v>0</v>
      </c>
      <c r="R3729" s="2" t="inlineStr"/>
    </row>
    <row r="3730" ht="15" customHeight="1">
      <c r="A3730" t="inlineStr">
        <is>
          <t>A 45047-2023</t>
        </is>
      </c>
      <c r="B3730" s="1" t="n">
        <v>45191.34582175926</v>
      </c>
      <c r="C3730" s="1" t="n">
        <v>45884</v>
      </c>
      <c r="D3730" t="inlineStr">
        <is>
          <t>KALMAR LÄN</t>
        </is>
      </c>
      <c r="E3730" t="inlineStr">
        <is>
          <t>HULTSFRED</t>
        </is>
      </c>
      <c r="G3730" t="n">
        <v>2.2</v>
      </c>
      <c r="H3730" t="n">
        <v>0</v>
      </c>
      <c r="I3730" t="n">
        <v>0</v>
      </c>
      <c r="J3730" t="n">
        <v>0</v>
      </c>
      <c r="K3730" t="n">
        <v>0</v>
      </c>
      <c r="L3730" t="n">
        <v>0</v>
      </c>
      <c r="M3730" t="n">
        <v>0</v>
      </c>
      <c r="N3730" t="n">
        <v>0</v>
      </c>
      <c r="O3730" t="n">
        <v>0</v>
      </c>
      <c r="P3730" t="n">
        <v>0</v>
      </c>
      <c r="Q3730" t="n">
        <v>0</v>
      </c>
      <c r="R3730" s="2" t="inlineStr"/>
    </row>
    <row r="3731" ht="15" customHeight="1">
      <c r="A3731" t="inlineStr">
        <is>
          <t>A 30182-2024</t>
        </is>
      </c>
      <c r="B3731" s="1" t="n">
        <v>45489.9324537037</v>
      </c>
      <c r="C3731" s="1" t="n">
        <v>45884</v>
      </c>
      <c r="D3731" t="inlineStr">
        <is>
          <t>KALMAR LÄN</t>
        </is>
      </c>
      <c r="E3731" t="inlineStr">
        <is>
          <t>OSKARSHAMN</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30278-2024</t>
        </is>
      </c>
      <c r="B3732" s="1" t="n">
        <v>45490.63440972222</v>
      </c>
      <c r="C3732" s="1" t="n">
        <v>45884</v>
      </c>
      <c r="D3732" t="inlineStr">
        <is>
          <t>KALMAR LÄN</t>
        </is>
      </c>
      <c r="E3732" t="inlineStr">
        <is>
          <t>OSKARSHAMN</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41649-2022</t>
        </is>
      </c>
      <c r="B3733" s="1" t="n">
        <v>44827</v>
      </c>
      <c r="C3733" s="1" t="n">
        <v>45884</v>
      </c>
      <c r="D3733" t="inlineStr">
        <is>
          <t>KALMAR LÄN</t>
        </is>
      </c>
      <c r="E3733" t="inlineStr">
        <is>
          <t>NYBRO</t>
        </is>
      </c>
      <c r="G3733" t="n">
        <v>12.1</v>
      </c>
      <c r="H3733" t="n">
        <v>0</v>
      </c>
      <c r="I3733" t="n">
        <v>0</v>
      </c>
      <c r="J3733" t="n">
        <v>0</v>
      </c>
      <c r="K3733" t="n">
        <v>0</v>
      </c>
      <c r="L3733" t="n">
        <v>0</v>
      </c>
      <c r="M3733" t="n">
        <v>0</v>
      </c>
      <c r="N3733" t="n">
        <v>0</v>
      </c>
      <c r="O3733" t="n">
        <v>0</v>
      </c>
      <c r="P3733" t="n">
        <v>0</v>
      </c>
      <c r="Q3733" t="n">
        <v>0</v>
      </c>
      <c r="R3733" s="2" t="inlineStr"/>
    </row>
    <row r="3734" ht="15" customHeight="1">
      <c r="A3734" t="inlineStr">
        <is>
          <t>A 41665-2022</t>
        </is>
      </c>
      <c r="B3734" s="1" t="n">
        <v>44827</v>
      </c>
      <c r="C3734" s="1" t="n">
        <v>45884</v>
      </c>
      <c r="D3734" t="inlineStr">
        <is>
          <t>KALMAR LÄN</t>
        </is>
      </c>
      <c r="E3734" t="inlineStr">
        <is>
          <t>MÖNSTERÅS</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56440-2024</t>
        </is>
      </c>
      <c r="B3735" s="1" t="n">
        <v>45625.41949074074</v>
      </c>
      <c r="C3735" s="1" t="n">
        <v>45884</v>
      </c>
      <c r="D3735" t="inlineStr">
        <is>
          <t>KALMAR LÄN</t>
        </is>
      </c>
      <c r="E3735" t="inlineStr">
        <is>
          <t>VÄSTERVIK</t>
        </is>
      </c>
      <c r="F3735" t="inlineStr">
        <is>
          <t>Övriga Aktiebolag</t>
        </is>
      </c>
      <c r="G3735" t="n">
        <v>3</v>
      </c>
      <c r="H3735" t="n">
        <v>0</v>
      </c>
      <c r="I3735" t="n">
        <v>0</v>
      </c>
      <c r="J3735" t="n">
        <v>0</v>
      </c>
      <c r="K3735" t="n">
        <v>0</v>
      </c>
      <c r="L3735" t="n">
        <v>0</v>
      </c>
      <c r="M3735" t="n">
        <v>0</v>
      </c>
      <c r="N3735" t="n">
        <v>0</v>
      </c>
      <c r="O3735" t="n">
        <v>0</v>
      </c>
      <c r="P3735" t="n">
        <v>0</v>
      </c>
      <c r="Q3735" t="n">
        <v>0</v>
      </c>
      <c r="R3735" s="2" t="inlineStr"/>
    </row>
    <row r="3736" ht="15" customHeight="1">
      <c r="A3736" t="inlineStr">
        <is>
          <t>A 54249-2024</t>
        </is>
      </c>
      <c r="B3736" s="1" t="n">
        <v>45616.69401620371</v>
      </c>
      <c r="C3736" s="1" t="n">
        <v>45884</v>
      </c>
      <c r="D3736" t="inlineStr">
        <is>
          <t>KALMAR LÄN</t>
        </is>
      </c>
      <c r="E3736" t="inlineStr">
        <is>
          <t>NYBRO</t>
        </is>
      </c>
      <c r="G3736" t="n">
        <v>2.9</v>
      </c>
      <c r="H3736" t="n">
        <v>0</v>
      </c>
      <c r="I3736" t="n">
        <v>0</v>
      </c>
      <c r="J3736" t="n">
        <v>0</v>
      </c>
      <c r="K3736" t="n">
        <v>0</v>
      </c>
      <c r="L3736" t="n">
        <v>0</v>
      </c>
      <c r="M3736" t="n">
        <v>0</v>
      </c>
      <c r="N3736" t="n">
        <v>0</v>
      </c>
      <c r="O3736" t="n">
        <v>0</v>
      </c>
      <c r="P3736" t="n">
        <v>0</v>
      </c>
      <c r="Q3736" t="n">
        <v>0</v>
      </c>
      <c r="R3736" s="2" t="inlineStr"/>
    </row>
    <row r="3737" ht="15" customHeight="1">
      <c r="A3737" t="inlineStr">
        <is>
          <t>A 10111-2024</t>
        </is>
      </c>
      <c r="B3737" s="1" t="n">
        <v>45364</v>
      </c>
      <c r="C3737" s="1" t="n">
        <v>45884</v>
      </c>
      <c r="D3737" t="inlineStr">
        <is>
          <t>KALMAR LÄN</t>
        </is>
      </c>
      <c r="E3737" t="inlineStr">
        <is>
          <t>MÖNSTERÅS</t>
        </is>
      </c>
      <c r="G3737" t="n">
        <v>5.2</v>
      </c>
      <c r="H3737" t="n">
        <v>0</v>
      </c>
      <c r="I3737" t="n">
        <v>0</v>
      </c>
      <c r="J3737" t="n">
        <v>0</v>
      </c>
      <c r="K3737" t="n">
        <v>0</v>
      </c>
      <c r="L3737" t="n">
        <v>0</v>
      </c>
      <c r="M3737" t="n">
        <v>0</v>
      </c>
      <c r="N3737" t="n">
        <v>0</v>
      </c>
      <c r="O3737" t="n">
        <v>0</v>
      </c>
      <c r="P3737" t="n">
        <v>0</v>
      </c>
      <c r="Q3737" t="n">
        <v>0</v>
      </c>
      <c r="R3737" s="2" t="inlineStr"/>
    </row>
    <row r="3738" ht="15" customHeight="1">
      <c r="A3738" t="inlineStr">
        <is>
          <t>A 7812-2024</t>
        </is>
      </c>
      <c r="B3738" s="1" t="n">
        <v>45349.67702546297</v>
      </c>
      <c r="C3738" s="1" t="n">
        <v>45884</v>
      </c>
      <c r="D3738" t="inlineStr">
        <is>
          <t>KALMAR LÄN</t>
        </is>
      </c>
      <c r="E3738" t="inlineStr">
        <is>
          <t>KALMAR</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39843-2022</t>
        </is>
      </c>
      <c r="B3739" s="1" t="n">
        <v>44819</v>
      </c>
      <c r="C3739" s="1" t="n">
        <v>45884</v>
      </c>
      <c r="D3739" t="inlineStr">
        <is>
          <t>KALMAR LÄN</t>
        </is>
      </c>
      <c r="E3739" t="inlineStr">
        <is>
          <t>KALMAR</t>
        </is>
      </c>
      <c r="G3739" t="n">
        <v>4.2</v>
      </c>
      <c r="H3739" t="n">
        <v>0</v>
      </c>
      <c r="I3739" t="n">
        <v>0</v>
      </c>
      <c r="J3739" t="n">
        <v>0</v>
      </c>
      <c r="K3739" t="n">
        <v>0</v>
      </c>
      <c r="L3739" t="n">
        <v>0</v>
      </c>
      <c r="M3739" t="n">
        <v>0</v>
      </c>
      <c r="N3739" t="n">
        <v>0</v>
      </c>
      <c r="O3739" t="n">
        <v>0</v>
      </c>
      <c r="P3739" t="n">
        <v>0</v>
      </c>
      <c r="Q3739" t="n">
        <v>0</v>
      </c>
      <c r="R3739" s="2" t="inlineStr"/>
    </row>
    <row r="3740" ht="15" customHeight="1">
      <c r="A3740" t="inlineStr">
        <is>
          <t>A 50169-2022</t>
        </is>
      </c>
      <c r="B3740" s="1" t="n">
        <v>44865.60001157408</v>
      </c>
      <c r="C3740" s="1" t="n">
        <v>45884</v>
      </c>
      <c r="D3740" t="inlineStr">
        <is>
          <t>KALMAR LÄN</t>
        </is>
      </c>
      <c r="E3740" t="inlineStr">
        <is>
          <t>OSKARSHAMN</t>
        </is>
      </c>
      <c r="G3740" t="n">
        <v>2.4</v>
      </c>
      <c r="H3740" t="n">
        <v>0</v>
      </c>
      <c r="I3740" t="n">
        <v>0</v>
      </c>
      <c r="J3740" t="n">
        <v>0</v>
      </c>
      <c r="K3740" t="n">
        <v>0</v>
      </c>
      <c r="L3740" t="n">
        <v>0</v>
      </c>
      <c r="M3740" t="n">
        <v>0</v>
      </c>
      <c r="N3740" t="n">
        <v>0</v>
      </c>
      <c r="O3740" t="n">
        <v>0</v>
      </c>
      <c r="P3740" t="n">
        <v>0</v>
      </c>
      <c r="Q3740" t="n">
        <v>0</v>
      </c>
      <c r="R3740" s="2" t="inlineStr"/>
    </row>
    <row r="3741" ht="15" customHeight="1">
      <c r="A3741" t="inlineStr">
        <is>
          <t>A 6574-2023</t>
        </is>
      </c>
      <c r="B3741" s="1" t="n">
        <v>44966</v>
      </c>
      <c r="C3741" s="1" t="n">
        <v>45884</v>
      </c>
      <c r="D3741" t="inlineStr">
        <is>
          <t>KALMAR LÄN</t>
        </is>
      </c>
      <c r="E3741" t="inlineStr">
        <is>
          <t>VIMMERBY</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7725-2023</t>
        </is>
      </c>
      <c r="B3742" s="1" t="n">
        <v>44973.28375</v>
      </c>
      <c r="C3742" s="1" t="n">
        <v>45884</v>
      </c>
      <c r="D3742" t="inlineStr">
        <is>
          <t>KALMAR LÄN</t>
        </is>
      </c>
      <c r="E3742" t="inlineStr">
        <is>
          <t>NYBRO</t>
        </is>
      </c>
      <c r="G3742" t="n">
        <v>3.4</v>
      </c>
      <c r="H3742" t="n">
        <v>0</v>
      </c>
      <c r="I3742" t="n">
        <v>0</v>
      </c>
      <c r="J3742" t="n">
        <v>0</v>
      </c>
      <c r="K3742" t="n">
        <v>0</v>
      </c>
      <c r="L3742" t="n">
        <v>0</v>
      </c>
      <c r="M3742" t="n">
        <v>0</v>
      </c>
      <c r="N3742" t="n">
        <v>0</v>
      </c>
      <c r="O3742" t="n">
        <v>0</v>
      </c>
      <c r="P3742" t="n">
        <v>0</v>
      </c>
      <c r="Q3742" t="n">
        <v>0</v>
      </c>
      <c r="R3742" s="2" t="inlineStr"/>
    </row>
    <row r="3743" ht="15" customHeight="1">
      <c r="A3743" t="inlineStr">
        <is>
          <t>A 9945-2025</t>
        </is>
      </c>
      <c r="B3743" s="1" t="n">
        <v>45719.31096064814</v>
      </c>
      <c r="C3743" s="1" t="n">
        <v>45884</v>
      </c>
      <c r="D3743" t="inlineStr">
        <is>
          <t>KALMAR LÄN</t>
        </is>
      </c>
      <c r="E3743" t="inlineStr">
        <is>
          <t>HULTSFRED</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56206-2023</t>
        </is>
      </c>
      <c r="B3744" s="1" t="n">
        <v>45240</v>
      </c>
      <c r="C3744" s="1" t="n">
        <v>45884</v>
      </c>
      <c r="D3744" t="inlineStr">
        <is>
          <t>KALMAR LÄN</t>
        </is>
      </c>
      <c r="E3744" t="inlineStr">
        <is>
          <t>OSKARSHAMN</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17819-2022</t>
        </is>
      </c>
      <c r="B3745" s="1" t="n">
        <v>44683.41577546296</v>
      </c>
      <c r="C3745" s="1" t="n">
        <v>45884</v>
      </c>
      <c r="D3745" t="inlineStr">
        <is>
          <t>KALMAR LÄN</t>
        </is>
      </c>
      <c r="E3745" t="inlineStr">
        <is>
          <t>TORSÅS</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17820-2022</t>
        </is>
      </c>
      <c r="B3746" s="1" t="n">
        <v>44683.41893518518</v>
      </c>
      <c r="C3746" s="1" t="n">
        <v>45884</v>
      </c>
      <c r="D3746" t="inlineStr">
        <is>
          <t>KALMAR LÄN</t>
        </is>
      </c>
      <c r="E3746" t="inlineStr">
        <is>
          <t>TORSÅS</t>
        </is>
      </c>
      <c r="G3746" t="n">
        <v>2</v>
      </c>
      <c r="H3746" t="n">
        <v>0</v>
      </c>
      <c r="I3746" t="n">
        <v>0</v>
      </c>
      <c r="J3746" t="n">
        <v>0</v>
      </c>
      <c r="K3746" t="n">
        <v>0</v>
      </c>
      <c r="L3746" t="n">
        <v>0</v>
      </c>
      <c r="M3746" t="n">
        <v>0</v>
      </c>
      <c r="N3746" t="n">
        <v>0</v>
      </c>
      <c r="O3746" t="n">
        <v>0</v>
      </c>
      <c r="P3746" t="n">
        <v>0</v>
      </c>
      <c r="Q3746" t="n">
        <v>0</v>
      </c>
      <c r="R3746" s="2" t="inlineStr"/>
    </row>
    <row r="3747" ht="15" customHeight="1">
      <c r="A3747" t="inlineStr">
        <is>
          <t>A 17826-2022</t>
        </is>
      </c>
      <c r="B3747" s="1" t="n">
        <v>44683.43862268519</v>
      </c>
      <c r="C3747" s="1" t="n">
        <v>45884</v>
      </c>
      <c r="D3747" t="inlineStr">
        <is>
          <t>KALMAR LÄN</t>
        </is>
      </c>
      <c r="E3747" t="inlineStr">
        <is>
          <t>EMMABODA</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7813-2024</t>
        </is>
      </c>
      <c r="B3748" s="1" t="n">
        <v>45349.67712962963</v>
      </c>
      <c r="C3748" s="1" t="n">
        <v>45884</v>
      </c>
      <c r="D3748" t="inlineStr">
        <is>
          <t>KALMAR LÄN</t>
        </is>
      </c>
      <c r="E3748" t="inlineStr">
        <is>
          <t>OSKARSHAMN</t>
        </is>
      </c>
      <c r="G3748" t="n">
        <v>0.4</v>
      </c>
      <c r="H3748" t="n">
        <v>0</v>
      </c>
      <c r="I3748" t="n">
        <v>0</v>
      </c>
      <c r="J3748" t="n">
        <v>0</v>
      </c>
      <c r="K3748" t="n">
        <v>0</v>
      </c>
      <c r="L3748" t="n">
        <v>0</v>
      </c>
      <c r="M3748" t="n">
        <v>0</v>
      </c>
      <c r="N3748" t="n">
        <v>0</v>
      </c>
      <c r="O3748" t="n">
        <v>0</v>
      </c>
      <c r="P3748" t="n">
        <v>0</v>
      </c>
      <c r="Q3748" t="n">
        <v>0</v>
      </c>
      <c r="R3748" s="2" t="inlineStr"/>
    </row>
    <row r="3749" ht="15" customHeight="1">
      <c r="A3749" t="inlineStr">
        <is>
          <t>A 11968-2025</t>
        </is>
      </c>
      <c r="B3749" s="1" t="n">
        <v>45728.58208333333</v>
      </c>
      <c r="C3749" s="1" t="n">
        <v>45884</v>
      </c>
      <c r="D3749" t="inlineStr">
        <is>
          <t>KALMAR LÄN</t>
        </is>
      </c>
      <c r="E3749" t="inlineStr">
        <is>
          <t>NYBRO</t>
        </is>
      </c>
      <c r="F3749" t="inlineStr">
        <is>
          <t>Sveaskog</t>
        </is>
      </c>
      <c r="G3749" t="n">
        <v>0.4</v>
      </c>
      <c r="H3749" t="n">
        <v>0</v>
      </c>
      <c r="I3749" t="n">
        <v>0</v>
      </c>
      <c r="J3749" t="n">
        <v>0</v>
      </c>
      <c r="K3749" t="n">
        <v>0</v>
      </c>
      <c r="L3749" t="n">
        <v>0</v>
      </c>
      <c r="M3749" t="n">
        <v>0</v>
      </c>
      <c r="N3749" t="n">
        <v>0</v>
      </c>
      <c r="O3749" t="n">
        <v>0</v>
      </c>
      <c r="P3749" t="n">
        <v>0</v>
      </c>
      <c r="Q3749" t="n">
        <v>0</v>
      </c>
      <c r="R3749" s="2" t="inlineStr"/>
    </row>
    <row r="3750" ht="15" customHeight="1">
      <c r="A3750" t="inlineStr">
        <is>
          <t>A 5405-2024</t>
        </is>
      </c>
      <c r="B3750" s="1" t="n">
        <v>45331.60153935185</v>
      </c>
      <c r="C3750" s="1" t="n">
        <v>45884</v>
      </c>
      <c r="D3750" t="inlineStr">
        <is>
          <t>KALMAR LÄN</t>
        </is>
      </c>
      <c r="E3750" t="inlineStr">
        <is>
          <t>NYBRO</t>
        </is>
      </c>
      <c r="G3750" t="n">
        <v>5.9</v>
      </c>
      <c r="H3750" t="n">
        <v>0</v>
      </c>
      <c r="I3750" t="n">
        <v>0</v>
      </c>
      <c r="J3750" t="n">
        <v>0</v>
      </c>
      <c r="K3750" t="n">
        <v>0</v>
      </c>
      <c r="L3750" t="n">
        <v>0</v>
      </c>
      <c r="M3750" t="n">
        <v>0</v>
      </c>
      <c r="N3750" t="n">
        <v>0</v>
      </c>
      <c r="O3750" t="n">
        <v>0</v>
      </c>
      <c r="P3750" t="n">
        <v>0</v>
      </c>
      <c r="Q3750" t="n">
        <v>0</v>
      </c>
      <c r="R3750" s="2" t="inlineStr"/>
    </row>
    <row r="3751" ht="15" customHeight="1">
      <c r="A3751" t="inlineStr">
        <is>
          <t>A 12899-2021</t>
        </is>
      </c>
      <c r="B3751" s="1" t="n">
        <v>44271.46438657407</v>
      </c>
      <c r="C3751" s="1" t="n">
        <v>45884</v>
      </c>
      <c r="D3751" t="inlineStr">
        <is>
          <t>KALMAR LÄN</t>
        </is>
      </c>
      <c r="E3751" t="inlineStr">
        <is>
          <t>HÖGSBY</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38442-2021</t>
        </is>
      </c>
      <c r="B3752" s="1" t="n">
        <v>44407.33692129629</v>
      </c>
      <c r="C3752" s="1" t="n">
        <v>45884</v>
      </c>
      <c r="D3752" t="inlineStr">
        <is>
          <t>KALMAR LÄN</t>
        </is>
      </c>
      <c r="E3752" t="inlineStr">
        <is>
          <t>NYBRO</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5145-2025</t>
        </is>
      </c>
      <c r="B3753" s="1" t="n">
        <v>45691.58703703704</v>
      </c>
      <c r="C3753" s="1" t="n">
        <v>45884</v>
      </c>
      <c r="D3753" t="inlineStr">
        <is>
          <t>KALMAR LÄN</t>
        </is>
      </c>
      <c r="E3753" t="inlineStr">
        <is>
          <t>OSKARSHAMN</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17564-2025</t>
        </is>
      </c>
      <c r="B3754" s="1" t="n">
        <v>45757.63991898148</v>
      </c>
      <c r="C3754" s="1" t="n">
        <v>45884</v>
      </c>
      <c r="D3754" t="inlineStr">
        <is>
          <t>KALMAR LÄN</t>
        </is>
      </c>
      <c r="E3754" t="inlineStr">
        <is>
          <t>EMMABODA</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4222-2021</t>
        </is>
      </c>
      <c r="B3755" s="1" t="n">
        <v>44218</v>
      </c>
      <c r="C3755" s="1" t="n">
        <v>45884</v>
      </c>
      <c r="D3755" t="inlineStr">
        <is>
          <t>KALMAR LÄN</t>
        </is>
      </c>
      <c r="E3755" t="inlineStr">
        <is>
          <t>HULTSFRED</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54482-2021</t>
        </is>
      </c>
      <c r="B3756" s="1" t="n">
        <v>44473</v>
      </c>
      <c r="C3756" s="1" t="n">
        <v>45884</v>
      </c>
      <c r="D3756" t="inlineStr">
        <is>
          <t>KALMAR LÄN</t>
        </is>
      </c>
      <c r="E3756" t="inlineStr">
        <is>
          <t>EMMABODA</t>
        </is>
      </c>
      <c r="G3756" t="n">
        <v>4</v>
      </c>
      <c r="H3756" t="n">
        <v>0</v>
      </c>
      <c r="I3756" t="n">
        <v>0</v>
      </c>
      <c r="J3756" t="n">
        <v>0</v>
      </c>
      <c r="K3756" t="n">
        <v>0</v>
      </c>
      <c r="L3756" t="n">
        <v>0</v>
      </c>
      <c r="M3756" t="n">
        <v>0</v>
      </c>
      <c r="N3756" t="n">
        <v>0</v>
      </c>
      <c r="O3756" t="n">
        <v>0</v>
      </c>
      <c r="P3756" t="n">
        <v>0</v>
      </c>
      <c r="Q3756" t="n">
        <v>0</v>
      </c>
      <c r="R3756" s="2" t="inlineStr"/>
    </row>
    <row r="3757" ht="15" customHeight="1">
      <c r="A3757" t="inlineStr">
        <is>
          <t>A 58720-2023</t>
        </is>
      </c>
      <c r="B3757" s="1" t="n">
        <v>45251.73802083333</v>
      </c>
      <c r="C3757" s="1" t="n">
        <v>45884</v>
      </c>
      <c r="D3757" t="inlineStr">
        <is>
          <t>KALMAR LÄN</t>
        </is>
      </c>
      <c r="E3757" t="inlineStr">
        <is>
          <t>MÖNSTERÅS</t>
        </is>
      </c>
      <c r="G3757" t="n">
        <v>5.3</v>
      </c>
      <c r="H3757" t="n">
        <v>0</v>
      </c>
      <c r="I3757" t="n">
        <v>0</v>
      </c>
      <c r="J3757" t="n">
        <v>0</v>
      </c>
      <c r="K3757" t="n">
        <v>0</v>
      </c>
      <c r="L3757" t="n">
        <v>0</v>
      </c>
      <c r="M3757" t="n">
        <v>0</v>
      </c>
      <c r="N3757" t="n">
        <v>0</v>
      </c>
      <c r="O3757" t="n">
        <v>0</v>
      </c>
      <c r="P3757" t="n">
        <v>0</v>
      </c>
      <c r="Q3757" t="n">
        <v>0</v>
      </c>
      <c r="R3757" s="2" t="inlineStr"/>
    </row>
    <row r="3758" ht="15" customHeight="1">
      <c r="A3758" t="inlineStr">
        <is>
          <t>A 68991-2021</t>
        </is>
      </c>
      <c r="B3758" s="1" t="n">
        <v>44529</v>
      </c>
      <c r="C3758" s="1" t="n">
        <v>45884</v>
      </c>
      <c r="D3758" t="inlineStr">
        <is>
          <t>KALMAR LÄN</t>
        </is>
      </c>
      <c r="E3758" t="inlineStr">
        <is>
          <t>HULTSFRED</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6557-2023</t>
        </is>
      </c>
      <c r="B3759" s="1" t="n">
        <v>44966.45128472222</v>
      </c>
      <c r="C3759" s="1" t="n">
        <v>45884</v>
      </c>
      <c r="D3759" t="inlineStr">
        <is>
          <t>KALMAR LÄN</t>
        </is>
      </c>
      <c r="E3759" t="inlineStr">
        <is>
          <t>MÖNSTERÅS</t>
        </is>
      </c>
      <c r="G3759" t="n">
        <v>4.4</v>
      </c>
      <c r="H3759" t="n">
        <v>0</v>
      </c>
      <c r="I3759" t="n">
        <v>0</v>
      </c>
      <c r="J3759" t="n">
        <v>0</v>
      </c>
      <c r="K3759" t="n">
        <v>0</v>
      </c>
      <c r="L3759" t="n">
        <v>0</v>
      </c>
      <c r="M3759" t="n">
        <v>0</v>
      </c>
      <c r="N3759" t="n">
        <v>0</v>
      </c>
      <c r="O3759" t="n">
        <v>0</v>
      </c>
      <c r="P3759" t="n">
        <v>0</v>
      </c>
      <c r="Q3759" t="n">
        <v>0</v>
      </c>
      <c r="R3759" s="2" t="inlineStr"/>
    </row>
    <row r="3760" ht="15" customHeight="1">
      <c r="A3760" t="inlineStr">
        <is>
          <t>A 49804-2022</t>
        </is>
      </c>
      <c r="B3760" s="1" t="n">
        <v>44862</v>
      </c>
      <c r="C3760" s="1" t="n">
        <v>45884</v>
      </c>
      <c r="D3760" t="inlineStr">
        <is>
          <t>KALMAR LÄN</t>
        </is>
      </c>
      <c r="E3760" t="inlineStr">
        <is>
          <t>OSKARSHAMN</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41974-2024</t>
        </is>
      </c>
      <c r="B3761" s="1" t="n">
        <v>45561.61627314815</v>
      </c>
      <c r="C3761" s="1" t="n">
        <v>45884</v>
      </c>
      <c r="D3761" t="inlineStr">
        <is>
          <t>KALMAR LÄN</t>
        </is>
      </c>
      <c r="E3761" t="inlineStr">
        <is>
          <t>NYBRO</t>
        </is>
      </c>
      <c r="F3761" t="inlineStr">
        <is>
          <t>Sveaskog</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3999-2023</t>
        </is>
      </c>
      <c r="B3762" s="1" t="n">
        <v>44952.49959490741</v>
      </c>
      <c r="C3762" s="1" t="n">
        <v>45884</v>
      </c>
      <c r="D3762" t="inlineStr">
        <is>
          <t>KALMAR LÄN</t>
        </is>
      </c>
      <c r="E3762" t="inlineStr">
        <is>
          <t>HULTSFRED</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47989-2022</t>
        </is>
      </c>
      <c r="B3763" s="1" t="n">
        <v>44855.62880787037</v>
      </c>
      <c r="C3763" s="1" t="n">
        <v>45884</v>
      </c>
      <c r="D3763" t="inlineStr">
        <is>
          <t>KALMAR LÄN</t>
        </is>
      </c>
      <c r="E3763" t="inlineStr">
        <is>
          <t>KALMAR</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4026-2023</t>
        </is>
      </c>
      <c r="B3764" s="1" t="n">
        <v>44952.55995370371</v>
      </c>
      <c r="C3764" s="1" t="n">
        <v>45884</v>
      </c>
      <c r="D3764" t="inlineStr">
        <is>
          <t>KALMAR LÄN</t>
        </is>
      </c>
      <c r="E3764" t="inlineStr">
        <is>
          <t>KALMAR</t>
        </is>
      </c>
      <c r="G3764" t="n">
        <v>3.4</v>
      </c>
      <c r="H3764" t="n">
        <v>0</v>
      </c>
      <c r="I3764" t="n">
        <v>0</v>
      </c>
      <c r="J3764" t="n">
        <v>0</v>
      </c>
      <c r="K3764" t="n">
        <v>0</v>
      </c>
      <c r="L3764" t="n">
        <v>0</v>
      </c>
      <c r="M3764" t="n">
        <v>0</v>
      </c>
      <c r="N3764" t="n">
        <v>0</v>
      </c>
      <c r="O3764" t="n">
        <v>0</v>
      </c>
      <c r="P3764" t="n">
        <v>0</v>
      </c>
      <c r="Q3764" t="n">
        <v>0</v>
      </c>
      <c r="R3764" s="2" t="inlineStr"/>
    </row>
    <row r="3765" ht="15" customHeight="1">
      <c r="A3765" t="inlineStr">
        <is>
          <t>A 15116-2023</t>
        </is>
      </c>
      <c r="B3765" s="1" t="n">
        <v>45016.44748842593</v>
      </c>
      <c r="C3765" s="1" t="n">
        <v>45884</v>
      </c>
      <c r="D3765" t="inlineStr">
        <is>
          <t>KALMAR LÄN</t>
        </is>
      </c>
      <c r="E3765" t="inlineStr">
        <is>
          <t>NYBRO</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44432-2023</t>
        </is>
      </c>
      <c r="B3766" s="1" t="n">
        <v>45189.35297453704</v>
      </c>
      <c r="C3766" s="1" t="n">
        <v>45884</v>
      </c>
      <c r="D3766" t="inlineStr">
        <is>
          <t>KALMAR LÄN</t>
        </is>
      </c>
      <c r="E3766" t="inlineStr">
        <is>
          <t>EMMABODA</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44436-2023</t>
        </is>
      </c>
      <c r="B3767" s="1" t="n">
        <v>45189</v>
      </c>
      <c r="C3767" s="1" t="n">
        <v>45884</v>
      </c>
      <c r="D3767" t="inlineStr">
        <is>
          <t>KALMAR LÄN</t>
        </is>
      </c>
      <c r="E3767" t="inlineStr">
        <is>
          <t>HÖGSBY</t>
        </is>
      </c>
      <c r="G3767" t="n">
        <v>5</v>
      </c>
      <c r="H3767" t="n">
        <v>0</v>
      </c>
      <c r="I3767" t="n">
        <v>0</v>
      </c>
      <c r="J3767" t="n">
        <v>0</v>
      </c>
      <c r="K3767" t="n">
        <v>0</v>
      </c>
      <c r="L3767" t="n">
        <v>0</v>
      </c>
      <c r="M3767" t="n">
        <v>0</v>
      </c>
      <c r="N3767" t="n">
        <v>0</v>
      </c>
      <c r="O3767" t="n">
        <v>0</v>
      </c>
      <c r="P3767" t="n">
        <v>0</v>
      </c>
      <c r="Q3767" t="n">
        <v>0</v>
      </c>
      <c r="R3767" s="2" t="inlineStr"/>
    </row>
    <row r="3768" ht="15" customHeight="1">
      <c r="A3768" t="inlineStr">
        <is>
          <t>A 15715-2022</t>
        </is>
      </c>
      <c r="B3768" s="1" t="n">
        <v>44663</v>
      </c>
      <c r="C3768" s="1" t="n">
        <v>45884</v>
      </c>
      <c r="D3768" t="inlineStr">
        <is>
          <t>KALMAR LÄN</t>
        </is>
      </c>
      <c r="E3768" t="inlineStr">
        <is>
          <t>VIMMERBY</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4447-2024</t>
        </is>
      </c>
      <c r="B3769" s="1" t="n">
        <v>45327.49581018519</v>
      </c>
      <c r="C3769" s="1" t="n">
        <v>45884</v>
      </c>
      <c r="D3769" t="inlineStr">
        <is>
          <t>KALMAR LÄN</t>
        </is>
      </c>
      <c r="E3769" t="inlineStr">
        <is>
          <t>TORSÅS</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68234-2020</t>
        </is>
      </c>
      <c r="B3770" s="1" t="n">
        <v>44183.62951388889</v>
      </c>
      <c r="C3770" s="1" t="n">
        <v>45884</v>
      </c>
      <c r="D3770" t="inlineStr">
        <is>
          <t>KALMAR LÄN</t>
        </is>
      </c>
      <c r="E3770" t="inlineStr">
        <is>
          <t>HULTSFRED</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13957-2025</t>
        </is>
      </c>
      <c r="B3771" s="1" t="n">
        <v>45737.85231481482</v>
      </c>
      <c r="C3771" s="1" t="n">
        <v>45884</v>
      </c>
      <c r="D3771" t="inlineStr">
        <is>
          <t>KALMAR LÄN</t>
        </is>
      </c>
      <c r="E3771" t="inlineStr">
        <is>
          <t>VÄSTERVIK</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36909-2023</t>
        </is>
      </c>
      <c r="B3772" s="1" t="n">
        <v>45154.65267361111</v>
      </c>
      <c r="C3772" s="1" t="n">
        <v>45884</v>
      </c>
      <c r="D3772" t="inlineStr">
        <is>
          <t>KALMAR LÄN</t>
        </is>
      </c>
      <c r="E3772" t="inlineStr">
        <is>
          <t>HÖGSBY</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54462-2023</t>
        </is>
      </c>
      <c r="B3773" s="1" t="n">
        <v>45233.45891203704</v>
      </c>
      <c r="C3773" s="1" t="n">
        <v>45884</v>
      </c>
      <c r="D3773" t="inlineStr">
        <is>
          <t>KALMAR LÄN</t>
        </is>
      </c>
      <c r="E3773" t="inlineStr">
        <is>
          <t>KALMAR</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38721-2020</t>
        </is>
      </c>
      <c r="B3774" s="1" t="n">
        <v>44061</v>
      </c>
      <c r="C3774" s="1" t="n">
        <v>45884</v>
      </c>
      <c r="D3774" t="inlineStr">
        <is>
          <t>KALMAR LÄN</t>
        </is>
      </c>
      <c r="E3774" t="inlineStr">
        <is>
          <t>MÖNSTERÅS</t>
        </is>
      </c>
      <c r="G3774" t="n">
        <v>7.9</v>
      </c>
      <c r="H3774" t="n">
        <v>0</v>
      </c>
      <c r="I3774" t="n">
        <v>0</v>
      </c>
      <c r="J3774" t="n">
        <v>0</v>
      </c>
      <c r="K3774" t="n">
        <v>0</v>
      </c>
      <c r="L3774" t="n">
        <v>0</v>
      </c>
      <c r="M3774" t="n">
        <v>0</v>
      </c>
      <c r="N3774" t="n">
        <v>0</v>
      </c>
      <c r="O3774" t="n">
        <v>0</v>
      </c>
      <c r="P3774" t="n">
        <v>0</v>
      </c>
      <c r="Q3774" t="n">
        <v>0</v>
      </c>
      <c r="R3774" s="2" t="inlineStr"/>
    </row>
    <row r="3775" ht="15" customHeight="1">
      <c r="A3775" t="inlineStr">
        <is>
          <t>A 43093-2024</t>
        </is>
      </c>
      <c r="B3775" s="1" t="n">
        <v>45567</v>
      </c>
      <c r="C3775" s="1" t="n">
        <v>45884</v>
      </c>
      <c r="D3775" t="inlineStr">
        <is>
          <t>KALMAR LÄN</t>
        </is>
      </c>
      <c r="E3775" t="inlineStr">
        <is>
          <t>VIMMERBY</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33050-2023</t>
        </is>
      </c>
      <c r="B3776" s="1" t="n">
        <v>45126</v>
      </c>
      <c r="C3776" s="1" t="n">
        <v>45884</v>
      </c>
      <c r="D3776" t="inlineStr">
        <is>
          <t>KALMAR LÄN</t>
        </is>
      </c>
      <c r="E3776" t="inlineStr">
        <is>
          <t>EMMABODA</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1788-2025</t>
        </is>
      </c>
      <c r="B3777" s="1" t="n">
        <v>45671.45521990741</v>
      </c>
      <c r="C3777" s="1" t="n">
        <v>45884</v>
      </c>
      <c r="D3777" t="inlineStr">
        <is>
          <t>KALMAR LÄN</t>
        </is>
      </c>
      <c r="E3777" t="inlineStr">
        <is>
          <t>VÄSTERVIK</t>
        </is>
      </c>
      <c r="F3777" t="inlineStr">
        <is>
          <t>Sveaskog</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28344-2024</t>
        </is>
      </c>
      <c r="B3778" s="1" t="n">
        <v>45477.55280092593</v>
      </c>
      <c r="C3778" s="1" t="n">
        <v>45884</v>
      </c>
      <c r="D3778" t="inlineStr">
        <is>
          <t>KALMAR LÄN</t>
        </is>
      </c>
      <c r="E3778" t="inlineStr">
        <is>
          <t>VÄSTERVIK</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9269-2025</t>
        </is>
      </c>
      <c r="B3779" s="1" t="n">
        <v>45714.61543981481</v>
      </c>
      <c r="C3779" s="1" t="n">
        <v>45884</v>
      </c>
      <c r="D3779" t="inlineStr">
        <is>
          <t>KALMAR LÄN</t>
        </is>
      </c>
      <c r="E3779" t="inlineStr">
        <is>
          <t>VÄSTERVIK</t>
        </is>
      </c>
      <c r="F3779" t="inlineStr">
        <is>
          <t>Sveaskog</t>
        </is>
      </c>
      <c r="G3779" t="n">
        <v>2.8</v>
      </c>
      <c r="H3779" t="n">
        <v>0</v>
      </c>
      <c r="I3779" t="n">
        <v>0</v>
      </c>
      <c r="J3779" t="n">
        <v>0</v>
      </c>
      <c r="K3779" t="n">
        <v>0</v>
      </c>
      <c r="L3779" t="n">
        <v>0</v>
      </c>
      <c r="M3779" t="n">
        <v>0</v>
      </c>
      <c r="N3779" t="n">
        <v>0</v>
      </c>
      <c r="O3779" t="n">
        <v>0</v>
      </c>
      <c r="P3779" t="n">
        <v>0</v>
      </c>
      <c r="Q3779" t="n">
        <v>0</v>
      </c>
      <c r="R3779" s="2" t="inlineStr"/>
    </row>
    <row r="3780" ht="15" customHeight="1">
      <c r="A3780" t="inlineStr">
        <is>
          <t>A 56022-2024</t>
        </is>
      </c>
      <c r="B3780" s="1" t="n">
        <v>45623.95947916667</v>
      </c>
      <c r="C3780" s="1" t="n">
        <v>45884</v>
      </c>
      <c r="D3780" t="inlineStr">
        <is>
          <t>KALMAR LÄN</t>
        </is>
      </c>
      <c r="E3780" t="inlineStr">
        <is>
          <t>VIMMERBY</t>
        </is>
      </c>
      <c r="G3780" t="n">
        <v>0.3</v>
      </c>
      <c r="H3780" t="n">
        <v>0</v>
      </c>
      <c r="I3780" t="n">
        <v>0</v>
      </c>
      <c r="J3780" t="n">
        <v>0</v>
      </c>
      <c r="K3780" t="n">
        <v>0</v>
      </c>
      <c r="L3780" t="n">
        <v>0</v>
      </c>
      <c r="M3780" t="n">
        <v>0</v>
      </c>
      <c r="N3780" t="n">
        <v>0</v>
      </c>
      <c r="O3780" t="n">
        <v>0</v>
      </c>
      <c r="P3780" t="n">
        <v>0</v>
      </c>
      <c r="Q3780" t="n">
        <v>0</v>
      </c>
      <c r="R3780" s="2" t="inlineStr"/>
    </row>
    <row r="3781" ht="15" customHeight="1">
      <c r="A3781" t="inlineStr">
        <is>
          <t>A 53614-2023</t>
        </is>
      </c>
      <c r="B3781" s="1" t="n">
        <v>45223</v>
      </c>
      <c r="C3781" s="1" t="n">
        <v>45884</v>
      </c>
      <c r="D3781" t="inlineStr">
        <is>
          <t>KALMAR LÄN</t>
        </is>
      </c>
      <c r="E3781" t="inlineStr">
        <is>
          <t>NYBRO</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19210-2023</t>
        </is>
      </c>
      <c r="B3782" s="1" t="n">
        <v>45048</v>
      </c>
      <c r="C3782" s="1" t="n">
        <v>45884</v>
      </c>
      <c r="D3782" t="inlineStr">
        <is>
          <t>KALMAR LÄN</t>
        </is>
      </c>
      <c r="E3782" t="inlineStr">
        <is>
          <t>EMMABODA</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45214-2023</t>
        </is>
      </c>
      <c r="B3783" s="1" t="n">
        <v>45191.56679398148</v>
      </c>
      <c r="C3783" s="1" t="n">
        <v>45884</v>
      </c>
      <c r="D3783" t="inlineStr">
        <is>
          <t>KALMAR LÄN</t>
        </is>
      </c>
      <c r="E3783" t="inlineStr">
        <is>
          <t>EMMABODA</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32663-2024</t>
        </is>
      </c>
      <c r="B3784" s="1" t="n">
        <v>45514.38017361111</v>
      </c>
      <c r="C3784" s="1" t="n">
        <v>45884</v>
      </c>
      <c r="D3784" t="inlineStr">
        <is>
          <t>KALMAR LÄN</t>
        </is>
      </c>
      <c r="E3784" t="inlineStr">
        <is>
          <t>EMMABODA</t>
        </is>
      </c>
      <c r="G3784" t="n">
        <v>3.2</v>
      </c>
      <c r="H3784" t="n">
        <v>0</v>
      </c>
      <c r="I3784" t="n">
        <v>0</v>
      </c>
      <c r="J3784" t="n">
        <v>0</v>
      </c>
      <c r="K3784" t="n">
        <v>0</v>
      </c>
      <c r="L3784" t="n">
        <v>0</v>
      </c>
      <c r="M3784" t="n">
        <v>0</v>
      </c>
      <c r="N3784" t="n">
        <v>0</v>
      </c>
      <c r="O3784" t="n">
        <v>0</v>
      </c>
      <c r="P3784" t="n">
        <v>0</v>
      </c>
      <c r="Q3784" t="n">
        <v>0</v>
      </c>
      <c r="R3784" s="2" t="inlineStr"/>
    </row>
    <row r="3785" ht="15" customHeight="1">
      <c r="A3785" t="inlineStr">
        <is>
          <t>A 51533-2022</t>
        </is>
      </c>
      <c r="B3785" s="1" t="n">
        <v>44869.80395833333</v>
      </c>
      <c r="C3785" s="1" t="n">
        <v>45884</v>
      </c>
      <c r="D3785" t="inlineStr">
        <is>
          <t>KALMAR LÄN</t>
        </is>
      </c>
      <c r="E3785" t="inlineStr">
        <is>
          <t>MÖNSTERÅS</t>
        </is>
      </c>
      <c r="G3785" t="n">
        <v>2.3</v>
      </c>
      <c r="H3785" t="n">
        <v>0</v>
      </c>
      <c r="I3785" t="n">
        <v>0</v>
      </c>
      <c r="J3785" t="n">
        <v>0</v>
      </c>
      <c r="K3785" t="n">
        <v>0</v>
      </c>
      <c r="L3785" t="n">
        <v>0</v>
      </c>
      <c r="M3785" t="n">
        <v>0</v>
      </c>
      <c r="N3785" t="n">
        <v>0</v>
      </c>
      <c r="O3785" t="n">
        <v>0</v>
      </c>
      <c r="P3785" t="n">
        <v>0</v>
      </c>
      <c r="Q3785" t="n">
        <v>0</v>
      </c>
      <c r="R3785" s="2" t="inlineStr"/>
    </row>
    <row r="3786" ht="15" customHeight="1">
      <c r="A3786" t="inlineStr">
        <is>
          <t>A 64130-2023</t>
        </is>
      </c>
      <c r="B3786" s="1" t="n">
        <v>45279.52777777778</v>
      </c>
      <c r="C3786" s="1" t="n">
        <v>45884</v>
      </c>
      <c r="D3786" t="inlineStr">
        <is>
          <t>KALMAR LÄN</t>
        </is>
      </c>
      <c r="E3786" t="inlineStr">
        <is>
          <t>HÖGSBY</t>
        </is>
      </c>
      <c r="G3786" t="n">
        <v>4.9</v>
      </c>
      <c r="H3786" t="n">
        <v>0</v>
      </c>
      <c r="I3786" t="n">
        <v>0</v>
      </c>
      <c r="J3786" t="n">
        <v>0</v>
      </c>
      <c r="K3786" t="n">
        <v>0</v>
      </c>
      <c r="L3786" t="n">
        <v>0</v>
      </c>
      <c r="M3786" t="n">
        <v>0</v>
      </c>
      <c r="N3786" t="n">
        <v>0</v>
      </c>
      <c r="O3786" t="n">
        <v>0</v>
      </c>
      <c r="P3786" t="n">
        <v>0</v>
      </c>
      <c r="Q3786" t="n">
        <v>0</v>
      </c>
      <c r="R3786" s="2" t="inlineStr"/>
    </row>
    <row r="3787" ht="15" customHeight="1">
      <c r="A3787" t="inlineStr">
        <is>
          <t>A 72708-2021</t>
        </is>
      </c>
      <c r="B3787" s="1" t="n">
        <v>44546.67575231481</v>
      </c>
      <c r="C3787" s="1" t="n">
        <v>45884</v>
      </c>
      <c r="D3787" t="inlineStr">
        <is>
          <t>KALMAR LÄN</t>
        </is>
      </c>
      <c r="E3787" t="inlineStr">
        <is>
          <t>HULTSFRED</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7606-2025</t>
        </is>
      </c>
      <c r="B3788" s="1" t="n">
        <v>45705.66491898148</v>
      </c>
      <c r="C3788" s="1" t="n">
        <v>45884</v>
      </c>
      <c r="D3788" t="inlineStr">
        <is>
          <t>KALMAR LÄN</t>
        </is>
      </c>
      <c r="E3788" t="inlineStr">
        <is>
          <t>HULTSFRED</t>
        </is>
      </c>
      <c r="G3788" t="n">
        <v>4.2</v>
      </c>
      <c r="H3788" t="n">
        <v>0</v>
      </c>
      <c r="I3788" t="n">
        <v>0</v>
      </c>
      <c r="J3788" t="n">
        <v>0</v>
      </c>
      <c r="K3788" t="n">
        <v>0</v>
      </c>
      <c r="L3788" t="n">
        <v>0</v>
      </c>
      <c r="M3788" t="n">
        <v>0</v>
      </c>
      <c r="N3788" t="n">
        <v>0</v>
      </c>
      <c r="O3788" t="n">
        <v>0</v>
      </c>
      <c r="P3788" t="n">
        <v>0</v>
      </c>
      <c r="Q3788" t="n">
        <v>0</v>
      </c>
      <c r="R3788" s="2" t="inlineStr"/>
    </row>
    <row r="3789" ht="15" customHeight="1">
      <c r="A3789" t="inlineStr">
        <is>
          <t>A 35306-2023</t>
        </is>
      </c>
      <c r="B3789" s="1" t="n">
        <v>45146.35854166667</v>
      </c>
      <c r="C3789" s="1" t="n">
        <v>45884</v>
      </c>
      <c r="D3789" t="inlineStr">
        <is>
          <t>KALMAR LÄN</t>
        </is>
      </c>
      <c r="E3789" t="inlineStr">
        <is>
          <t>EMMABODA</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10409-2023</t>
        </is>
      </c>
      <c r="B3790" s="1" t="n">
        <v>44987</v>
      </c>
      <c r="C3790" s="1" t="n">
        <v>45884</v>
      </c>
      <c r="D3790" t="inlineStr">
        <is>
          <t>KALMAR LÄN</t>
        </is>
      </c>
      <c r="E3790" t="inlineStr">
        <is>
          <t>HÖGSBY</t>
        </is>
      </c>
      <c r="G3790" t="n">
        <v>2.6</v>
      </c>
      <c r="H3790" t="n">
        <v>0</v>
      </c>
      <c r="I3790" t="n">
        <v>0</v>
      </c>
      <c r="J3790" t="n">
        <v>0</v>
      </c>
      <c r="K3790" t="n">
        <v>0</v>
      </c>
      <c r="L3790" t="n">
        <v>0</v>
      </c>
      <c r="M3790" t="n">
        <v>0</v>
      </c>
      <c r="N3790" t="n">
        <v>0</v>
      </c>
      <c r="O3790" t="n">
        <v>0</v>
      </c>
      <c r="P3790" t="n">
        <v>0</v>
      </c>
      <c r="Q3790" t="n">
        <v>0</v>
      </c>
      <c r="R3790" s="2" t="inlineStr"/>
    </row>
    <row r="3791" ht="15" customHeight="1">
      <c r="A3791" t="inlineStr">
        <is>
          <t>A 32940-2023</t>
        </is>
      </c>
      <c r="B3791" s="1" t="n">
        <v>45113</v>
      </c>
      <c r="C3791" s="1" t="n">
        <v>45884</v>
      </c>
      <c r="D3791" t="inlineStr">
        <is>
          <t>KALMAR LÄN</t>
        </is>
      </c>
      <c r="E3791" t="inlineStr">
        <is>
          <t>OSKARSHAMN</t>
        </is>
      </c>
      <c r="G3791" t="n">
        <v>7</v>
      </c>
      <c r="H3791" t="n">
        <v>0</v>
      </c>
      <c r="I3791" t="n">
        <v>0</v>
      </c>
      <c r="J3791" t="n">
        <v>0</v>
      </c>
      <c r="K3791" t="n">
        <v>0</v>
      </c>
      <c r="L3791" t="n">
        <v>0</v>
      </c>
      <c r="M3791" t="n">
        <v>0</v>
      </c>
      <c r="N3791" t="n">
        <v>0</v>
      </c>
      <c r="O3791" t="n">
        <v>0</v>
      </c>
      <c r="P3791" t="n">
        <v>0</v>
      </c>
      <c r="Q3791" t="n">
        <v>0</v>
      </c>
      <c r="R3791" s="2" t="inlineStr"/>
    </row>
    <row r="3792" ht="15" customHeight="1">
      <c r="A3792" t="inlineStr">
        <is>
          <t>A 10992-2024</t>
        </is>
      </c>
      <c r="B3792" s="1" t="n">
        <v>45370.55523148148</v>
      </c>
      <c r="C3792" s="1" t="n">
        <v>45884</v>
      </c>
      <c r="D3792" t="inlineStr">
        <is>
          <t>KALMAR LÄN</t>
        </is>
      </c>
      <c r="E3792" t="inlineStr">
        <is>
          <t>HULTSFRED</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12433-2024</t>
        </is>
      </c>
      <c r="B3793" s="1" t="n">
        <v>45379.44450231481</v>
      </c>
      <c r="C3793" s="1" t="n">
        <v>45884</v>
      </c>
      <c r="D3793" t="inlineStr">
        <is>
          <t>KALMAR LÄN</t>
        </is>
      </c>
      <c r="E3793" t="inlineStr">
        <is>
          <t>VÄSTERVIK</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18330-2023</t>
        </is>
      </c>
      <c r="B3794" s="1" t="n">
        <v>45041</v>
      </c>
      <c r="C3794" s="1" t="n">
        <v>45884</v>
      </c>
      <c r="D3794" t="inlineStr">
        <is>
          <t>KALMAR LÄN</t>
        </is>
      </c>
      <c r="E3794" t="inlineStr">
        <is>
          <t>VIMMERBY</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4025-2024</t>
        </is>
      </c>
      <c r="B3795" s="1" t="n">
        <v>45323.39799768518</v>
      </c>
      <c r="C3795" s="1" t="n">
        <v>45884</v>
      </c>
      <c r="D3795" t="inlineStr">
        <is>
          <t>KALMAR LÄN</t>
        </is>
      </c>
      <c r="E3795" t="inlineStr">
        <is>
          <t>KALMAR</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4058-2024</t>
        </is>
      </c>
      <c r="B3796" s="1" t="n">
        <v>45323.53744212963</v>
      </c>
      <c r="C3796" s="1" t="n">
        <v>45884</v>
      </c>
      <c r="D3796" t="inlineStr">
        <is>
          <t>KALMAR LÄN</t>
        </is>
      </c>
      <c r="E3796" t="inlineStr">
        <is>
          <t>VIMMERBY</t>
        </is>
      </c>
      <c r="G3796" t="n">
        <v>6.5</v>
      </c>
      <c r="H3796" t="n">
        <v>0</v>
      </c>
      <c r="I3796" t="n">
        <v>0</v>
      </c>
      <c r="J3796" t="n">
        <v>0</v>
      </c>
      <c r="K3796" t="n">
        <v>0</v>
      </c>
      <c r="L3796" t="n">
        <v>0</v>
      </c>
      <c r="M3796" t="n">
        <v>0</v>
      </c>
      <c r="N3796" t="n">
        <v>0</v>
      </c>
      <c r="O3796" t="n">
        <v>0</v>
      </c>
      <c r="P3796" t="n">
        <v>0</v>
      </c>
      <c r="Q3796" t="n">
        <v>0</v>
      </c>
      <c r="R3796" s="2" t="inlineStr"/>
    </row>
    <row r="3797" ht="15" customHeight="1">
      <c r="A3797" t="inlineStr">
        <is>
          <t>A 20413-2023</t>
        </is>
      </c>
      <c r="B3797" s="1" t="n">
        <v>45056.64768518518</v>
      </c>
      <c r="C3797" s="1" t="n">
        <v>45884</v>
      </c>
      <c r="D3797" t="inlineStr">
        <is>
          <t>KALMAR LÄN</t>
        </is>
      </c>
      <c r="E3797" t="inlineStr">
        <is>
          <t>OSKARSHAMN</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26593-2023</t>
        </is>
      </c>
      <c r="B3798" s="1" t="n">
        <v>45092.66958333334</v>
      </c>
      <c r="C3798" s="1" t="n">
        <v>45884</v>
      </c>
      <c r="D3798" t="inlineStr">
        <is>
          <t>KALMAR LÄN</t>
        </is>
      </c>
      <c r="E3798" t="inlineStr">
        <is>
          <t>KALMAR</t>
        </is>
      </c>
      <c r="G3798" t="n">
        <v>3.9</v>
      </c>
      <c r="H3798" t="n">
        <v>0</v>
      </c>
      <c r="I3798" t="n">
        <v>0</v>
      </c>
      <c r="J3798" t="n">
        <v>0</v>
      </c>
      <c r="K3798" t="n">
        <v>0</v>
      </c>
      <c r="L3798" t="n">
        <v>0</v>
      </c>
      <c r="M3798" t="n">
        <v>0</v>
      </c>
      <c r="N3798" t="n">
        <v>0</v>
      </c>
      <c r="O3798" t="n">
        <v>0</v>
      </c>
      <c r="P3798" t="n">
        <v>0</v>
      </c>
      <c r="Q3798" t="n">
        <v>0</v>
      </c>
      <c r="R3798" s="2" t="inlineStr"/>
    </row>
    <row r="3799" ht="15" customHeight="1">
      <c r="A3799" t="inlineStr">
        <is>
          <t>A 6346-2023</t>
        </is>
      </c>
      <c r="B3799" s="1" t="n">
        <v>44960</v>
      </c>
      <c r="C3799" s="1" t="n">
        <v>45884</v>
      </c>
      <c r="D3799" t="inlineStr">
        <is>
          <t>KALMAR LÄN</t>
        </is>
      </c>
      <c r="E3799" t="inlineStr">
        <is>
          <t>VÄSTERVIK</t>
        </is>
      </c>
      <c r="G3799" t="n">
        <v>4.5</v>
      </c>
      <c r="H3799" t="n">
        <v>0</v>
      </c>
      <c r="I3799" t="n">
        <v>0</v>
      </c>
      <c r="J3799" t="n">
        <v>0</v>
      </c>
      <c r="K3799" t="n">
        <v>0</v>
      </c>
      <c r="L3799" t="n">
        <v>0</v>
      </c>
      <c r="M3799" t="n">
        <v>0</v>
      </c>
      <c r="N3799" t="n">
        <v>0</v>
      </c>
      <c r="O3799" t="n">
        <v>0</v>
      </c>
      <c r="P3799" t="n">
        <v>0</v>
      </c>
      <c r="Q3799" t="n">
        <v>0</v>
      </c>
      <c r="R3799" s="2" t="inlineStr"/>
    </row>
    <row r="3800" ht="15" customHeight="1">
      <c r="A3800" t="inlineStr">
        <is>
          <t>A 70315-2021</t>
        </is>
      </c>
      <c r="B3800" s="1" t="n">
        <v>44536</v>
      </c>
      <c r="C3800" s="1" t="n">
        <v>45884</v>
      </c>
      <c r="D3800" t="inlineStr">
        <is>
          <t>KALMAR LÄN</t>
        </is>
      </c>
      <c r="E3800" t="inlineStr">
        <is>
          <t>TORSÅS</t>
        </is>
      </c>
      <c r="G3800" t="n">
        <v>3.3</v>
      </c>
      <c r="H3800" t="n">
        <v>0</v>
      </c>
      <c r="I3800" t="n">
        <v>0</v>
      </c>
      <c r="J3800" t="n">
        <v>0</v>
      </c>
      <c r="K3800" t="n">
        <v>0</v>
      </c>
      <c r="L3800" t="n">
        <v>0</v>
      </c>
      <c r="M3800" t="n">
        <v>0</v>
      </c>
      <c r="N3800" t="n">
        <v>0</v>
      </c>
      <c r="O3800" t="n">
        <v>0</v>
      </c>
      <c r="P3800" t="n">
        <v>0</v>
      </c>
      <c r="Q3800" t="n">
        <v>0</v>
      </c>
      <c r="R3800" s="2" t="inlineStr"/>
    </row>
    <row r="3801" ht="15" customHeight="1">
      <c r="A3801" t="inlineStr">
        <is>
          <t>A 9488-2025</t>
        </is>
      </c>
      <c r="B3801" s="1" t="n">
        <v>45715.49478009259</v>
      </c>
      <c r="C3801" s="1" t="n">
        <v>45884</v>
      </c>
      <c r="D3801" t="inlineStr">
        <is>
          <t>KALMAR LÄN</t>
        </is>
      </c>
      <c r="E3801" t="inlineStr">
        <is>
          <t>HULTSFRED</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72167-2021</t>
        </is>
      </c>
      <c r="B3802" s="1" t="n">
        <v>44544</v>
      </c>
      <c r="C3802" s="1" t="n">
        <v>45884</v>
      </c>
      <c r="D3802" t="inlineStr">
        <is>
          <t>KALMAR LÄN</t>
        </is>
      </c>
      <c r="E3802" t="inlineStr">
        <is>
          <t>MÖRBYLÅNGA</t>
        </is>
      </c>
      <c r="G3802" t="n">
        <v>3.5</v>
      </c>
      <c r="H3802" t="n">
        <v>0</v>
      </c>
      <c r="I3802" t="n">
        <v>0</v>
      </c>
      <c r="J3802" t="n">
        <v>0</v>
      </c>
      <c r="K3802" t="n">
        <v>0</v>
      </c>
      <c r="L3802" t="n">
        <v>0</v>
      </c>
      <c r="M3802" t="n">
        <v>0</v>
      </c>
      <c r="N3802" t="n">
        <v>0</v>
      </c>
      <c r="O3802" t="n">
        <v>0</v>
      </c>
      <c r="P3802" t="n">
        <v>0</v>
      </c>
      <c r="Q3802" t="n">
        <v>0</v>
      </c>
      <c r="R3802" s="2" t="inlineStr"/>
    </row>
    <row r="3803" ht="15" customHeight="1">
      <c r="A3803" t="inlineStr">
        <is>
          <t>A 46977-2021</t>
        </is>
      </c>
      <c r="B3803" s="1" t="n">
        <v>44446</v>
      </c>
      <c r="C3803" s="1" t="n">
        <v>45884</v>
      </c>
      <c r="D3803" t="inlineStr">
        <is>
          <t>KALMAR LÄN</t>
        </is>
      </c>
      <c r="E3803" t="inlineStr">
        <is>
          <t>OSKARSHAMN</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7163-2025</t>
        </is>
      </c>
      <c r="B3804" s="1" t="n">
        <v>45702.3918287037</v>
      </c>
      <c r="C3804" s="1" t="n">
        <v>45884</v>
      </c>
      <c r="D3804" t="inlineStr">
        <is>
          <t>KALMAR LÄN</t>
        </is>
      </c>
      <c r="E3804" t="inlineStr">
        <is>
          <t>VÄSTERVIK</t>
        </is>
      </c>
      <c r="F3804" t="inlineStr">
        <is>
          <t>Sveaskog</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41060-2022</t>
        </is>
      </c>
      <c r="B3805" s="1" t="n">
        <v>44825</v>
      </c>
      <c r="C3805" s="1" t="n">
        <v>45884</v>
      </c>
      <c r="D3805" t="inlineStr">
        <is>
          <t>KALMAR LÄN</t>
        </is>
      </c>
      <c r="E3805" t="inlineStr">
        <is>
          <t>NYBRO</t>
        </is>
      </c>
      <c r="G3805" t="n">
        <v>18.6</v>
      </c>
      <c r="H3805" t="n">
        <v>0</v>
      </c>
      <c r="I3805" t="n">
        <v>0</v>
      </c>
      <c r="J3805" t="n">
        <v>0</v>
      </c>
      <c r="K3805" t="n">
        <v>0</v>
      </c>
      <c r="L3805" t="n">
        <v>0</v>
      </c>
      <c r="M3805" t="n">
        <v>0</v>
      </c>
      <c r="N3805" t="n">
        <v>0</v>
      </c>
      <c r="O3805" t="n">
        <v>0</v>
      </c>
      <c r="P3805" t="n">
        <v>0</v>
      </c>
      <c r="Q3805" t="n">
        <v>0</v>
      </c>
      <c r="R3805" s="2" t="inlineStr"/>
    </row>
    <row r="3806" ht="15" customHeight="1">
      <c r="A3806" t="inlineStr">
        <is>
          <t>A 62661-2023</t>
        </is>
      </c>
      <c r="B3806" s="1" t="n">
        <v>45271.4494212963</v>
      </c>
      <c r="C3806" s="1" t="n">
        <v>45884</v>
      </c>
      <c r="D3806" t="inlineStr">
        <is>
          <t>KALMAR LÄN</t>
        </is>
      </c>
      <c r="E3806" t="inlineStr">
        <is>
          <t>TORSÅS</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9775-2022</t>
        </is>
      </c>
      <c r="B3807" s="1" t="n">
        <v>44619</v>
      </c>
      <c r="C3807" s="1" t="n">
        <v>45884</v>
      </c>
      <c r="D3807" t="inlineStr">
        <is>
          <t>KALMAR LÄN</t>
        </is>
      </c>
      <c r="E3807" t="inlineStr">
        <is>
          <t>EMMABODA</t>
        </is>
      </c>
      <c r="G3807" t="n">
        <v>3.5</v>
      </c>
      <c r="H3807" t="n">
        <v>0</v>
      </c>
      <c r="I3807" t="n">
        <v>0</v>
      </c>
      <c r="J3807" t="n">
        <v>0</v>
      </c>
      <c r="K3807" t="n">
        <v>0</v>
      </c>
      <c r="L3807" t="n">
        <v>0</v>
      </c>
      <c r="M3807" t="n">
        <v>0</v>
      </c>
      <c r="N3807" t="n">
        <v>0</v>
      </c>
      <c r="O3807" t="n">
        <v>0</v>
      </c>
      <c r="P3807" t="n">
        <v>0</v>
      </c>
      <c r="Q3807" t="n">
        <v>0</v>
      </c>
      <c r="R3807" s="2" t="inlineStr"/>
    </row>
    <row r="3808" ht="15" customHeight="1">
      <c r="A3808" t="inlineStr">
        <is>
          <t>A 7978-2024</t>
        </is>
      </c>
      <c r="B3808" s="1" t="n">
        <v>45350.59567129629</v>
      </c>
      <c r="C3808" s="1" t="n">
        <v>45884</v>
      </c>
      <c r="D3808" t="inlineStr">
        <is>
          <t>KALMAR LÄN</t>
        </is>
      </c>
      <c r="E3808" t="inlineStr">
        <is>
          <t>MÖNSTERÅS</t>
        </is>
      </c>
      <c r="G3808" t="n">
        <v>2.4</v>
      </c>
      <c r="H3808" t="n">
        <v>0</v>
      </c>
      <c r="I3808" t="n">
        <v>0</v>
      </c>
      <c r="J3808" t="n">
        <v>0</v>
      </c>
      <c r="K3808" t="n">
        <v>0</v>
      </c>
      <c r="L3808" t="n">
        <v>0</v>
      </c>
      <c r="M3808" t="n">
        <v>0</v>
      </c>
      <c r="N3808" t="n">
        <v>0</v>
      </c>
      <c r="O3808" t="n">
        <v>0</v>
      </c>
      <c r="P3808" t="n">
        <v>0</v>
      </c>
      <c r="Q3808" t="n">
        <v>0</v>
      </c>
      <c r="R3808" s="2" t="inlineStr"/>
    </row>
    <row r="3809" ht="15" customHeight="1">
      <c r="A3809" t="inlineStr">
        <is>
          <t>A 49104-2023</t>
        </is>
      </c>
      <c r="B3809" s="1" t="n">
        <v>45210.43765046296</v>
      </c>
      <c r="C3809" s="1" t="n">
        <v>45884</v>
      </c>
      <c r="D3809" t="inlineStr">
        <is>
          <t>KALMAR LÄN</t>
        </is>
      </c>
      <c r="E3809" t="inlineStr">
        <is>
          <t>NYBRO</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54518-2020</t>
        </is>
      </c>
      <c r="B3810" s="1" t="n">
        <v>44126.66101851852</v>
      </c>
      <c r="C3810" s="1" t="n">
        <v>45884</v>
      </c>
      <c r="D3810" t="inlineStr">
        <is>
          <t>KALMAR LÄN</t>
        </is>
      </c>
      <c r="E3810" t="inlineStr">
        <is>
          <t>EMMABODA</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11694-2025</t>
        </is>
      </c>
      <c r="B3811" s="1" t="n">
        <v>45727.57010416667</v>
      </c>
      <c r="C3811" s="1" t="n">
        <v>45884</v>
      </c>
      <c r="D3811" t="inlineStr">
        <is>
          <t>KALMAR LÄN</t>
        </is>
      </c>
      <c r="E3811" t="inlineStr">
        <is>
          <t>HÖGSBY</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34829-2024</t>
        </is>
      </c>
      <c r="B3812" s="1" t="n">
        <v>45526.77739583333</v>
      </c>
      <c r="C3812" s="1" t="n">
        <v>45884</v>
      </c>
      <c r="D3812" t="inlineStr">
        <is>
          <t>KALMAR LÄN</t>
        </is>
      </c>
      <c r="E3812" t="inlineStr">
        <is>
          <t>OSKARSHAMN</t>
        </is>
      </c>
      <c r="F3812" t="inlineStr">
        <is>
          <t>Sveaskog</t>
        </is>
      </c>
      <c r="G3812" t="n">
        <v>6.2</v>
      </c>
      <c r="H3812" t="n">
        <v>0</v>
      </c>
      <c r="I3812" t="n">
        <v>0</v>
      </c>
      <c r="J3812" t="n">
        <v>0</v>
      </c>
      <c r="K3812" t="n">
        <v>0</v>
      </c>
      <c r="L3812" t="n">
        <v>0</v>
      </c>
      <c r="M3812" t="n">
        <v>0</v>
      </c>
      <c r="N3812" t="n">
        <v>0</v>
      </c>
      <c r="O3812" t="n">
        <v>0</v>
      </c>
      <c r="P3812" t="n">
        <v>0</v>
      </c>
      <c r="Q3812" t="n">
        <v>0</v>
      </c>
      <c r="R3812" s="2" t="inlineStr"/>
    </row>
    <row r="3813" ht="15" customHeight="1">
      <c r="A3813" t="inlineStr">
        <is>
          <t>A 10441-2022</t>
        </is>
      </c>
      <c r="B3813" s="1" t="n">
        <v>44623</v>
      </c>
      <c r="C3813" s="1" t="n">
        <v>45884</v>
      </c>
      <c r="D3813" t="inlineStr">
        <is>
          <t>KALMAR LÄN</t>
        </is>
      </c>
      <c r="E3813" t="inlineStr">
        <is>
          <t>VÄSTERVIK</t>
        </is>
      </c>
      <c r="F3813" t="inlineStr">
        <is>
          <t>Holmen skog AB</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9718-2025</t>
        </is>
      </c>
      <c r="B3814" s="1" t="n">
        <v>45715</v>
      </c>
      <c r="C3814" s="1" t="n">
        <v>45884</v>
      </c>
      <c r="D3814" t="inlineStr">
        <is>
          <t>KALMAR LÄN</t>
        </is>
      </c>
      <c r="E3814" t="inlineStr">
        <is>
          <t>HULTSFRED</t>
        </is>
      </c>
      <c r="G3814" t="n">
        <v>3.7</v>
      </c>
      <c r="H3814" t="n">
        <v>0</v>
      </c>
      <c r="I3814" t="n">
        <v>0</v>
      </c>
      <c r="J3814" t="n">
        <v>0</v>
      </c>
      <c r="K3814" t="n">
        <v>0</v>
      </c>
      <c r="L3814" t="n">
        <v>0</v>
      </c>
      <c r="M3814" t="n">
        <v>0</v>
      </c>
      <c r="N3814" t="n">
        <v>0</v>
      </c>
      <c r="O3814" t="n">
        <v>0</v>
      </c>
      <c r="P3814" t="n">
        <v>0</v>
      </c>
      <c r="Q3814" t="n">
        <v>0</v>
      </c>
      <c r="R3814" s="2" t="inlineStr"/>
    </row>
    <row r="3815" ht="15" customHeight="1">
      <c r="A3815" t="inlineStr">
        <is>
          <t>A 1978-2024</t>
        </is>
      </c>
      <c r="B3815" s="1" t="n">
        <v>45308.59001157407</v>
      </c>
      <c r="C3815" s="1" t="n">
        <v>45884</v>
      </c>
      <c r="D3815" t="inlineStr">
        <is>
          <t>KALMAR LÄN</t>
        </is>
      </c>
      <c r="E3815" t="inlineStr">
        <is>
          <t>VIMMERBY</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16689-2025</t>
        </is>
      </c>
      <c r="B3816" s="1" t="n">
        <v>45754.45739583333</v>
      </c>
      <c r="C3816" s="1" t="n">
        <v>45884</v>
      </c>
      <c r="D3816" t="inlineStr">
        <is>
          <t>KALMAR LÄN</t>
        </is>
      </c>
      <c r="E3816" t="inlineStr">
        <is>
          <t>VÄSTERVIK</t>
        </is>
      </c>
      <c r="F3816" t="inlineStr">
        <is>
          <t>Sveaskog</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16693-2025</t>
        </is>
      </c>
      <c r="B3817" s="1" t="n">
        <v>45754.4644675926</v>
      </c>
      <c r="C3817" s="1" t="n">
        <v>45884</v>
      </c>
      <c r="D3817" t="inlineStr">
        <is>
          <t>KALMAR LÄN</t>
        </is>
      </c>
      <c r="E3817" t="inlineStr">
        <is>
          <t>VÄSTERVIK</t>
        </is>
      </c>
      <c r="F3817" t="inlineStr">
        <is>
          <t>Sveaskog</t>
        </is>
      </c>
      <c r="G3817" t="n">
        <v>3.7</v>
      </c>
      <c r="H3817" t="n">
        <v>0</v>
      </c>
      <c r="I3817" t="n">
        <v>0</v>
      </c>
      <c r="J3817" t="n">
        <v>0</v>
      </c>
      <c r="K3817" t="n">
        <v>0</v>
      </c>
      <c r="L3817" t="n">
        <v>0</v>
      </c>
      <c r="M3817" t="n">
        <v>0</v>
      </c>
      <c r="N3817" t="n">
        <v>0</v>
      </c>
      <c r="O3817" t="n">
        <v>0</v>
      </c>
      <c r="P3817" t="n">
        <v>0</v>
      </c>
      <c r="Q3817" t="n">
        <v>0</v>
      </c>
      <c r="R3817" s="2" t="inlineStr"/>
    </row>
    <row r="3818" ht="15" customHeight="1">
      <c r="A3818" t="inlineStr">
        <is>
          <t>A 16765-2025</t>
        </is>
      </c>
      <c r="B3818" s="1" t="n">
        <v>45754.57761574074</v>
      </c>
      <c r="C3818" s="1" t="n">
        <v>45884</v>
      </c>
      <c r="D3818" t="inlineStr">
        <is>
          <t>KALMAR LÄN</t>
        </is>
      </c>
      <c r="E3818" t="inlineStr">
        <is>
          <t>NYBRO</t>
        </is>
      </c>
      <c r="F3818" t="inlineStr">
        <is>
          <t>Sveaskog</t>
        </is>
      </c>
      <c r="G3818" t="n">
        <v>12.7</v>
      </c>
      <c r="H3818" t="n">
        <v>0</v>
      </c>
      <c r="I3818" t="n">
        <v>0</v>
      </c>
      <c r="J3818" t="n">
        <v>0</v>
      </c>
      <c r="K3818" t="n">
        <v>0</v>
      </c>
      <c r="L3818" t="n">
        <v>0</v>
      </c>
      <c r="M3818" t="n">
        <v>0</v>
      </c>
      <c r="N3818" t="n">
        <v>0</v>
      </c>
      <c r="O3818" t="n">
        <v>0</v>
      </c>
      <c r="P3818" t="n">
        <v>0</v>
      </c>
      <c r="Q3818" t="n">
        <v>0</v>
      </c>
      <c r="R3818" s="2" t="inlineStr"/>
    </row>
    <row r="3819" ht="15" customHeight="1">
      <c r="A3819" t="inlineStr">
        <is>
          <t>A 62632-2023</t>
        </is>
      </c>
      <c r="B3819" s="1" t="n">
        <v>45271.40059027778</v>
      </c>
      <c r="C3819" s="1" t="n">
        <v>45884</v>
      </c>
      <c r="D3819" t="inlineStr">
        <is>
          <t>KALMAR LÄN</t>
        </is>
      </c>
      <c r="E3819" t="inlineStr">
        <is>
          <t>HULTSFRED</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44001-2023</t>
        </is>
      </c>
      <c r="B3820" s="1" t="n">
        <v>45188</v>
      </c>
      <c r="C3820" s="1" t="n">
        <v>45884</v>
      </c>
      <c r="D3820" t="inlineStr">
        <is>
          <t>KALMAR LÄN</t>
        </is>
      </c>
      <c r="E3820" t="inlineStr">
        <is>
          <t>MÖNSTERÅS</t>
        </is>
      </c>
      <c r="G3820" t="n">
        <v>1.9</v>
      </c>
      <c r="H3820" t="n">
        <v>0</v>
      </c>
      <c r="I3820" t="n">
        <v>0</v>
      </c>
      <c r="J3820" t="n">
        <v>0</v>
      </c>
      <c r="K3820" t="n">
        <v>0</v>
      </c>
      <c r="L3820" t="n">
        <v>0</v>
      </c>
      <c r="M3820" t="n">
        <v>0</v>
      </c>
      <c r="N3820" t="n">
        <v>0</v>
      </c>
      <c r="O3820" t="n">
        <v>0</v>
      </c>
      <c r="P3820" t="n">
        <v>0</v>
      </c>
      <c r="Q3820" t="n">
        <v>0</v>
      </c>
      <c r="R3820" s="2" t="inlineStr"/>
    </row>
    <row r="3821" ht="15" customHeight="1">
      <c r="A3821" t="inlineStr">
        <is>
          <t>A 30318-2023</t>
        </is>
      </c>
      <c r="B3821" s="1" t="n">
        <v>45111.30824074074</v>
      </c>
      <c r="C3821" s="1" t="n">
        <v>45884</v>
      </c>
      <c r="D3821" t="inlineStr">
        <is>
          <t>KALMAR LÄN</t>
        </is>
      </c>
      <c r="E3821" t="inlineStr">
        <is>
          <t>VIMMERBY</t>
        </is>
      </c>
      <c r="G3821" t="n">
        <v>2.6</v>
      </c>
      <c r="H3821" t="n">
        <v>0</v>
      </c>
      <c r="I3821" t="n">
        <v>0</v>
      </c>
      <c r="J3821" t="n">
        <v>0</v>
      </c>
      <c r="K3821" t="n">
        <v>0</v>
      </c>
      <c r="L3821" t="n">
        <v>0</v>
      </c>
      <c r="M3821" t="n">
        <v>0</v>
      </c>
      <c r="N3821" t="n">
        <v>0</v>
      </c>
      <c r="O3821" t="n">
        <v>0</v>
      </c>
      <c r="P3821" t="n">
        <v>0</v>
      </c>
      <c r="Q3821" t="n">
        <v>0</v>
      </c>
      <c r="R3821" s="2" t="inlineStr"/>
    </row>
    <row r="3822" ht="15" customHeight="1">
      <c r="A3822" t="inlineStr">
        <is>
          <t>A 31699-2022</t>
        </is>
      </c>
      <c r="B3822" s="1" t="n">
        <v>44776</v>
      </c>
      <c r="C3822" s="1" t="n">
        <v>45884</v>
      </c>
      <c r="D3822" t="inlineStr">
        <is>
          <t>KALMAR LÄN</t>
        </is>
      </c>
      <c r="E3822" t="inlineStr">
        <is>
          <t>BORGHOLM</t>
        </is>
      </c>
      <c r="F3822" t="inlineStr">
        <is>
          <t>Sveaskog</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30386-2023</t>
        </is>
      </c>
      <c r="B3823" s="1" t="n">
        <v>45099</v>
      </c>
      <c r="C3823" s="1" t="n">
        <v>45884</v>
      </c>
      <c r="D3823" t="inlineStr">
        <is>
          <t>KALMAR LÄN</t>
        </is>
      </c>
      <c r="E3823" t="inlineStr">
        <is>
          <t>HULTSFRED</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13009-2021</t>
        </is>
      </c>
      <c r="B3824" s="1" t="n">
        <v>44271</v>
      </c>
      <c r="C3824" s="1" t="n">
        <v>45884</v>
      </c>
      <c r="D3824" t="inlineStr">
        <is>
          <t>KALMAR LÄN</t>
        </is>
      </c>
      <c r="E3824" t="inlineStr">
        <is>
          <t>EMMABODA</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65529-2021</t>
        </is>
      </c>
      <c r="B3825" s="1" t="n">
        <v>44516</v>
      </c>
      <c r="C3825" s="1" t="n">
        <v>45884</v>
      </c>
      <c r="D3825" t="inlineStr">
        <is>
          <t>KALMAR LÄN</t>
        </is>
      </c>
      <c r="E3825" t="inlineStr">
        <is>
          <t>HULTSFRED</t>
        </is>
      </c>
      <c r="G3825" t="n">
        <v>2.3</v>
      </c>
      <c r="H3825" t="n">
        <v>0</v>
      </c>
      <c r="I3825" t="n">
        <v>0</v>
      </c>
      <c r="J3825" t="n">
        <v>0</v>
      </c>
      <c r="K3825" t="n">
        <v>0</v>
      </c>
      <c r="L3825" t="n">
        <v>0</v>
      </c>
      <c r="M3825" t="n">
        <v>0</v>
      </c>
      <c r="N3825" t="n">
        <v>0</v>
      </c>
      <c r="O3825" t="n">
        <v>0</v>
      </c>
      <c r="P3825" t="n">
        <v>0</v>
      </c>
      <c r="Q3825" t="n">
        <v>0</v>
      </c>
      <c r="R3825" s="2" t="inlineStr"/>
    </row>
    <row r="3826" ht="15" customHeight="1">
      <c r="A3826" t="inlineStr">
        <is>
          <t>A 46029-2024</t>
        </is>
      </c>
      <c r="B3826" s="1" t="n">
        <v>45580.70136574074</v>
      </c>
      <c r="C3826" s="1" t="n">
        <v>45884</v>
      </c>
      <c r="D3826" t="inlineStr">
        <is>
          <t>KALMAR LÄN</t>
        </is>
      </c>
      <c r="E3826" t="inlineStr">
        <is>
          <t>HULTSFRED</t>
        </is>
      </c>
      <c r="G3826" t="n">
        <v>5.3</v>
      </c>
      <c r="H3826" t="n">
        <v>0</v>
      </c>
      <c r="I3826" t="n">
        <v>0</v>
      </c>
      <c r="J3826" t="n">
        <v>0</v>
      </c>
      <c r="K3826" t="n">
        <v>0</v>
      </c>
      <c r="L3826" t="n">
        <v>0</v>
      </c>
      <c r="M3826" t="n">
        <v>0</v>
      </c>
      <c r="N3826" t="n">
        <v>0</v>
      </c>
      <c r="O3826" t="n">
        <v>0</v>
      </c>
      <c r="P3826" t="n">
        <v>0</v>
      </c>
      <c r="Q3826" t="n">
        <v>0</v>
      </c>
      <c r="R3826" s="2" t="inlineStr"/>
    </row>
    <row r="3827" ht="15" customHeight="1">
      <c r="A3827" t="inlineStr">
        <is>
          <t>A 5345-2023</t>
        </is>
      </c>
      <c r="B3827" s="1" t="n">
        <v>44959</v>
      </c>
      <c r="C3827" s="1" t="n">
        <v>45884</v>
      </c>
      <c r="D3827" t="inlineStr">
        <is>
          <t>KALMAR LÄN</t>
        </is>
      </c>
      <c r="E3827" t="inlineStr">
        <is>
          <t>EMMABODA</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16877-2025</t>
        </is>
      </c>
      <c r="B3828" s="1" t="n">
        <v>45755.29065972222</v>
      </c>
      <c r="C3828" s="1" t="n">
        <v>45884</v>
      </c>
      <c r="D3828" t="inlineStr">
        <is>
          <t>KALMAR LÄN</t>
        </is>
      </c>
      <c r="E3828" t="inlineStr">
        <is>
          <t>HULTSFRED</t>
        </is>
      </c>
      <c r="F3828" t="inlineStr">
        <is>
          <t>Sveaskog</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20126-2024</t>
        </is>
      </c>
      <c r="B3829" s="1" t="n">
        <v>45434.55471064815</v>
      </c>
      <c r="C3829" s="1" t="n">
        <v>45884</v>
      </c>
      <c r="D3829" t="inlineStr">
        <is>
          <t>KALMAR LÄN</t>
        </is>
      </c>
      <c r="E3829" t="inlineStr">
        <is>
          <t>VIMMERBY</t>
        </is>
      </c>
      <c r="F3829" t="inlineStr">
        <is>
          <t>Sveaskog</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20136-2024</t>
        </is>
      </c>
      <c r="B3830" s="1" t="n">
        <v>45434.56291666667</v>
      </c>
      <c r="C3830" s="1" t="n">
        <v>45884</v>
      </c>
      <c r="D3830" t="inlineStr">
        <is>
          <t>KALMAR LÄN</t>
        </is>
      </c>
      <c r="E3830" t="inlineStr">
        <is>
          <t>VIMMERBY</t>
        </is>
      </c>
      <c r="F3830" t="inlineStr">
        <is>
          <t>Sveaskog</t>
        </is>
      </c>
      <c r="G3830" t="n">
        <v>8.4</v>
      </c>
      <c r="H3830" t="n">
        <v>0</v>
      </c>
      <c r="I3830" t="n">
        <v>0</v>
      </c>
      <c r="J3830" t="n">
        <v>0</v>
      </c>
      <c r="K3830" t="n">
        <v>0</v>
      </c>
      <c r="L3830" t="n">
        <v>0</v>
      </c>
      <c r="M3830" t="n">
        <v>0</v>
      </c>
      <c r="N3830" t="n">
        <v>0</v>
      </c>
      <c r="O3830" t="n">
        <v>0</v>
      </c>
      <c r="P3830" t="n">
        <v>0</v>
      </c>
      <c r="Q3830" t="n">
        <v>0</v>
      </c>
      <c r="R3830" s="2" t="inlineStr"/>
    </row>
    <row r="3831" ht="15" customHeight="1">
      <c r="A3831" t="inlineStr">
        <is>
          <t>A 20164-2024</t>
        </is>
      </c>
      <c r="B3831" s="1" t="n">
        <v>45434.59488425926</v>
      </c>
      <c r="C3831" s="1" t="n">
        <v>45884</v>
      </c>
      <c r="D3831" t="inlineStr">
        <is>
          <t>KALMAR LÄN</t>
        </is>
      </c>
      <c r="E3831" t="inlineStr">
        <is>
          <t>EMMABODA</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32497-2021</t>
        </is>
      </c>
      <c r="B3832" s="1" t="n">
        <v>44373</v>
      </c>
      <c r="C3832" s="1" t="n">
        <v>45884</v>
      </c>
      <c r="D3832" t="inlineStr">
        <is>
          <t>KALMAR LÄN</t>
        </is>
      </c>
      <c r="E3832" t="inlineStr">
        <is>
          <t>HULTSFRED</t>
        </is>
      </c>
      <c r="G3832" t="n">
        <v>3.4</v>
      </c>
      <c r="H3832" t="n">
        <v>0</v>
      </c>
      <c r="I3832" t="n">
        <v>0</v>
      </c>
      <c r="J3832" t="n">
        <v>0</v>
      </c>
      <c r="K3832" t="n">
        <v>0</v>
      </c>
      <c r="L3832" t="n">
        <v>0</v>
      </c>
      <c r="M3832" t="n">
        <v>0</v>
      </c>
      <c r="N3832" t="n">
        <v>0</v>
      </c>
      <c r="O3832" t="n">
        <v>0</v>
      </c>
      <c r="P3832" t="n">
        <v>0</v>
      </c>
      <c r="Q3832" t="n">
        <v>0</v>
      </c>
      <c r="R3832" s="2" t="inlineStr"/>
    </row>
    <row r="3833" ht="15" customHeight="1">
      <c r="A3833" t="inlineStr">
        <is>
          <t>A 27217-2022</t>
        </is>
      </c>
      <c r="B3833" s="1" t="n">
        <v>44741.63403935185</v>
      </c>
      <c r="C3833" s="1" t="n">
        <v>45884</v>
      </c>
      <c r="D3833" t="inlineStr">
        <is>
          <t>KALMAR LÄN</t>
        </is>
      </c>
      <c r="E3833" t="inlineStr">
        <is>
          <t>TORSÅS</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42816-2024</t>
        </is>
      </c>
      <c r="B3834" s="1" t="n">
        <v>45566</v>
      </c>
      <c r="C3834" s="1" t="n">
        <v>45884</v>
      </c>
      <c r="D3834" t="inlineStr">
        <is>
          <t>KALMAR LÄN</t>
        </is>
      </c>
      <c r="E3834" t="inlineStr">
        <is>
          <t>VÄSTERVIK</t>
        </is>
      </c>
      <c r="G3834" t="n">
        <v>0.1</v>
      </c>
      <c r="H3834" t="n">
        <v>0</v>
      </c>
      <c r="I3834" t="n">
        <v>0</v>
      </c>
      <c r="J3834" t="n">
        <v>0</v>
      </c>
      <c r="K3834" t="n">
        <v>0</v>
      </c>
      <c r="L3834" t="n">
        <v>0</v>
      </c>
      <c r="M3834" t="n">
        <v>0</v>
      </c>
      <c r="N3834" t="n">
        <v>0</v>
      </c>
      <c r="O3834" t="n">
        <v>0</v>
      </c>
      <c r="P3834" t="n">
        <v>0</v>
      </c>
      <c r="Q3834" t="n">
        <v>0</v>
      </c>
      <c r="R3834" s="2" t="inlineStr"/>
    </row>
    <row r="3835" ht="15" customHeight="1">
      <c r="A3835" t="inlineStr">
        <is>
          <t>A 41846-2024</t>
        </is>
      </c>
      <c r="B3835" s="1" t="n">
        <v>45561.42905092592</v>
      </c>
      <c r="C3835" s="1" t="n">
        <v>45884</v>
      </c>
      <c r="D3835" t="inlineStr">
        <is>
          <t>KALMAR LÄN</t>
        </is>
      </c>
      <c r="E3835" t="inlineStr">
        <is>
          <t>NYBRO</t>
        </is>
      </c>
      <c r="G3835" t="n">
        <v>2.3</v>
      </c>
      <c r="H3835" t="n">
        <v>0</v>
      </c>
      <c r="I3835" t="n">
        <v>0</v>
      </c>
      <c r="J3835" t="n">
        <v>0</v>
      </c>
      <c r="K3835" t="n">
        <v>0</v>
      </c>
      <c r="L3835" t="n">
        <v>0</v>
      </c>
      <c r="M3835" t="n">
        <v>0</v>
      </c>
      <c r="N3835" t="n">
        <v>0</v>
      </c>
      <c r="O3835" t="n">
        <v>0</v>
      </c>
      <c r="P3835" t="n">
        <v>0</v>
      </c>
      <c r="Q3835" t="n">
        <v>0</v>
      </c>
      <c r="R3835" s="2" t="inlineStr"/>
    </row>
    <row r="3836" ht="15" customHeight="1">
      <c r="A3836" t="inlineStr">
        <is>
          <t>A 25214-2023</t>
        </is>
      </c>
      <c r="B3836" s="1" t="n">
        <v>45086</v>
      </c>
      <c r="C3836" s="1" t="n">
        <v>45884</v>
      </c>
      <c r="D3836" t="inlineStr">
        <is>
          <t>KALMAR LÄN</t>
        </is>
      </c>
      <c r="E3836" t="inlineStr">
        <is>
          <t>KALMAR</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25234-2023</t>
        </is>
      </c>
      <c r="B3837" s="1" t="n">
        <v>45086.63194444445</v>
      </c>
      <c r="C3837" s="1" t="n">
        <v>45884</v>
      </c>
      <c r="D3837" t="inlineStr">
        <is>
          <t>KALMAR LÄN</t>
        </is>
      </c>
      <c r="E3837" t="inlineStr">
        <is>
          <t>VIMMERBY</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33208-2022</t>
        </is>
      </c>
      <c r="B3838" s="1" t="n">
        <v>44785</v>
      </c>
      <c r="C3838" s="1" t="n">
        <v>45884</v>
      </c>
      <c r="D3838" t="inlineStr">
        <is>
          <t>KALMAR LÄN</t>
        </is>
      </c>
      <c r="E3838" t="inlineStr">
        <is>
          <t>VÄSTERVIK</t>
        </is>
      </c>
      <c r="G3838" t="n">
        <v>2.6</v>
      </c>
      <c r="H3838" t="n">
        <v>0</v>
      </c>
      <c r="I3838" t="n">
        <v>0</v>
      </c>
      <c r="J3838" t="n">
        <v>0</v>
      </c>
      <c r="K3838" t="n">
        <v>0</v>
      </c>
      <c r="L3838" t="n">
        <v>0</v>
      </c>
      <c r="M3838" t="n">
        <v>0</v>
      </c>
      <c r="N3838" t="n">
        <v>0</v>
      </c>
      <c r="O3838" t="n">
        <v>0</v>
      </c>
      <c r="P3838" t="n">
        <v>0</v>
      </c>
      <c r="Q3838" t="n">
        <v>0</v>
      </c>
      <c r="R3838" s="2" t="inlineStr"/>
    </row>
    <row r="3839" ht="15" customHeight="1">
      <c r="A3839" t="inlineStr">
        <is>
          <t>A 46070-2023</t>
        </is>
      </c>
      <c r="B3839" s="1" t="n">
        <v>45196</v>
      </c>
      <c r="C3839" s="1" t="n">
        <v>45884</v>
      </c>
      <c r="D3839" t="inlineStr">
        <is>
          <t>KALMAR LÄN</t>
        </is>
      </c>
      <c r="E3839" t="inlineStr">
        <is>
          <t>VÄSTERVIK</t>
        </is>
      </c>
      <c r="F3839" t="inlineStr">
        <is>
          <t>Sveaskog</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46078-2023</t>
        </is>
      </c>
      <c r="B3840" s="1" t="n">
        <v>45196</v>
      </c>
      <c r="C3840" s="1" t="n">
        <v>45884</v>
      </c>
      <c r="D3840" t="inlineStr">
        <is>
          <t>KALMAR LÄN</t>
        </is>
      </c>
      <c r="E3840" t="inlineStr">
        <is>
          <t>VIMMERBY</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42452-2023</t>
        </is>
      </c>
      <c r="B3841" s="1" t="n">
        <v>45180.66054398148</v>
      </c>
      <c r="C3841" s="1" t="n">
        <v>45884</v>
      </c>
      <c r="D3841" t="inlineStr">
        <is>
          <t>KALMAR LÄN</t>
        </is>
      </c>
      <c r="E3841" t="inlineStr">
        <is>
          <t>KALMAR</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27098-2023</t>
        </is>
      </c>
      <c r="B3842" s="1" t="n">
        <v>45096</v>
      </c>
      <c r="C3842" s="1" t="n">
        <v>45884</v>
      </c>
      <c r="D3842" t="inlineStr">
        <is>
          <t>KALMAR LÄN</t>
        </is>
      </c>
      <c r="E3842" t="inlineStr">
        <is>
          <t>OSKARSHAMN</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27109-2023</t>
        </is>
      </c>
      <c r="B3843" s="1" t="n">
        <v>45096.42900462963</v>
      </c>
      <c r="C3843" s="1" t="n">
        <v>45884</v>
      </c>
      <c r="D3843" t="inlineStr">
        <is>
          <t>KALMAR LÄN</t>
        </is>
      </c>
      <c r="E3843" t="inlineStr">
        <is>
          <t>KALMAR</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22818-2024</t>
        </is>
      </c>
      <c r="B3844" s="1" t="n">
        <v>45448.52702546296</v>
      </c>
      <c r="C3844" s="1" t="n">
        <v>45884</v>
      </c>
      <c r="D3844" t="inlineStr">
        <is>
          <t>KALMAR LÄN</t>
        </is>
      </c>
      <c r="E3844" t="inlineStr">
        <is>
          <t>OSKARSHAMN</t>
        </is>
      </c>
      <c r="G3844" t="n">
        <v>3.1</v>
      </c>
      <c r="H3844" t="n">
        <v>0</v>
      </c>
      <c r="I3844" t="n">
        <v>0</v>
      </c>
      <c r="J3844" t="n">
        <v>0</v>
      </c>
      <c r="K3844" t="n">
        <v>0</v>
      </c>
      <c r="L3844" t="n">
        <v>0</v>
      </c>
      <c r="M3844" t="n">
        <v>0</v>
      </c>
      <c r="N3844" t="n">
        <v>0</v>
      </c>
      <c r="O3844" t="n">
        <v>0</v>
      </c>
      <c r="P3844" t="n">
        <v>0</v>
      </c>
      <c r="Q3844" t="n">
        <v>0</v>
      </c>
      <c r="R3844" s="2" t="inlineStr"/>
    </row>
    <row r="3845" ht="15" customHeight="1">
      <c r="A3845" t="inlineStr">
        <is>
          <t>A 22855-2024</t>
        </is>
      </c>
      <c r="B3845" s="1" t="n">
        <v>45448.61481481481</v>
      </c>
      <c r="C3845" s="1" t="n">
        <v>45884</v>
      </c>
      <c r="D3845" t="inlineStr">
        <is>
          <t>KALMAR LÄN</t>
        </is>
      </c>
      <c r="E3845" t="inlineStr">
        <is>
          <t>OSKARSHAMN</t>
        </is>
      </c>
      <c r="G3845" t="n">
        <v>0.4</v>
      </c>
      <c r="H3845" t="n">
        <v>0</v>
      </c>
      <c r="I3845" t="n">
        <v>0</v>
      </c>
      <c r="J3845" t="n">
        <v>0</v>
      </c>
      <c r="K3845" t="n">
        <v>0</v>
      </c>
      <c r="L3845" t="n">
        <v>0</v>
      </c>
      <c r="M3845" t="n">
        <v>0</v>
      </c>
      <c r="N3845" t="n">
        <v>0</v>
      </c>
      <c r="O3845" t="n">
        <v>0</v>
      </c>
      <c r="P3845" t="n">
        <v>0</v>
      </c>
      <c r="Q3845" t="n">
        <v>0</v>
      </c>
      <c r="R3845" s="2" t="inlineStr"/>
    </row>
    <row r="3846" ht="15" customHeight="1">
      <c r="A3846" t="inlineStr">
        <is>
          <t>A 50341-2023</t>
        </is>
      </c>
      <c r="B3846" s="1" t="n">
        <v>45216</v>
      </c>
      <c r="C3846" s="1" t="n">
        <v>45884</v>
      </c>
      <c r="D3846" t="inlineStr">
        <is>
          <t>KALMAR LÄN</t>
        </is>
      </c>
      <c r="E3846" t="inlineStr">
        <is>
          <t>HULTSFRED</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63361-2023</t>
        </is>
      </c>
      <c r="B3847" s="1" t="n">
        <v>45274.46324074074</v>
      </c>
      <c r="C3847" s="1" t="n">
        <v>45884</v>
      </c>
      <c r="D3847" t="inlineStr">
        <is>
          <t>KALMAR LÄN</t>
        </is>
      </c>
      <c r="E3847" t="inlineStr">
        <is>
          <t>VÄSTERVIK</t>
        </is>
      </c>
      <c r="G3847" t="n">
        <v>2.2</v>
      </c>
      <c r="H3847" t="n">
        <v>0</v>
      </c>
      <c r="I3847" t="n">
        <v>0</v>
      </c>
      <c r="J3847" t="n">
        <v>0</v>
      </c>
      <c r="K3847" t="n">
        <v>0</v>
      </c>
      <c r="L3847" t="n">
        <v>0</v>
      </c>
      <c r="M3847" t="n">
        <v>0</v>
      </c>
      <c r="N3847" t="n">
        <v>0</v>
      </c>
      <c r="O3847" t="n">
        <v>0</v>
      </c>
      <c r="P3847" t="n">
        <v>0</v>
      </c>
      <c r="Q3847" t="n">
        <v>0</v>
      </c>
      <c r="R3847" s="2" t="inlineStr"/>
    </row>
    <row r="3848" ht="15" customHeight="1">
      <c r="A3848" t="inlineStr">
        <is>
          <t>A 21844-2023</t>
        </is>
      </c>
      <c r="B3848" s="1" t="n">
        <v>45068.41424768518</v>
      </c>
      <c r="C3848" s="1" t="n">
        <v>45884</v>
      </c>
      <c r="D3848" t="inlineStr">
        <is>
          <t>KALMAR LÄN</t>
        </is>
      </c>
      <c r="E3848" t="inlineStr">
        <is>
          <t>EMMABODA</t>
        </is>
      </c>
      <c r="F3848" t="inlineStr">
        <is>
          <t>Kommuner</t>
        </is>
      </c>
      <c r="G3848" t="n">
        <v>2.7</v>
      </c>
      <c r="H3848" t="n">
        <v>0</v>
      </c>
      <c r="I3848" t="n">
        <v>0</v>
      </c>
      <c r="J3848" t="n">
        <v>0</v>
      </c>
      <c r="K3848" t="n">
        <v>0</v>
      </c>
      <c r="L3848" t="n">
        <v>0</v>
      </c>
      <c r="M3848" t="n">
        <v>0</v>
      </c>
      <c r="N3848" t="n">
        <v>0</v>
      </c>
      <c r="O3848" t="n">
        <v>0</v>
      </c>
      <c r="P3848" t="n">
        <v>0</v>
      </c>
      <c r="Q3848" t="n">
        <v>0</v>
      </c>
      <c r="R3848" s="2" t="inlineStr"/>
    </row>
    <row r="3849" ht="15" customHeight="1">
      <c r="A3849" t="inlineStr">
        <is>
          <t>A 58476-2024</t>
        </is>
      </c>
      <c r="B3849" s="1" t="n">
        <v>45635.38275462963</v>
      </c>
      <c r="C3849" s="1" t="n">
        <v>45884</v>
      </c>
      <c r="D3849" t="inlineStr">
        <is>
          <t>KALMAR LÄN</t>
        </is>
      </c>
      <c r="E3849" t="inlineStr">
        <is>
          <t>HULTSFRED</t>
        </is>
      </c>
      <c r="G3849" t="n">
        <v>2.8</v>
      </c>
      <c r="H3849" t="n">
        <v>0</v>
      </c>
      <c r="I3849" t="n">
        <v>0</v>
      </c>
      <c r="J3849" t="n">
        <v>0</v>
      </c>
      <c r="K3849" t="n">
        <v>0</v>
      </c>
      <c r="L3849" t="n">
        <v>0</v>
      </c>
      <c r="M3849" t="n">
        <v>0</v>
      </c>
      <c r="N3849" t="n">
        <v>0</v>
      </c>
      <c r="O3849" t="n">
        <v>0</v>
      </c>
      <c r="P3849" t="n">
        <v>0</v>
      </c>
      <c r="Q3849" t="n">
        <v>0</v>
      </c>
      <c r="R3849" s="2" t="inlineStr"/>
    </row>
    <row r="3850" ht="15" customHeight="1">
      <c r="A3850" t="inlineStr">
        <is>
          <t>A 46921-2023</t>
        </is>
      </c>
      <c r="B3850" s="1" t="n">
        <v>45201.39996527778</v>
      </c>
      <c r="C3850" s="1" t="n">
        <v>45884</v>
      </c>
      <c r="D3850" t="inlineStr">
        <is>
          <t>KALMAR LÄN</t>
        </is>
      </c>
      <c r="E3850" t="inlineStr">
        <is>
          <t>VIMMERBY</t>
        </is>
      </c>
      <c r="G3850" t="n">
        <v>2.6</v>
      </c>
      <c r="H3850" t="n">
        <v>0</v>
      </c>
      <c r="I3850" t="n">
        <v>0</v>
      </c>
      <c r="J3850" t="n">
        <v>0</v>
      </c>
      <c r="K3850" t="n">
        <v>0</v>
      </c>
      <c r="L3850" t="n">
        <v>0</v>
      </c>
      <c r="M3850" t="n">
        <v>0</v>
      </c>
      <c r="N3850" t="n">
        <v>0</v>
      </c>
      <c r="O3850" t="n">
        <v>0</v>
      </c>
      <c r="P3850" t="n">
        <v>0</v>
      </c>
      <c r="Q3850" t="n">
        <v>0</v>
      </c>
      <c r="R3850" s="2" t="inlineStr"/>
    </row>
    <row r="3851" ht="15" customHeight="1">
      <c r="A3851" t="inlineStr">
        <is>
          <t>A 60794-2021</t>
        </is>
      </c>
      <c r="B3851" s="1" t="n">
        <v>44497.23909722222</v>
      </c>
      <c r="C3851" s="1" t="n">
        <v>45884</v>
      </c>
      <c r="D3851" t="inlineStr">
        <is>
          <t>KALMAR LÄN</t>
        </is>
      </c>
      <c r="E3851" t="inlineStr">
        <is>
          <t>NYBRO</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782-2024</t>
        </is>
      </c>
      <c r="B3852" s="1" t="n">
        <v>45300.55188657407</v>
      </c>
      <c r="C3852" s="1" t="n">
        <v>45884</v>
      </c>
      <c r="D3852" t="inlineStr">
        <is>
          <t>KALMAR LÄN</t>
        </is>
      </c>
      <c r="E3852" t="inlineStr">
        <is>
          <t>VÄSTERVIK</t>
        </is>
      </c>
      <c r="G3852" t="n">
        <v>2.7</v>
      </c>
      <c r="H3852" t="n">
        <v>0</v>
      </c>
      <c r="I3852" t="n">
        <v>0</v>
      </c>
      <c r="J3852" t="n">
        <v>0</v>
      </c>
      <c r="K3852" t="n">
        <v>0</v>
      </c>
      <c r="L3852" t="n">
        <v>0</v>
      </c>
      <c r="M3852" t="n">
        <v>0</v>
      </c>
      <c r="N3852" t="n">
        <v>0</v>
      </c>
      <c r="O3852" t="n">
        <v>0</v>
      </c>
      <c r="P3852" t="n">
        <v>0</v>
      </c>
      <c r="Q3852" t="n">
        <v>0</v>
      </c>
      <c r="R3852" s="2" t="inlineStr"/>
    </row>
    <row r="3853" ht="15" customHeight="1">
      <c r="A3853" t="inlineStr">
        <is>
          <t>A 1585-2022</t>
        </is>
      </c>
      <c r="B3853" s="1" t="n">
        <v>44573</v>
      </c>
      <c r="C3853" s="1" t="n">
        <v>45884</v>
      </c>
      <c r="D3853" t="inlineStr">
        <is>
          <t>KALMAR LÄN</t>
        </is>
      </c>
      <c r="E3853" t="inlineStr">
        <is>
          <t>VÄSTERVIK</t>
        </is>
      </c>
      <c r="F3853" t="inlineStr">
        <is>
          <t>Holmen skog AB</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8112-2025</t>
        </is>
      </c>
      <c r="B3854" s="1" t="n">
        <v>45707</v>
      </c>
      <c r="C3854" s="1" t="n">
        <v>45884</v>
      </c>
      <c r="D3854" t="inlineStr">
        <is>
          <t>KALMAR LÄN</t>
        </is>
      </c>
      <c r="E3854" t="inlineStr">
        <is>
          <t>EMMABODA</t>
        </is>
      </c>
      <c r="G3854" t="n">
        <v>5.5</v>
      </c>
      <c r="H3854" t="n">
        <v>0</v>
      </c>
      <c r="I3854" t="n">
        <v>0</v>
      </c>
      <c r="J3854" t="n">
        <v>0</v>
      </c>
      <c r="K3854" t="n">
        <v>0</v>
      </c>
      <c r="L3854" t="n">
        <v>0</v>
      </c>
      <c r="M3854" t="n">
        <v>0</v>
      </c>
      <c r="N3854" t="n">
        <v>0</v>
      </c>
      <c r="O3854" t="n">
        <v>0</v>
      </c>
      <c r="P3854" t="n">
        <v>0</v>
      </c>
      <c r="Q3854" t="n">
        <v>0</v>
      </c>
      <c r="R3854" s="2" t="inlineStr"/>
    </row>
    <row r="3855" ht="15" customHeight="1">
      <c r="A3855" t="inlineStr">
        <is>
          <t>A 8120-2025</t>
        </is>
      </c>
      <c r="B3855" s="1" t="n">
        <v>45707.76028935185</v>
      </c>
      <c r="C3855" s="1" t="n">
        <v>45884</v>
      </c>
      <c r="D3855" t="inlineStr">
        <is>
          <t>KALMAR LÄN</t>
        </is>
      </c>
      <c r="E3855" t="inlineStr">
        <is>
          <t>KALMAR</t>
        </is>
      </c>
      <c r="G3855" t="n">
        <v>2.3</v>
      </c>
      <c r="H3855" t="n">
        <v>0</v>
      </c>
      <c r="I3855" t="n">
        <v>0</v>
      </c>
      <c r="J3855" t="n">
        <v>0</v>
      </c>
      <c r="K3855" t="n">
        <v>0</v>
      </c>
      <c r="L3855" t="n">
        <v>0</v>
      </c>
      <c r="M3855" t="n">
        <v>0</v>
      </c>
      <c r="N3855" t="n">
        <v>0</v>
      </c>
      <c r="O3855" t="n">
        <v>0</v>
      </c>
      <c r="P3855" t="n">
        <v>0</v>
      </c>
      <c r="Q3855" t="n">
        <v>0</v>
      </c>
      <c r="R3855" s="2" t="inlineStr"/>
    </row>
    <row r="3856" ht="15" customHeight="1">
      <c r="A3856" t="inlineStr">
        <is>
          <t>A 17525-2023</t>
        </is>
      </c>
      <c r="B3856" s="1" t="n">
        <v>45036.45335648148</v>
      </c>
      <c r="C3856" s="1" t="n">
        <v>45884</v>
      </c>
      <c r="D3856" t="inlineStr">
        <is>
          <t>KALMAR LÄN</t>
        </is>
      </c>
      <c r="E3856" t="inlineStr">
        <is>
          <t>EMMABODA</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8122-2025</t>
        </is>
      </c>
      <c r="B3857" s="1" t="n">
        <v>45707.76736111111</v>
      </c>
      <c r="C3857" s="1" t="n">
        <v>45884</v>
      </c>
      <c r="D3857" t="inlineStr">
        <is>
          <t>KALMAR LÄN</t>
        </is>
      </c>
      <c r="E3857" t="inlineStr">
        <is>
          <t>KALMAR</t>
        </is>
      </c>
      <c r="G3857" t="n">
        <v>5.1</v>
      </c>
      <c r="H3857" t="n">
        <v>0</v>
      </c>
      <c r="I3857" t="n">
        <v>0</v>
      </c>
      <c r="J3857" t="n">
        <v>0</v>
      </c>
      <c r="K3857" t="n">
        <v>0</v>
      </c>
      <c r="L3857" t="n">
        <v>0</v>
      </c>
      <c r="M3857" t="n">
        <v>0</v>
      </c>
      <c r="N3857" t="n">
        <v>0</v>
      </c>
      <c r="O3857" t="n">
        <v>0</v>
      </c>
      <c r="P3857" t="n">
        <v>0</v>
      </c>
      <c r="Q3857" t="n">
        <v>0</v>
      </c>
      <c r="R3857" s="2" t="inlineStr"/>
    </row>
    <row r="3858" ht="15" customHeight="1">
      <c r="A3858" t="inlineStr">
        <is>
          <t>A 12757-2023</t>
        </is>
      </c>
      <c r="B3858" s="1" t="n">
        <v>45001.27540509259</v>
      </c>
      <c r="C3858" s="1" t="n">
        <v>45884</v>
      </c>
      <c r="D3858" t="inlineStr">
        <is>
          <t>KALMAR LÄN</t>
        </is>
      </c>
      <c r="E3858" t="inlineStr">
        <is>
          <t>HÖGSBY</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61987-2024</t>
        </is>
      </c>
      <c r="B3859" s="1" t="n">
        <v>45653.6771875</v>
      </c>
      <c r="C3859" s="1" t="n">
        <v>45884</v>
      </c>
      <c r="D3859" t="inlineStr">
        <is>
          <t>KALMAR LÄN</t>
        </is>
      </c>
      <c r="E3859" t="inlineStr">
        <is>
          <t>NYBRO</t>
        </is>
      </c>
      <c r="G3859" t="n">
        <v>6.2</v>
      </c>
      <c r="H3859" t="n">
        <v>0</v>
      </c>
      <c r="I3859" t="n">
        <v>0</v>
      </c>
      <c r="J3859" t="n">
        <v>0</v>
      </c>
      <c r="K3859" t="n">
        <v>0</v>
      </c>
      <c r="L3859" t="n">
        <v>0</v>
      </c>
      <c r="M3859" t="n">
        <v>0</v>
      </c>
      <c r="N3859" t="n">
        <v>0</v>
      </c>
      <c r="O3859" t="n">
        <v>0</v>
      </c>
      <c r="P3859" t="n">
        <v>0</v>
      </c>
      <c r="Q3859" t="n">
        <v>0</v>
      </c>
      <c r="R3859" s="2" t="inlineStr"/>
    </row>
    <row r="3860" ht="15" customHeight="1">
      <c r="A3860" t="inlineStr">
        <is>
          <t>A 46728-2022</t>
        </is>
      </c>
      <c r="B3860" s="1" t="n">
        <v>44851.4281712963</v>
      </c>
      <c r="C3860" s="1" t="n">
        <v>45884</v>
      </c>
      <c r="D3860" t="inlineStr">
        <is>
          <t>KALMAR LÄN</t>
        </is>
      </c>
      <c r="E3860" t="inlineStr">
        <is>
          <t>EMMABODA</t>
        </is>
      </c>
      <c r="G3860" t="n">
        <v>3.1</v>
      </c>
      <c r="H3860" t="n">
        <v>0</v>
      </c>
      <c r="I3860" t="n">
        <v>0</v>
      </c>
      <c r="J3860" t="n">
        <v>0</v>
      </c>
      <c r="K3860" t="n">
        <v>0</v>
      </c>
      <c r="L3860" t="n">
        <v>0</v>
      </c>
      <c r="M3860" t="n">
        <v>0</v>
      </c>
      <c r="N3860" t="n">
        <v>0</v>
      </c>
      <c r="O3860" t="n">
        <v>0</v>
      </c>
      <c r="P3860" t="n">
        <v>0</v>
      </c>
      <c r="Q3860" t="n">
        <v>0</v>
      </c>
      <c r="R3860" s="2" t="inlineStr"/>
    </row>
    <row r="3861" ht="15" customHeight="1">
      <c r="A3861" t="inlineStr">
        <is>
          <t>A 14949-2023</t>
        </is>
      </c>
      <c r="B3861" s="1" t="n">
        <v>45015</v>
      </c>
      <c r="C3861" s="1" t="n">
        <v>45884</v>
      </c>
      <c r="D3861" t="inlineStr">
        <is>
          <t>KALMAR LÄN</t>
        </is>
      </c>
      <c r="E3861" t="inlineStr">
        <is>
          <t>OSKARSHAMN</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46751-2022</t>
        </is>
      </c>
      <c r="B3862" s="1" t="n">
        <v>44851</v>
      </c>
      <c r="C3862" s="1" t="n">
        <v>45884</v>
      </c>
      <c r="D3862" t="inlineStr">
        <is>
          <t>KALMAR LÄN</t>
        </is>
      </c>
      <c r="E3862" t="inlineStr">
        <is>
          <t>TORSÅS</t>
        </is>
      </c>
      <c r="G3862" t="n">
        <v>8</v>
      </c>
      <c r="H3862" t="n">
        <v>0</v>
      </c>
      <c r="I3862" t="n">
        <v>0</v>
      </c>
      <c r="J3862" t="n">
        <v>0</v>
      </c>
      <c r="K3862" t="n">
        <v>0</v>
      </c>
      <c r="L3862" t="n">
        <v>0</v>
      </c>
      <c r="M3862" t="n">
        <v>0</v>
      </c>
      <c r="N3862" t="n">
        <v>0</v>
      </c>
      <c r="O3862" t="n">
        <v>0</v>
      </c>
      <c r="P3862" t="n">
        <v>0</v>
      </c>
      <c r="Q3862" t="n">
        <v>0</v>
      </c>
      <c r="R3862" s="2" t="inlineStr"/>
    </row>
    <row r="3863" ht="15" customHeight="1">
      <c r="A3863" t="inlineStr">
        <is>
          <t>A 36278-2023</t>
        </is>
      </c>
      <c r="B3863" s="1" t="n">
        <v>45152.34190972222</v>
      </c>
      <c r="C3863" s="1" t="n">
        <v>45884</v>
      </c>
      <c r="D3863" t="inlineStr">
        <is>
          <t>KALMAR LÄN</t>
        </is>
      </c>
      <c r="E3863" t="inlineStr">
        <is>
          <t>HULTSFRED</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7760-2022</t>
        </is>
      </c>
      <c r="B3864" s="1" t="n">
        <v>44608</v>
      </c>
      <c r="C3864" s="1" t="n">
        <v>45884</v>
      </c>
      <c r="D3864" t="inlineStr">
        <is>
          <t>KALMAR LÄN</t>
        </is>
      </c>
      <c r="E3864" t="inlineStr">
        <is>
          <t>EMMABODA</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35961-2023</t>
        </is>
      </c>
      <c r="B3865" s="1" t="n">
        <v>45148.85041666667</v>
      </c>
      <c r="C3865" s="1" t="n">
        <v>45884</v>
      </c>
      <c r="D3865" t="inlineStr">
        <is>
          <t>KALMAR LÄN</t>
        </is>
      </c>
      <c r="E3865" t="inlineStr">
        <is>
          <t>VÄSTERVIK</t>
        </is>
      </c>
      <c r="F3865" t="inlineStr">
        <is>
          <t>Sveaskog</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27027-2023</t>
        </is>
      </c>
      <c r="B3866" s="1" t="n">
        <v>45095</v>
      </c>
      <c r="C3866" s="1" t="n">
        <v>45884</v>
      </c>
      <c r="D3866" t="inlineStr">
        <is>
          <t>KALMAR LÄN</t>
        </is>
      </c>
      <c r="E3866" t="inlineStr">
        <is>
          <t>NYBRO</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27028-2023</t>
        </is>
      </c>
      <c r="B3867" s="1" t="n">
        <v>45095</v>
      </c>
      <c r="C3867" s="1" t="n">
        <v>45884</v>
      </c>
      <c r="D3867" t="inlineStr">
        <is>
          <t>KALMAR LÄN</t>
        </is>
      </c>
      <c r="E3867" t="inlineStr">
        <is>
          <t>EMMABODA</t>
        </is>
      </c>
      <c r="G3867" t="n">
        <v>11.3</v>
      </c>
      <c r="H3867" t="n">
        <v>0</v>
      </c>
      <c r="I3867" t="n">
        <v>0</v>
      </c>
      <c r="J3867" t="n">
        <v>0</v>
      </c>
      <c r="K3867" t="n">
        <v>0</v>
      </c>
      <c r="L3867" t="n">
        <v>0</v>
      </c>
      <c r="M3867" t="n">
        <v>0</v>
      </c>
      <c r="N3867" t="n">
        <v>0</v>
      </c>
      <c r="O3867" t="n">
        <v>0</v>
      </c>
      <c r="P3867" t="n">
        <v>0</v>
      </c>
      <c r="Q3867" t="n">
        <v>0</v>
      </c>
      <c r="R3867" s="2" t="inlineStr"/>
    </row>
    <row r="3868" ht="15" customHeight="1">
      <c r="A3868" t="inlineStr">
        <is>
          <t>A 28952-2023</t>
        </is>
      </c>
      <c r="B3868" s="1" t="n">
        <v>45104</v>
      </c>
      <c r="C3868" s="1" t="n">
        <v>45884</v>
      </c>
      <c r="D3868" t="inlineStr">
        <is>
          <t>KALMAR LÄN</t>
        </is>
      </c>
      <c r="E3868" t="inlineStr">
        <is>
          <t>VÄSTERVIK</t>
        </is>
      </c>
      <c r="F3868" t="inlineStr">
        <is>
          <t>Holmen skog AB</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66543-2021</t>
        </is>
      </c>
      <c r="B3869" s="1" t="n">
        <v>44519.39357638889</v>
      </c>
      <c r="C3869" s="1" t="n">
        <v>45884</v>
      </c>
      <c r="D3869" t="inlineStr">
        <is>
          <t>KALMAR LÄN</t>
        </is>
      </c>
      <c r="E3869" t="inlineStr">
        <is>
          <t>TORSÅS</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14193-2024</t>
        </is>
      </c>
      <c r="B3870" s="1" t="n">
        <v>45393.36902777778</v>
      </c>
      <c r="C3870" s="1" t="n">
        <v>45884</v>
      </c>
      <c r="D3870" t="inlineStr">
        <is>
          <t>KALMAR LÄN</t>
        </is>
      </c>
      <c r="E3870" t="inlineStr">
        <is>
          <t>HÖGSBY</t>
        </is>
      </c>
      <c r="G3870" t="n">
        <v>2.7</v>
      </c>
      <c r="H3870" t="n">
        <v>0</v>
      </c>
      <c r="I3870" t="n">
        <v>0</v>
      </c>
      <c r="J3870" t="n">
        <v>0</v>
      </c>
      <c r="K3870" t="n">
        <v>0</v>
      </c>
      <c r="L3870" t="n">
        <v>0</v>
      </c>
      <c r="M3870" t="n">
        <v>0</v>
      </c>
      <c r="N3870" t="n">
        <v>0</v>
      </c>
      <c r="O3870" t="n">
        <v>0</v>
      </c>
      <c r="P3870" t="n">
        <v>0</v>
      </c>
      <c r="Q3870" t="n">
        <v>0</v>
      </c>
      <c r="R3870" s="2" t="inlineStr"/>
    </row>
    <row r="3871" ht="15" customHeight="1">
      <c r="A3871" t="inlineStr">
        <is>
          <t>A 5056-2024</t>
        </is>
      </c>
      <c r="B3871" s="1" t="n">
        <v>45329</v>
      </c>
      <c r="C3871" s="1" t="n">
        <v>45884</v>
      </c>
      <c r="D3871" t="inlineStr">
        <is>
          <t>KALMAR LÄN</t>
        </is>
      </c>
      <c r="E3871" t="inlineStr">
        <is>
          <t>OSKARSHAMN</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62562-2022</t>
        </is>
      </c>
      <c r="B3872" s="1" t="n">
        <v>44924.78539351852</v>
      </c>
      <c r="C3872" s="1" t="n">
        <v>45884</v>
      </c>
      <c r="D3872" t="inlineStr">
        <is>
          <t>KALMAR LÄN</t>
        </is>
      </c>
      <c r="E3872" t="inlineStr">
        <is>
          <t>HÖGSBY</t>
        </is>
      </c>
      <c r="G3872" t="n">
        <v>2.6</v>
      </c>
      <c r="H3872" t="n">
        <v>0</v>
      </c>
      <c r="I3872" t="n">
        <v>0</v>
      </c>
      <c r="J3872" t="n">
        <v>0</v>
      </c>
      <c r="K3872" t="n">
        <v>0</v>
      </c>
      <c r="L3872" t="n">
        <v>0</v>
      </c>
      <c r="M3872" t="n">
        <v>0</v>
      </c>
      <c r="N3872" t="n">
        <v>0</v>
      </c>
      <c r="O3872" t="n">
        <v>0</v>
      </c>
      <c r="P3872" t="n">
        <v>0</v>
      </c>
      <c r="Q3872" t="n">
        <v>0</v>
      </c>
      <c r="R3872" s="2" t="inlineStr"/>
    </row>
    <row r="3873" ht="15" customHeight="1">
      <c r="A3873" t="inlineStr">
        <is>
          <t>A 27610-2023</t>
        </is>
      </c>
      <c r="B3873" s="1" t="n">
        <v>45097</v>
      </c>
      <c r="C3873" s="1" t="n">
        <v>45884</v>
      </c>
      <c r="D3873" t="inlineStr">
        <is>
          <t>KALMAR LÄN</t>
        </is>
      </c>
      <c r="E3873" t="inlineStr">
        <is>
          <t>MÖNSTERÅS</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2713-2022</t>
        </is>
      </c>
      <c r="B3874" s="1" t="n">
        <v>44580.64971064815</v>
      </c>
      <c r="C3874" s="1" t="n">
        <v>45884</v>
      </c>
      <c r="D3874" t="inlineStr">
        <is>
          <t>KALMAR LÄN</t>
        </is>
      </c>
      <c r="E3874" t="inlineStr">
        <is>
          <t>EMMABODA</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25236-2023</t>
        </is>
      </c>
      <c r="B3875" s="1" t="n">
        <v>45086.63334490741</v>
      </c>
      <c r="C3875" s="1" t="n">
        <v>45884</v>
      </c>
      <c r="D3875" t="inlineStr">
        <is>
          <t>KALMAR LÄN</t>
        </is>
      </c>
      <c r="E3875" t="inlineStr">
        <is>
          <t>VIMMERBY</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23992-2021</t>
        </is>
      </c>
      <c r="B3876" s="1" t="n">
        <v>44335</v>
      </c>
      <c r="C3876" s="1" t="n">
        <v>45884</v>
      </c>
      <c r="D3876" t="inlineStr">
        <is>
          <t>KALMAR LÄN</t>
        </is>
      </c>
      <c r="E3876" t="inlineStr">
        <is>
          <t>VÄSTERVIK</t>
        </is>
      </c>
      <c r="G3876" t="n">
        <v>3.1</v>
      </c>
      <c r="H3876" t="n">
        <v>0</v>
      </c>
      <c r="I3876" t="n">
        <v>0</v>
      </c>
      <c r="J3876" t="n">
        <v>0</v>
      </c>
      <c r="K3876" t="n">
        <v>0</v>
      </c>
      <c r="L3876" t="n">
        <v>0</v>
      </c>
      <c r="M3876" t="n">
        <v>0</v>
      </c>
      <c r="N3876" t="n">
        <v>0</v>
      </c>
      <c r="O3876" t="n">
        <v>0</v>
      </c>
      <c r="P3876" t="n">
        <v>0</v>
      </c>
      <c r="Q3876" t="n">
        <v>0</v>
      </c>
      <c r="R3876" s="2" t="inlineStr"/>
    </row>
    <row r="3877" ht="15" customHeight="1">
      <c r="A3877" t="inlineStr">
        <is>
          <t>A 24040-2021</t>
        </is>
      </c>
      <c r="B3877" s="1" t="n">
        <v>44336.37304398148</v>
      </c>
      <c r="C3877" s="1" t="n">
        <v>45884</v>
      </c>
      <c r="D3877" t="inlineStr">
        <is>
          <t>KALMAR LÄN</t>
        </is>
      </c>
      <c r="E3877" t="inlineStr">
        <is>
          <t>TORSÅS</t>
        </is>
      </c>
      <c r="G3877" t="n">
        <v>11.3</v>
      </c>
      <c r="H3877" t="n">
        <v>0</v>
      </c>
      <c r="I3877" t="n">
        <v>0</v>
      </c>
      <c r="J3877" t="n">
        <v>0</v>
      </c>
      <c r="K3877" t="n">
        <v>0</v>
      </c>
      <c r="L3877" t="n">
        <v>0</v>
      </c>
      <c r="M3877" t="n">
        <v>0</v>
      </c>
      <c r="N3877" t="n">
        <v>0</v>
      </c>
      <c r="O3877" t="n">
        <v>0</v>
      </c>
      <c r="P3877" t="n">
        <v>0</v>
      </c>
      <c r="Q3877" t="n">
        <v>0</v>
      </c>
      <c r="R3877" s="2" t="inlineStr"/>
    </row>
    <row r="3878" ht="15" customHeight="1">
      <c r="A3878" t="inlineStr">
        <is>
          <t>A 39892-2024</t>
        </is>
      </c>
      <c r="B3878" s="1" t="n">
        <v>45553</v>
      </c>
      <c r="C3878" s="1" t="n">
        <v>45884</v>
      </c>
      <c r="D3878" t="inlineStr">
        <is>
          <t>KALMAR LÄN</t>
        </is>
      </c>
      <c r="E3878" t="inlineStr">
        <is>
          <t>HÖGSBY</t>
        </is>
      </c>
      <c r="G3878" t="n">
        <v>6</v>
      </c>
      <c r="H3878" t="n">
        <v>0</v>
      </c>
      <c r="I3878" t="n">
        <v>0</v>
      </c>
      <c r="J3878" t="n">
        <v>0</v>
      </c>
      <c r="K3878" t="n">
        <v>0</v>
      </c>
      <c r="L3878" t="n">
        <v>0</v>
      </c>
      <c r="M3878" t="n">
        <v>0</v>
      </c>
      <c r="N3878" t="n">
        <v>0</v>
      </c>
      <c r="O3878" t="n">
        <v>0</v>
      </c>
      <c r="P3878" t="n">
        <v>0</v>
      </c>
      <c r="Q3878" t="n">
        <v>0</v>
      </c>
      <c r="R3878" s="2" t="inlineStr"/>
    </row>
    <row r="3879" ht="15" customHeight="1">
      <c r="A3879" t="inlineStr">
        <is>
          <t>A 7925-2023</t>
        </is>
      </c>
      <c r="B3879" s="1" t="n">
        <v>44973.64606481481</v>
      </c>
      <c r="C3879" s="1" t="n">
        <v>45884</v>
      </c>
      <c r="D3879" t="inlineStr">
        <is>
          <t>KALMAR LÄN</t>
        </is>
      </c>
      <c r="E3879" t="inlineStr">
        <is>
          <t>VÄSTERVIK</t>
        </is>
      </c>
      <c r="G3879" t="n">
        <v>4.9</v>
      </c>
      <c r="H3879" t="n">
        <v>0</v>
      </c>
      <c r="I3879" t="n">
        <v>0</v>
      </c>
      <c r="J3879" t="n">
        <v>0</v>
      </c>
      <c r="K3879" t="n">
        <v>0</v>
      </c>
      <c r="L3879" t="n">
        <v>0</v>
      </c>
      <c r="M3879" t="n">
        <v>0</v>
      </c>
      <c r="N3879" t="n">
        <v>0</v>
      </c>
      <c r="O3879" t="n">
        <v>0</v>
      </c>
      <c r="P3879" t="n">
        <v>0</v>
      </c>
      <c r="Q3879" t="n">
        <v>0</v>
      </c>
      <c r="R3879" s="2" t="inlineStr"/>
    </row>
    <row r="3880" ht="15" customHeight="1">
      <c r="A3880" t="inlineStr">
        <is>
          <t>A 58731-2024</t>
        </is>
      </c>
      <c r="B3880" s="1" t="n">
        <v>45635.67120370371</v>
      </c>
      <c r="C3880" s="1" t="n">
        <v>45884</v>
      </c>
      <c r="D3880" t="inlineStr">
        <is>
          <t>KALMAR LÄN</t>
        </is>
      </c>
      <c r="E3880" t="inlineStr">
        <is>
          <t>VÄSTERVIK</t>
        </is>
      </c>
      <c r="G3880" t="n">
        <v>2.3</v>
      </c>
      <c r="H3880" t="n">
        <v>0</v>
      </c>
      <c r="I3880" t="n">
        <v>0</v>
      </c>
      <c r="J3880" t="n">
        <v>0</v>
      </c>
      <c r="K3880" t="n">
        <v>0</v>
      </c>
      <c r="L3880" t="n">
        <v>0</v>
      </c>
      <c r="M3880" t="n">
        <v>0</v>
      </c>
      <c r="N3880" t="n">
        <v>0</v>
      </c>
      <c r="O3880" t="n">
        <v>0</v>
      </c>
      <c r="P3880" t="n">
        <v>0</v>
      </c>
      <c r="Q3880" t="n">
        <v>0</v>
      </c>
      <c r="R3880" s="2" t="inlineStr"/>
    </row>
    <row r="3881" ht="15" customHeight="1">
      <c r="A3881" t="inlineStr">
        <is>
          <t>A 28222-2024</t>
        </is>
      </c>
      <c r="B3881" s="1" t="n">
        <v>45477.36993055556</v>
      </c>
      <c r="C3881" s="1" t="n">
        <v>45884</v>
      </c>
      <c r="D3881" t="inlineStr">
        <is>
          <t>KALMAR LÄN</t>
        </is>
      </c>
      <c r="E3881" t="inlineStr">
        <is>
          <t>VÄSTERVIK</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12336-2025</t>
        </is>
      </c>
      <c r="B3882" s="1" t="n">
        <v>45730.33155092593</v>
      </c>
      <c r="C3882" s="1" t="n">
        <v>45884</v>
      </c>
      <c r="D3882" t="inlineStr">
        <is>
          <t>KALMAR LÄN</t>
        </is>
      </c>
      <c r="E3882" t="inlineStr">
        <is>
          <t>HULTSFRED</t>
        </is>
      </c>
      <c r="F3882" t="inlineStr">
        <is>
          <t>Sveaskog</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13043-2024</t>
        </is>
      </c>
      <c r="B3883" s="1" t="n">
        <v>45385.60111111111</v>
      </c>
      <c r="C3883" s="1" t="n">
        <v>45884</v>
      </c>
      <c r="D3883" t="inlineStr">
        <is>
          <t>KALMAR LÄN</t>
        </is>
      </c>
      <c r="E3883" t="inlineStr">
        <is>
          <t>BORGHOLM</t>
        </is>
      </c>
      <c r="G3883" t="n">
        <v>0.4</v>
      </c>
      <c r="H3883" t="n">
        <v>0</v>
      </c>
      <c r="I3883" t="n">
        <v>0</v>
      </c>
      <c r="J3883" t="n">
        <v>0</v>
      </c>
      <c r="K3883" t="n">
        <v>0</v>
      </c>
      <c r="L3883" t="n">
        <v>0</v>
      </c>
      <c r="M3883" t="n">
        <v>0</v>
      </c>
      <c r="N3883" t="n">
        <v>0</v>
      </c>
      <c r="O3883" t="n">
        <v>0</v>
      </c>
      <c r="P3883" t="n">
        <v>0</v>
      </c>
      <c r="Q3883" t="n">
        <v>0</v>
      </c>
      <c r="R3883" s="2" t="inlineStr"/>
    </row>
    <row r="3884" ht="15" customHeight="1">
      <c r="A3884" t="inlineStr">
        <is>
          <t>A 29859-2023</t>
        </is>
      </c>
      <c r="B3884" s="1" t="n">
        <v>45107.60460648148</v>
      </c>
      <c r="C3884" s="1" t="n">
        <v>45884</v>
      </c>
      <c r="D3884" t="inlineStr">
        <is>
          <t>KALMAR LÄN</t>
        </is>
      </c>
      <c r="E3884" t="inlineStr">
        <is>
          <t>EMMABODA</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2865-2025</t>
        </is>
      </c>
      <c r="B3885" s="1" t="n">
        <v>45677</v>
      </c>
      <c r="C3885" s="1" t="n">
        <v>45884</v>
      </c>
      <c r="D3885" t="inlineStr">
        <is>
          <t>KALMAR LÄN</t>
        </is>
      </c>
      <c r="E3885" t="inlineStr">
        <is>
          <t>HULTSFRED</t>
        </is>
      </c>
      <c r="G3885" t="n">
        <v>6</v>
      </c>
      <c r="H3885" t="n">
        <v>0</v>
      </c>
      <c r="I3885" t="n">
        <v>0</v>
      </c>
      <c r="J3885" t="n">
        <v>0</v>
      </c>
      <c r="K3885" t="n">
        <v>0</v>
      </c>
      <c r="L3885" t="n">
        <v>0</v>
      </c>
      <c r="M3885" t="n">
        <v>0</v>
      </c>
      <c r="N3885" t="n">
        <v>0</v>
      </c>
      <c r="O3885" t="n">
        <v>0</v>
      </c>
      <c r="P3885" t="n">
        <v>0</v>
      </c>
      <c r="Q3885" t="n">
        <v>0</v>
      </c>
      <c r="R3885" s="2" t="inlineStr"/>
    </row>
    <row r="3886" ht="15" customHeight="1">
      <c r="A3886" t="inlineStr">
        <is>
          <t>A 2872-2025</t>
        </is>
      </c>
      <c r="B3886" s="1" t="n">
        <v>45677.68357638889</v>
      </c>
      <c r="C3886" s="1" t="n">
        <v>45884</v>
      </c>
      <c r="D3886" t="inlineStr">
        <is>
          <t>KALMAR LÄN</t>
        </is>
      </c>
      <c r="E3886" t="inlineStr">
        <is>
          <t>VÄSTERVIK</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3676-2025</t>
        </is>
      </c>
      <c r="B3887" s="1" t="n">
        <v>45681.4413425926</v>
      </c>
      <c r="C3887" s="1" t="n">
        <v>45884</v>
      </c>
      <c r="D3887" t="inlineStr">
        <is>
          <t>KALMAR LÄN</t>
        </is>
      </c>
      <c r="E3887" t="inlineStr">
        <is>
          <t>HULTSFRED</t>
        </is>
      </c>
      <c r="G3887" t="n">
        <v>2.5</v>
      </c>
      <c r="H3887" t="n">
        <v>0</v>
      </c>
      <c r="I3887" t="n">
        <v>0</v>
      </c>
      <c r="J3887" t="n">
        <v>0</v>
      </c>
      <c r="K3887" t="n">
        <v>0</v>
      </c>
      <c r="L3887" t="n">
        <v>0</v>
      </c>
      <c r="M3887" t="n">
        <v>0</v>
      </c>
      <c r="N3887" t="n">
        <v>0</v>
      </c>
      <c r="O3887" t="n">
        <v>0</v>
      </c>
      <c r="P3887" t="n">
        <v>0</v>
      </c>
      <c r="Q3887" t="n">
        <v>0</v>
      </c>
      <c r="R3887" s="2" t="inlineStr"/>
    </row>
    <row r="3888" ht="15" customHeight="1">
      <c r="A3888" t="inlineStr">
        <is>
          <t>A 8236-2025</t>
        </is>
      </c>
      <c r="B3888" s="1" t="n">
        <v>45708.47785879629</v>
      </c>
      <c r="C3888" s="1" t="n">
        <v>45884</v>
      </c>
      <c r="D3888" t="inlineStr">
        <is>
          <t>KALMAR LÄN</t>
        </is>
      </c>
      <c r="E3888" t="inlineStr">
        <is>
          <t>OSKARSHAMN</t>
        </is>
      </c>
      <c r="G3888" t="n">
        <v>3</v>
      </c>
      <c r="H3888" t="n">
        <v>0</v>
      </c>
      <c r="I3888" t="n">
        <v>0</v>
      </c>
      <c r="J3888" t="n">
        <v>0</v>
      </c>
      <c r="K3888" t="n">
        <v>0</v>
      </c>
      <c r="L3888" t="n">
        <v>0</v>
      </c>
      <c r="M3888" t="n">
        <v>0</v>
      </c>
      <c r="N3888" t="n">
        <v>0</v>
      </c>
      <c r="O3888" t="n">
        <v>0</v>
      </c>
      <c r="P3888" t="n">
        <v>0</v>
      </c>
      <c r="Q3888" t="n">
        <v>0</v>
      </c>
      <c r="R3888" s="2" t="inlineStr"/>
    </row>
    <row r="3889" ht="15" customHeight="1">
      <c r="A3889" t="inlineStr">
        <is>
          <t>A 29289-2023</t>
        </is>
      </c>
      <c r="B3889" s="1" t="n">
        <v>45098</v>
      </c>
      <c r="C3889" s="1" t="n">
        <v>45884</v>
      </c>
      <c r="D3889" t="inlineStr">
        <is>
          <t>KALMAR LÄN</t>
        </is>
      </c>
      <c r="E3889" t="inlineStr">
        <is>
          <t>NYBRO</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22377-2022</t>
        </is>
      </c>
      <c r="B3890" s="1" t="n">
        <v>44713.41929398148</v>
      </c>
      <c r="C3890" s="1" t="n">
        <v>45884</v>
      </c>
      <c r="D3890" t="inlineStr">
        <is>
          <t>KALMAR LÄN</t>
        </is>
      </c>
      <c r="E3890" t="inlineStr">
        <is>
          <t>MÖNSTERÅS</t>
        </is>
      </c>
      <c r="G3890" t="n">
        <v>3</v>
      </c>
      <c r="H3890" t="n">
        <v>0</v>
      </c>
      <c r="I3890" t="n">
        <v>0</v>
      </c>
      <c r="J3890" t="n">
        <v>0</v>
      </c>
      <c r="K3890" t="n">
        <v>0</v>
      </c>
      <c r="L3890" t="n">
        <v>0</v>
      </c>
      <c r="M3890" t="n">
        <v>0</v>
      </c>
      <c r="N3890" t="n">
        <v>0</v>
      </c>
      <c r="O3890" t="n">
        <v>0</v>
      </c>
      <c r="P3890" t="n">
        <v>0</v>
      </c>
      <c r="Q3890" t="n">
        <v>0</v>
      </c>
      <c r="R3890" s="2" t="inlineStr"/>
    </row>
    <row r="3891" ht="15" customHeight="1">
      <c r="A3891" t="inlineStr">
        <is>
          <t>A 57823-2023</t>
        </is>
      </c>
      <c r="B3891" s="1" t="n">
        <v>45244</v>
      </c>
      <c r="C3891" s="1" t="n">
        <v>45884</v>
      </c>
      <c r="D3891" t="inlineStr">
        <is>
          <t>KALMAR LÄN</t>
        </is>
      </c>
      <c r="E3891" t="inlineStr">
        <is>
          <t>NYBRO</t>
        </is>
      </c>
      <c r="G3891" t="n">
        <v>1.8</v>
      </c>
      <c r="H3891" t="n">
        <v>0</v>
      </c>
      <c r="I3891" t="n">
        <v>0</v>
      </c>
      <c r="J3891" t="n">
        <v>0</v>
      </c>
      <c r="K3891" t="n">
        <v>0</v>
      </c>
      <c r="L3891" t="n">
        <v>0</v>
      </c>
      <c r="M3891" t="n">
        <v>0</v>
      </c>
      <c r="N3891" t="n">
        <v>0</v>
      </c>
      <c r="O3891" t="n">
        <v>0</v>
      </c>
      <c r="P3891" t="n">
        <v>0</v>
      </c>
      <c r="Q3891" t="n">
        <v>0</v>
      </c>
      <c r="R3891" s="2" t="inlineStr"/>
    </row>
    <row r="3892" ht="15" customHeight="1">
      <c r="A3892" t="inlineStr">
        <is>
          <t>A 15098-2025</t>
        </is>
      </c>
      <c r="B3892" s="1" t="n">
        <v>45744.33675925926</v>
      </c>
      <c r="C3892" s="1" t="n">
        <v>45884</v>
      </c>
      <c r="D3892" t="inlineStr">
        <is>
          <t>KALMAR LÄN</t>
        </is>
      </c>
      <c r="E3892" t="inlineStr">
        <is>
          <t>NYBRO</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18733-2025</t>
        </is>
      </c>
      <c r="B3893" s="1" t="n">
        <v>45763.67619212963</v>
      </c>
      <c r="C3893" s="1" t="n">
        <v>45884</v>
      </c>
      <c r="D3893" t="inlineStr">
        <is>
          <t>KALMAR LÄN</t>
        </is>
      </c>
      <c r="E3893" t="inlineStr">
        <is>
          <t>MÖNSTERÅS</t>
        </is>
      </c>
      <c r="G3893" t="n">
        <v>2.4</v>
      </c>
      <c r="H3893" t="n">
        <v>0</v>
      </c>
      <c r="I3893" t="n">
        <v>0</v>
      </c>
      <c r="J3893" t="n">
        <v>0</v>
      </c>
      <c r="K3893" t="n">
        <v>0</v>
      </c>
      <c r="L3893" t="n">
        <v>0</v>
      </c>
      <c r="M3893" t="n">
        <v>0</v>
      </c>
      <c r="N3893" t="n">
        <v>0</v>
      </c>
      <c r="O3893" t="n">
        <v>0</v>
      </c>
      <c r="P3893" t="n">
        <v>0</v>
      </c>
      <c r="Q3893" t="n">
        <v>0</v>
      </c>
      <c r="R3893" s="2" t="inlineStr"/>
    </row>
    <row r="3894" ht="15" customHeight="1">
      <c r="A3894" t="inlineStr">
        <is>
          <t>A 17439-2025</t>
        </is>
      </c>
      <c r="B3894" s="1" t="n">
        <v>45757.42518518519</v>
      </c>
      <c r="C3894" s="1" t="n">
        <v>45884</v>
      </c>
      <c r="D3894" t="inlineStr">
        <is>
          <t>KALMAR LÄN</t>
        </is>
      </c>
      <c r="E3894" t="inlineStr">
        <is>
          <t>NYBRO</t>
        </is>
      </c>
      <c r="G3894" t="n">
        <v>2.6</v>
      </c>
      <c r="H3894" t="n">
        <v>0</v>
      </c>
      <c r="I3894" t="n">
        <v>0</v>
      </c>
      <c r="J3894" t="n">
        <v>0</v>
      </c>
      <c r="K3894" t="n">
        <v>0</v>
      </c>
      <c r="L3894" t="n">
        <v>0</v>
      </c>
      <c r="M3894" t="n">
        <v>0</v>
      </c>
      <c r="N3894" t="n">
        <v>0</v>
      </c>
      <c r="O3894" t="n">
        <v>0</v>
      </c>
      <c r="P3894" t="n">
        <v>0</v>
      </c>
      <c r="Q3894" t="n">
        <v>0</v>
      </c>
      <c r="R3894" s="2" t="inlineStr"/>
    </row>
    <row r="3895" ht="15" customHeight="1">
      <c r="A3895" t="inlineStr">
        <is>
          <t>A 7100-2023</t>
        </is>
      </c>
      <c r="B3895" s="1" t="n">
        <v>44970.37244212963</v>
      </c>
      <c r="C3895" s="1" t="n">
        <v>45884</v>
      </c>
      <c r="D3895" t="inlineStr">
        <is>
          <t>KALMAR LÄN</t>
        </is>
      </c>
      <c r="E3895" t="inlineStr">
        <is>
          <t>VÄSTERVIK</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34780-2022</t>
        </is>
      </c>
      <c r="B3896" s="1" t="n">
        <v>44795</v>
      </c>
      <c r="C3896" s="1" t="n">
        <v>45884</v>
      </c>
      <c r="D3896" t="inlineStr">
        <is>
          <t>KALMAR LÄN</t>
        </is>
      </c>
      <c r="E3896" t="inlineStr">
        <is>
          <t>BORGHOLM</t>
        </is>
      </c>
      <c r="F3896" t="inlineStr">
        <is>
          <t>Sveaskog</t>
        </is>
      </c>
      <c r="G3896" t="n">
        <v>6.7</v>
      </c>
      <c r="H3896" t="n">
        <v>0</v>
      </c>
      <c r="I3896" t="n">
        <v>0</v>
      </c>
      <c r="J3896" t="n">
        <v>0</v>
      </c>
      <c r="K3896" t="n">
        <v>0</v>
      </c>
      <c r="L3896" t="n">
        <v>0</v>
      </c>
      <c r="M3896" t="n">
        <v>0</v>
      </c>
      <c r="N3896" t="n">
        <v>0</v>
      </c>
      <c r="O3896" t="n">
        <v>0</v>
      </c>
      <c r="P3896" t="n">
        <v>0</v>
      </c>
      <c r="Q3896" t="n">
        <v>0</v>
      </c>
      <c r="R3896" s="2" t="inlineStr"/>
    </row>
    <row r="3897" ht="15" customHeight="1">
      <c r="A3897" t="inlineStr">
        <is>
          <t>A 40583-2023</t>
        </is>
      </c>
      <c r="B3897" s="1" t="n">
        <v>45170</v>
      </c>
      <c r="C3897" s="1" t="n">
        <v>45884</v>
      </c>
      <c r="D3897" t="inlineStr">
        <is>
          <t>KALMAR LÄN</t>
        </is>
      </c>
      <c r="E3897" t="inlineStr">
        <is>
          <t>KALMAR</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57138-2022</t>
        </is>
      </c>
      <c r="B3898" s="1" t="n">
        <v>44895</v>
      </c>
      <c r="C3898" s="1" t="n">
        <v>45884</v>
      </c>
      <c r="D3898" t="inlineStr">
        <is>
          <t>KALMAR LÄN</t>
        </is>
      </c>
      <c r="E3898" t="inlineStr">
        <is>
          <t>KALMAR</t>
        </is>
      </c>
      <c r="G3898" t="n">
        <v>15.6</v>
      </c>
      <c r="H3898" t="n">
        <v>0</v>
      </c>
      <c r="I3898" t="n">
        <v>0</v>
      </c>
      <c r="J3898" t="n">
        <v>0</v>
      </c>
      <c r="K3898" t="n">
        <v>0</v>
      </c>
      <c r="L3898" t="n">
        <v>0</v>
      </c>
      <c r="M3898" t="n">
        <v>0</v>
      </c>
      <c r="N3898" t="n">
        <v>0</v>
      </c>
      <c r="O3898" t="n">
        <v>0</v>
      </c>
      <c r="P3898" t="n">
        <v>0</v>
      </c>
      <c r="Q3898" t="n">
        <v>0</v>
      </c>
      <c r="R3898" s="2" t="inlineStr"/>
    </row>
    <row r="3899" ht="15" customHeight="1">
      <c r="A3899" t="inlineStr">
        <is>
          <t>A 59468-2022</t>
        </is>
      </c>
      <c r="B3899" s="1" t="n">
        <v>44907.44033564815</v>
      </c>
      <c r="C3899" s="1" t="n">
        <v>45884</v>
      </c>
      <c r="D3899" t="inlineStr">
        <is>
          <t>KALMAR LÄN</t>
        </is>
      </c>
      <c r="E3899" t="inlineStr">
        <is>
          <t>EMMABODA</t>
        </is>
      </c>
      <c r="G3899" t="n">
        <v>2.7</v>
      </c>
      <c r="H3899" t="n">
        <v>0</v>
      </c>
      <c r="I3899" t="n">
        <v>0</v>
      </c>
      <c r="J3899" t="n">
        <v>0</v>
      </c>
      <c r="K3899" t="n">
        <v>0</v>
      </c>
      <c r="L3899" t="n">
        <v>0</v>
      </c>
      <c r="M3899" t="n">
        <v>0</v>
      </c>
      <c r="N3899" t="n">
        <v>0</v>
      </c>
      <c r="O3899" t="n">
        <v>0</v>
      </c>
      <c r="P3899" t="n">
        <v>0</v>
      </c>
      <c r="Q3899" t="n">
        <v>0</v>
      </c>
      <c r="R3899" s="2" t="inlineStr"/>
    </row>
    <row r="3900" ht="15" customHeight="1">
      <c r="A3900" t="inlineStr">
        <is>
          <t>A 68088-2021</t>
        </is>
      </c>
      <c r="B3900" s="1" t="n">
        <v>44526</v>
      </c>
      <c r="C3900" s="1" t="n">
        <v>45884</v>
      </c>
      <c r="D3900" t="inlineStr">
        <is>
          <t>KALMAR LÄN</t>
        </is>
      </c>
      <c r="E3900" t="inlineStr">
        <is>
          <t>HULTSFRED</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26125-2023</t>
        </is>
      </c>
      <c r="B3901" s="1" t="n">
        <v>45091.44643518519</v>
      </c>
      <c r="C3901" s="1" t="n">
        <v>45884</v>
      </c>
      <c r="D3901" t="inlineStr">
        <is>
          <t>KALMAR LÄN</t>
        </is>
      </c>
      <c r="E3901" t="inlineStr">
        <is>
          <t>NYBRO</t>
        </is>
      </c>
      <c r="G3901" t="n">
        <v>0.4</v>
      </c>
      <c r="H3901" t="n">
        <v>0</v>
      </c>
      <c r="I3901" t="n">
        <v>0</v>
      </c>
      <c r="J3901" t="n">
        <v>0</v>
      </c>
      <c r="K3901" t="n">
        <v>0</v>
      </c>
      <c r="L3901" t="n">
        <v>0</v>
      </c>
      <c r="M3901" t="n">
        <v>0</v>
      </c>
      <c r="N3901" t="n">
        <v>0</v>
      </c>
      <c r="O3901" t="n">
        <v>0</v>
      </c>
      <c r="P3901" t="n">
        <v>0</v>
      </c>
      <c r="Q3901" t="n">
        <v>0</v>
      </c>
      <c r="R3901" s="2" t="inlineStr"/>
    </row>
    <row r="3902" ht="15" customHeight="1">
      <c r="A3902" t="inlineStr">
        <is>
          <t>A 3609-2024</t>
        </is>
      </c>
      <c r="B3902" s="1" t="n">
        <v>45320.89128472222</v>
      </c>
      <c r="C3902" s="1" t="n">
        <v>45884</v>
      </c>
      <c r="D3902" t="inlineStr">
        <is>
          <t>KALMAR LÄN</t>
        </is>
      </c>
      <c r="E3902" t="inlineStr">
        <is>
          <t>VIMMERBY</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8348-2025</t>
        </is>
      </c>
      <c r="B3903" s="1" t="n">
        <v>45708.68336805556</v>
      </c>
      <c r="C3903" s="1" t="n">
        <v>45884</v>
      </c>
      <c r="D3903" t="inlineStr">
        <is>
          <t>KALMAR LÄN</t>
        </is>
      </c>
      <c r="E3903" t="inlineStr">
        <is>
          <t>TORSÅS</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59464-2024</t>
        </is>
      </c>
      <c r="B3904" s="1" t="n">
        <v>45638.48775462963</v>
      </c>
      <c r="C3904" s="1" t="n">
        <v>45884</v>
      </c>
      <c r="D3904" t="inlineStr">
        <is>
          <t>KALMAR LÄN</t>
        </is>
      </c>
      <c r="E3904" t="inlineStr">
        <is>
          <t>HULTSFRED</t>
        </is>
      </c>
      <c r="F3904" t="inlineStr">
        <is>
          <t>Sveaskog</t>
        </is>
      </c>
      <c r="G3904" t="n">
        <v>3.4</v>
      </c>
      <c r="H3904" t="n">
        <v>0</v>
      </c>
      <c r="I3904" t="n">
        <v>0</v>
      </c>
      <c r="J3904" t="n">
        <v>0</v>
      </c>
      <c r="K3904" t="n">
        <v>0</v>
      </c>
      <c r="L3904" t="n">
        <v>0</v>
      </c>
      <c r="M3904" t="n">
        <v>0</v>
      </c>
      <c r="N3904" t="n">
        <v>0</v>
      </c>
      <c r="O3904" t="n">
        <v>0</v>
      </c>
      <c r="P3904" t="n">
        <v>0</v>
      </c>
      <c r="Q3904" t="n">
        <v>0</v>
      </c>
      <c r="R3904" s="2" t="inlineStr"/>
    </row>
    <row r="3905" ht="15" customHeight="1">
      <c r="A3905" t="inlineStr">
        <is>
          <t>A 15553-2024</t>
        </is>
      </c>
      <c r="B3905" s="1" t="n">
        <v>45401.63736111111</v>
      </c>
      <c r="C3905" s="1" t="n">
        <v>45884</v>
      </c>
      <c r="D3905" t="inlineStr">
        <is>
          <t>KALMAR LÄN</t>
        </is>
      </c>
      <c r="E3905" t="inlineStr">
        <is>
          <t>VÄSTERVIK</t>
        </is>
      </c>
      <c r="F3905" t="inlineStr">
        <is>
          <t>Holmen skog AB</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3492-2021</t>
        </is>
      </c>
      <c r="B3906" s="1" t="n">
        <v>44218.60984953704</v>
      </c>
      <c r="C3906" s="1" t="n">
        <v>45884</v>
      </c>
      <c r="D3906" t="inlineStr">
        <is>
          <t>KALMAR LÄN</t>
        </is>
      </c>
      <c r="E3906" t="inlineStr">
        <is>
          <t>VÄSTERVIK</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10424-2023</t>
        </is>
      </c>
      <c r="B3907" s="1" t="n">
        <v>44987.54104166666</v>
      </c>
      <c r="C3907" s="1" t="n">
        <v>45884</v>
      </c>
      <c r="D3907" t="inlineStr">
        <is>
          <t>KALMAR LÄN</t>
        </is>
      </c>
      <c r="E3907" t="inlineStr">
        <is>
          <t>VIMMERBY</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11636-2024</t>
        </is>
      </c>
      <c r="B3908" s="1" t="n">
        <v>45373.48118055556</v>
      </c>
      <c r="C3908" s="1" t="n">
        <v>45884</v>
      </c>
      <c r="D3908" t="inlineStr">
        <is>
          <t>KALMAR LÄN</t>
        </is>
      </c>
      <c r="E3908" t="inlineStr">
        <is>
          <t>EMMABODA</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37376-2023</t>
        </is>
      </c>
      <c r="B3909" s="1" t="n">
        <v>45155</v>
      </c>
      <c r="C3909" s="1" t="n">
        <v>45884</v>
      </c>
      <c r="D3909" t="inlineStr">
        <is>
          <t>KALMAR LÄN</t>
        </is>
      </c>
      <c r="E3909" t="inlineStr">
        <is>
          <t>MÖNSTERÅS</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37433-2023</t>
        </is>
      </c>
      <c r="B3910" s="1" t="n">
        <v>45156.64706018518</v>
      </c>
      <c r="C3910" s="1" t="n">
        <v>45884</v>
      </c>
      <c r="D3910" t="inlineStr">
        <is>
          <t>KALMAR LÄN</t>
        </is>
      </c>
      <c r="E3910" t="inlineStr">
        <is>
          <t>KALMAR</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6082-2022</t>
        </is>
      </c>
      <c r="B3911" s="1" t="n">
        <v>44599</v>
      </c>
      <c r="C3911" s="1" t="n">
        <v>45884</v>
      </c>
      <c r="D3911" t="inlineStr">
        <is>
          <t>KALMAR LÄN</t>
        </is>
      </c>
      <c r="E3911" t="inlineStr">
        <is>
          <t>VIMMERBY</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2733-2024</t>
        </is>
      </c>
      <c r="B3912" s="1" t="n">
        <v>45314</v>
      </c>
      <c r="C3912" s="1" t="n">
        <v>45884</v>
      </c>
      <c r="D3912" t="inlineStr">
        <is>
          <t>KALMAR LÄN</t>
        </is>
      </c>
      <c r="E3912" t="inlineStr">
        <is>
          <t>KALMAR</t>
        </is>
      </c>
      <c r="G3912" t="n">
        <v>2.5</v>
      </c>
      <c r="H3912" t="n">
        <v>0</v>
      </c>
      <c r="I3912" t="n">
        <v>0</v>
      </c>
      <c r="J3912" t="n">
        <v>0</v>
      </c>
      <c r="K3912" t="n">
        <v>0</v>
      </c>
      <c r="L3912" t="n">
        <v>0</v>
      </c>
      <c r="M3912" t="n">
        <v>0</v>
      </c>
      <c r="N3912" t="n">
        <v>0</v>
      </c>
      <c r="O3912" t="n">
        <v>0</v>
      </c>
      <c r="P3912" t="n">
        <v>0</v>
      </c>
      <c r="Q3912" t="n">
        <v>0</v>
      </c>
      <c r="R3912" s="2" t="inlineStr"/>
    </row>
    <row r="3913" ht="15" customHeight="1">
      <c r="A3913" t="inlineStr">
        <is>
          <t>A 31825-2022</t>
        </is>
      </c>
      <c r="B3913" s="1" t="n">
        <v>44776.74908564815</v>
      </c>
      <c r="C3913" s="1" t="n">
        <v>45884</v>
      </c>
      <c r="D3913" t="inlineStr">
        <is>
          <t>KALMAR LÄN</t>
        </is>
      </c>
      <c r="E3913" t="inlineStr">
        <is>
          <t>VÄSTERVIK</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28442-2021</t>
        </is>
      </c>
      <c r="B3914" s="1" t="n">
        <v>44356</v>
      </c>
      <c r="C3914" s="1" t="n">
        <v>45884</v>
      </c>
      <c r="D3914" t="inlineStr">
        <is>
          <t>KALMAR LÄN</t>
        </is>
      </c>
      <c r="E3914" t="inlineStr">
        <is>
          <t>OSKARSHAMN</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42927-2023</t>
        </is>
      </c>
      <c r="B3915" s="1" t="n">
        <v>45182</v>
      </c>
      <c r="C3915" s="1" t="n">
        <v>45884</v>
      </c>
      <c r="D3915" t="inlineStr">
        <is>
          <t>KALMAR LÄN</t>
        </is>
      </c>
      <c r="E3915" t="inlineStr">
        <is>
          <t>MÖNSTERÅS</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63219-2023</t>
        </is>
      </c>
      <c r="B3916" s="1" t="n">
        <v>45273.62960648148</v>
      </c>
      <c r="C3916" s="1" t="n">
        <v>45884</v>
      </c>
      <c r="D3916" t="inlineStr">
        <is>
          <t>KALMAR LÄN</t>
        </is>
      </c>
      <c r="E3916" t="inlineStr">
        <is>
          <t>EMMABODA</t>
        </is>
      </c>
      <c r="F3916" t="inlineStr">
        <is>
          <t>Kommuner</t>
        </is>
      </c>
      <c r="G3916" t="n">
        <v>3</v>
      </c>
      <c r="H3916" t="n">
        <v>0</v>
      </c>
      <c r="I3916" t="n">
        <v>0</v>
      </c>
      <c r="J3916" t="n">
        <v>0</v>
      </c>
      <c r="K3916" t="n">
        <v>0</v>
      </c>
      <c r="L3916" t="n">
        <v>0</v>
      </c>
      <c r="M3916" t="n">
        <v>0</v>
      </c>
      <c r="N3916" t="n">
        <v>0</v>
      </c>
      <c r="O3916" t="n">
        <v>0</v>
      </c>
      <c r="P3916" t="n">
        <v>0</v>
      </c>
      <c r="Q3916" t="n">
        <v>0</v>
      </c>
      <c r="R3916" s="2" t="inlineStr"/>
    </row>
    <row r="3917" ht="15" customHeight="1">
      <c r="A3917" t="inlineStr">
        <is>
          <t>A 63276-2023</t>
        </is>
      </c>
      <c r="B3917" s="1" t="n">
        <v>45273.82195601852</v>
      </c>
      <c r="C3917" s="1" t="n">
        <v>45884</v>
      </c>
      <c r="D3917" t="inlineStr">
        <is>
          <t>KALMAR LÄN</t>
        </is>
      </c>
      <c r="E3917" t="inlineStr">
        <is>
          <t>BORGHOLM</t>
        </is>
      </c>
      <c r="G3917" t="n">
        <v>5</v>
      </c>
      <c r="H3917" t="n">
        <v>0</v>
      </c>
      <c r="I3917" t="n">
        <v>0</v>
      </c>
      <c r="J3917" t="n">
        <v>0</v>
      </c>
      <c r="K3917" t="n">
        <v>0</v>
      </c>
      <c r="L3917" t="n">
        <v>0</v>
      </c>
      <c r="M3917" t="n">
        <v>0</v>
      </c>
      <c r="N3917" t="n">
        <v>0</v>
      </c>
      <c r="O3917" t="n">
        <v>0</v>
      </c>
      <c r="P3917" t="n">
        <v>0</v>
      </c>
      <c r="Q3917" t="n">
        <v>0</v>
      </c>
      <c r="R3917" s="2" t="inlineStr"/>
    </row>
    <row r="3918" ht="15" customHeight="1">
      <c r="A3918" t="inlineStr">
        <is>
          <t>A 54164-2020</t>
        </is>
      </c>
      <c r="B3918" s="1" t="n">
        <v>44125</v>
      </c>
      <c r="C3918" s="1" t="n">
        <v>45884</v>
      </c>
      <c r="D3918" t="inlineStr">
        <is>
          <t>KALMAR LÄN</t>
        </is>
      </c>
      <c r="E3918" t="inlineStr">
        <is>
          <t>VÄSTERVIK</t>
        </is>
      </c>
      <c r="F3918" t="inlineStr">
        <is>
          <t>Sveaskog</t>
        </is>
      </c>
      <c r="G3918" t="n">
        <v>9.800000000000001</v>
      </c>
      <c r="H3918" t="n">
        <v>0</v>
      </c>
      <c r="I3918" t="n">
        <v>0</v>
      </c>
      <c r="J3918" t="n">
        <v>0</v>
      </c>
      <c r="K3918" t="n">
        <v>0</v>
      </c>
      <c r="L3918" t="n">
        <v>0</v>
      </c>
      <c r="M3918" t="n">
        <v>0</v>
      </c>
      <c r="N3918" t="n">
        <v>0</v>
      </c>
      <c r="O3918" t="n">
        <v>0</v>
      </c>
      <c r="P3918" t="n">
        <v>0</v>
      </c>
      <c r="Q3918" t="n">
        <v>0</v>
      </c>
      <c r="R3918" s="2" t="inlineStr"/>
    </row>
    <row r="3919" ht="15" customHeight="1">
      <c r="A3919" t="inlineStr">
        <is>
          <t>A 2785-2023</t>
        </is>
      </c>
      <c r="B3919" s="1" t="n">
        <v>44944</v>
      </c>
      <c r="C3919" s="1" t="n">
        <v>45884</v>
      </c>
      <c r="D3919" t="inlineStr">
        <is>
          <t>KALMAR LÄN</t>
        </is>
      </c>
      <c r="E3919" t="inlineStr">
        <is>
          <t>TORSÅS</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2801-2023</t>
        </is>
      </c>
      <c r="B3920" s="1" t="n">
        <v>44944.73487268519</v>
      </c>
      <c r="C3920" s="1" t="n">
        <v>45884</v>
      </c>
      <c r="D3920" t="inlineStr">
        <is>
          <t>KALMAR LÄN</t>
        </is>
      </c>
      <c r="E3920" t="inlineStr">
        <is>
          <t>VIMMERBY</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24148-2023</t>
        </is>
      </c>
      <c r="B3921" s="1" t="n">
        <v>45079</v>
      </c>
      <c r="C3921" s="1" t="n">
        <v>45884</v>
      </c>
      <c r="D3921" t="inlineStr">
        <is>
          <t>KALMAR LÄN</t>
        </is>
      </c>
      <c r="E3921" t="inlineStr">
        <is>
          <t>HULTSFRED</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64348-2021</t>
        </is>
      </c>
      <c r="B3922" s="1" t="n">
        <v>44511.35108796296</v>
      </c>
      <c r="C3922" s="1" t="n">
        <v>45884</v>
      </c>
      <c r="D3922" t="inlineStr">
        <is>
          <t>KALMAR LÄN</t>
        </is>
      </c>
      <c r="E3922" t="inlineStr">
        <is>
          <t>TORSÅS</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42961-2023</t>
        </is>
      </c>
      <c r="B3923" s="1" t="n">
        <v>45182</v>
      </c>
      <c r="C3923" s="1" t="n">
        <v>45884</v>
      </c>
      <c r="D3923" t="inlineStr">
        <is>
          <t>KALMAR LÄN</t>
        </is>
      </c>
      <c r="E3923" t="inlineStr">
        <is>
          <t>HULTSFRED</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15099-2023</t>
        </is>
      </c>
      <c r="B3924" s="1" t="n">
        <v>45016.39048611111</v>
      </c>
      <c r="C3924" s="1" t="n">
        <v>45884</v>
      </c>
      <c r="D3924" t="inlineStr">
        <is>
          <t>KALMAR LÄN</t>
        </is>
      </c>
      <c r="E3924" t="inlineStr">
        <is>
          <t>VÄSTERVIK</t>
        </is>
      </c>
      <c r="G3924" t="n">
        <v>3</v>
      </c>
      <c r="H3924" t="n">
        <v>0</v>
      </c>
      <c r="I3924" t="n">
        <v>0</v>
      </c>
      <c r="J3924" t="n">
        <v>0</v>
      </c>
      <c r="K3924" t="n">
        <v>0</v>
      </c>
      <c r="L3924" t="n">
        <v>0</v>
      </c>
      <c r="M3924" t="n">
        <v>0</v>
      </c>
      <c r="N3924" t="n">
        <v>0</v>
      </c>
      <c r="O3924" t="n">
        <v>0</v>
      </c>
      <c r="P3924" t="n">
        <v>0</v>
      </c>
      <c r="Q3924" t="n">
        <v>0</v>
      </c>
      <c r="R3924" s="2" t="inlineStr"/>
    </row>
    <row r="3925" ht="15" customHeight="1">
      <c r="A3925" t="inlineStr">
        <is>
          <t>A 49340-2023</t>
        </is>
      </c>
      <c r="B3925" s="1" t="n">
        <v>45211</v>
      </c>
      <c r="C3925" s="1" t="n">
        <v>45884</v>
      </c>
      <c r="D3925" t="inlineStr">
        <is>
          <t>KALMAR LÄN</t>
        </is>
      </c>
      <c r="E3925" t="inlineStr">
        <is>
          <t>NYBRO</t>
        </is>
      </c>
      <c r="G3925" t="n">
        <v>3.6</v>
      </c>
      <c r="H3925" t="n">
        <v>0</v>
      </c>
      <c r="I3925" t="n">
        <v>0</v>
      </c>
      <c r="J3925" t="n">
        <v>0</v>
      </c>
      <c r="K3925" t="n">
        <v>0</v>
      </c>
      <c r="L3925" t="n">
        <v>0</v>
      </c>
      <c r="M3925" t="n">
        <v>0</v>
      </c>
      <c r="N3925" t="n">
        <v>0</v>
      </c>
      <c r="O3925" t="n">
        <v>0</v>
      </c>
      <c r="P3925" t="n">
        <v>0</v>
      </c>
      <c r="Q3925" t="n">
        <v>0</v>
      </c>
      <c r="R3925" s="2" t="inlineStr"/>
    </row>
    <row r="3926" ht="15" customHeight="1">
      <c r="A3926" t="inlineStr">
        <is>
          <t>A 38045-2023</t>
        </is>
      </c>
      <c r="B3926" s="1" t="n">
        <v>45160.67251157408</v>
      </c>
      <c r="C3926" s="1" t="n">
        <v>45884</v>
      </c>
      <c r="D3926" t="inlineStr">
        <is>
          <t>KALMAR LÄN</t>
        </is>
      </c>
      <c r="E3926" t="inlineStr">
        <is>
          <t>VÄSTERVIK</t>
        </is>
      </c>
      <c r="F3926" t="inlineStr">
        <is>
          <t>Sveaskog</t>
        </is>
      </c>
      <c r="G3926" t="n">
        <v>7.9</v>
      </c>
      <c r="H3926" t="n">
        <v>0</v>
      </c>
      <c r="I3926" t="n">
        <v>0</v>
      </c>
      <c r="J3926" t="n">
        <v>0</v>
      </c>
      <c r="K3926" t="n">
        <v>0</v>
      </c>
      <c r="L3926" t="n">
        <v>0</v>
      </c>
      <c r="M3926" t="n">
        <v>0</v>
      </c>
      <c r="N3926" t="n">
        <v>0</v>
      </c>
      <c r="O3926" t="n">
        <v>0</v>
      </c>
      <c r="P3926" t="n">
        <v>0</v>
      </c>
      <c r="Q3926" t="n">
        <v>0</v>
      </c>
      <c r="R3926" s="2" t="inlineStr"/>
    </row>
    <row r="3927" ht="15" customHeight="1">
      <c r="A3927" t="inlineStr">
        <is>
          <t>A 49711-2023</t>
        </is>
      </c>
      <c r="B3927" s="1" t="n">
        <v>45212</v>
      </c>
      <c r="C3927" s="1" t="n">
        <v>45884</v>
      </c>
      <c r="D3927" t="inlineStr">
        <is>
          <t>KALMAR LÄN</t>
        </is>
      </c>
      <c r="E3927" t="inlineStr">
        <is>
          <t>KALMAR</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38115-2023</t>
        </is>
      </c>
      <c r="B3928" s="1" t="n">
        <v>45161.329375</v>
      </c>
      <c r="C3928" s="1" t="n">
        <v>45884</v>
      </c>
      <c r="D3928" t="inlineStr">
        <is>
          <t>KALMAR LÄN</t>
        </is>
      </c>
      <c r="E3928" t="inlineStr">
        <is>
          <t>EMMABODA</t>
        </is>
      </c>
      <c r="F3928" t="inlineStr">
        <is>
          <t>Kommuner</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55995-2023</t>
        </is>
      </c>
      <c r="B3929" s="1" t="n">
        <v>45240</v>
      </c>
      <c r="C3929" s="1" t="n">
        <v>45884</v>
      </c>
      <c r="D3929" t="inlineStr">
        <is>
          <t>KALMAR LÄN</t>
        </is>
      </c>
      <c r="E3929" t="inlineStr">
        <is>
          <t>OSKARSHAMN</t>
        </is>
      </c>
      <c r="G3929" t="n">
        <v>2.3</v>
      </c>
      <c r="H3929" t="n">
        <v>0</v>
      </c>
      <c r="I3929" t="n">
        <v>0</v>
      </c>
      <c r="J3929" t="n">
        <v>0</v>
      </c>
      <c r="K3929" t="n">
        <v>0</v>
      </c>
      <c r="L3929" t="n">
        <v>0</v>
      </c>
      <c r="M3929" t="n">
        <v>0</v>
      </c>
      <c r="N3929" t="n">
        <v>0</v>
      </c>
      <c r="O3929" t="n">
        <v>0</v>
      </c>
      <c r="P3929" t="n">
        <v>0</v>
      </c>
      <c r="Q3929" t="n">
        <v>0</v>
      </c>
      <c r="R3929" s="2" t="inlineStr"/>
    </row>
    <row r="3930" ht="15" customHeight="1">
      <c r="A3930" t="inlineStr">
        <is>
          <t>A 55999-2023</t>
        </is>
      </c>
      <c r="B3930" s="1" t="n">
        <v>45240</v>
      </c>
      <c r="C3930" s="1" t="n">
        <v>45884</v>
      </c>
      <c r="D3930" t="inlineStr">
        <is>
          <t>KALMAR LÄN</t>
        </is>
      </c>
      <c r="E3930" t="inlineStr">
        <is>
          <t>OSKARSHAMN</t>
        </is>
      </c>
      <c r="G3930" t="n">
        <v>2.3</v>
      </c>
      <c r="H3930" t="n">
        <v>0</v>
      </c>
      <c r="I3930" t="n">
        <v>0</v>
      </c>
      <c r="J3930" t="n">
        <v>0</v>
      </c>
      <c r="K3930" t="n">
        <v>0</v>
      </c>
      <c r="L3930" t="n">
        <v>0</v>
      </c>
      <c r="M3930" t="n">
        <v>0</v>
      </c>
      <c r="N3930" t="n">
        <v>0</v>
      </c>
      <c r="O3930" t="n">
        <v>0</v>
      </c>
      <c r="P3930" t="n">
        <v>0</v>
      </c>
      <c r="Q3930" t="n">
        <v>0</v>
      </c>
      <c r="R3930" s="2" t="inlineStr"/>
    </row>
    <row r="3931" ht="15" customHeight="1">
      <c r="A3931" t="inlineStr">
        <is>
          <t>A 50675-2024</t>
        </is>
      </c>
      <c r="B3931" s="1" t="n">
        <v>45601.87053240741</v>
      </c>
      <c r="C3931" s="1" t="n">
        <v>45884</v>
      </c>
      <c r="D3931" t="inlineStr">
        <is>
          <t>KALMAR LÄN</t>
        </is>
      </c>
      <c r="E3931" t="inlineStr">
        <is>
          <t>TORSÅS</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5146-2024</t>
        </is>
      </c>
      <c r="B3932" s="1" t="n">
        <v>45330</v>
      </c>
      <c r="C3932" s="1" t="n">
        <v>45884</v>
      </c>
      <c r="D3932" t="inlineStr">
        <is>
          <t>KALMAR LÄN</t>
        </is>
      </c>
      <c r="E3932" t="inlineStr">
        <is>
          <t>VIMMERBY</t>
        </is>
      </c>
      <c r="G3932" t="n">
        <v>5.3</v>
      </c>
      <c r="H3932" t="n">
        <v>0</v>
      </c>
      <c r="I3932" t="n">
        <v>0</v>
      </c>
      <c r="J3932" t="n">
        <v>0</v>
      </c>
      <c r="K3932" t="n">
        <v>0</v>
      </c>
      <c r="L3932" t="n">
        <v>0</v>
      </c>
      <c r="M3932" t="n">
        <v>0</v>
      </c>
      <c r="N3932" t="n">
        <v>0</v>
      </c>
      <c r="O3932" t="n">
        <v>0</v>
      </c>
      <c r="P3932" t="n">
        <v>0</v>
      </c>
      <c r="Q3932" t="n">
        <v>0</v>
      </c>
      <c r="R3932" s="2" t="inlineStr"/>
    </row>
    <row r="3933" ht="15" customHeight="1">
      <c r="A3933" t="inlineStr">
        <is>
          <t>A 5148-2024</t>
        </is>
      </c>
      <c r="B3933" s="1" t="n">
        <v>45330</v>
      </c>
      <c r="C3933" s="1" t="n">
        <v>45884</v>
      </c>
      <c r="D3933" t="inlineStr">
        <is>
          <t>KALMAR LÄN</t>
        </is>
      </c>
      <c r="E3933" t="inlineStr">
        <is>
          <t>VIMMERBY</t>
        </is>
      </c>
      <c r="G3933" t="n">
        <v>5.6</v>
      </c>
      <c r="H3933" t="n">
        <v>0</v>
      </c>
      <c r="I3933" t="n">
        <v>0</v>
      </c>
      <c r="J3933" t="n">
        <v>0</v>
      </c>
      <c r="K3933" t="n">
        <v>0</v>
      </c>
      <c r="L3933" t="n">
        <v>0</v>
      </c>
      <c r="M3933" t="n">
        <v>0</v>
      </c>
      <c r="N3933" t="n">
        <v>0</v>
      </c>
      <c r="O3933" t="n">
        <v>0</v>
      </c>
      <c r="P3933" t="n">
        <v>0</v>
      </c>
      <c r="Q3933" t="n">
        <v>0</v>
      </c>
      <c r="R3933" s="2" t="inlineStr"/>
    </row>
    <row r="3934" ht="15" customHeight="1">
      <c r="A3934" t="inlineStr">
        <is>
          <t>A 18420-2025</t>
        </is>
      </c>
      <c r="B3934" s="1" t="n">
        <v>45762.6184375</v>
      </c>
      <c r="C3934" s="1" t="n">
        <v>45884</v>
      </c>
      <c r="D3934" t="inlineStr">
        <is>
          <t>KALMAR LÄN</t>
        </is>
      </c>
      <c r="E3934" t="inlineStr">
        <is>
          <t>NYBRO</t>
        </is>
      </c>
      <c r="G3934" t="n">
        <v>5</v>
      </c>
      <c r="H3934" t="n">
        <v>0</v>
      </c>
      <c r="I3934" t="n">
        <v>0</v>
      </c>
      <c r="J3934" t="n">
        <v>0</v>
      </c>
      <c r="K3934" t="n">
        <v>0</v>
      </c>
      <c r="L3934" t="n">
        <v>0</v>
      </c>
      <c r="M3934" t="n">
        <v>0</v>
      </c>
      <c r="N3934" t="n">
        <v>0</v>
      </c>
      <c r="O3934" t="n">
        <v>0</v>
      </c>
      <c r="P3934" t="n">
        <v>0</v>
      </c>
      <c r="Q3934" t="n">
        <v>0</v>
      </c>
      <c r="R3934" s="2" t="inlineStr"/>
    </row>
    <row r="3935" ht="15" customHeight="1">
      <c r="A3935" t="inlineStr">
        <is>
          <t>A 9941-2021</t>
        </is>
      </c>
      <c r="B3935" s="1" t="n">
        <v>44253</v>
      </c>
      <c r="C3935" s="1" t="n">
        <v>45884</v>
      </c>
      <c r="D3935" t="inlineStr">
        <is>
          <t>KALMAR LÄN</t>
        </is>
      </c>
      <c r="E3935" t="inlineStr">
        <is>
          <t>OSKARSHAMN</t>
        </is>
      </c>
      <c r="G3935" t="n">
        <v>7.4</v>
      </c>
      <c r="H3935" t="n">
        <v>0</v>
      </c>
      <c r="I3935" t="n">
        <v>0</v>
      </c>
      <c r="J3935" t="n">
        <v>0</v>
      </c>
      <c r="K3935" t="n">
        <v>0</v>
      </c>
      <c r="L3935" t="n">
        <v>0</v>
      </c>
      <c r="M3935" t="n">
        <v>0</v>
      </c>
      <c r="N3935" t="n">
        <v>0</v>
      </c>
      <c r="O3935" t="n">
        <v>0</v>
      </c>
      <c r="P3935" t="n">
        <v>0</v>
      </c>
      <c r="Q3935" t="n">
        <v>0</v>
      </c>
      <c r="R3935" s="2" t="inlineStr"/>
    </row>
    <row r="3936" ht="15" customHeight="1">
      <c r="A3936" t="inlineStr">
        <is>
          <t>A 6616-2021</t>
        </is>
      </c>
      <c r="B3936" s="1" t="n">
        <v>44236</v>
      </c>
      <c r="C3936" s="1" t="n">
        <v>45884</v>
      </c>
      <c r="D3936" t="inlineStr">
        <is>
          <t>KALMAR LÄN</t>
        </is>
      </c>
      <c r="E3936" t="inlineStr">
        <is>
          <t>VÄSTERVIK</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6123-2024</t>
        </is>
      </c>
      <c r="B3937" s="1" t="n">
        <v>45337</v>
      </c>
      <c r="C3937" s="1" t="n">
        <v>45884</v>
      </c>
      <c r="D3937" t="inlineStr">
        <is>
          <t>KALMAR LÄN</t>
        </is>
      </c>
      <c r="E3937" t="inlineStr">
        <is>
          <t>OSKARSHAMN</t>
        </is>
      </c>
      <c r="G3937" t="n">
        <v>3.8</v>
      </c>
      <c r="H3937" t="n">
        <v>0</v>
      </c>
      <c r="I3937" t="n">
        <v>0</v>
      </c>
      <c r="J3937" t="n">
        <v>0</v>
      </c>
      <c r="K3937" t="n">
        <v>0</v>
      </c>
      <c r="L3937" t="n">
        <v>0</v>
      </c>
      <c r="M3937" t="n">
        <v>0</v>
      </c>
      <c r="N3937" t="n">
        <v>0</v>
      </c>
      <c r="O3937" t="n">
        <v>0</v>
      </c>
      <c r="P3937" t="n">
        <v>0</v>
      </c>
      <c r="Q3937" t="n">
        <v>0</v>
      </c>
      <c r="R3937" s="2" t="inlineStr"/>
    </row>
    <row r="3938" ht="15" customHeight="1">
      <c r="A3938" t="inlineStr">
        <is>
          <t>A 49382-2023</t>
        </is>
      </c>
      <c r="B3938" s="1" t="n">
        <v>45208</v>
      </c>
      <c r="C3938" s="1" t="n">
        <v>45884</v>
      </c>
      <c r="D3938" t="inlineStr">
        <is>
          <t>KALMAR LÄN</t>
        </is>
      </c>
      <c r="E3938" t="inlineStr">
        <is>
          <t>VIMMERBY</t>
        </is>
      </c>
      <c r="G3938" t="n">
        <v>2.2</v>
      </c>
      <c r="H3938" t="n">
        <v>0</v>
      </c>
      <c r="I3938" t="n">
        <v>0</v>
      </c>
      <c r="J3938" t="n">
        <v>0</v>
      </c>
      <c r="K3938" t="n">
        <v>0</v>
      </c>
      <c r="L3938" t="n">
        <v>0</v>
      </c>
      <c r="M3938" t="n">
        <v>0</v>
      </c>
      <c r="N3938" t="n">
        <v>0</v>
      </c>
      <c r="O3938" t="n">
        <v>0</v>
      </c>
      <c r="P3938" t="n">
        <v>0</v>
      </c>
      <c r="Q3938" t="n">
        <v>0</v>
      </c>
      <c r="R3938" s="2" t="inlineStr"/>
    </row>
    <row r="3939" ht="15" customHeight="1">
      <c r="A3939" t="inlineStr">
        <is>
          <t>A 12810-2023</t>
        </is>
      </c>
      <c r="B3939" s="1" t="n">
        <v>45001.43854166667</v>
      </c>
      <c r="C3939" s="1" t="n">
        <v>45884</v>
      </c>
      <c r="D3939" t="inlineStr">
        <is>
          <t>KALMAR LÄN</t>
        </is>
      </c>
      <c r="E3939" t="inlineStr">
        <is>
          <t>VIMMERBY</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58927-2022</t>
        </is>
      </c>
      <c r="B3940" s="1" t="n">
        <v>44896</v>
      </c>
      <c r="C3940" s="1" t="n">
        <v>45884</v>
      </c>
      <c r="D3940" t="inlineStr">
        <is>
          <t>KALMAR LÄN</t>
        </is>
      </c>
      <c r="E3940" t="inlineStr">
        <is>
          <t>VÄSTERVIK</t>
        </is>
      </c>
      <c r="G3940" t="n">
        <v>2.5</v>
      </c>
      <c r="H3940" t="n">
        <v>0</v>
      </c>
      <c r="I3940" t="n">
        <v>0</v>
      </c>
      <c r="J3940" t="n">
        <v>0</v>
      </c>
      <c r="K3940" t="n">
        <v>0</v>
      </c>
      <c r="L3940" t="n">
        <v>0</v>
      </c>
      <c r="M3940" t="n">
        <v>0</v>
      </c>
      <c r="N3940" t="n">
        <v>0</v>
      </c>
      <c r="O3940" t="n">
        <v>0</v>
      </c>
      <c r="P3940" t="n">
        <v>0</v>
      </c>
      <c r="Q3940" t="n">
        <v>0</v>
      </c>
      <c r="R3940" s="2" t="inlineStr"/>
    </row>
    <row r="3941" ht="15" customHeight="1">
      <c r="A3941" t="inlineStr">
        <is>
          <t>A 9755-2023</t>
        </is>
      </c>
      <c r="B3941" s="1" t="n">
        <v>44984.56648148148</v>
      </c>
      <c r="C3941" s="1" t="n">
        <v>45884</v>
      </c>
      <c r="D3941" t="inlineStr">
        <is>
          <t>KALMAR LÄN</t>
        </is>
      </c>
      <c r="E3941" t="inlineStr">
        <is>
          <t>EMMABODA</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9770-2023</t>
        </is>
      </c>
      <c r="B3942" s="1" t="n">
        <v>44984</v>
      </c>
      <c r="C3942" s="1" t="n">
        <v>45884</v>
      </c>
      <c r="D3942" t="inlineStr">
        <is>
          <t>KALMAR LÄN</t>
        </is>
      </c>
      <c r="E3942" t="inlineStr">
        <is>
          <t>VÄSTERVIK</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47120-2023</t>
        </is>
      </c>
      <c r="B3943" s="1" t="n">
        <v>45201</v>
      </c>
      <c r="C3943" s="1" t="n">
        <v>45884</v>
      </c>
      <c r="D3943" t="inlineStr">
        <is>
          <t>KALMAR LÄN</t>
        </is>
      </c>
      <c r="E3943" t="inlineStr">
        <is>
          <t>VÄSTERVIK</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47123-2023</t>
        </is>
      </c>
      <c r="B3944" s="1" t="n">
        <v>45201.68075231482</v>
      </c>
      <c r="C3944" s="1" t="n">
        <v>45884</v>
      </c>
      <c r="D3944" t="inlineStr">
        <is>
          <t>KALMAR LÄN</t>
        </is>
      </c>
      <c r="E3944" t="inlineStr">
        <is>
          <t>VÄSTERVIK</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48121-2021</t>
        </is>
      </c>
      <c r="B3945" s="1" t="n">
        <v>44449.46614583334</v>
      </c>
      <c r="C3945" s="1" t="n">
        <v>45884</v>
      </c>
      <c r="D3945" t="inlineStr">
        <is>
          <t>KALMAR LÄN</t>
        </is>
      </c>
      <c r="E3945" t="inlineStr">
        <is>
          <t>VÄSTERVIK</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49625-2023</t>
        </is>
      </c>
      <c r="B3946" s="1" t="n">
        <v>45211</v>
      </c>
      <c r="C3946" s="1" t="n">
        <v>45884</v>
      </c>
      <c r="D3946" t="inlineStr">
        <is>
          <t>KALMAR LÄN</t>
        </is>
      </c>
      <c r="E3946" t="inlineStr">
        <is>
          <t>EMMABODA</t>
        </is>
      </c>
      <c r="G3946" t="n">
        <v>2.2</v>
      </c>
      <c r="H3946" t="n">
        <v>0</v>
      </c>
      <c r="I3946" t="n">
        <v>0</v>
      </c>
      <c r="J3946" t="n">
        <v>0</v>
      </c>
      <c r="K3946" t="n">
        <v>0</v>
      </c>
      <c r="L3946" t="n">
        <v>0</v>
      </c>
      <c r="M3946" t="n">
        <v>0</v>
      </c>
      <c r="N3946" t="n">
        <v>0</v>
      </c>
      <c r="O3946" t="n">
        <v>0</v>
      </c>
      <c r="P3946" t="n">
        <v>0</v>
      </c>
      <c r="Q3946" t="n">
        <v>0</v>
      </c>
      <c r="R3946" s="2" t="inlineStr"/>
    </row>
    <row r="3947" ht="15" customHeight="1">
      <c r="A3947" t="inlineStr">
        <is>
          <t>A 12591-2022</t>
        </is>
      </c>
      <c r="B3947" s="1" t="n">
        <v>44640</v>
      </c>
      <c r="C3947" s="1" t="n">
        <v>45884</v>
      </c>
      <c r="D3947" t="inlineStr">
        <is>
          <t>KALMAR LÄN</t>
        </is>
      </c>
      <c r="E3947" t="inlineStr">
        <is>
          <t>TORSÅS</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3425-2022</t>
        </is>
      </c>
      <c r="B3948" s="1" t="n">
        <v>44585.51060185185</v>
      </c>
      <c r="C3948" s="1" t="n">
        <v>45884</v>
      </c>
      <c r="D3948" t="inlineStr">
        <is>
          <t>KALMAR LÄN</t>
        </is>
      </c>
      <c r="E3948" t="inlineStr">
        <is>
          <t>VIMMERBY</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60675-2023</t>
        </is>
      </c>
      <c r="B3949" s="1" t="n">
        <v>45260.4716550926</v>
      </c>
      <c r="C3949" s="1" t="n">
        <v>45884</v>
      </c>
      <c r="D3949" t="inlineStr">
        <is>
          <t>KALMAR LÄN</t>
        </is>
      </c>
      <c r="E3949" t="inlineStr">
        <is>
          <t>VIMMERBY</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58839-2023</t>
        </is>
      </c>
      <c r="B3950" s="1" t="n">
        <v>45252.41863425926</v>
      </c>
      <c r="C3950" s="1" t="n">
        <v>45884</v>
      </c>
      <c r="D3950" t="inlineStr">
        <is>
          <t>KALMAR LÄN</t>
        </is>
      </c>
      <c r="E3950" t="inlineStr">
        <is>
          <t>EMMABODA</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58861-2023</t>
        </is>
      </c>
      <c r="B3951" s="1" t="n">
        <v>45252.44798611111</v>
      </c>
      <c r="C3951" s="1" t="n">
        <v>45884</v>
      </c>
      <c r="D3951" t="inlineStr">
        <is>
          <t>KALMAR LÄN</t>
        </is>
      </c>
      <c r="E3951" t="inlineStr">
        <is>
          <t>HULTSFRED</t>
        </is>
      </c>
      <c r="F3951" t="inlineStr">
        <is>
          <t>Kyrkan</t>
        </is>
      </c>
      <c r="G3951" t="n">
        <v>2.5</v>
      </c>
      <c r="H3951" t="n">
        <v>0</v>
      </c>
      <c r="I3951" t="n">
        <v>0</v>
      </c>
      <c r="J3951" t="n">
        <v>0</v>
      </c>
      <c r="K3951" t="n">
        <v>0</v>
      </c>
      <c r="L3951" t="n">
        <v>0</v>
      </c>
      <c r="M3951" t="n">
        <v>0</v>
      </c>
      <c r="N3951" t="n">
        <v>0</v>
      </c>
      <c r="O3951" t="n">
        <v>0</v>
      </c>
      <c r="P3951" t="n">
        <v>0</v>
      </c>
      <c r="Q3951" t="n">
        <v>0</v>
      </c>
      <c r="R3951" s="2" t="inlineStr"/>
    </row>
    <row r="3952" ht="15" customHeight="1">
      <c r="A3952" t="inlineStr">
        <is>
          <t>A 58910-2023</t>
        </is>
      </c>
      <c r="B3952" s="1" t="n">
        <v>45252</v>
      </c>
      <c r="C3952" s="1" t="n">
        <v>45884</v>
      </c>
      <c r="D3952" t="inlineStr">
        <is>
          <t>KALMAR LÄN</t>
        </is>
      </c>
      <c r="E3952" t="inlineStr">
        <is>
          <t>OSKARSHAMN</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56069-2023</t>
        </is>
      </c>
      <c r="B3953" s="1" t="n">
        <v>45240.48289351852</v>
      </c>
      <c r="C3953" s="1" t="n">
        <v>45884</v>
      </c>
      <c r="D3953" t="inlineStr">
        <is>
          <t>KALMAR LÄN</t>
        </is>
      </c>
      <c r="E3953" t="inlineStr">
        <is>
          <t>NYBRO</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57802-2024</t>
        </is>
      </c>
      <c r="B3954" s="1" t="n">
        <v>45631.34590277778</v>
      </c>
      <c r="C3954" s="1" t="n">
        <v>45884</v>
      </c>
      <c r="D3954" t="inlineStr">
        <is>
          <t>KALMAR LÄN</t>
        </is>
      </c>
      <c r="E3954" t="inlineStr">
        <is>
          <t>VÄSTERVIK</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39313-2020</t>
        </is>
      </c>
      <c r="B3955" s="1" t="n">
        <v>44063</v>
      </c>
      <c r="C3955" s="1" t="n">
        <v>45884</v>
      </c>
      <c r="D3955" t="inlineStr">
        <is>
          <t>KALMAR LÄN</t>
        </is>
      </c>
      <c r="E3955" t="inlineStr">
        <is>
          <t>HULTSFRED</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24471-2023</t>
        </is>
      </c>
      <c r="B3956" s="1" t="n">
        <v>45082.58664351852</v>
      </c>
      <c r="C3956" s="1" t="n">
        <v>45884</v>
      </c>
      <c r="D3956" t="inlineStr">
        <is>
          <t>KALMAR LÄN</t>
        </is>
      </c>
      <c r="E3956" t="inlineStr">
        <is>
          <t>TORSÅS</t>
        </is>
      </c>
      <c r="G3956" t="n">
        <v>4.2</v>
      </c>
      <c r="H3956" t="n">
        <v>0</v>
      </c>
      <c r="I3956" t="n">
        <v>0</v>
      </c>
      <c r="J3956" t="n">
        <v>0</v>
      </c>
      <c r="K3956" t="n">
        <v>0</v>
      </c>
      <c r="L3956" t="n">
        <v>0</v>
      </c>
      <c r="M3956" t="n">
        <v>0</v>
      </c>
      <c r="N3956" t="n">
        <v>0</v>
      </c>
      <c r="O3956" t="n">
        <v>0</v>
      </c>
      <c r="P3956" t="n">
        <v>0</v>
      </c>
      <c r="Q3956" t="n">
        <v>0</v>
      </c>
      <c r="R3956" s="2" t="inlineStr"/>
    </row>
    <row r="3957" ht="15" customHeight="1">
      <c r="A3957" t="inlineStr">
        <is>
          <t>A 2536-2023</t>
        </is>
      </c>
      <c r="B3957" s="1" t="n">
        <v>44943.62954861111</v>
      </c>
      <c r="C3957" s="1" t="n">
        <v>45884</v>
      </c>
      <c r="D3957" t="inlineStr">
        <is>
          <t>KALMAR LÄN</t>
        </is>
      </c>
      <c r="E3957" t="inlineStr">
        <is>
          <t>VIMMERBY</t>
        </is>
      </c>
      <c r="G3957" t="n">
        <v>8.300000000000001</v>
      </c>
      <c r="H3957" t="n">
        <v>0</v>
      </c>
      <c r="I3957" t="n">
        <v>0</v>
      </c>
      <c r="J3957" t="n">
        <v>0</v>
      </c>
      <c r="K3957" t="n">
        <v>0</v>
      </c>
      <c r="L3957" t="n">
        <v>0</v>
      </c>
      <c r="M3957" t="n">
        <v>0</v>
      </c>
      <c r="N3957" t="n">
        <v>0</v>
      </c>
      <c r="O3957" t="n">
        <v>0</v>
      </c>
      <c r="P3957" t="n">
        <v>0</v>
      </c>
      <c r="Q3957" t="n">
        <v>0</v>
      </c>
      <c r="R3957" s="2" t="inlineStr"/>
    </row>
    <row r="3958" ht="15" customHeight="1">
      <c r="A3958" t="inlineStr">
        <is>
          <t>A 1234-2021</t>
        </is>
      </c>
      <c r="B3958" s="1" t="n">
        <v>44208</v>
      </c>
      <c r="C3958" s="1" t="n">
        <v>45884</v>
      </c>
      <c r="D3958" t="inlineStr">
        <is>
          <t>KALMAR LÄN</t>
        </is>
      </c>
      <c r="E3958" t="inlineStr">
        <is>
          <t>TORSÅS</t>
        </is>
      </c>
      <c r="G3958" t="n">
        <v>4.5</v>
      </c>
      <c r="H3958" t="n">
        <v>0</v>
      </c>
      <c r="I3958" t="n">
        <v>0</v>
      </c>
      <c r="J3958" t="n">
        <v>0</v>
      </c>
      <c r="K3958" t="n">
        <v>0</v>
      </c>
      <c r="L3958" t="n">
        <v>0</v>
      </c>
      <c r="M3958" t="n">
        <v>0</v>
      </c>
      <c r="N3958" t="n">
        <v>0</v>
      </c>
      <c r="O3958" t="n">
        <v>0</v>
      </c>
      <c r="P3958" t="n">
        <v>0</v>
      </c>
      <c r="Q3958" t="n">
        <v>0</v>
      </c>
      <c r="R3958" s="2" t="inlineStr"/>
    </row>
    <row r="3959" ht="15" customHeight="1">
      <c r="A3959" t="inlineStr">
        <is>
          <t>A 1485-2021</t>
        </is>
      </c>
      <c r="B3959" s="1" t="n">
        <v>44208</v>
      </c>
      <c r="C3959" s="1" t="n">
        <v>45884</v>
      </c>
      <c r="D3959" t="inlineStr">
        <is>
          <t>KALMAR LÄN</t>
        </is>
      </c>
      <c r="E3959" t="inlineStr">
        <is>
          <t>OSKARSHAMN</t>
        </is>
      </c>
      <c r="G3959" t="n">
        <v>5.1</v>
      </c>
      <c r="H3959" t="n">
        <v>0</v>
      </c>
      <c r="I3959" t="n">
        <v>0</v>
      </c>
      <c r="J3959" t="n">
        <v>0</v>
      </c>
      <c r="K3959" t="n">
        <v>0</v>
      </c>
      <c r="L3959" t="n">
        <v>0</v>
      </c>
      <c r="M3959" t="n">
        <v>0</v>
      </c>
      <c r="N3959" t="n">
        <v>0</v>
      </c>
      <c r="O3959" t="n">
        <v>0</v>
      </c>
      <c r="P3959" t="n">
        <v>0</v>
      </c>
      <c r="Q3959" t="n">
        <v>0</v>
      </c>
      <c r="R3959" s="2" t="inlineStr"/>
    </row>
    <row r="3960" ht="15" customHeight="1">
      <c r="A3960" t="inlineStr">
        <is>
          <t>A 10632-2024</t>
        </is>
      </c>
      <c r="B3960" s="1" t="n">
        <v>45367.31642361111</v>
      </c>
      <c r="C3960" s="1" t="n">
        <v>45884</v>
      </c>
      <c r="D3960" t="inlineStr">
        <is>
          <t>KALMAR LÄN</t>
        </is>
      </c>
      <c r="E3960" t="inlineStr">
        <is>
          <t>NYBRO</t>
        </is>
      </c>
      <c r="G3960" t="n">
        <v>2.9</v>
      </c>
      <c r="H3960" t="n">
        <v>0</v>
      </c>
      <c r="I3960" t="n">
        <v>0</v>
      </c>
      <c r="J3960" t="n">
        <v>0</v>
      </c>
      <c r="K3960" t="n">
        <v>0</v>
      </c>
      <c r="L3960" t="n">
        <v>0</v>
      </c>
      <c r="M3960" t="n">
        <v>0</v>
      </c>
      <c r="N3960" t="n">
        <v>0</v>
      </c>
      <c r="O3960" t="n">
        <v>0</v>
      </c>
      <c r="P3960" t="n">
        <v>0</v>
      </c>
      <c r="Q3960" t="n">
        <v>0</v>
      </c>
      <c r="R3960" s="2" t="inlineStr"/>
    </row>
    <row r="3961" ht="15" customHeight="1">
      <c r="A3961" t="inlineStr">
        <is>
          <t>A 60819-2022</t>
        </is>
      </c>
      <c r="B3961" s="1" t="n">
        <v>44914.47359953704</v>
      </c>
      <c r="C3961" s="1" t="n">
        <v>45884</v>
      </c>
      <c r="D3961" t="inlineStr">
        <is>
          <t>KALMAR LÄN</t>
        </is>
      </c>
      <c r="E3961" t="inlineStr">
        <is>
          <t>NYBRO</t>
        </is>
      </c>
      <c r="G3961" t="n">
        <v>2.3</v>
      </c>
      <c r="H3961" t="n">
        <v>0</v>
      </c>
      <c r="I3961" t="n">
        <v>0</v>
      </c>
      <c r="J3961" t="n">
        <v>0</v>
      </c>
      <c r="K3961" t="n">
        <v>0</v>
      </c>
      <c r="L3961" t="n">
        <v>0</v>
      </c>
      <c r="M3961" t="n">
        <v>0</v>
      </c>
      <c r="N3961" t="n">
        <v>0</v>
      </c>
      <c r="O3961" t="n">
        <v>0</v>
      </c>
      <c r="P3961" t="n">
        <v>0</v>
      </c>
      <c r="Q3961" t="n">
        <v>0</v>
      </c>
      <c r="R3961" s="2" t="inlineStr"/>
    </row>
    <row r="3962" ht="15" customHeight="1">
      <c r="A3962" t="inlineStr">
        <is>
          <t>A 17194-2023</t>
        </is>
      </c>
      <c r="B3962" s="1" t="n">
        <v>45034</v>
      </c>
      <c r="C3962" s="1" t="n">
        <v>45884</v>
      </c>
      <c r="D3962" t="inlineStr">
        <is>
          <t>KALMAR LÄN</t>
        </is>
      </c>
      <c r="E3962" t="inlineStr">
        <is>
          <t>OSKARSHAMN</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60871-2022</t>
        </is>
      </c>
      <c r="B3963" s="1" t="n">
        <v>44914.54905092593</v>
      </c>
      <c r="C3963" s="1" t="n">
        <v>45884</v>
      </c>
      <c r="D3963" t="inlineStr">
        <is>
          <t>KALMAR LÄN</t>
        </is>
      </c>
      <c r="E3963" t="inlineStr">
        <is>
          <t>OSKARSHAMN</t>
        </is>
      </c>
      <c r="G3963" t="n">
        <v>2.2</v>
      </c>
      <c r="H3963" t="n">
        <v>0</v>
      </c>
      <c r="I3963" t="n">
        <v>0</v>
      </c>
      <c r="J3963" t="n">
        <v>0</v>
      </c>
      <c r="K3963" t="n">
        <v>0</v>
      </c>
      <c r="L3963" t="n">
        <v>0</v>
      </c>
      <c r="M3963" t="n">
        <v>0</v>
      </c>
      <c r="N3963" t="n">
        <v>0</v>
      </c>
      <c r="O3963" t="n">
        <v>0</v>
      </c>
      <c r="P3963" t="n">
        <v>0</v>
      </c>
      <c r="Q3963" t="n">
        <v>0</v>
      </c>
      <c r="R3963" s="2" t="inlineStr"/>
    </row>
    <row r="3964" ht="15" customHeight="1">
      <c r="A3964" t="inlineStr">
        <is>
          <t>A 60896-2022</t>
        </is>
      </c>
      <c r="B3964" s="1" t="n">
        <v>44914.5846875</v>
      </c>
      <c r="C3964" s="1" t="n">
        <v>45884</v>
      </c>
      <c r="D3964" t="inlineStr">
        <is>
          <t>KALMAR LÄN</t>
        </is>
      </c>
      <c r="E3964" t="inlineStr">
        <is>
          <t>NYBRO</t>
        </is>
      </c>
      <c r="G3964" t="n">
        <v>8.199999999999999</v>
      </c>
      <c r="H3964" t="n">
        <v>0</v>
      </c>
      <c r="I3964" t="n">
        <v>0</v>
      </c>
      <c r="J3964" t="n">
        <v>0</v>
      </c>
      <c r="K3964" t="n">
        <v>0</v>
      </c>
      <c r="L3964" t="n">
        <v>0</v>
      </c>
      <c r="M3964" t="n">
        <v>0</v>
      </c>
      <c r="N3964" t="n">
        <v>0</v>
      </c>
      <c r="O3964" t="n">
        <v>0</v>
      </c>
      <c r="P3964" t="n">
        <v>0</v>
      </c>
      <c r="Q3964" t="n">
        <v>0</v>
      </c>
      <c r="R3964" s="2" t="inlineStr"/>
    </row>
    <row r="3965" ht="15" customHeight="1">
      <c r="A3965" t="inlineStr">
        <is>
          <t>A 60905-2022</t>
        </is>
      </c>
      <c r="B3965" s="1" t="n">
        <v>44914.59553240741</v>
      </c>
      <c r="C3965" s="1" t="n">
        <v>45884</v>
      </c>
      <c r="D3965" t="inlineStr">
        <is>
          <t>KALMAR LÄN</t>
        </is>
      </c>
      <c r="E3965" t="inlineStr">
        <is>
          <t>OSKARSHAMN</t>
        </is>
      </c>
      <c r="G3965" t="n">
        <v>2.2</v>
      </c>
      <c r="H3965" t="n">
        <v>0</v>
      </c>
      <c r="I3965" t="n">
        <v>0</v>
      </c>
      <c r="J3965" t="n">
        <v>0</v>
      </c>
      <c r="K3965" t="n">
        <v>0</v>
      </c>
      <c r="L3965" t="n">
        <v>0</v>
      </c>
      <c r="M3965" t="n">
        <v>0</v>
      </c>
      <c r="N3965" t="n">
        <v>0</v>
      </c>
      <c r="O3965" t="n">
        <v>0</v>
      </c>
      <c r="P3965" t="n">
        <v>0</v>
      </c>
      <c r="Q3965" t="n">
        <v>0</v>
      </c>
      <c r="R3965" s="2" t="inlineStr"/>
    </row>
    <row r="3966" ht="15" customHeight="1">
      <c r="A3966" t="inlineStr">
        <is>
          <t>A 57885-2023</t>
        </is>
      </c>
      <c r="B3966" s="1" t="n">
        <v>45244</v>
      </c>
      <c r="C3966" s="1" t="n">
        <v>45884</v>
      </c>
      <c r="D3966" t="inlineStr">
        <is>
          <t>KALMAR LÄN</t>
        </is>
      </c>
      <c r="E3966" t="inlineStr">
        <is>
          <t>OSKARSHAMN</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53252-2023</t>
        </is>
      </c>
      <c r="B3967" s="1" t="n">
        <v>45229.52315972222</v>
      </c>
      <c r="C3967" s="1" t="n">
        <v>45884</v>
      </c>
      <c r="D3967" t="inlineStr">
        <is>
          <t>KALMAR LÄN</t>
        </is>
      </c>
      <c r="E3967" t="inlineStr">
        <is>
          <t>EMMABODA</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33606-2023</t>
        </is>
      </c>
      <c r="B3968" s="1" t="n">
        <v>45132</v>
      </c>
      <c r="C3968" s="1" t="n">
        <v>45884</v>
      </c>
      <c r="D3968" t="inlineStr">
        <is>
          <t>KALMAR LÄN</t>
        </is>
      </c>
      <c r="E3968" t="inlineStr">
        <is>
          <t>EMMABODA</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62422-2022</t>
        </is>
      </c>
      <c r="B3969" s="1" t="n">
        <v>44924</v>
      </c>
      <c r="C3969" s="1" t="n">
        <v>45884</v>
      </c>
      <c r="D3969" t="inlineStr">
        <is>
          <t>KALMAR LÄN</t>
        </is>
      </c>
      <c r="E3969" t="inlineStr">
        <is>
          <t>VÄSTERVIK</t>
        </is>
      </c>
      <c r="G3969" t="n">
        <v>4.9</v>
      </c>
      <c r="H3969" t="n">
        <v>0</v>
      </c>
      <c r="I3969" t="n">
        <v>0</v>
      </c>
      <c r="J3969" t="n">
        <v>0</v>
      </c>
      <c r="K3969" t="n">
        <v>0</v>
      </c>
      <c r="L3969" t="n">
        <v>0</v>
      </c>
      <c r="M3969" t="n">
        <v>0</v>
      </c>
      <c r="N3969" t="n">
        <v>0</v>
      </c>
      <c r="O3969" t="n">
        <v>0</v>
      </c>
      <c r="P3969" t="n">
        <v>0</v>
      </c>
      <c r="Q3969" t="n">
        <v>0</v>
      </c>
      <c r="R3969" s="2" t="inlineStr"/>
    </row>
    <row r="3970" ht="15" customHeight="1">
      <c r="A3970" t="inlineStr">
        <is>
          <t>A 1115-2025</t>
        </is>
      </c>
      <c r="B3970" s="1" t="n">
        <v>45666.65664351852</v>
      </c>
      <c r="C3970" s="1" t="n">
        <v>45884</v>
      </c>
      <c r="D3970" t="inlineStr">
        <is>
          <t>KALMAR LÄN</t>
        </is>
      </c>
      <c r="E3970" t="inlineStr">
        <is>
          <t>VÄSTERVIK</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19992-2025</t>
        </is>
      </c>
      <c r="B3971" s="1" t="n">
        <v>45771</v>
      </c>
      <c r="C3971" s="1" t="n">
        <v>45884</v>
      </c>
      <c r="D3971" t="inlineStr">
        <is>
          <t>KALMAR LÄN</t>
        </is>
      </c>
      <c r="E3971" t="inlineStr">
        <is>
          <t>KALMAR</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30460-2022</t>
        </is>
      </c>
      <c r="B3972" s="1" t="n">
        <v>44761.65730324074</v>
      </c>
      <c r="C3972" s="1" t="n">
        <v>45884</v>
      </c>
      <c r="D3972" t="inlineStr">
        <is>
          <t>KALMAR LÄN</t>
        </is>
      </c>
      <c r="E3972" t="inlineStr">
        <is>
          <t>EMMABODA</t>
        </is>
      </c>
      <c r="G3972" t="n">
        <v>7</v>
      </c>
      <c r="H3972" t="n">
        <v>0</v>
      </c>
      <c r="I3972" t="n">
        <v>0</v>
      </c>
      <c r="J3972" t="n">
        <v>0</v>
      </c>
      <c r="K3972" t="n">
        <v>0</v>
      </c>
      <c r="L3972" t="n">
        <v>0</v>
      </c>
      <c r="M3972" t="n">
        <v>0</v>
      </c>
      <c r="N3972" t="n">
        <v>0</v>
      </c>
      <c r="O3972" t="n">
        <v>0</v>
      </c>
      <c r="P3972" t="n">
        <v>0</v>
      </c>
      <c r="Q3972" t="n">
        <v>0</v>
      </c>
      <c r="R3972" s="2" t="inlineStr"/>
    </row>
    <row r="3973" ht="15" customHeight="1">
      <c r="A3973" t="inlineStr">
        <is>
          <t>A 816-2023</t>
        </is>
      </c>
      <c r="B3973" s="1" t="n">
        <v>44931.48902777778</v>
      </c>
      <c r="C3973" s="1" t="n">
        <v>45884</v>
      </c>
      <c r="D3973" t="inlineStr">
        <is>
          <t>KALMAR LÄN</t>
        </is>
      </c>
      <c r="E3973" t="inlineStr">
        <is>
          <t>NYBRO</t>
        </is>
      </c>
      <c r="F3973" t="inlineStr">
        <is>
          <t>Sveaskog</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9616-2022</t>
        </is>
      </c>
      <c r="B3974" s="1" t="n">
        <v>44617</v>
      </c>
      <c r="C3974" s="1" t="n">
        <v>45884</v>
      </c>
      <c r="D3974" t="inlineStr">
        <is>
          <t>KALMAR LÄN</t>
        </is>
      </c>
      <c r="E3974" t="inlineStr">
        <is>
          <t>HÖGSBY</t>
        </is>
      </c>
      <c r="G3974" t="n">
        <v>6.4</v>
      </c>
      <c r="H3974" t="n">
        <v>0</v>
      </c>
      <c r="I3974" t="n">
        <v>0</v>
      </c>
      <c r="J3974" t="n">
        <v>0</v>
      </c>
      <c r="K3974" t="n">
        <v>0</v>
      </c>
      <c r="L3974" t="n">
        <v>0</v>
      </c>
      <c r="M3974" t="n">
        <v>0</v>
      </c>
      <c r="N3974" t="n">
        <v>0</v>
      </c>
      <c r="O3974" t="n">
        <v>0</v>
      </c>
      <c r="P3974" t="n">
        <v>0</v>
      </c>
      <c r="Q3974" t="n">
        <v>0</v>
      </c>
      <c r="R3974" s="2" t="inlineStr"/>
    </row>
    <row r="3975" ht="15" customHeight="1">
      <c r="A3975" t="inlineStr">
        <is>
          <t>A 62204-2022</t>
        </is>
      </c>
      <c r="B3975" s="1" t="n">
        <v>44922</v>
      </c>
      <c r="C3975" s="1" t="n">
        <v>45884</v>
      </c>
      <c r="D3975" t="inlineStr">
        <is>
          <t>KALMAR LÄN</t>
        </is>
      </c>
      <c r="E3975" t="inlineStr">
        <is>
          <t>MÖNSTERÅS</t>
        </is>
      </c>
      <c r="G3975" t="n">
        <v>5.7</v>
      </c>
      <c r="H3975" t="n">
        <v>0</v>
      </c>
      <c r="I3975" t="n">
        <v>0</v>
      </c>
      <c r="J3975" t="n">
        <v>0</v>
      </c>
      <c r="K3975" t="n">
        <v>0</v>
      </c>
      <c r="L3975" t="n">
        <v>0</v>
      </c>
      <c r="M3975" t="n">
        <v>0</v>
      </c>
      <c r="N3975" t="n">
        <v>0</v>
      </c>
      <c r="O3975" t="n">
        <v>0</v>
      </c>
      <c r="P3975" t="n">
        <v>0</v>
      </c>
      <c r="Q3975" t="n">
        <v>0</v>
      </c>
      <c r="R3975" s="2" t="inlineStr"/>
    </row>
    <row r="3976" ht="15" customHeight="1">
      <c r="A3976" t="inlineStr">
        <is>
          <t>A 68459-2020</t>
        </is>
      </c>
      <c r="B3976" s="1" t="n">
        <v>44183</v>
      </c>
      <c r="C3976" s="1" t="n">
        <v>45884</v>
      </c>
      <c r="D3976" t="inlineStr">
        <is>
          <t>KALMAR LÄN</t>
        </is>
      </c>
      <c r="E3976" t="inlineStr">
        <is>
          <t>NYBRO</t>
        </is>
      </c>
      <c r="G3976" t="n">
        <v>4.5</v>
      </c>
      <c r="H3976" t="n">
        <v>0</v>
      </c>
      <c r="I3976" t="n">
        <v>0</v>
      </c>
      <c r="J3976" t="n">
        <v>0</v>
      </c>
      <c r="K3976" t="n">
        <v>0</v>
      </c>
      <c r="L3976" t="n">
        <v>0</v>
      </c>
      <c r="M3976" t="n">
        <v>0</v>
      </c>
      <c r="N3976" t="n">
        <v>0</v>
      </c>
      <c r="O3976" t="n">
        <v>0</v>
      </c>
      <c r="P3976" t="n">
        <v>0</v>
      </c>
      <c r="Q3976" t="n">
        <v>0</v>
      </c>
      <c r="R3976" s="2" t="inlineStr"/>
    </row>
    <row r="3977" ht="15" customHeight="1">
      <c r="A3977" t="inlineStr">
        <is>
          <t>A 17085-2023</t>
        </is>
      </c>
      <c r="B3977" s="1" t="n">
        <v>45034.50958333333</v>
      </c>
      <c r="C3977" s="1" t="n">
        <v>45884</v>
      </c>
      <c r="D3977" t="inlineStr">
        <is>
          <t>KALMAR LÄN</t>
        </is>
      </c>
      <c r="E3977" t="inlineStr">
        <is>
          <t>KALMAR</t>
        </is>
      </c>
      <c r="G3977" t="n">
        <v>6.9</v>
      </c>
      <c r="H3977" t="n">
        <v>0</v>
      </c>
      <c r="I3977" t="n">
        <v>0</v>
      </c>
      <c r="J3977" t="n">
        <v>0</v>
      </c>
      <c r="K3977" t="n">
        <v>0</v>
      </c>
      <c r="L3977" t="n">
        <v>0</v>
      </c>
      <c r="M3977" t="n">
        <v>0</v>
      </c>
      <c r="N3977" t="n">
        <v>0</v>
      </c>
      <c r="O3977" t="n">
        <v>0</v>
      </c>
      <c r="P3977" t="n">
        <v>0</v>
      </c>
      <c r="Q3977" t="n">
        <v>0</v>
      </c>
      <c r="R3977" s="2" t="inlineStr"/>
    </row>
    <row r="3978" ht="15" customHeight="1">
      <c r="A3978" t="inlineStr">
        <is>
          <t>A 29405-2024</t>
        </is>
      </c>
      <c r="B3978" s="1" t="n">
        <v>45483</v>
      </c>
      <c r="C3978" s="1" t="n">
        <v>45884</v>
      </c>
      <c r="D3978" t="inlineStr">
        <is>
          <t>KALMAR LÄN</t>
        </is>
      </c>
      <c r="E3978" t="inlineStr">
        <is>
          <t>VÄSTERVIK</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58278-2023</t>
        </is>
      </c>
      <c r="B3979" s="1" t="n">
        <v>45250.5278587963</v>
      </c>
      <c r="C3979" s="1" t="n">
        <v>45884</v>
      </c>
      <c r="D3979" t="inlineStr">
        <is>
          <t>KALMAR LÄN</t>
        </is>
      </c>
      <c r="E3979" t="inlineStr">
        <is>
          <t>VIMMERBY</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36043-2022</t>
        </is>
      </c>
      <c r="B3980" s="1" t="n">
        <v>44802.69710648148</v>
      </c>
      <c r="C3980" s="1" t="n">
        <v>45884</v>
      </c>
      <c r="D3980" t="inlineStr">
        <is>
          <t>KALMAR LÄN</t>
        </is>
      </c>
      <c r="E3980" t="inlineStr">
        <is>
          <t>EMMABODA</t>
        </is>
      </c>
      <c r="G3980" t="n">
        <v>2.2</v>
      </c>
      <c r="H3980" t="n">
        <v>0</v>
      </c>
      <c r="I3980" t="n">
        <v>0</v>
      </c>
      <c r="J3980" t="n">
        <v>0</v>
      </c>
      <c r="K3980" t="n">
        <v>0</v>
      </c>
      <c r="L3980" t="n">
        <v>0</v>
      </c>
      <c r="M3980" t="n">
        <v>0</v>
      </c>
      <c r="N3980" t="n">
        <v>0</v>
      </c>
      <c r="O3980" t="n">
        <v>0</v>
      </c>
      <c r="P3980" t="n">
        <v>0</v>
      </c>
      <c r="Q3980" t="n">
        <v>0</v>
      </c>
      <c r="R3980" s="2" t="inlineStr"/>
    </row>
    <row r="3981" ht="15" customHeight="1">
      <c r="A3981" t="inlineStr">
        <is>
          <t>A 24795-2023</t>
        </is>
      </c>
      <c r="B3981" s="1" t="n">
        <v>45084</v>
      </c>
      <c r="C3981" s="1" t="n">
        <v>45884</v>
      </c>
      <c r="D3981" t="inlineStr">
        <is>
          <t>KALMAR LÄN</t>
        </is>
      </c>
      <c r="E3981" t="inlineStr">
        <is>
          <t>EMMABODA</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17864-2025</t>
        </is>
      </c>
      <c r="B3982" s="1" t="n">
        <v>45758.62858796296</v>
      </c>
      <c r="C3982" s="1" t="n">
        <v>45884</v>
      </c>
      <c r="D3982" t="inlineStr">
        <is>
          <t>KALMAR LÄN</t>
        </is>
      </c>
      <c r="E3982" t="inlineStr">
        <is>
          <t>HÖGSBY</t>
        </is>
      </c>
      <c r="G3982" t="n">
        <v>2.3</v>
      </c>
      <c r="H3982" t="n">
        <v>0</v>
      </c>
      <c r="I3982" t="n">
        <v>0</v>
      </c>
      <c r="J3982" t="n">
        <v>0</v>
      </c>
      <c r="K3982" t="n">
        <v>0</v>
      </c>
      <c r="L3982" t="n">
        <v>0</v>
      </c>
      <c r="M3982" t="n">
        <v>0</v>
      </c>
      <c r="N3982" t="n">
        <v>0</v>
      </c>
      <c r="O3982" t="n">
        <v>0</v>
      </c>
      <c r="P3982" t="n">
        <v>0</v>
      </c>
      <c r="Q3982" t="n">
        <v>0</v>
      </c>
      <c r="R3982" s="2" t="inlineStr"/>
    </row>
    <row r="3983" ht="15" customHeight="1">
      <c r="A3983" t="inlineStr">
        <is>
          <t>A 11111-2024</t>
        </is>
      </c>
      <c r="B3983" s="1" t="n">
        <v>45371.36359953704</v>
      </c>
      <c r="C3983" s="1" t="n">
        <v>45884</v>
      </c>
      <c r="D3983" t="inlineStr">
        <is>
          <t>KALMAR LÄN</t>
        </is>
      </c>
      <c r="E3983" t="inlineStr">
        <is>
          <t>VIMMERBY</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26087-2023</t>
        </is>
      </c>
      <c r="B3984" s="1" t="n">
        <v>45091</v>
      </c>
      <c r="C3984" s="1" t="n">
        <v>45884</v>
      </c>
      <c r="D3984" t="inlineStr">
        <is>
          <t>KALMAR LÄN</t>
        </is>
      </c>
      <c r="E3984" t="inlineStr">
        <is>
          <t>KALMAR</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20387-2025</t>
        </is>
      </c>
      <c r="B3985" s="1" t="n">
        <v>45773</v>
      </c>
      <c r="C3985" s="1" t="n">
        <v>45884</v>
      </c>
      <c r="D3985" t="inlineStr">
        <is>
          <t>KALMAR LÄN</t>
        </is>
      </c>
      <c r="E3985" t="inlineStr">
        <is>
          <t>NYBRO</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20398-2025</t>
        </is>
      </c>
      <c r="B3986" s="1" t="n">
        <v>45775.45506944445</v>
      </c>
      <c r="C3986" s="1" t="n">
        <v>45884</v>
      </c>
      <c r="D3986" t="inlineStr">
        <is>
          <t>KALMAR LÄN</t>
        </is>
      </c>
      <c r="E3986" t="inlineStr">
        <is>
          <t>HÖGSBY</t>
        </is>
      </c>
      <c r="G3986" t="n">
        <v>2.8</v>
      </c>
      <c r="H3986" t="n">
        <v>0</v>
      </c>
      <c r="I3986" t="n">
        <v>0</v>
      </c>
      <c r="J3986" t="n">
        <v>0</v>
      </c>
      <c r="K3986" t="n">
        <v>0</v>
      </c>
      <c r="L3986" t="n">
        <v>0</v>
      </c>
      <c r="M3986" t="n">
        <v>0</v>
      </c>
      <c r="N3986" t="n">
        <v>0</v>
      </c>
      <c r="O3986" t="n">
        <v>0</v>
      </c>
      <c r="P3986" t="n">
        <v>0</v>
      </c>
      <c r="Q3986" t="n">
        <v>0</v>
      </c>
      <c r="R3986" s="2" t="inlineStr"/>
    </row>
    <row r="3987" ht="15" customHeight="1">
      <c r="A3987" t="inlineStr">
        <is>
          <t>A 59430-2023</t>
        </is>
      </c>
      <c r="B3987" s="1" t="n">
        <v>45254.288125</v>
      </c>
      <c r="C3987" s="1" t="n">
        <v>45884</v>
      </c>
      <c r="D3987" t="inlineStr">
        <is>
          <t>KALMAR LÄN</t>
        </is>
      </c>
      <c r="E3987" t="inlineStr">
        <is>
          <t>HÖGSBY</t>
        </is>
      </c>
      <c r="G3987" t="n">
        <v>2.3</v>
      </c>
      <c r="H3987" t="n">
        <v>0</v>
      </c>
      <c r="I3987" t="n">
        <v>0</v>
      </c>
      <c r="J3987" t="n">
        <v>0</v>
      </c>
      <c r="K3987" t="n">
        <v>0</v>
      </c>
      <c r="L3987" t="n">
        <v>0</v>
      </c>
      <c r="M3987" t="n">
        <v>0</v>
      </c>
      <c r="N3987" t="n">
        <v>0</v>
      </c>
      <c r="O3987" t="n">
        <v>0</v>
      </c>
      <c r="P3987" t="n">
        <v>0</v>
      </c>
      <c r="Q3987" t="n">
        <v>0</v>
      </c>
      <c r="R3987" s="2" t="inlineStr"/>
    </row>
    <row r="3988" ht="15" customHeight="1">
      <c r="A3988" t="inlineStr">
        <is>
          <t>A 59455-2023</t>
        </is>
      </c>
      <c r="B3988" s="1" t="n">
        <v>45254.37960648148</v>
      </c>
      <c r="C3988" s="1" t="n">
        <v>45884</v>
      </c>
      <c r="D3988" t="inlineStr">
        <is>
          <t>KALMAR LÄN</t>
        </is>
      </c>
      <c r="E3988" t="inlineStr">
        <is>
          <t>KALMAR</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11876-2025</t>
        </is>
      </c>
      <c r="B3989" s="1" t="n">
        <v>45728</v>
      </c>
      <c r="C3989" s="1" t="n">
        <v>45884</v>
      </c>
      <c r="D3989" t="inlineStr">
        <is>
          <t>KALMAR LÄN</t>
        </is>
      </c>
      <c r="E3989" t="inlineStr">
        <is>
          <t>EMMABODA</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39262-2022</t>
        </is>
      </c>
      <c r="B3990" s="1" t="n">
        <v>44817</v>
      </c>
      <c r="C3990" s="1" t="n">
        <v>45884</v>
      </c>
      <c r="D3990" t="inlineStr">
        <is>
          <t>KALMAR LÄN</t>
        </is>
      </c>
      <c r="E3990" t="inlineStr">
        <is>
          <t>MÖNSTERÅS</t>
        </is>
      </c>
      <c r="F3990" t="inlineStr">
        <is>
          <t>Kommuner</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33886-2023</t>
        </is>
      </c>
      <c r="B3991" s="1" t="n">
        <v>45134</v>
      </c>
      <c r="C3991" s="1" t="n">
        <v>45884</v>
      </c>
      <c r="D3991" t="inlineStr">
        <is>
          <t>KALMAR LÄN</t>
        </is>
      </c>
      <c r="E3991" t="inlineStr">
        <is>
          <t>HULTSFRED</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22266-2023</t>
        </is>
      </c>
      <c r="B3992" s="1" t="n">
        <v>45070</v>
      </c>
      <c r="C3992" s="1" t="n">
        <v>45884</v>
      </c>
      <c r="D3992" t="inlineStr">
        <is>
          <t>KALMAR LÄN</t>
        </is>
      </c>
      <c r="E3992" t="inlineStr">
        <is>
          <t>VIMMERBY</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52588-2023</t>
        </is>
      </c>
      <c r="B3993" s="1" t="n">
        <v>45225.60192129629</v>
      </c>
      <c r="C3993" s="1" t="n">
        <v>45884</v>
      </c>
      <c r="D3993" t="inlineStr">
        <is>
          <t>KALMAR LÄN</t>
        </is>
      </c>
      <c r="E3993" t="inlineStr">
        <is>
          <t>VIMMERBY</t>
        </is>
      </c>
      <c r="G3993" t="n">
        <v>2.9</v>
      </c>
      <c r="H3993" t="n">
        <v>0</v>
      </c>
      <c r="I3993" t="n">
        <v>0</v>
      </c>
      <c r="J3993" t="n">
        <v>0</v>
      </c>
      <c r="K3993" t="n">
        <v>0</v>
      </c>
      <c r="L3993" t="n">
        <v>0</v>
      </c>
      <c r="M3993" t="n">
        <v>0</v>
      </c>
      <c r="N3993" t="n">
        <v>0</v>
      </c>
      <c r="O3993" t="n">
        <v>0</v>
      </c>
      <c r="P3993" t="n">
        <v>0</v>
      </c>
      <c r="Q3993" t="n">
        <v>0</v>
      </c>
      <c r="R3993" s="2" t="inlineStr"/>
    </row>
    <row r="3994" ht="15" customHeight="1">
      <c r="A3994" t="inlineStr">
        <is>
          <t>A 18310-2024</t>
        </is>
      </c>
      <c r="B3994" s="1" t="n">
        <v>45422.47181712963</v>
      </c>
      <c r="C3994" s="1" t="n">
        <v>45884</v>
      </c>
      <c r="D3994" t="inlineStr">
        <is>
          <t>KALMAR LÄN</t>
        </is>
      </c>
      <c r="E3994" t="inlineStr">
        <is>
          <t>EMMABODA</t>
        </is>
      </c>
      <c r="G3994" t="n">
        <v>3.2</v>
      </c>
      <c r="H3994" t="n">
        <v>0</v>
      </c>
      <c r="I3994" t="n">
        <v>0</v>
      </c>
      <c r="J3994" t="n">
        <v>0</v>
      </c>
      <c r="K3994" t="n">
        <v>0</v>
      </c>
      <c r="L3994" t="n">
        <v>0</v>
      </c>
      <c r="M3994" t="n">
        <v>0</v>
      </c>
      <c r="N3994" t="n">
        <v>0</v>
      </c>
      <c r="O3994" t="n">
        <v>0</v>
      </c>
      <c r="P3994" t="n">
        <v>0</v>
      </c>
      <c r="Q3994" t="n">
        <v>0</v>
      </c>
      <c r="R3994" s="2" t="inlineStr"/>
    </row>
    <row r="3995" ht="15" customHeight="1">
      <c r="A3995" t="inlineStr">
        <is>
          <t>A 52594-2023</t>
        </is>
      </c>
      <c r="B3995" s="1" t="n">
        <v>45225</v>
      </c>
      <c r="C3995" s="1" t="n">
        <v>45884</v>
      </c>
      <c r="D3995" t="inlineStr">
        <is>
          <t>KALMAR LÄN</t>
        </is>
      </c>
      <c r="E3995" t="inlineStr">
        <is>
          <t>TORSÅS</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1867-2025</t>
        </is>
      </c>
      <c r="B3996" s="1" t="n">
        <v>45671.61569444444</v>
      </c>
      <c r="C3996" s="1" t="n">
        <v>45884</v>
      </c>
      <c r="D3996" t="inlineStr">
        <is>
          <t>KALMAR LÄN</t>
        </is>
      </c>
      <c r="E3996" t="inlineStr">
        <is>
          <t>VÄSTERVIK</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41155-2023</t>
        </is>
      </c>
      <c r="B3997" s="1" t="n">
        <v>45174.29445601852</v>
      </c>
      <c r="C3997" s="1" t="n">
        <v>45884</v>
      </c>
      <c r="D3997" t="inlineStr">
        <is>
          <t>KALMAR LÄN</t>
        </is>
      </c>
      <c r="E3997" t="inlineStr">
        <is>
          <t>KALMAR</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24567-2024</t>
        </is>
      </c>
      <c r="B3998" s="1" t="n">
        <v>45460.44732638889</v>
      </c>
      <c r="C3998" s="1" t="n">
        <v>45884</v>
      </c>
      <c r="D3998" t="inlineStr">
        <is>
          <t>KALMAR LÄN</t>
        </is>
      </c>
      <c r="E3998" t="inlineStr">
        <is>
          <t>VÄSTERVIK</t>
        </is>
      </c>
      <c r="G3998" t="n">
        <v>5.1</v>
      </c>
      <c r="H3998" t="n">
        <v>0</v>
      </c>
      <c r="I3998" t="n">
        <v>0</v>
      </c>
      <c r="J3998" t="n">
        <v>0</v>
      </c>
      <c r="K3998" t="n">
        <v>0</v>
      </c>
      <c r="L3998" t="n">
        <v>0</v>
      </c>
      <c r="M3998" t="n">
        <v>0</v>
      </c>
      <c r="N3998" t="n">
        <v>0</v>
      </c>
      <c r="O3998" t="n">
        <v>0</v>
      </c>
      <c r="P3998" t="n">
        <v>0</v>
      </c>
      <c r="Q3998" t="n">
        <v>0</v>
      </c>
      <c r="R3998" s="2" t="inlineStr"/>
    </row>
    <row r="3999" ht="15" customHeight="1">
      <c r="A3999" t="inlineStr">
        <is>
          <t>A 24612-2024</t>
        </is>
      </c>
      <c r="B3999" s="1" t="n">
        <v>45460.48450231482</v>
      </c>
      <c r="C3999" s="1" t="n">
        <v>45884</v>
      </c>
      <c r="D3999" t="inlineStr">
        <is>
          <t>KALMAR LÄN</t>
        </is>
      </c>
      <c r="E3999" t="inlineStr">
        <is>
          <t>HÖGSBY</t>
        </is>
      </c>
      <c r="F3999" t="inlineStr">
        <is>
          <t>Sveaskog</t>
        </is>
      </c>
      <c r="G3999" t="n">
        <v>3</v>
      </c>
      <c r="H3999" t="n">
        <v>0</v>
      </c>
      <c r="I3999" t="n">
        <v>0</v>
      </c>
      <c r="J3999" t="n">
        <v>0</v>
      </c>
      <c r="K3999" t="n">
        <v>0</v>
      </c>
      <c r="L3999" t="n">
        <v>0</v>
      </c>
      <c r="M3999" t="n">
        <v>0</v>
      </c>
      <c r="N3999" t="n">
        <v>0</v>
      </c>
      <c r="O3999" t="n">
        <v>0</v>
      </c>
      <c r="P3999" t="n">
        <v>0</v>
      </c>
      <c r="Q3999" t="n">
        <v>0</v>
      </c>
      <c r="R3999" s="2" t="inlineStr"/>
    </row>
    <row r="4000" ht="15" customHeight="1">
      <c r="A4000" t="inlineStr">
        <is>
          <t>A 23316-2023</t>
        </is>
      </c>
      <c r="B4000" s="1" t="n">
        <v>45076.02563657407</v>
      </c>
      <c r="C4000" s="1" t="n">
        <v>45884</v>
      </c>
      <c r="D4000" t="inlineStr">
        <is>
          <t>KALMAR LÄN</t>
        </is>
      </c>
      <c r="E4000" t="inlineStr">
        <is>
          <t>VÄSTERVIK</t>
        </is>
      </c>
      <c r="G4000" t="n">
        <v>3.6</v>
      </c>
      <c r="H4000" t="n">
        <v>0</v>
      </c>
      <c r="I4000" t="n">
        <v>0</v>
      </c>
      <c r="J4000" t="n">
        <v>0</v>
      </c>
      <c r="K4000" t="n">
        <v>0</v>
      </c>
      <c r="L4000" t="n">
        <v>0</v>
      </c>
      <c r="M4000" t="n">
        <v>0</v>
      </c>
      <c r="N4000" t="n">
        <v>0</v>
      </c>
      <c r="O4000" t="n">
        <v>0</v>
      </c>
      <c r="P4000" t="n">
        <v>0</v>
      </c>
      <c r="Q4000" t="n">
        <v>0</v>
      </c>
      <c r="R4000" s="2" t="inlineStr"/>
    </row>
    <row r="4001" ht="15" customHeight="1">
      <c r="A4001" t="inlineStr">
        <is>
          <t>A 28149-2023</t>
        </is>
      </c>
      <c r="B4001" s="1" t="n">
        <v>45096</v>
      </c>
      <c r="C4001" s="1" t="n">
        <v>45884</v>
      </c>
      <c r="D4001" t="inlineStr">
        <is>
          <t>KALMAR LÄN</t>
        </is>
      </c>
      <c r="E4001" t="inlineStr">
        <is>
          <t>NYBRO</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9861-2025</t>
        </is>
      </c>
      <c r="B4002" s="1" t="n">
        <v>45716.63163194444</v>
      </c>
      <c r="C4002" s="1" t="n">
        <v>45884</v>
      </c>
      <c r="D4002" t="inlineStr">
        <is>
          <t>KALMAR LÄN</t>
        </is>
      </c>
      <c r="E4002" t="inlineStr">
        <is>
          <t>HULTSFRED</t>
        </is>
      </c>
      <c r="G4002" t="n">
        <v>3.4</v>
      </c>
      <c r="H4002" t="n">
        <v>0</v>
      </c>
      <c r="I4002" t="n">
        <v>0</v>
      </c>
      <c r="J4002" t="n">
        <v>0</v>
      </c>
      <c r="K4002" t="n">
        <v>0</v>
      </c>
      <c r="L4002" t="n">
        <v>0</v>
      </c>
      <c r="M4002" t="n">
        <v>0</v>
      </c>
      <c r="N4002" t="n">
        <v>0</v>
      </c>
      <c r="O4002" t="n">
        <v>0</v>
      </c>
      <c r="P4002" t="n">
        <v>0</v>
      </c>
      <c r="Q4002" t="n">
        <v>0</v>
      </c>
      <c r="R4002" s="2" t="inlineStr"/>
    </row>
    <row r="4003" ht="15" customHeight="1">
      <c r="A4003" t="inlineStr">
        <is>
          <t>A 27919-2023</t>
        </is>
      </c>
      <c r="B4003" s="1" t="n">
        <v>45098.64069444445</v>
      </c>
      <c r="C4003" s="1" t="n">
        <v>45884</v>
      </c>
      <c r="D4003" t="inlineStr">
        <is>
          <t>KALMAR LÄN</t>
        </is>
      </c>
      <c r="E4003" t="inlineStr">
        <is>
          <t>OSKARSHAMN</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9946-2025</t>
        </is>
      </c>
      <c r="B4004" s="1" t="n">
        <v>45719.31196759259</v>
      </c>
      <c r="C4004" s="1" t="n">
        <v>45884</v>
      </c>
      <c r="D4004" t="inlineStr">
        <is>
          <t>KALMAR LÄN</t>
        </is>
      </c>
      <c r="E4004" t="inlineStr">
        <is>
          <t>HULTSFRED</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9519-2024</t>
        </is>
      </c>
      <c r="B4005" s="1" t="n">
        <v>45359.64494212963</v>
      </c>
      <c r="C4005" s="1" t="n">
        <v>45884</v>
      </c>
      <c r="D4005" t="inlineStr">
        <is>
          <t>KALMAR LÄN</t>
        </is>
      </c>
      <c r="E4005" t="inlineStr">
        <is>
          <t>NYBRO</t>
        </is>
      </c>
      <c r="G4005" t="n">
        <v>6</v>
      </c>
      <c r="H4005" t="n">
        <v>0</v>
      </c>
      <c r="I4005" t="n">
        <v>0</v>
      </c>
      <c r="J4005" t="n">
        <v>0</v>
      </c>
      <c r="K4005" t="n">
        <v>0</v>
      </c>
      <c r="L4005" t="n">
        <v>0</v>
      </c>
      <c r="M4005" t="n">
        <v>0</v>
      </c>
      <c r="N4005" t="n">
        <v>0</v>
      </c>
      <c r="O4005" t="n">
        <v>0</v>
      </c>
      <c r="P4005" t="n">
        <v>0</v>
      </c>
      <c r="Q4005" t="n">
        <v>0</v>
      </c>
      <c r="R4005" s="2" t="inlineStr"/>
    </row>
    <row r="4006" ht="15" customHeight="1">
      <c r="A4006" t="inlineStr">
        <is>
          <t>A 34463-2024</t>
        </is>
      </c>
      <c r="B4006" s="1" t="n">
        <v>45525.57712962963</v>
      </c>
      <c r="C4006" s="1" t="n">
        <v>45884</v>
      </c>
      <c r="D4006" t="inlineStr">
        <is>
          <t>KALMAR LÄN</t>
        </is>
      </c>
      <c r="E4006" t="inlineStr">
        <is>
          <t>VÄSTERVIK</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9549-2024</t>
        </is>
      </c>
      <c r="B4007" s="1" t="n">
        <v>45359.87989583334</v>
      </c>
      <c r="C4007" s="1" t="n">
        <v>45884</v>
      </c>
      <c r="D4007" t="inlineStr">
        <is>
          <t>KALMAR LÄN</t>
        </is>
      </c>
      <c r="E4007" t="inlineStr">
        <is>
          <t>VÄSTERVIK</t>
        </is>
      </c>
      <c r="F4007" t="inlineStr">
        <is>
          <t>Holmen skog AB</t>
        </is>
      </c>
      <c r="G4007" t="n">
        <v>2.6</v>
      </c>
      <c r="H4007" t="n">
        <v>0</v>
      </c>
      <c r="I4007" t="n">
        <v>0</v>
      </c>
      <c r="J4007" t="n">
        <v>0</v>
      </c>
      <c r="K4007" t="n">
        <v>0</v>
      </c>
      <c r="L4007" t="n">
        <v>0</v>
      </c>
      <c r="M4007" t="n">
        <v>0</v>
      </c>
      <c r="N4007" t="n">
        <v>0</v>
      </c>
      <c r="O4007" t="n">
        <v>0</v>
      </c>
      <c r="P4007" t="n">
        <v>0</v>
      </c>
      <c r="Q4007" t="n">
        <v>0</v>
      </c>
      <c r="R4007" s="2" t="inlineStr"/>
    </row>
    <row r="4008" ht="15" customHeight="1">
      <c r="A4008" t="inlineStr">
        <is>
          <t>A 11812-2023</t>
        </is>
      </c>
      <c r="B4008" s="1" t="n">
        <v>44994.74642361111</v>
      </c>
      <c r="C4008" s="1" t="n">
        <v>45884</v>
      </c>
      <c r="D4008" t="inlineStr">
        <is>
          <t>KALMAR LÄN</t>
        </is>
      </c>
      <c r="E4008" t="inlineStr">
        <is>
          <t>KALMAR</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50592-2024</t>
        </is>
      </c>
      <c r="B4009" s="1" t="n">
        <v>45601</v>
      </c>
      <c r="C4009" s="1" t="n">
        <v>45884</v>
      </c>
      <c r="D4009" t="inlineStr">
        <is>
          <t>KALMAR LÄN</t>
        </is>
      </c>
      <c r="E4009" t="inlineStr">
        <is>
          <t>OSKARSHAMN</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16680-2025</t>
        </is>
      </c>
      <c r="B4010" s="1" t="n">
        <v>45754.44952546297</v>
      </c>
      <c r="C4010" s="1" t="n">
        <v>45884</v>
      </c>
      <c r="D4010" t="inlineStr">
        <is>
          <t>KALMAR LÄN</t>
        </is>
      </c>
      <c r="E4010" t="inlineStr">
        <is>
          <t>VÄSTERVIK</t>
        </is>
      </c>
      <c r="F4010" t="inlineStr">
        <is>
          <t>Sveaskog</t>
        </is>
      </c>
      <c r="G4010" t="n">
        <v>2.4</v>
      </c>
      <c r="H4010" t="n">
        <v>0</v>
      </c>
      <c r="I4010" t="n">
        <v>0</v>
      </c>
      <c r="J4010" t="n">
        <v>0</v>
      </c>
      <c r="K4010" t="n">
        <v>0</v>
      </c>
      <c r="L4010" t="n">
        <v>0</v>
      </c>
      <c r="M4010" t="n">
        <v>0</v>
      </c>
      <c r="N4010" t="n">
        <v>0</v>
      </c>
      <c r="O4010" t="n">
        <v>0</v>
      </c>
      <c r="P4010" t="n">
        <v>0</v>
      </c>
      <c r="Q4010" t="n">
        <v>0</v>
      </c>
      <c r="R4010" s="2" t="inlineStr"/>
    </row>
    <row r="4011" ht="15" customHeight="1">
      <c r="A4011" t="inlineStr">
        <is>
          <t>A 22877-2023</t>
        </is>
      </c>
      <c r="B4011" s="1" t="n">
        <v>45072.49809027778</v>
      </c>
      <c r="C4011" s="1" t="n">
        <v>45884</v>
      </c>
      <c r="D4011" t="inlineStr">
        <is>
          <t>KALMAR LÄN</t>
        </is>
      </c>
      <c r="E4011" t="inlineStr">
        <is>
          <t>NYBRO</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16683-2025</t>
        </is>
      </c>
      <c r="B4012" s="1" t="n">
        <v>45754.45234953704</v>
      </c>
      <c r="C4012" s="1" t="n">
        <v>45884</v>
      </c>
      <c r="D4012" t="inlineStr">
        <is>
          <t>KALMAR LÄN</t>
        </is>
      </c>
      <c r="E4012" t="inlineStr">
        <is>
          <t>VÄSTERVIK</t>
        </is>
      </c>
      <c r="F4012" t="inlineStr">
        <is>
          <t>Sveaskog</t>
        </is>
      </c>
      <c r="G4012" t="n">
        <v>3.3</v>
      </c>
      <c r="H4012" t="n">
        <v>0</v>
      </c>
      <c r="I4012" t="n">
        <v>0</v>
      </c>
      <c r="J4012" t="n">
        <v>0</v>
      </c>
      <c r="K4012" t="n">
        <v>0</v>
      </c>
      <c r="L4012" t="n">
        <v>0</v>
      </c>
      <c r="M4012" t="n">
        <v>0</v>
      </c>
      <c r="N4012" t="n">
        <v>0</v>
      </c>
      <c r="O4012" t="n">
        <v>0</v>
      </c>
      <c r="P4012" t="n">
        <v>0</v>
      </c>
      <c r="Q4012" t="n">
        <v>0</v>
      </c>
      <c r="R4012" s="2" t="inlineStr"/>
    </row>
    <row r="4013" ht="15" customHeight="1">
      <c r="A4013" t="inlineStr">
        <is>
          <t>A 16686-2025</t>
        </is>
      </c>
      <c r="B4013" s="1" t="n">
        <v>45754.45355324074</v>
      </c>
      <c r="C4013" s="1" t="n">
        <v>45884</v>
      </c>
      <c r="D4013" t="inlineStr">
        <is>
          <t>KALMAR LÄN</t>
        </is>
      </c>
      <c r="E4013" t="inlineStr">
        <is>
          <t>VÄSTERVIK</t>
        </is>
      </c>
      <c r="F4013" t="inlineStr">
        <is>
          <t>Sveaskog</t>
        </is>
      </c>
      <c r="G4013" t="n">
        <v>3.9</v>
      </c>
      <c r="H4013" t="n">
        <v>0</v>
      </c>
      <c r="I4013" t="n">
        <v>0</v>
      </c>
      <c r="J4013" t="n">
        <v>0</v>
      </c>
      <c r="K4013" t="n">
        <v>0</v>
      </c>
      <c r="L4013" t="n">
        <v>0</v>
      </c>
      <c r="M4013" t="n">
        <v>0</v>
      </c>
      <c r="N4013" t="n">
        <v>0</v>
      </c>
      <c r="O4013" t="n">
        <v>0</v>
      </c>
      <c r="P4013" t="n">
        <v>0</v>
      </c>
      <c r="Q4013" t="n">
        <v>0</v>
      </c>
      <c r="R4013" s="2" t="inlineStr"/>
    </row>
    <row r="4014" ht="15" customHeight="1">
      <c r="A4014" t="inlineStr">
        <is>
          <t>A 34066-2024</t>
        </is>
      </c>
      <c r="B4014" s="1" t="n">
        <v>45523.62600694445</v>
      </c>
      <c r="C4014" s="1" t="n">
        <v>45884</v>
      </c>
      <c r="D4014" t="inlineStr">
        <is>
          <t>KALMAR LÄN</t>
        </is>
      </c>
      <c r="E4014" t="inlineStr">
        <is>
          <t>OSKARSHAMN</t>
        </is>
      </c>
      <c r="G4014" t="n">
        <v>2</v>
      </c>
      <c r="H4014" t="n">
        <v>0</v>
      </c>
      <c r="I4014" t="n">
        <v>0</v>
      </c>
      <c r="J4014" t="n">
        <v>0</v>
      </c>
      <c r="K4014" t="n">
        <v>0</v>
      </c>
      <c r="L4014" t="n">
        <v>0</v>
      </c>
      <c r="M4014" t="n">
        <v>0</v>
      </c>
      <c r="N4014" t="n">
        <v>0</v>
      </c>
      <c r="O4014" t="n">
        <v>0</v>
      </c>
      <c r="P4014" t="n">
        <v>0</v>
      </c>
      <c r="Q4014" t="n">
        <v>0</v>
      </c>
      <c r="R4014" s="2" t="inlineStr"/>
    </row>
    <row r="4015" ht="15" customHeight="1">
      <c r="A4015" t="inlineStr">
        <is>
          <t>A 9025-2022</t>
        </is>
      </c>
      <c r="B4015" s="1" t="n">
        <v>44615</v>
      </c>
      <c r="C4015" s="1" t="n">
        <v>45884</v>
      </c>
      <c r="D4015" t="inlineStr">
        <is>
          <t>KALMAR LÄN</t>
        </is>
      </c>
      <c r="E4015" t="inlineStr">
        <is>
          <t>VÄSTERVIK</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42163-2020</t>
        </is>
      </c>
      <c r="B4016" s="1" t="n">
        <v>44075</v>
      </c>
      <c r="C4016" s="1" t="n">
        <v>45884</v>
      </c>
      <c r="D4016" t="inlineStr">
        <is>
          <t>KALMAR LÄN</t>
        </is>
      </c>
      <c r="E4016" t="inlineStr">
        <is>
          <t>KALMAR</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29973-2024</t>
        </is>
      </c>
      <c r="B4017" s="1" t="n">
        <v>45488.47798611111</v>
      </c>
      <c r="C4017" s="1" t="n">
        <v>45884</v>
      </c>
      <c r="D4017" t="inlineStr">
        <is>
          <t>KALMAR LÄN</t>
        </is>
      </c>
      <c r="E4017" t="inlineStr">
        <is>
          <t>HULTSFRED</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31146-2023</t>
        </is>
      </c>
      <c r="B4018" s="1" t="n">
        <v>45113</v>
      </c>
      <c r="C4018" s="1" t="n">
        <v>45884</v>
      </c>
      <c r="D4018" t="inlineStr">
        <is>
          <t>KALMAR LÄN</t>
        </is>
      </c>
      <c r="E4018" t="inlineStr">
        <is>
          <t>OSKARSHAMN</t>
        </is>
      </c>
      <c r="G4018" t="n">
        <v>0.4</v>
      </c>
      <c r="H4018" t="n">
        <v>0</v>
      </c>
      <c r="I4018" t="n">
        <v>0</v>
      </c>
      <c r="J4018" t="n">
        <v>0</v>
      </c>
      <c r="K4018" t="n">
        <v>0</v>
      </c>
      <c r="L4018" t="n">
        <v>0</v>
      </c>
      <c r="M4018" t="n">
        <v>0</v>
      </c>
      <c r="N4018" t="n">
        <v>0</v>
      </c>
      <c r="O4018" t="n">
        <v>0</v>
      </c>
      <c r="P4018" t="n">
        <v>0</v>
      </c>
      <c r="Q4018" t="n">
        <v>0</v>
      </c>
      <c r="R4018" s="2" t="inlineStr"/>
    </row>
    <row r="4019" ht="15" customHeight="1">
      <c r="A4019" t="inlineStr">
        <is>
          <t>A 6802-2025</t>
        </is>
      </c>
      <c r="B4019" s="1" t="n">
        <v>45700.68289351852</v>
      </c>
      <c r="C4019" s="1" t="n">
        <v>45884</v>
      </c>
      <c r="D4019" t="inlineStr">
        <is>
          <t>KALMAR LÄN</t>
        </is>
      </c>
      <c r="E4019" t="inlineStr">
        <is>
          <t>VIMMERBY</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52177-2022</t>
        </is>
      </c>
      <c r="B4020" s="1" t="n">
        <v>44868</v>
      </c>
      <c r="C4020" s="1" t="n">
        <v>45884</v>
      </c>
      <c r="D4020" t="inlineStr">
        <is>
          <t>KALMAR LÄN</t>
        </is>
      </c>
      <c r="E4020" t="inlineStr">
        <is>
          <t>HÖGSBY</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71793-2021</t>
        </is>
      </c>
      <c r="B4021" s="1" t="n">
        <v>44539</v>
      </c>
      <c r="C4021" s="1" t="n">
        <v>45884</v>
      </c>
      <c r="D4021" t="inlineStr">
        <is>
          <t>KALMAR LÄN</t>
        </is>
      </c>
      <c r="E4021" t="inlineStr">
        <is>
          <t>VIMMERBY</t>
        </is>
      </c>
      <c r="G4021" t="n">
        <v>2.7</v>
      </c>
      <c r="H4021" t="n">
        <v>0</v>
      </c>
      <c r="I4021" t="n">
        <v>0</v>
      </c>
      <c r="J4021" t="n">
        <v>0</v>
      </c>
      <c r="K4021" t="n">
        <v>0</v>
      </c>
      <c r="L4021" t="n">
        <v>0</v>
      </c>
      <c r="M4021" t="n">
        <v>0</v>
      </c>
      <c r="N4021" t="n">
        <v>0</v>
      </c>
      <c r="O4021" t="n">
        <v>0</v>
      </c>
      <c r="P4021" t="n">
        <v>0</v>
      </c>
      <c r="Q4021" t="n">
        <v>0</v>
      </c>
      <c r="R4021" s="2" t="inlineStr"/>
    </row>
    <row r="4022" ht="15" customHeight="1">
      <c r="A4022" t="inlineStr">
        <is>
          <t>A 9780-2023</t>
        </is>
      </c>
      <c r="B4022" s="1" t="n">
        <v>44984</v>
      </c>
      <c r="C4022" s="1" t="n">
        <v>45884</v>
      </c>
      <c r="D4022" t="inlineStr">
        <is>
          <t>KALMAR LÄN</t>
        </is>
      </c>
      <c r="E4022" t="inlineStr">
        <is>
          <t>KALMAR</t>
        </is>
      </c>
      <c r="G4022" t="n">
        <v>8.300000000000001</v>
      </c>
      <c r="H4022" t="n">
        <v>0</v>
      </c>
      <c r="I4022" t="n">
        <v>0</v>
      </c>
      <c r="J4022" t="n">
        <v>0</v>
      </c>
      <c r="K4022" t="n">
        <v>0</v>
      </c>
      <c r="L4022" t="n">
        <v>0</v>
      </c>
      <c r="M4022" t="n">
        <v>0</v>
      </c>
      <c r="N4022" t="n">
        <v>0</v>
      </c>
      <c r="O4022" t="n">
        <v>0</v>
      </c>
      <c r="P4022" t="n">
        <v>0</v>
      </c>
      <c r="Q4022" t="n">
        <v>0</v>
      </c>
      <c r="R4022" s="2" t="inlineStr"/>
    </row>
    <row r="4023" ht="15" customHeight="1">
      <c r="A4023" t="inlineStr">
        <is>
          <t>A 12461-2022</t>
        </is>
      </c>
      <c r="B4023" s="1" t="n">
        <v>44638</v>
      </c>
      <c r="C4023" s="1" t="n">
        <v>45884</v>
      </c>
      <c r="D4023" t="inlineStr">
        <is>
          <t>KALMAR LÄN</t>
        </is>
      </c>
      <c r="E4023" t="inlineStr">
        <is>
          <t>MÖNSTERÅS</t>
        </is>
      </c>
      <c r="G4023" t="n">
        <v>7</v>
      </c>
      <c r="H4023" t="n">
        <v>0</v>
      </c>
      <c r="I4023" t="n">
        <v>0</v>
      </c>
      <c r="J4023" t="n">
        <v>0</v>
      </c>
      <c r="K4023" t="n">
        <v>0</v>
      </c>
      <c r="L4023" t="n">
        <v>0</v>
      </c>
      <c r="M4023" t="n">
        <v>0</v>
      </c>
      <c r="N4023" t="n">
        <v>0</v>
      </c>
      <c r="O4023" t="n">
        <v>0</v>
      </c>
      <c r="P4023" t="n">
        <v>0</v>
      </c>
      <c r="Q4023" t="n">
        <v>0</v>
      </c>
      <c r="R4023" s="2" t="inlineStr"/>
    </row>
    <row r="4024" ht="15" customHeight="1">
      <c r="A4024" t="inlineStr">
        <is>
          <t>A 57809-2023</t>
        </is>
      </c>
      <c r="B4024" s="1" t="n">
        <v>45244</v>
      </c>
      <c r="C4024" s="1" t="n">
        <v>45884</v>
      </c>
      <c r="D4024" t="inlineStr">
        <is>
          <t>KALMAR LÄN</t>
        </is>
      </c>
      <c r="E4024" t="inlineStr">
        <is>
          <t>NYBRO</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211-2022</t>
        </is>
      </c>
      <c r="B4025" s="1" t="n">
        <v>44564.80535879629</v>
      </c>
      <c r="C4025" s="1" t="n">
        <v>45884</v>
      </c>
      <c r="D4025" t="inlineStr">
        <is>
          <t>KALMAR LÄN</t>
        </is>
      </c>
      <c r="E4025" t="inlineStr">
        <is>
          <t>HULTSFRED</t>
        </is>
      </c>
      <c r="G4025" t="n">
        <v>2.5</v>
      </c>
      <c r="H4025" t="n">
        <v>0</v>
      </c>
      <c r="I4025" t="n">
        <v>0</v>
      </c>
      <c r="J4025" t="n">
        <v>0</v>
      </c>
      <c r="K4025" t="n">
        <v>0</v>
      </c>
      <c r="L4025" t="n">
        <v>0</v>
      </c>
      <c r="M4025" t="n">
        <v>0</v>
      </c>
      <c r="N4025" t="n">
        <v>0</v>
      </c>
      <c r="O4025" t="n">
        <v>0</v>
      </c>
      <c r="P4025" t="n">
        <v>0</v>
      </c>
      <c r="Q4025" t="n">
        <v>0</v>
      </c>
      <c r="R4025" s="2" t="inlineStr"/>
    </row>
    <row r="4026" ht="15" customHeight="1">
      <c r="A4026" t="inlineStr">
        <is>
          <t>A 37296-2022</t>
        </is>
      </c>
      <c r="B4026" s="1" t="n">
        <v>44808.80826388889</v>
      </c>
      <c r="C4026" s="1" t="n">
        <v>45884</v>
      </c>
      <c r="D4026" t="inlineStr">
        <is>
          <t>KALMAR LÄN</t>
        </is>
      </c>
      <c r="E4026" t="inlineStr">
        <is>
          <t>EMMABODA</t>
        </is>
      </c>
      <c r="G4026" t="n">
        <v>3.3</v>
      </c>
      <c r="H4026" t="n">
        <v>0</v>
      </c>
      <c r="I4026" t="n">
        <v>0</v>
      </c>
      <c r="J4026" t="n">
        <v>0</v>
      </c>
      <c r="K4026" t="n">
        <v>0</v>
      </c>
      <c r="L4026" t="n">
        <v>0</v>
      </c>
      <c r="M4026" t="n">
        <v>0</v>
      </c>
      <c r="N4026" t="n">
        <v>0</v>
      </c>
      <c r="O4026" t="n">
        <v>0</v>
      </c>
      <c r="P4026" t="n">
        <v>0</v>
      </c>
      <c r="Q4026" t="n">
        <v>0</v>
      </c>
      <c r="R4026" s="2" t="inlineStr"/>
    </row>
    <row r="4027" ht="15" customHeight="1">
      <c r="A4027" t="inlineStr">
        <is>
          <t>A 39629-2024</t>
        </is>
      </c>
      <c r="B4027" s="1" t="n">
        <v>45552.43846064815</v>
      </c>
      <c r="C4027" s="1" t="n">
        <v>45884</v>
      </c>
      <c r="D4027" t="inlineStr">
        <is>
          <t>KALMAR LÄN</t>
        </is>
      </c>
      <c r="E4027" t="inlineStr">
        <is>
          <t>HÖGSBY</t>
        </is>
      </c>
      <c r="G4027" t="n">
        <v>0.4</v>
      </c>
      <c r="H4027" t="n">
        <v>0</v>
      </c>
      <c r="I4027" t="n">
        <v>0</v>
      </c>
      <c r="J4027" t="n">
        <v>0</v>
      </c>
      <c r="K4027" t="n">
        <v>0</v>
      </c>
      <c r="L4027" t="n">
        <v>0</v>
      </c>
      <c r="M4027" t="n">
        <v>0</v>
      </c>
      <c r="N4027" t="n">
        <v>0</v>
      </c>
      <c r="O4027" t="n">
        <v>0</v>
      </c>
      <c r="P4027" t="n">
        <v>0</v>
      </c>
      <c r="Q4027" t="n">
        <v>0</v>
      </c>
      <c r="R4027" s="2" t="inlineStr"/>
    </row>
    <row r="4028" ht="15" customHeight="1">
      <c r="A4028" t="inlineStr">
        <is>
          <t>A 36271-2023</t>
        </is>
      </c>
      <c r="B4028" s="1" t="n">
        <v>45152</v>
      </c>
      <c r="C4028" s="1" t="n">
        <v>45884</v>
      </c>
      <c r="D4028" t="inlineStr">
        <is>
          <t>KALMAR LÄN</t>
        </is>
      </c>
      <c r="E4028" t="inlineStr">
        <is>
          <t>HULTSFRED</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51766-2024</t>
        </is>
      </c>
      <c r="B4029" s="1" t="n">
        <v>45604</v>
      </c>
      <c r="C4029" s="1" t="n">
        <v>45884</v>
      </c>
      <c r="D4029" t="inlineStr">
        <is>
          <t>KALMAR LÄN</t>
        </is>
      </c>
      <c r="E4029" t="inlineStr">
        <is>
          <t>OSKARSHAMN</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18718-2024</t>
        </is>
      </c>
      <c r="B4030" s="1" t="n">
        <v>45426</v>
      </c>
      <c r="C4030" s="1" t="n">
        <v>45884</v>
      </c>
      <c r="D4030" t="inlineStr">
        <is>
          <t>KALMAR LÄN</t>
        </is>
      </c>
      <c r="E4030" t="inlineStr">
        <is>
          <t>TORSÅS</t>
        </is>
      </c>
      <c r="G4030" t="n">
        <v>2.1</v>
      </c>
      <c r="H4030" t="n">
        <v>0</v>
      </c>
      <c r="I4030" t="n">
        <v>0</v>
      </c>
      <c r="J4030" t="n">
        <v>0</v>
      </c>
      <c r="K4030" t="n">
        <v>0</v>
      </c>
      <c r="L4030" t="n">
        <v>0</v>
      </c>
      <c r="M4030" t="n">
        <v>0</v>
      </c>
      <c r="N4030" t="n">
        <v>0</v>
      </c>
      <c r="O4030" t="n">
        <v>0</v>
      </c>
      <c r="P4030" t="n">
        <v>0</v>
      </c>
      <c r="Q4030" t="n">
        <v>0</v>
      </c>
      <c r="R4030" s="2" t="inlineStr"/>
    </row>
    <row r="4031" ht="15" customHeight="1">
      <c r="A4031" t="inlineStr">
        <is>
          <t>A 5088-2025</t>
        </is>
      </c>
      <c r="B4031" s="1" t="n">
        <v>45691.52231481481</v>
      </c>
      <c r="C4031" s="1" t="n">
        <v>45884</v>
      </c>
      <c r="D4031" t="inlineStr">
        <is>
          <t>KALMAR LÄN</t>
        </is>
      </c>
      <c r="E4031" t="inlineStr">
        <is>
          <t>HÖGSBY</t>
        </is>
      </c>
      <c r="G4031" t="n">
        <v>2.4</v>
      </c>
      <c r="H4031" t="n">
        <v>0</v>
      </c>
      <c r="I4031" t="n">
        <v>0</v>
      </c>
      <c r="J4031" t="n">
        <v>0</v>
      </c>
      <c r="K4031" t="n">
        <v>0</v>
      </c>
      <c r="L4031" t="n">
        <v>0</v>
      </c>
      <c r="M4031" t="n">
        <v>0</v>
      </c>
      <c r="N4031" t="n">
        <v>0</v>
      </c>
      <c r="O4031" t="n">
        <v>0</v>
      </c>
      <c r="P4031" t="n">
        <v>0</v>
      </c>
      <c r="Q4031" t="n">
        <v>0</v>
      </c>
      <c r="R4031" s="2" t="inlineStr"/>
    </row>
    <row r="4032" ht="15" customHeight="1">
      <c r="A4032" t="inlineStr">
        <is>
          <t>A 1687-2023</t>
        </is>
      </c>
      <c r="B4032" s="1" t="n">
        <v>44938</v>
      </c>
      <c r="C4032" s="1" t="n">
        <v>45884</v>
      </c>
      <c r="D4032" t="inlineStr">
        <is>
          <t>KALMAR LÄN</t>
        </is>
      </c>
      <c r="E4032" t="inlineStr">
        <is>
          <t>VIMMERBY</t>
        </is>
      </c>
      <c r="F4032" t="inlineStr">
        <is>
          <t>Kommuner</t>
        </is>
      </c>
      <c r="G4032" t="n">
        <v>2.5</v>
      </c>
      <c r="H4032" t="n">
        <v>0</v>
      </c>
      <c r="I4032" t="n">
        <v>0</v>
      </c>
      <c r="J4032" t="n">
        <v>0</v>
      </c>
      <c r="K4032" t="n">
        <v>0</v>
      </c>
      <c r="L4032" t="n">
        <v>0</v>
      </c>
      <c r="M4032" t="n">
        <v>0</v>
      </c>
      <c r="N4032" t="n">
        <v>0</v>
      </c>
      <c r="O4032" t="n">
        <v>0</v>
      </c>
      <c r="P4032" t="n">
        <v>0</v>
      </c>
      <c r="Q4032" t="n">
        <v>0</v>
      </c>
      <c r="R4032" s="2" t="inlineStr"/>
    </row>
    <row r="4033" ht="15" customHeight="1">
      <c r="A4033" t="inlineStr">
        <is>
          <t>A 37250-2024</t>
        </is>
      </c>
      <c r="B4033" s="1" t="n">
        <v>45540.35737268518</v>
      </c>
      <c r="C4033" s="1" t="n">
        <v>45884</v>
      </c>
      <c r="D4033" t="inlineStr">
        <is>
          <t>KALMAR LÄN</t>
        </is>
      </c>
      <c r="E4033" t="inlineStr">
        <is>
          <t>MÖNSTERÅS</t>
        </is>
      </c>
      <c r="G4033" t="n">
        <v>4.3</v>
      </c>
      <c r="H4033" t="n">
        <v>0</v>
      </c>
      <c r="I4033" t="n">
        <v>0</v>
      </c>
      <c r="J4033" t="n">
        <v>0</v>
      </c>
      <c r="K4033" t="n">
        <v>0</v>
      </c>
      <c r="L4033" t="n">
        <v>0</v>
      </c>
      <c r="M4033" t="n">
        <v>0</v>
      </c>
      <c r="N4033" t="n">
        <v>0</v>
      </c>
      <c r="O4033" t="n">
        <v>0</v>
      </c>
      <c r="P4033" t="n">
        <v>0</v>
      </c>
      <c r="Q4033" t="n">
        <v>0</v>
      </c>
      <c r="R4033" s="2" t="inlineStr"/>
    </row>
    <row r="4034" ht="15" customHeight="1">
      <c r="A4034" t="inlineStr">
        <is>
          <t>A 2738-2023</t>
        </is>
      </c>
      <c r="B4034" s="1" t="n">
        <v>44944</v>
      </c>
      <c r="C4034" s="1" t="n">
        <v>45884</v>
      </c>
      <c r="D4034" t="inlineStr">
        <is>
          <t>KALMAR LÄN</t>
        </is>
      </c>
      <c r="E4034" t="inlineStr">
        <is>
          <t>VÄSTERVIK</t>
        </is>
      </c>
      <c r="G4034" t="n">
        <v>3</v>
      </c>
      <c r="H4034" t="n">
        <v>0</v>
      </c>
      <c r="I4034" t="n">
        <v>0</v>
      </c>
      <c r="J4034" t="n">
        <v>0</v>
      </c>
      <c r="K4034" t="n">
        <v>0</v>
      </c>
      <c r="L4034" t="n">
        <v>0</v>
      </c>
      <c r="M4034" t="n">
        <v>0</v>
      </c>
      <c r="N4034" t="n">
        <v>0</v>
      </c>
      <c r="O4034" t="n">
        <v>0</v>
      </c>
      <c r="P4034" t="n">
        <v>0</v>
      </c>
      <c r="Q4034" t="n">
        <v>0</v>
      </c>
      <c r="R4034" s="2" t="inlineStr"/>
    </row>
    <row r="4035" ht="15" customHeight="1">
      <c r="A4035" t="inlineStr">
        <is>
          <t>A 6021-2024</t>
        </is>
      </c>
      <c r="B4035" s="1" t="n">
        <v>45336.62131944444</v>
      </c>
      <c r="C4035" s="1" t="n">
        <v>45884</v>
      </c>
      <c r="D4035" t="inlineStr">
        <is>
          <t>KALMAR LÄN</t>
        </is>
      </c>
      <c r="E4035" t="inlineStr">
        <is>
          <t>VÄSTERVIK</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64315-2023</t>
        </is>
      </c>
      <c r="B4036" s="1" t="n">
        <v>45279</v>
      </c>
      <c r="C4036" s="1" t="n">
        <v>45884</v>
      </c>
      <c r="D4036" t="inlineStr">
        <is>
          <t>KALMAR LÄN</t>
        </is>
      </c>
      <c r="E4036" t="inlineStr">
        <is>
          <t>NYBRO</t>
        </is>
      </c>
      <c r="G4036" t="n">
        <v>3</v>
      </c>
      <c r="H4036" t="n">
        <v>0</v>
      </c>
      <c r="I4036" t="n">
        <v>0</v>
      </c>
      <c r="J4036" t="n">
        <v>0</v>
      </c>
      <c r="K4036" t="n">
        <v>0</v>
      </c>
      <c r="L4036" t="n">
        <v>0</v>
      </c>
      <c r="M4036" t="n">
        <v>0</v>
      </c>
      <c r="N4036" t="n">
        <v>0</v>
      </c>
      <c r="O4036" t="n">
        <v>0</v>
      </c>
      <c r="P4036" t="n">
        <v>0</v>
      </c>
      <c r="Q4036" t="n">
        <v>0</v>
      </c>
      <c r="R4036" s="2" t="inlineStr"/>
    </row>
    <row r="4037" ht="15" customHeight="1">
      <c r="A4037" t="inlineStr">
        <is>
          <t>A 527-2024</t>
        </is>
      </c>
      <c r="B4037" s="1" t="n">
        <v>45299.47513888889</v>
      </c>
      <c r="C4037" s="1" t="n">
        <v>45884</v>
      </c>
      <c r="D4037" t="inlineStr">
        <is>
          <t>KALMAR LÄN</t>
        </is>
      </c>
      <c r="E4037" t="inlineStr">
        <is>
          <t>VIMMERBY</t>
        </is>
      </c>
      <c r="G4037" t="n">
        <v>2.2</v>
      </c>
      <c r="H4037" t="n">
        <v>0</v>
      </c>
      <c r="I4037" t="n">
        <v>0</v>
      </c>
      <c r="J4037" t="n">
        <v>0</v>
      </c>
      <c r="K4037" t="n">
        <v>0</v>
      </c>
      <c r="L4037" t="n">
        <v>0</v>
      </c>
      <c r="M4037" t="n">
        <v>0</v>
      </c>
      <c r="N4037" t="n">
        <v>0</v>
      </c>
      <c r="O4037" t="n">
        <v>0</v>
      </c>
      <c r="P4037" t="n">
        <v>0</v>
      </c>
      <c r="Q4037" t="n">
        <v>0</v>
      </c>
      <c r="R4037" s="2" t="inlineStr"/>
    </row>
    <row r="4038" ht="15" customHeight="1">
      <c r="A4038" t="inlineStr">
        <is>
          <t>A 32049-2023</t>
        </is>
      </c>
      <c r="B4038" s="1" t="n">
        <v>45119.55300925926</v>
      </c>
      <c r="C4038" s="1" t="n">
        <v>45884</v>
      </c>
      <c r="D4038" t="inlineStr">
        <is>
          <t>KALMAR LÄN</t>
        </is>
      </c>
      <c r="E4038" t="inlineStr">
        <is>
          <t>HÖGSBY</t>
        </is>
      </c>
      <c r="F4038" t="inlineStr">
        <is>
          <t>Sveaskog</t>
        </is>
      </c>
      <c r="G4038" t="n">
        <v>3.3</v>
      </c>
      <c r="H4038" t="n">
        <v>0</v>
      </c>
      <c r="I4038" t="n">
        <v>0</v>
      </c>
      <c r="J4038" t="n">
        <v>0</v>
      </c>
      <c r="K4038" t="n">
        <v>0</v>
      </c>
      <c r="L4038" t="n">
        <v>0</v>
      </c>
      <c r="M4038" t="n">
        <v>0</v>
      </c>
      <c r="N4038" t="n">
        <v>0</v>
      </c>
      <c r="O4038" t="n">
        <v>0</v>
      </c>
      <c r="P4038" t="n">
        <v>0</v>
      </c>
      <c r="Q4038" t="n">
        <v>0</v>
      </c>
      <c r="R4038" s="2" t="inlineStr"/>
    </row>
    <row r="4039" ht="15" customHeight="1">
      <c r="A4039" t="inlineStr">
        <is>
          <t>A 48582-2021</t>
        </is>
      </c>
      <c r="B4039" s="1" t="n">
        <v>44452</v>
      </c>
      <c r="C4039" s="1" t="n">
        <v>45884</v>
      </c>
      <c r="D4039" t="inlineStr">
        <is>
          <t>KALMAR LÄN</t>
        </is>
      </c>
      <c r="E4039" t="inlineStr">
        <is>
          <t>OSKARSHAMN</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45898-2024</t>
        </is>
      </c>
      <c r="B4040" s="1" t="n">
        <v>45580.42840277778</v>
      </c>
      <c r="C4040" s="1" t="n">
        <v>45884</v>
      </c>
      <c r="D4040" t="inlineStr">
        <is>
          <t>KALMAR LÄN</t>
        </is>
      </c>
      <c r="E4040" t="inlineStr">
        <is>
          <t>OSKARSHAMN</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11300-2024</t>
        </is>
      </c>
      <c r="B4041" s="1" t="n">
        <v>45371.85319444445</v>
      </c>
      <c r="C4041" s="1" t="n">
        <v>45884</v>
      </c>
      <c r="D4041" t="inlineStr">
        <is>
          <t>KALMAR LÄN</t>
        </is>
      </c>
      <c r="E4041" t="inlineStr">
        <is>
          <t>OSKARSHAMN</t>
        </is>
      </c>
      <c r="F4041" t="inlineStr">
        <is>
          <t>Sveaskog</t>
        </is>
      </c>
      <c r="G4041" t="n">
        <v>3</v>
      </c>
      <c r="H4041" t="n">
        <v>0</v>
      </c>
      <c r="I4041" t="n">
        <v>0</v>
      </c>
      <c r="J4041" t="n">
        <v>0</v>
      </c>
      <c r="K4041" t="n">
        <v>0</v>
      </c>
      <c r="L4041" t="n">
        <v>0</v>
      </c>
      <c r="M4041" t="n">
        <v>0</v>
      </c>
      <c r="N4041" t="n">
        <v>0</v>
      </c>
      <c r="O4041" t="n">
        <v>0</v>
      </c>
      <c r="P4041" t="n">
        <v>0</v>
      </c>
      <c r="Q4041" t="n">
        <v>0</v>
      </c>
      <c r="R4041" s="2" t="inlineStr"/>
    </row>
    <row r="4042" ht="15" customHeight="1">
      <c r="A4042" t="inlineStr">
        <is>
          <t>A 66662-2021</t>
        </is>
      </c>
      <c r="B4042" s="1" t="n">
        <v>44519</v>
      </c>
      <c r="C4042" s="1" t="n">
        <v>45884</v>
      </c>
      <c r="D4042" t="inlineStr">
        <is>
          <t>KALMAR LÄN</t>
        </is>
      </c>
      <c r="E4042" t="inlineStr">
        <is>
          <t>EMMABODA</t>
        </is>
      </c>
      <c r="G4042" t="n">
        <v>2.6</v>
      </c>
      <c r="H4042" t="n">
        <v>0</v>
      </c>
      <c r="I4042" t="n">
        <v>0</v>
      </c>
      <c r="J4042" t="n">
        <v>0</v>
      </c>
      <c r="K4042" t="n">
        <v>0</v>
      </c>
      <c r="L4042" t="n">
        <v>0</v>
      </c>
      <c r="M4042" t="n">
        <v>0</v>
      </c>
      <c r="N4042" t="n">
        <v>0</v>
      </c>
      <c r="O4042" t="n">
        <v>0</v>
      </c>
      <c r="P4042" t="n">
        <v>0</v>
      </c>
      <c r="Q4042" t="n">
        <v>0</v>
      </c>
      <c r="R4042" s="2" t="inlineStr"/>
    </row>
    <row r="4043" ht="15" customHeight="1">
      <c r="A4043" t="inlineStr">
        <is>
          <t>A 12390-2023</t>
        </is>
      </c>
      <c r="B4043" s="1" t="n">
        <v>44999.48005787037</v>
      </c>
      <c r="C4043" s="1" t="n">
        <v>45884</v>
      </c>
      <c r="D4043" t="inlineStr">
        <is>
          <t>KALMAR LÄN</t>
        </is>
      </c>
      <c r="E4043" t="inlineStr">
        <is>
          <t>HULTSFRED</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12396-2023</t>
        </is>
      </c>
      <c r="B4044" s="1" t="n">
        <v>44999</v>
      </c>
      <c r="C4044" s="1" t="n">
        <v>45884</v>
      </c>
      <c r="D4044" t="inlineStr">
        <is>
          <t>KALMAR LÄN</t>
        </is>
      </c>
      <c r="E4044" t="inlineStr">
        <is>
          <t>HÖGSBY</t>
        </is>
      </c>
      <c r="G4044" t="n">
        <v>2.6</v>
      </c>
      <c r="H4044" t="n">
        <v>0</v>
      </c>
      <c r="I4044" t="n">
        <v>0</v>
      </c>
      <c r="J4044" t="n">
        <v>0</v>
      </c>
      <c r="K4044" t="n">
        <v>0</v>
      </c>
      <c r="L4044" t="n">
        <v>0</v>
      </c>
      <c r="M4044" t="n">
        <v>0</v>
      </c>
      <c r="N4044" t="n">
        <v>0</v>
      </c>
      <c r="O4044" t="n">
        <v>0</v>
      </c>
      <c r="P4044" t="n">
        <v>0</v>
      </c>
      <c r="Q4044" t="n">
        <v>0</v>
      </c>
      <c r="R4044" s="2" t="inlineStr"/>
    </row>
    <row r="4045" ht="15" customHeight="1">
      <c r="A4045" t="inlineStr">
        <is>
          <t>A 12410-2023</t>
        </is>
      </c>
      <c r="B4045" s="1" t="n">
        <v>44999.51451388889</v>
      </c>
      <c r="C4045" s="1" t="n">
        <v>45884</v>
      </c>
      <c r="D4045" t="inlineStr">
        <is>
          <t>KALMAR LÄN</t>
        </is>
      </c>
      <c r="E4045" t="inlineStr">
        <is>
          <t>NYBRO</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12098-2024</t>
        </is>
      </c>
      <c r="B4046" s="1" t="n">
        <v>45377</v>
      </c>
      <c r="C4046" s="1" t="n">
        <v>45884</v>
      </c>
      <c r="D4046" t="inlineStr">
        <is>
          <t>KALMAR LÄN</t>
        </is>
      </c>
      <c r="E4046" t="inlineStr">
        <is>
          <t>OSKARSHAMN</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17481-2021</t>
        </is>
      </c>
      <c r="B4047" s="1" t="n">
        <v>44299</v>
      </c>
      <c r="C4047" s="1" t="n">
        <v>45884</v>
      </c>
      <c r="D4047" t="inlineStr">
        <is>
          <t>KALMAR LÄN</t>
        </is>
      </c>
      <c r="E4047" t="inlineStr">
        <is>
          <t>EMMABODA</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33207-2022</t>
        </is>
      </c>
      <c r="B4048" s="1" t="n">
        <v>44785.72373842593</v>
      </c>
      <c r="C4048" s="1" t="n">
        <v>45884</v>
      </c>
      <c r="D4048" t="inlineStr">
        <is>
          <t>KALMAR LÄN</t>
        </is>
      </c>
      <c r="E4048" t="inlineStr">
        <is>
          <t>VÄSTERVIK</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12480-2025</t>
        </is>
      </c>
      <c r="B4049" s="1" t="n">
        <v>45730.57706018518</v>
      </c>
      <c r="C4049" s="1" t="n">
        <v>45884</v>
      </c>
      <c r="D4049" t="inlineStr">
        <is>
          <t>KALMAR LÄN</t>
        </is>
      </c>
      <c r="E4049" t="inlineStr">
        <is>
          <t>BORGHOLM</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60230-2022</t>
        </is>
      </c>
      <c r="B4050" s="1" t="n">
        <v>44910</v>
      </c>
      <c r="C4050" s="1" t="n">
        <v>45884</v>
      </c>
      <c r="D4050" t="inlineStr">
        <is>
          <t>KALMAR LÄN</t>
        </is>
      </c>
      <c r="E4050" t="inlineStr">
        <is>
          <t>VIMMERBY</t>
        </is>
      </c>
      <c r="G4050" t="n">
        <v>11.3</v>
      </c>
      <c r="H4050" t="n">
        <v>0</v>
      </c>
      <c r="I4050" t="n">
        <v>0</v>
      </c>
      <c r="J4050" t="n">
        <v>0</v>
      </c>
      <c r="K4050" t="n">
        <v>0</v>
      </c>
      <c r="L4050" t="n">
        <v>0</v>
      </c>
      <c r="M4050" t="n">
        <v>0</v>
      </c>
      <c r="N4050" t="n">
        <v>0</v>
      </c>
      <c r="O4050" t="n">
        <v>0</v>
      </c>
      <c r="P4050" t="n">
        <v>0</v>
      </c>
      <c r="Q4050" t="n">
        <v>0</v>
      </c>
      <c r="R4050" s="2" t="inlineStr"/>
    </row>
    <row r="4051" ht="15" customHeight="1">
      <c r="A4051" t="inlineStr">
        <is>
          <t>A 42316-2023</t>
        </is>
      </c>
      <c r="B4051" s="1" t="n">
        <v>45180.46920138889</v>
      </c>
      <c r="C4051" s="1" t="n">
        <v>45884</v>
      </c>
      <c r="D4051" t="inlineStr">
        <is>
          <t>KALMAR LÄN</t>
        </is>
      </c>
      <c r="E4051" t="inlineStr">
        <is>
          <t>HULTSFRED</t>
        </is>
      </c>
      <c r="G4051" t="n">
        <v>8.1</v>
      </c>
      <c r="H4051" t="n">
        <v>0</v>
      </c>
      <c r="I4051" t="n">
        <v>0</v>
      </c>
      <c r="J4051" t="n">
        <v>0</v>
      </c>
      <c r="K4051" t="n">
        <v>0</v>
      </c>
      <c r="L4051" t="n">
        <v>0</v>
      </c>
      <c r="M4051" t="n">
        <v>0</v>
      </c>
      <c r="N4051" t="n">
        <v>0</v>
      </c>
      <c r="O4051" t="n">
        <v>0</v>
      </c>
      <c r="P4051" t="n">
        <v>0</v>
      </c>
      <c r="Q4051" t="n">
        <v>0</v>
      </c>
      <c r="R4051" s="2" t="inlineStr"/>
    </row>
    <row r="4052" ht="15" customHeight="1">
      <c r="A4052" t="inlineStr">
        <is>
          <t>A 63454-2023</t>
        </is>
      </c>
      <c r="B4052" s="1" t="n">
        <v>45274.61356481481</v>
      </c>
      <c r="C4052" s="1" t="n">
        <v>45884</v>
      </c>
      <c r="D4052" t="inlineStr">
        <is>
          <t>KALMAR LÄN</t>
        </is>
      </c>
      <c r="E4052" t="inlineStr">
        <is>
          <t>MÖNSTERÅS</t>
        </is>
      </c>
      <c r="G4052" t="n">
        <v>3</v>
      </c>
      <c r="H4052" t="n">
        <v>0</v>
      </c>
      <c r="I4052" t="n">
        <v>0</v>
      </c>
      <c r="J4052" t="n">
        <v>0</v>
      </c>
      <c r="K4052" t="n">
        <v>0</v>
      </c>
      <c r="L4052" t="n">
        <v>0</v>
      </c>
      <c r="M4052" t="n">
        <v>0</v>
      </c>
      <c r="N4052" t="n">
        <v>0</v>
      </c>
      <c r="O4052" t="n">
        <v>0</v>
      </c>
      <c r="P4052" t="n">
        <v>0</v>
      </c>
      <c r="Q4052" t="n">
        <v>0</v>
      </c>
      <c r="R4052" s="2" t="inlineStr"/>
    </row>
    <row r="4053" ht="15" customHeight="1">
      <c r="A4053" t="inlineStr">
        <is>
          <t>A 63522-2023</t>
        </is>
      </c>
      <c r="B4053" s="1" t="n">
        <v>45274</v>
      </c>
      <c r="C4053" s="1" t="n">
        <v>45884</v>
      </c>
      <c r="D4053" t="inlineStr">
        <is>
          <t>KALMAR LÄN</t>
        </is>
      </c>
      <c r="E4053" t="inlineStr">
        <is>
          <t>OSKARSHAMN</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3494-2023</t>
        </is>
      </c>
      <c r="B4054" s="1" t="n">
        <v>44949</v>
      </c>
      <c r="C4054" s="1" t="n">
        <v>45884</v>
      </c>
      <c r="D4054" t="inlineStr">
        <is>
          <t>KALMAR LÄN</t>
        </is>
      </c>
      <c r="E4054" t="inlineStr">
        <is>
          <t>VIMMERBY</t>
        </is>
      </c>
      <c r="F4054" t="inlineStr">
        <is>
          <t>Kyrkan</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11080-2021</t>
        </is>
      </c>
      <c r="B4055" s="1" t="n">
        <v>44260</v>
      </c>
      <c r="C4055" s="1" t="n">
        <v>45884</v>
      </c>
      <c r="D4055" t="inlineStr">
        <is>
          <t>KALMAR LÄN</t>
        </is>
      </c>
      <c r="E4055" t="inlineStr">
        <is>
          <t>HULTSFRED</t>
        </is>
      </c>
      <c r="F4055" t="inlineStr">
        <is>
          <t>Kyrkan</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44030-2023</t>
        </is>
      </c>
      <c r="B4056" s="1" t="n">
        <v>45188.35988425926</v>
      </c>
      <c r="C4056" s="1" t="n">
        <v>45884</v>
      </c>
      <c r="D4056" t="inlineStr">
        <is>
          <t>KALMAR LÄN</t>
        </is>
      </c>
      <c r="E4056" t="inlineStr">
        <is>
          <t>NYBRO</t>
        </is>
      </c>
      <c r="G4056" t="n">
        <v>1.9</v>
      </c>
      <c r="H4056" t="n">
        <v>0</v>
      </c>
      <c r="I4056" t="n">
        <v>0</v>
      </c>
      <c r="J4056" t="n">
        <v>0</v>
      </c>
      <c r="K4056" t="n">
        <v>0</v>
      </c>
      <c r="L4056" t="n">
        <v>0</v>
      </c>
      <c r="M4056" t="n">
        <v>0</v>
      </c>
      <c r="N4056" t="n">
        <v>0</v>
      </c>
      <c r="O4056" t="n">
        <v>0</v>
      </c>
      <c r="P4056" t="n">
        <v>0</v>
      </c>
      <c r="Q4056" t="n">
        <v>0</v>
      </c>
      <c r="R4056" s="2" t="inlineStr"/>
    </row>
    <row r="4057" ht="15" customHeight="1">
      <c r="A4057" t="inlineStr">
        <is>
          <t>A 14362-2023</t>
        </is>
      </c>
      <c r="B4057" s="1" t="n">
        <v>45012.42086805555</v>
      </c>
      <c r="C4057" s="1" t="n">
        <v>45884</v>
      </c>
      <c r="D4057" t="inlineStr">
        <is>
          <t>KALMAR LÄN</t>
        </is>
      </c>
      <c r="E4057" t="inlineStr">
        <is>
          <t>TORSÅS</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56188-2023</t>
        </is>
      </c>
      <c r="B4058" s="1" t="n">
        <v>45240.65173611111</v>
      </c>
      <c r="C4058" s="1" t="n">
        <v>45884</v>
      </c>
      <c r="D4058" t="inlineStr">
        <is>
          <t>KALMAR LÄN</t>
        </is>
      </c>
      <c r="E4058" t="inlineStr">
        <is>
          <t>VÄSTERVIK</t>
        </is>
      </c>
      <c r="G4058" t="n">
        <v>1.9</v>
      </c>
      <c r="H4058" t="n">
        <v>0</v>
      </c>
      <c r="I4058" t="n">
        <v>0</v>
      </c>
      <c r="J4058" t="n">
        <v>0</v>
      </c>
      <c r="K4058" t="n">
        <v>0</v>
      </c>
      <c r="L4058" t="n">
        <v>0</v>
      </c>
      <c r="M4058" t="n">
        <v>0</v>
      </c>
      <c r="N4058" t="n">
        <v>0</v>
      </c>
      <c r="O4058" t="n">
        <v>0</v>
      </c>
      <c r="P4058" t="n">
        <v>0</v>
      </c>
      <c r="Q4058" t="n">
        <v>0</v>
      </c>
      <c r="R4058" s="2" t="inlineStr"/>
    </row>
    <row r="4059" ht="15" customHeight="1">
      <c r="A4059" t="inlineStr">
        <is>
          <t>A 29046-2023</t>
        </is>
      </c>
      <c r="B4059" s="1" t="n">
        <v>45104.82601851852</v>
      </c>
      <c r="C4059" s="1" t="n">
        <v>45884</v>
      </c>
      <c r="D4059" t="inlineStr">
        <is>
          <t>KALMAR LÄN</t>
        </is>
      </c>
      <c r="E4059" t="inlineStr">
        <is>
          <t>HULTSFRED</t>
        </is>
      </c>
      <c r="G4059" t="n">
        <v>9.199999999999999</v>
      </c>
      <c r="H4059" t="n">
        <v>0</v>
      </c>
      <c r="I4059" t="n">
        <v>0</v>
      </c>
      <c r="J4059" t="n">
        <v>0</v>
      </c>
      <c r="K4059" t="n">
        <v>0</v>
      </c>
      <c r="L4059" t="n">
        <v>0</v>
      </c>
      <c r="M4059" t="n">
        <v>0</v>
      </c>
      <c r="N4059" t="n">
        <v>0</v>
      </c>
      <c r="O4059" t="n">
        <v>0</v>
      </c>
      <c r="P4059" t="n">
        <v>0</v>
      </c>
      <c r="Q4059" t="n">
        <v>0</v>
      </c>
      <c r="R4059" s="2" t="inlineStr"/>
    </row>
    <row r="4060" ht="15" customHeight="1">
      <c r="A4060" t="inlineStr">
        <is>
          <t>A 45236-2021</t>
        </is>
      </c>
      <c r="B4060" s="1" t="n">
        <v>44439</v>
      </c>
      <c r="C4060" s="1" t="n">
        <v>45884</v>
      </c>
      <c r="D4060" t="inlineStr">
        <is>
          <t>KALMAR LÄN</t>
        </is>
      </c>
      <c r="E4060" t="inlineStr">
        <is>
          <t>HULTSFRED</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9869-2024</t>
        </is>
      </c>
      <c r="B4061" s="1" t="n">
        <v>45363.43923611111</v>
      </c>
      <c r="C4061" s="1" t="n">
        <v>45884</v>
      </c>
      <c r="D4061" t="inlineStr">
        <is>
          <t>KALMAR LÄN</t>
        </is>
      </c>
      <c r="E4061" t="inlineStr">
        <is>
          <t>KALMAR</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46626-2024</t>
        </is>
      </c>
      <c r="B4062" s="1" t="n">
        <v>45583.33034722223</v>
      </c>
      <c r="C4062" s="1" t="n">
        <v>45884</v>
      </c>
      <c r="D4062" t="inlineStr">
        <is>
          <t>KALMAR LÄN</t>
        </is>
      </c>
      <c r="E4062" t="inlineStr">
        <is>
          <t>TORSÅS</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38765-2020</t>
        </is>
      </c>
      <c r="B4063" s="1" t="n">
        <v>44061</v>
      </c>
      <c r="C4063" s="1" t="n">
        <v>45884</v>
      </c>
      <c r="D4063" t="inlineStr">
        <is>
          <t>KALMAR LÄN</t>
        </is>
      </c>
      <c r="E4063" t="inlineStr">
        <is>
          <t>KALMAR</t>
        </is>
      </c>
      <c r="G4063" t="n">
        <v>5.8</v>
      </c>
      <c r="H4063" t="n">
        <v>0</v>
      </c>
      <c r="I4063" t="n">
        <v>0</v>
      </c>
      <c r="J4063" t="n">
        <v>0</v>
      </c>
      <c r="K4063" t="n">
        <v>0</v>
      </c>
      <c r="L4063" t="n">
        <v>0</v>
      </c>
      <c r="M4063" t="n">
        <v>0</v>
      </c>
      <c r="N4063" t="n">
        <v>0</v>
      </c>
      <c r="O4063" t="n">
        <v>0</v>
      </c>
      <c r="P4063" t="n">
        <v>0</v>
      </c>
      <c r="Q4063" t="n">
        <v>0</v>
      </c>
      <c r="R4063" s="2" t="inlineStr"/>
    </row>
    <row r="4064" ht="15" customHeight="1">
      <c r="A4064" t="inlineStr">
        <is>
          <t>A 38858-2021</t>
        </is>
      </c>
      <c r="B4064" s="1" t="n">
        <v>44411</v>
      </c>
      <c r="C4064" s="1" t="n">
        <v>45884</v>
      </c>
      <c r="D4064" t="inlineStr">
        <is>
          <t>KALMAR LÄN</t>
        </is>
      </c>
      <c r="E4064" t="inlineStr">
        <is>
          <t>MÖNSTERÅS</t>
        </is>
      </c>
      <c r="G4064" t="n">
        <v>5.7</v>
      </c>
      <c r="H4064" t="n">
        <v>0</v>
      </c>
      <c r="I4064" t="n">
        <v>0</v>
      </c>
      <c r="J4064" t="n">
        <v>0</v>
      </c>
      <c r="K4064" t="n">
        <v>0</v>
      </c>
      <c r="L4064" t="n">
        <v>0</v>
      </c>
      <c r="M4064" t="n">
        <v>0</v>
      </c>
      <c r="N4064" t="n">
        <v>0</v>
      </c>
      <c r="O4064" t="n">
        <v>0</v>
      </c>
      <c r="P4064" t="n">
        <v>0</v>
      </c>
      <c r="Q4064" t="n">
        <v>0</v>
      </c>
      <c r="R4064" s="2" t="inlineStr"/>
    </row>
    <row r="4065" ht="15" customHeight="1">
      <c r="A4065" t="inlineStr">
        <is>
          <t>A 30302-2024</t>
        </is>
      </c>
      <c r="B4065" s="1" t="n">
        <v>45490</v>
      </c>
      <c r="C4065" s="1" t="n">
        <v>45884</v>
      </c>
      <c r="D4065" t="inlineStr">
        <is>
          <t>KALMAR LÄN</t>
        </is>
      </c>
      <c r="E4065" t="inlineStr">
        <is>
          <t>MÖNSTERÅS</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60703-2024</t>
        </is>
      </c>
      <c r="B4066" s="1" t="n">
        <v>45644.49186342592</v>
      </c>
      <c r="C4066" s="1" t="n">
        <v>45884</v>
      </c>
      <c r="D4066" t="inlineStr">
        <is>
          <t>KALMAR LÄN</t>
        </is>
      </c>
      <c r="E4066" t="inlineStr">
        <is>
          <t>OSKARSHAMN</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60706-2024</t>
        </is>
      </c>
      <c r="B4067" s="1" t="n">
        <v>45644.49726851852</v>
      </c>
      <c r="C4067" s="1" t="n">
        <v>45884</v>
      </c>
      <c r="D4067" t="inlineStr">
        <is>
          <t>KALMAR LÄN</t>
        </is>
      </c>
      <c r="E4067" t="inlineStr">
        <is>
          <t>NYBRO</t>
        </is>
      </c>
      <c r="G4067" t="n">
        <v>6.5</v>
      </c>
      <c r="H4067" t="n">
        <v>0</v>
      </c>
      <c r="I4067" t="n">
        <v>0</v>
      </c>
      <c r="J4067" t="n">
        <v>0</v>
      </c>
      <c r="K4067" t="n">
        <v>0</v>
      </c>
      <c r="L4067" t="n">
        <v>0</v>
      </c>
      <c r="M4067" t="n">
        <v>0</v>
      </c>
      <c r="N4067" t="n">
        <v>0</v>
      </c>
      <c r="O4067" t="n">
        <v>0</v>
      </c>
      <c r="P4067" t="n">
        <v>0</v>
      </c>
      <c r="Q4067" t="n">
        <v>0</v>
      </c>
      <c r="R4067" s="2" t="inlineStr"/>
    </row>
    <row r="4068" ht="15" customHeight="1">
      <c r="A4068" t="inlineStr">
        <is>
          <t>A 55604-2024</t>
        </is>
      </c>
      <c r="B4068" s="1" t="n">
        <v>45621</v>
      </c>
      <c r="C4068" s="1" t="n">
        <v>45884</v>
      </c>
      <c r="D4068" t="inlineStr">
        <is>
          <t>KALMAR LÄN</t>
        </is>
      </c>
      <c r="E4068" t="inlineStr">
        <is>
          <t>EMMABODA</t>
        </is>
      </c>
      <c r="G4068" t="n">
        <v>2.4</v>
      </c>
      <c r="H4068" t="n">
        <v>0</v>
      </c>
      <c r="I4068" t="n">
        <v>0</v>
      </c>
      <c r="J4068" t="n">
        <v>0</v>
      </c>
      <c r="K4068" t="n">
        <v>0</v>
      </c>
      <c r="L4068" t="n">
        <v>0</v>
      </c>
      <c r="M4068" t="n">
        <v>0</v>
      </c>
      <c r="N4068" t="n">
        <v>0</v>
      </c>
      <c r="O4068" t="n">
        <v>0</v>
      </c>
      <c r="P4068" t="n">
        <v>0</v>
      </c>
      <c r="Q4068" t="n">
        <v>0</v>
      </c>
      <c r="R4068" s="2" t="inlineStr"/>
    </row>
    <row r="4069" ht="15" customHeight="1">
      <c r="A4069" t="inlineStr">
        <is>
          <t>A 46130-2023</t>
        </is>
      </c>
      <c r="B4069" s="1" t="n">
        <v>45196.55849537037</v>
      </c>
      <c r="C4069" s="1" t="n">
        <v>45884</v>
      </c>
      <c r="D4069" t="inlineStr">
        <is>
          <t>KALMAR LÄN</t>
        </is>
      </c>
      <c r="E4069" t="inlineStr">
        <is>
          <t>VÄSTERVIK</t>
        </is>
      </c>
      <c r="F4069" t="inlineStr">
        <is>
          <t>Sveaskog</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28437-2023</t>
        </is>
      </c>
      <c r="B4070" s="1" t="n">
        <v>45102</v>
      </c>
      <c r="C4070" s="1" t="n">
        <v>45884</v>
      </c>
      <c r="D4070" t="inlineStr">
        <is>
          <t>KALMAR LÄN</t>
        </is>
      </c>
      <c r="E4070" t="inlineStr">
        <is>
          <t>EMMABODA</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28441-2023</t>
        </is>
      </c>
      <c r="B4071" s="1" t="n">
        <v>45102</v>
      </c>
      <c r="C4071" s="1" t="n">
        <v>45884</v>
      </c>
      <c r="D4071" t="inlineStr">
        <is>
          <t>KALMAR LÄN</t>
        </is>
      </c>
      <c r="E4071" t="inlineStr">
        <is>
          <t>EMMABODA</t>
        </is>
      </c>
      <c r="G4071" t="n">
        <v>2.2</v>
      </c>
      <c r="H4071" t="n">
        <v>0</v>
      </c>
      <c r="I4071" t="n">
        <v>0</v>
      </c>
      <c r="J4071" t="n">
        <v>0</v>
      </c>
      <c r="K4071" t="n">
        <v>0</v>
      </c>
      <c r="L4071" t="n">
        <v>0</v>
      </c>
      <c r="M4071" t="n">
        <v>0</v>
      </c>
      <c r="N4071" t="n">
        <v>0</v>
      </c>
      <c r="O4071" t="n">
        <v>0</v>
      </c>
      <c r="P4071" t="n">
        <v>0</v>
      </c>
      <c r="Q4071" t="n">
        <v>0</v>
      </c>
      <c r="R4071" s="2" t="inlineStr"/>
    </row>
    <row r="4072" ht="15" customHeight="1">
      <c r="A4072" t="inlineStr">
        <is>
          <t>A 5925-2022</t>
        </is>
      </c>
      <c r="B4072" s="1" t="n">
        <v>44598.7384837963</v>
      </c>
      <c r="C4072" s="1" t="n">
        <v>45884</v>
      </c>
      <c r="D4072" t="inlineStr">
        <is>
          <t>KALMAR LÄN</t>
        </is>
      </c>
      <c r="E4072" t="inlineStr">
        <is>
          <t>VIMMERBY</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3357-2021</t>
        </is>
      </c>
      <c r="B4073" s="1" t="n">
        <v>44218</v>
      </c>
      <c r="C4073" s="1" t="n">
        <v>45884</v>
      </c>
      <c r="D4073" t="inlineStr">
        <is>
          <t>KALMAR LÄN</t>
        </is>
      </c>
      <c r="E4073" t="inlineStr">
        <is>
          <t>MÖNSTERÅS</t>
        </is>
      </c>
      <c r="G4073" t="n">
        <v>11.9</v>
      </c>
      <c r="H4073" t="n">
        <v>0</v>
      </c>
      <c r="I4073" t="n">
        <v>0</v>
      </c>
      <c r="J4073" t="n">
        <v>0</v>
      </c>
      <c r="K4073" t="n">
        <v>0</v>
      </c>
      <c r="L4073" t="n">
        <v>0</v>
      </c>
      <c r="M4073" t="n">
        <v>0</v>
      </c>
      <c r="N4073" t="n">
        <v>0</v>
      </c>
      <c r="O4073" t="n">
        <v>0</v>
      </c>
      <c r="P4073" t="n">
        <v>0</v>
      </c>
      <c r="Q4073" t="n">
        <v>0</v>
      </c>
      <c r="R4073" s="2" t="inlineStr"/>
    </row>
    <row r="4074" ht="15" customHeight="1">
      <c r="A4074" t="inlineStr">
        <is>
          <t>A 39453-2022</t>
        </is>
      </c>
      <c r="B4074" s="1" t="n">
        <v>44818.36990740741</v>
      </c>
      <c r="C4074" s="1" t="n">
        <v>45884</v>
      </c>
      <c r="D4074" t="inlineStr">
        <is>
          <t>KALMAR LÄN</t>
        </is>
      </c>
      <c r="E4074" t="inlineStr">
        <is>
          <t>KALMAR</t>
        </is>
      </c>
      <c r="G4074" t="n">
        <v>5</v>
      </c>
      <c r="H4074" t="n">
        <v>0</v>
      </c>
      <c r="I4074" t="n">
        <v>0</v>
      </c>
      <c r="J4074" t="n">
        <v>0</v>
      </c>
      <c r="K4074" t="n">
        <v>0</v>
      </c>
      <c r="L4074" t="n">
        <v>0</v>
      </c>
      <c r="M4074" t="n">
        <v>0</v>
      </c>
      <c r="N4074" t="n">
        <v>0</v>
      </c>
      <c r="O4074" t="n">
        <v>0</v>
      </c>
      <c r="P4074" t="n">
        <v>0</v>
      </c>
      <c r="Q4074" t="n">
        <v>0</v>
      </c>
      <c r="R4074" s="2" t="inlineStr"/>
    </row>
    <row r="4075" ht="15" customHeight="1">
      <c r="A4075" t="inlineStr">
        <is>
          <t>A 56033-2023</t>
        </is>
      </c>
      <c r="B4075" s="1" t="n">
        <v>45240.43778935185</v>
      </c>
      <c r="C4075" s="1" t="n">
        <v>45884</v>
      </c>
      <c r="D4075" t="inlineStr">
        <is>
          <t>KALMAR LÄN</t>
        </is>
      </c>
      <c r="E4075" t="inlineStr">
        <is>
          <t>VÄSTERVIK</t>
        </is>
      </c>
      <c r="G4075" t="n">
        <v>0.4</v>
      </c>
      <c r="H4075" t="n">
        <v>0</v>
      </c>
      <c r="I4075" t="n">
        <v>0</v>
      </c>
      <c r="J4075" t="n">
        <v>0</v>
      </c>
      <c r="K4075" t="n">
        <v>0</v>
      </c>
      <c r="L4075" t="n">
        <v>0</v>
      </c>
      <c r="M4075" t="n">
        <v>0</v>
      </c>
      <c r="N4075" t="n">
        <v>0</v>
      </c>
      <c r="O4075" t="n">
        <v>0</v>
      </c>
      <c r="P4075" t="n">
        <v>0</v>
      </c>
      <c r="Q4075" t="n">
        <v>0</v>
      </c>
      <c r="R4075" s="2" t="inlineStr"/>
    </row>
    <row r="4076" ht="15" customHeight="1">
      <c r="A4076" t="inlineStr">
        <is>
          <t>A 13416-2022</t>
        </is>
      </c>
      <c r="B4076" s="1" t="n">
        <v>44645.55082175926</v>
      </c>
      <c r="C4076" s="1" t="n">
        <v>45884</v>
      </c>
      <c r="D4076" t="inlineStr">
        <is>
          <t>KALMAR LÄN</t>
        </is>
      </c>
      <c r="E4076" t="inlineStr">
        <is>
          <t>KALMAR</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8594-2023</t>
        </is>
      </c>
      <c r="B4077" s="1" t="n">
        <v>44977</v>
      </c>
      <c r="C4077" s="1" t="n">
        <v>45884</v>
      </c>
      <c r="D4077" t="inlineStr">
        <is>
          <t>KALMAR LÄN</t>
        </is>
      </c>
      <c r="E4077" t="inlineStr">
        <is>
          <t>VÄSTERVIK</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46622-2024</t>
        </is>
      </c>
      <c r="B4078" s="1" t="n">
        <v>45583.32575231481</v>
      </c>
      <c r="C4078" s="1" t="n">
        <v>45884</v>
      </c>
      <c r="D4078" t="inlineStr">
        <is>
          <t>KALMAR LÄN</t>
        </is>
      </c>
      <c r="E4078" t="inlineStr">
        <is>
          <t>TORSÅS</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308-2021</t>
        </is>
      </c>
      <c r="B4079" s="1" t="n">
        <v>44201</v>
      </c>
      <c r="C4079" s="1" t="n">
        <v>45884</v>
      </c>
      <c r="D4079" t="inlineStr">
        <is>
          <t>KALMAR LÄN</t>
        </is>
      </c>
      <c r="E4079" t="inlineStr">
        <is>
          <t>KALMAR</t>
        </is>
      </c>
      <c r="G4079" t="n">
        <v>0.4</v>
      </c>
      <c r="H4079" t="n">
        <v>0</v>
      </c>
      <c r="I4079" t="n">
        <v>0</v>
      </c>
      <c r="J4079" t="n">
        <v>0</v>
      </c>
      <c r="K4079" t="n">
        <v>0</v>
      </c>
      <c r="L4079" t="n">
        <v>0</v>
      </c>
      <c r="M4079" t="n">
        <v>0</v>
      </c>
      <c r="N4079" t="n">
        <v>0</v>
      </c>
      <c r="O4079" t="n">
        <v>0</v>
      </c>
      <c r="P4079" t="n">
        <v>0</v>
      </c>
      <c r="Q4079" t="n">
        <v>0</v>
      </c>
      <c r="R4079" s="2" t="inlineStr"/>
    </row>
    <row r="4080" ht="15" customHeight="1">
      <c r="A4080" t="inlineStr">
        <is>
          <t>A 7678-2024</t>
        </is>
      </c>
      <c r="B4080" s="1" t="n">
        <v>45348.88706018519</v>
      </c>
      <c r="C4080" s="1" t="n">
        <v>45884</v>
      </c>
      <c r="D4080" t="inlineStr">
        <is>
          <t>KALMAR LÄN</t>
        </is>
      </c>
      <c r="E4080" t="inlineStr">
        <is>
          <t>HÖGSBY</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35515-2024</t>
        </is>
      </c>
      <c r="B4081" s="1" t="n">
        <v>45531.56496527778</v>
      </c>
      <c r="C4081" s="1" t="n">
        <v>45884</v>
      </c>
      <c r="D4081" t="inlineStr">
        <is>
          <t>KALMAR LÄN</t>
        </is>
      </c>
      <c r="E4081" t="inlineStr">
        <is>
          <t>KALMAR</t>
        </is>
      </c>
      <c r="G4081" t="n">
        <v>0.4</v>
      </c>
      <c r="H4081" t="n">
        <v>0</v>
      </c>
      <c r="I4081" t="n">
        <v>0</v>
      </c>
      <c r="J4081" t="n">
        <v>0</v>
      </c>
      <c r="K4081" t="n">
        <v>0</v>
      </c>
      <c r="L4081" t="n">
        <v>0</v>
      </c>
      <c r="M4081" t="n">
        <v>0</v>
      </c>
      <c r="N4081" t="n">
        <v>0</v>
      </c>
      <c r="O4081" t="n">
        <v>0</v>
      </c>
      <c r="P4081" t="n">
        <v>0</v>
      </c>
      <c r="Q4081" t="n">
        <v>0</v>
      </c>
      <c r="R4081" s="2" t="inlineStr"/>
    </row>
    <row r="4082" ht="15" customHeight="1">
      <c r="A4082" t="inlineStr">
        <is>
          <t>A 13729-2023</t>
        </is>
      </c>
      <c r="B4082" s="1" t="n">
        <v>45007.34189814814</v>
      </c>
      <c r="C4082" s="1" t="n">
        <v>45884</v>
      </c>
      <c r="D4082" t="inlineStr">
        <is>
          <t>KALMAR LÄN</t>
        </is>
      </c>
      <c r="E4082" t="inlineStr">
        <is>
          <t>OSKARSHAMN</t>
        </is>
      </c>
      <c r="F4082" t="inlineStr">
        <is>
          <t>Övriga Aktiebolag</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60056-2023</t>
        </is>
      </c>
      <c r="B4083" s="1" t="n">
        <v>45258</v>
      </c>
      <c r="C4083" s="1" t="n">
        <v>45884</v>
      </c>
      <c r="D4083" t="inlineStr">
        <is>
          <t>KALMAR LÄN</t>
        </is>
      </c>
      <c r="E4083" t="inlineStr">
        <is>
          <t>VÄSTERVIK</t>
        </is>
      </c>
      <c r="G4083" t="n">
        <v>0.4</v>
      </c>
      <c r="H4083" t="n">
        <v>0</v>
      </c>
      <c r="I4083" t="n">
        <v>0</v>
      </c>
      <c r="J4083" t="n">
        <v>0</v>
      </c>
      <c r="K4083" t="n">
        <v>0</v>
      </c>
      <c r="L4083" t="n">
        <v>0</v>
      </c>
      <c r="M4083" t="n">
        <v>0</v>
      </c>
      <c r="N4083" t="n">
        <v>0</v>
      </c>
      <c r="O4083" t="n">
        <v>0</v>
      </c>
      <c r="P4083" t="n">
        <v>0</v>
      </c>
      <c r="Q4083" t="n">
        <v>0</v>
      </c>
      <c r="R4083" s="2" t="inlineStr"/>
    </row>
    <row r="4084" ht="15" customHeight="1">
      <c r="A4084" t="inlineStr">
        <is>
          <t>A 49723-2024</t>
        </is>
      </c>
      <c r="B4084" s="1" t="n">
        <v>45596.73567129629</v>
      </c>
      <c r="C4084" s="1" t="n">
        <v>45884</v>
      </c>
      <c r="D4084" t="inlineStr">
        <is>
          <t>KALMAR LÄN</t>
        </is>
      </c>
      <c r="E4084" t="inlineStr">
        <is>
          <t>NYBRO</t>
        </is>
      </c>
      <c r="G4084" t="n">
        <v>2.8</v>
      </c>
      <c r="H4084" t="n">
        <v>0</v>
      </c>
      <c r="I4084" t="n">
        <v>0</v>
      </c>
      <c r="J4084" t="n">
        <v>0</v>
      </c>
      <c r="K4084" t="n">
        <v>0</v>
      </c>
      <c r="L4084" t="n">
        <v>0</v>
      </c>
      <c r="M4084" t="n">
        <v>0</v>
      </c>
      <c r="N4084" t="n">
        <v>0</v>
      </c>
      <c r="O4084" t="n">
        <v>0</v>
      </c>
      <c r="P4084" t="n">
        <v>0</v>
      </c>
      <c r="Q4084" t="n">
        <v>0</v>
      </c>
      <c r="R4084" s="2" t="inlineStr"/>
    </row>
    <row r="4085" ht="15" customHeight="1">
      <c r="A4085" t="inlineStr">
        <is>
          <t>A 1835-2021</t>
        </is>
      </c>
      <c r="B4085" s="1" t="n">
        <v>44210</v>
      </c>
      <c r="C4085" s="1" t="n">
        <v>45884</v>
      </c>
      <c r="D4085" t="inlineStr">
        <is>
          <t>KALMAR LÄN</t>
        </is>
      </c>
      <c r="E4085" t="inlineStr">
        <is>
          <t>EMMABODA</t>
        </is>
      </c>
      <c r="G4085" t="n">
        <v>2.2</v>
      </c>
      <c r="H4085" t="n">
        <v>0</v>
      </c>
      <c r="I4085" t="n">
        <v>0</v>
      </c>
      <c r="J4085" t="n">
        <v>0</v>
      </c>
      <c r="K4085" t="n">
        <v>0</v>
      </c>
      <c r="L4085" t="n">
        <v>0</v>
      </c>
      <c r="M4085" t="n">
        <v>0</v>
      </c>
      <c r="N4085" t="n">
        <v>0</v>
      </c>
      <c r="O4085" t="n">
        <v>0</v>
      </c>
      <c r="P4085" t="n">
        <v>0</v>
      </c>
      <c r="Q4085" t="n">
        <v>0</v>
      </c>
      <c r="R4085" s="2" t="inlineStr"/>
    </row>
    <row r="4086" ht="15" customHeight="1">
      <c r="A4086" t="inlineStr">
        <is>
          <t>A 12072-2025</t>
        </is>
      </c>
      <c r="B4086" s="1" t="n">
        <v>45728.71716435185</v>
      </c>
      <c r="C4086" s="1" t="n">
        <v>45884</v>
      </c>
      <c r="D4086" t="inlineStr">
        <is>
          <t>KALMAR LÄN</t>
        </is>
      </c>
      <c r="E4086" t="inlineStr">
        <is>
          <t>NYBRO</t>
        </is>
      </c>
      <c r="G4086" t="n">
        <v>3.4</v>
      </c>
      <c r="H4086" t="n">
        <v>0</v>
      </c>
      <c r="I4086" t="n">
        <v>0</v>
      </c>
      <c r="J4086" t="n">
        <v>0</v>
      </c>
      <c r="K4086" t="n">
        <v>0</v>
      </c>
      <c r="L4086" t="n">
        <v>0</v>
      </c>
      <c r="M4086" t="n">
        <v>0</v>
      </c>
      <c r="N4086" t="n">
        <v>0</v>
      </c>
      <c r="O4086" t="n">
        <v>0</v>
      </c>
      <c r="P4086" t="n">
        <v>0</v>
      </c>
      <c r="Q4086" t="n">
        <v>0</v>
      </c>
      <c r="R4086" s="2" t="inlineStr"/>
    </row>
    <row r="4087" ht="15" customHeight="1">
      <c r="A4087" t="inlineStr">
        <is>
          <t>A 60285-2021</t>
        </is>
      </c>
      <c r="B4087" s="1" t="n">
        <v>44495</v>
      </c>
      <c r="C4087" s="1" t="n">
        <v>45884</v>
      </c>
      <c r="D4087" t="inlineStr">
        <is>
          <t>KALMAR LÄN</t>
        </is>
      </c>
      <c r="E4087" t="inlineStr">
        <is>
          <t>NYBRO</t>
        </is>
      </c>
      <c r="G4087" t="n">
        <v>6.4</v>
      </c>
      <c r="H4087" t="n">
        <v>0</v>
      </c>
      <c r="I4087" t="n">
        <v>0</v>
      </c>
      <c r="J4087" t="n">
        <v>0</v>
      </c>
      <c r="K4087" t="n">
        <v>0</v>
      </c>
      <c r="L4087" t="n">
        <v>0</v>
      </c>
      <c r="M4087" t="n">
        <v>0</v>
      </c>
      <c r="N4087" t="n">
        <v>0</v>
      </c>
      <c r="O4087" t="n">
        <v>0</v>
      </c>
      <c r="P4087" t="n">
        <v>0</v>
      </c>
      <c r="Q4087" t="n">
        <v>0</v>
      </c>
      <c r="R4087" s="2" t="inlineStr"/>
    </row>
    <row r="4088" ht="15" customHeight="1">
      <c r="A4088" t="inlineStr">
        <is>
          <t>A 33029-2024</t>
        </is>
      </c>
      <c r="B4088" s="1" t="n">
        <v>45517.57674768518</v>
      </c>
      <c r="C4088" s="1" t="n">
        <v>45884</v>
      </c>
      <c r="D4088" t="inlineStr">
        <is>
          <t>KALMAR LÄN</t>
        </is>
      </c>
      <c r="E4088" t="inlineStr">
        <is>
          <t>NYBRO</t>
        </is>
      </c>
      <c r="G4088" t="n">
        <v>1.9</v>
      </c>
      <c r="H4088" t="n">
        <v>0</v>
      </c>
      <c r="I4088" t="n">
        <v>0</v>
      </c>
      <c r="J4088" t="n">
        <v>0</v>
      </c>
      <c r="K4088" t="n">
        <v>0</v>
      </c>
      <c r="L4088" t="n">
        <v>0</v>
      </c>
      <c r="M4088" t="n">
        <v>0</v>
      </c>
      <c r="N4088" t="n">
        <v>0</v>
      </c>
      <c r="O4088" t="n">
        <v>0</v>
      </c>
      <c r="P4088" t="n">
        <v>0</v>
      </c>
      <c r="Q4088" t="n">
        <v>0</v>
      </c>
      <c r="R4088" s="2" t="inlineStr"/>
    </row>
    <row r="4089" ht="15" customHeight="1">
      <c r="A4089" t="inlineStr">
        <is>
          <t>A 46522-2022</t>
        </is>
      </c>
      <c r="B4089" s="1" t="n">
        <v>44848.59133101852</v>
      </c>
      <c r="C4089" s="1" t="n">
        <v>45884</v>
      </c>
      <c r="D4089" t="inlineStr">
        <is>
          <t>KALMAR LÄN</t>
        </is>
      </c>
      <c r="E4089" t="inlineStr">
        <is>
          <t>VIMMERBY</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35108-2024</t>
        </is>
      </c>
      <c r="B4090" s="1" t="n">
        <v>45529.64638888889</v>
      </c>
      <c r="C4090" s="1" t="n">
        <v>45884</v>
      </c>
      <c r="D4090" t="inlineStr">
        <is>
          <t>KALMAR LÄN</t>
        </is>
      </c>
      <c r="E4090" t="inlineStr">
        <is>
          <t>VÄSTERVIK</t>
        </is>
      </c>
      <c r="G4090" t="n">
        <v>10.5</v>
      </c>
      <c r="H4090" t="n">
        <v>0</v>
      </c>
      <c r="I4090" t="n">
        <v>0</v>
      </c>
      <c r="J4090" t="n">
        <v>0</v>
      </c>
      <c r="K4090" t="n">
        <v>0</v>
      </c>
      <c r="L4090" t="n">
        <v>0</v>
      </c>
      <c r="M4090" t="n">
        <v>0</v>
      </c>
      <c r="N4090" t="n">
        <v>0</v>
      </c>
      <c r="O4090" t="n">
        <v>0</v>
      </c>
      <c r="P4090" t="n">
        <v>0</v>
      </c>
      <c r="Q4090" t="n">
        <v>0</v>
      </c>
      <c r="R4090" s="2" t="inlineStr"/>
    </row>
    <row r="4091" ht="15" customHeight="1">
      <c r="A4091" t="inlineStr">
        <is>
          <t>A 60848-2020</t>
        </is>
      </c>
      <c r="B4091" s="1" t="n">
        <v>44152</v>
      </c>
      <c r="C4091" s="1" t="n">
        <v>45884</v>
      </c>
      <c r="D4091" t="inlineStr">
        <is>
          <t>KALMAR LÄN</t>
        </is>
      </c>
      <c r="E4091" t="inlineStr">
        <is>
          <t>VÄSTERVIK</t>
        </is>
      </c>
      <c r="G4091" t="n">
        <v>2.7</v>
      </c>
      <c r="H4091" t="n">
        <v>0</v>
      </c>
      <c r="I4091" t="n">
        <v>0</v>
      </c>
      <c r="J4091" t="n">
        <v>0</v>
      </c>
      <c r="K4091" t="n">
        <v>0</v>
      </c>
      <c r="L4091" t="n">
        <v>0</v>
      </c>
      <c r="M4091" t="n">
        <v>0</v>
      </c>
      <c r="N4091" t="n">
        <v>0</v>
      </c>
      <c r="O4091" t="n">
        <v>0</v>
      </c>
      <c r="P4091" t="n">
        <v>0</v>
      </c>
      <c r="Q4091" t="n">
        <v>0</v>
      </c>
      <c r="R4091" s="2" t="inlineStr"/>
    </row>
    <row r="4092" ht="15" customHeight="1">
      <c r="A4092" t="inlineStr">
        <is>
          <t>A 12331-2025</t>
        </is>
      </c>
      <c r="B4092" s="1" t="n">
        <v>45730.32494212963</v>
      </c>
      <c r="C4092" s="1" t="n">
        <v>45884</v>
      </c>
      <c r="D4092" t="inlineStr">
        <is>
          <t>KALMAR LÄN</t>
        </is>
      </c>
      <c r="E4092" t="inlineStr">
        <is>
          <t>HULTSFRED</t>
        </is>
      </c>
      <c r="F4092" t="inlineStr">
        <is>
          <t>Sveaskog</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56576-2024</t>
        </is>
      </c>
      <c r="B4093" s="1" t="n">
        <v>45625.59788194444</v>
      </c>
      <c r="C4093" s="1" t="n">
        <v>45884</v>
      </c>
      <c r="D4093" t="inlineStr">
        <is>
          <t>KALMAR LÄN</t>
        </is>
      </c>
      <c r="E4093" t="inlineStr">
        <is>
          <t>OSKARSHAMN</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11007-2025</t>
        </is>
      </c>
      <c r="B4094" s="1" t="n">
        <v>45723.4478125</v>
      </c>
      <c r="C4094" s="1" t="n">
        <v>45884</v>
      </c>
      <c r="D4094" t="inlineStr">
        <is>
          <t>KALMAR LÄN</t>
        </is>
      </c>
      <c r="E4094" t="inlineStr">
        <is>
          <t>HULTSFRED</t>
        </is>
      </c>
      <c r="F4094" t="inlineStr">
        <is>
          <t>Sveaskog</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53291-2021</t>
        </is>
      </c>
      <c r="B4095" s="1" t="n">
        <v>44468</v>
      </c>
      <c r="C4095" s="1" t="n">
        <v>45884</v>
      </c>
      <c r="D4095" t="inlineStr">
        <is>
          <t>KALMAR LÄN</t>
        </is>
      </c>
      <c r="E4095" t="inlineStr">
        <is>
          <t>HULTSFRED</t>
        </is>
      </c>
      <c r="F4095" t="inlineStr">
        <is>
          <t>Sveaskog</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44067-2022</t>
        </is>
      </c>
      <c r="B4096" s="1" t="n">
        <v>44839</v>
      </c>
      <c r="C4096" s="1" t="n">
        <v>45884</v>
      </c>
      <c r="D4096" t="inlineStr">
        <is>
          <t>KALMAR LÄN</t>
        </is>
      </c>
      <c r="E4096" t="inlineStr">
        <is>
          <t>EMMABODA</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59196-2024</t>
        </is>
      </c>
      <c r="B4097" s="1" t="n">
        <v>45637.54589120371</v>
      </c>
      <c r="C4097" s="1" t="n">
        <v>45884</v>
      </c>
      <c r="D4097" t="inlineStr">
        <is>
          <t>KALMAR LÄN</t>
        </is>
      </c>
      <c r="E4097" t="inlineStr">
        <is>
          <t>VÄSTERVIK</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15445-2023</t>
        </is>
      </c>
      <c r="B4098" s="1" t="n">
        <v>45016</v>
      </c>
      <c r="C4098" s="1" t="n">
        <v>45884</v>
      </c>
      <c r="D4098" t="inlineStr">
        <is>
          <t>KALMAR LÄN</t>
        </is>
      </c>
      <c r="E4098" t="inlineStr">
        <is>
          <t>HULTSFRED</t>
        </is>
      </c>
      <c r="G4098" t="n">
        <v>2</v>
      </c>
      <c r="H4098" t="n">
        <v>0</v>
      </c>
      <c r="I4098" t="n">
        <v>0</v>
      </c>
      <c r="J4098" t="n">
        <v>0</v>
      </c>
      <c r="K4098" t="n">
        <v>0</v>
      </c>
      <c r="L4098" t="n">
        <v>0</v>
      </c>
      <c r="M4098" t="n">
        <v>0</v>
      </c>
      <c r="N4098" t="n">
        <v>0</v>
      </c>
      <c r="O4098" t="n">
        <v>0</v>
      </c>
      <c r="P4098" t="n">
        <v>0</v>
      </c>
      <c r="Q4098" t="n">
        <v>0</v>
      </c>
      <c r="R4098" s="2" t="inlineStr"/>
    </row>
    <row r="4099" ht="15" customHeight="1">
      <c r="A4099" t="inlineStr">
        <is>
          <t>A 15449-2023</t>
        </is>
      </c>
      <c r="B4099" s="1" t="n">
        <v>45020</v>
      </c>
      <c r="C4099" s="1" t="n">
        <v>45884</v>
      </c>
      <c r="D4099" t="inlineStr">
        <is>
          <t>KALMAR LÄN</t>
        </is>
      </c>
      <c r="E4099" t="inlineStr">
        <is>
          <t>VIMMERBY</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9267-2025</t>
        </is>
      </c>
      <c r="B4100" s="1" t="n">
        <v>45714.61418981481</v>
      </c>
      <c r="C4100" s="1" t="n">
        <v>45884</v>
      </c>
      <c r="D4100" t="inlineStr">
        <is>
          <t>KALMAR LÄN</t>
        </is>
      </c>
      <c r="E4100" t="inlineStr">
        <is>
          <t>VÄSTERVIK</t>
        </is>
      </c>
      <c r="F4100" t="inlineStr">
        <is>
          <t>Sveaskog</t>
        </is>
      </c>
      <c r="G4100" t="n">
        <v>6.8</v>
      </c>
      <c r="H4100" t="n">
        <v>0</v>
      </c>
      <c r="I4100" t="n">
        <v>0</v>
      </c>
      <c r="J4100" t="n">
        <v>0</v>
      </c>
      <c r="K4100" t="n">
        <v>0</v>
      </c>
      <c r="L4100" t="n">
        <v>0</v>
      </c>
      <c r="M4100" t="n">
        <v>0</v>
      </c>
      <c r="N4100" t="n">
        <v>0</v>
      </c>
      <c r="O4100" t="n">
        <v>0</v>
      </c>
      <c r="P4100" t="n">
        <v>0</v>
      </c>
      <c r="Q4100" t="n">
        <v>0</v>
      </c>
      <c r="R4100" s="2" t="inlineStr"/>
    </row>
    <row r="4101" ht="15" customHeight="1">
      <c r="A4101" t="inlineStr">
        <is>
          <t>A 7742-2023</t>
        </is>
      </c>
      <c r="B4101" s="1" t="n">
        <v>44973.35048611111</v>
      </c>
      <c r="C4101" s="1" t="n">
        <v>45884</v>
      </c>
      <c r="D4101" t="inlineStr">
        <is>
          <t>KALMAR LÄN</t>
        </is>
      </c>
      <c r="E4101" t="inlineStr">
        <is>
          <t>KALMAR</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4343-2021</t>
        </is>
      </c>
      <c r="B4102" s="1" t="n">
        <v>44223</v>
      </c>
      <c r="C4102" s="1" t="n">
        <v>45884</v>
      </c>
      <c r="D4102" t="inlineStr">
        <is>
          <t>KALMAR LÄN</t>
        </is>
      </c>
      <c r="E4102" t="inlineStr">
        <is>
          <t>MÖNSTERÅS</t>
        </is>
      </c>
      <c r="G4102" t="n">
        <v>7.6</v>
      </c>
      <c r="H4102" t="n">
        <v>0</v>
      </c>
      <c r="I4102" t="n">
        <v>0</v>
      </c>
      <c r="J4102" t="n">
        <v>0</v>
      </c>
      <c r="K4102" t="n">
        <v>0</v>
      </c>
      <c r="L4102" t="n">
        <v>0</v>
      </c>
      <c r="M4102" t="n">
        <v>0</v>
      </c>
      <c r="N4102" t="n">
        <v>0</v>
      </c>
      <c r="O4102" t="n">
        <v>0</v>
      </c>
      <c r="P4102" t="n">
        <v>0</v>
      </c>
      <c r="Q4102" t="n">
        <v>0</v>
      </c>
      <c r="R4102" s="2" t="inlineStr"/>
    </row>
    <row r="4103" ht="15" customHeight="1">
      <c r="A4103" t="inlineStr">
        <is>
          <t>A 25867-2022</t>
        </is>
      </c>
      <c r="B4103" s="1" t="n">
        <v>44733.64194444445</v>
      </c>
      <c r="C4103" s="1" t="n">
        <v>45884</v>
      </c>
      <c r="D4103" t="inlineStr">
        <is>
          <t>KALMAR LÄN</t>
        </is>
      </c>
      <c r="E4103" t="inlineStr">
        <is>
          <t>OSKARSHAMN</t>
        </is>
      </c>
      <c r="G4103" t="n">
        <v>2.7</v>
      </c>
      <c r="H4103" t="n">
        <v>0</v>
      </c>
      <c r="I4103" t="n">
        <v>0</v>
      </c>
      <c r="J4103" t="n">
        <v>0</v>
      </c>
      <c r="K4103" t="n">
        <v>0</v>
      </c>
      <c r="L4103" t="n">
        <v>0</v>
      </c>
      <c r="M4103" t="n">
        <v>0</v>
      </c>
      <c r="N4103" t="n">
        <v>0</v>
      </c>
      <c r="O4103" t="n">
        <v>0</v>
      </c>
      <c r="P4103" t="n">
        <v>0</v>
      </c>
      <c r="Q4103" t="n">
        <v>0</v>
      </c>
      <c r="R4103" s="2" t="inlineStr"/>
    </row>
    <row r="4104" ht="15" customHeight="1">
      <c r="A4104" t="inlineStr">
        <is>
          <t>A 43242-2024</t>
        </is>
      </c>
      <c r="B4104" s="1" t="n">
        <v>45568.30189814815</v>
      </c>
      <c r="C4104" s="1" t="n">
        <v>45884</v>
      </c>
      <c r="D4104" t="inlineStr">
        <is>
          <t>KALMAR LÄN</t>
        </is>
      </c>
      <c r="E4104" t="inlineStr">
        <is>
          <t>VIMMERBY</t>
        </is>
      </c>
      <c r="G4104" t="n">
        <v>2.6</v>
      </c>
      <c r="H4104" t="n">
        <v>0</v>
      </c>
      <c r="I4104" t="n">
        <v>0</v>
      </c>
      <c r="J4104" t="n">
        <v>0</v>
      </c>
      <c r="K4104" t="n">
        <v>0</v>
      </c>
      <c r="L4104" t="n">
        <v>0</v>
      </c>
      <c r="M4104" t="n">
        <v>0</v>
      </c>
      <c r="N4104" t="n">
        <v>0</v>
      </c>
      <c r="O4104" t="n">
        <v>0</v>
      </c>
      <c r="P4104" t="n">
        <v>0</v>
      </c>
      <c r="Q4104" t="n">
        <v>0</v>
      </c>
      <c r="R4104" s="2" t="inlineStr"/>
    </row>
    <row r="4105" ht="15" customHeight="1">
      <c r="A4105" t="inlineStr">
        <is>
          <t>A 17306-2023</t>
        </is>
      </c>
      <c r="B4105" s="1" t="n">
        <v>45035</v>
      </c>
      <c r="C4105" s="1" t="n">
        <v>45884</v>
      </c>
      <c r="D4105" t="inlineStr">
        <is>
          <t>KALMAR LÄN</t>
        </is>
      </c>
      <c r="E4105" t="inlineStr">
        <is>
          <t>VÄSTERVIK</t>
        </is>
      </c>
      <c r="G4105" t="n">
        <v>4.3</v>
      </c>
      <c r="H4105" t="n">
        <v>0</v>
      </c>
      <c r="I4105" t="n">
        <v>0</v>
      </c>
      <c r="J4105" t="n">
        <v>0</v>
      </c>
      <c r="K4105" t="n">
        <v>0</v>
      </c>
      <c r="L4105" t="n">
        <v>0</v>
      </c>
      <c r="M4105" t="n">
        <v>0</v>
      </c>
      <c r="N4105" t="n">
        <v>0</v>
      </c>
      <c r="O4105" t="n">
        <v>0</v>
      </c>
      <c r="P4105" t="n">
        <v>0</v>
      </c>
      <c r="Q4105" t="n">
        <v>0</v>
      </c>
      <c r="R4105" s="2" t="inlineStr"/>
    </row>
    <row r="4106" ht="15" customHeight="1">
      <c r="A4106" t="inlineStr">
        <is>
          <t>A 12884-2025</t>
        </is>
      </c>
      <c r="B4106" s="1" t="n">
        <v>45733.69460648148</v>
      </c>
      <c r="C4106" s="1" t="n">
        <v>45884</v>
      </c>
      <c r="D4106" t="inlineStr">
        <is>
          <t>KALMAR LÄN</t>
        </is>
      </c>
      <c r="E4106" t="inlineStr">
        <is>
          <t>EMMABODA</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45504-2023</t>
        </is>
      </c>
      <c r="B4107" s="1" t="n">
        <v>45188</v>
      </c>
      <c r="C4107" s="1" t="n">
        <v>45884</v>
      </c>
      <c r="D4107" t="inlineStr">
        <is>
          <t>KALMAR LÄN</t>
        </is>
      </c>
      <c r="E4107" t="inlineStr">
        <is>
          <t>MÖNSTERÅS</t>
        </is>
      </c>
      <c r="G4107" t="n">
        <v>2.3</v>
      </c>
      <c r="H4107" t="n">
        <v>0</v>
      </c>
      <c r="I4107" t="n">
        <v>0</v>
      </c>
      <c r="J4107" t="n">
        <v>0</v>
      </c>
      <c r="K4107" t="n">
        <v>0</v>
      </c>
      <c r="L4107" t="n">
        <v>0</v>
      </c>
      <c r="M4107" t="n">
        <v>0</v>
      </c>
      <c r="N4107" t="n">
        <v>0</v>
      </c>
      <c r="O4107" t="n">
        <v>0</v>
      </c>
      <c r="P4107" t="n">
        <v>0</v>
      </c>
      <c r="Q4107" t="n">
        <v>0</v>
      </c>
      <c r="R4107" s="2" t="inlineStr"/>
    </row>
    <row r="4108" ht="15" customHeight="1">
      <c r="A4108" t="inlineStr">
        <is>
          <t>A 28878-2022</t>
        </is>
      </c>
      <c r="B4108" s="1" t="n">
        <v>44749</v>
      </c>
      <c r="C4108" s="1" t="n">
        <v>45884</v>
      </c>
      <c r="D4108" t="inlineStr">
        <is>
          <t>KALMAR LÄN</t>
        </is>
      </c>
      <c r="E4108" t="inlineStr">
        <is>
          <t>HULTSFRED</t>
        </is>
      </c>
      <c r="G4108" t="n">
        <v>2.7</v>
      </c>
      <c r="H4108" t="n">
        <v>0</v>
      </c>
      <c r="I4108" t="n">
        <v>0</v>
      </c>
      <c r="J4108" t="n">
        <v>0</v>
      </c>
      <c r="K4108" t="n">
        <v>0</v>
      </c>
      <c r="L4108" t="n">
        <v>0</v>
      </c>
      <c r="M4108" t="n">
        <v>0</v>
      </c>
      <c r="N4108" t="n">
        <v>0</v>
      </c>
      <c r="O4108" t="n">
        <v>0</v>
      </c>
      <c r="P4108" t="n">
        <v>0</v>
      </c>
      <c r="Q4108" t="n">
        <v>0</v>
      </c>
      <c r="R4108" s="2" t="inlineStr"/>
    </row>
    <row r="4109" ht="15" customHeight="1">
      <c r="A4109" t="inlineStr">
        <is>
          <t>A 41277-2022</t>
        </is>
      </c>
      <c r="B4109" s="1" t="n">
        <v>44826</v>
      </c>
      <c r="C4109" s="1" t="n">
        <v>45884</v>
      </c>
      <c r="D4109" t="inlineStr">
        <is>
          <t>KALMAR LÄN</t>
        </is>
      </c>
      <c r="E4109" t="inlineStr">
        <is>
          <t>HULTSFRED</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41066-2024</t>
        </is>
      </c>
      <c r="B4110" s="1" t="n">
        <v>45559.38876157408</v>
      </c>
      <c r="C4110" s="1" t="n">
        <v>45884</v>
      </c>
      <c r="D4110" t="inlineStr">
        <is>
          <t>KALMAR LÄN</t>
        </is>
      </c>
      <c r="E4110" t="inlineStr">
        <is>
          <t>VIMMERBY</t>
        </is>
      </c>
      <c r="G4110" t="n">
        <v>2.4</v>
      </c>
      <c r="H4110" t="n">
        <v>0</v>
      </c>
      <c r="I4110" t="n">
        <v>0</v>
      </c>
      <c r="J4110" t="n">
        <v>0</v>
      </c>
      <c r="K4110" t="n">
        <v>0</v>
      </c>
      <c r="L4110" t="n">
        <v>0</v>
      </c>
      <c r="M4110" t="n">
        <v>0</v>
      </c>
      <c r="N4110" t="n">
        <v>0</v>
      </c>
      <c r="O4110" t="n">
        <v>0</v>
      </c>
      <c r="P4110" t="n">
        <v>0</v>
      </c>
      <c r="Q4110" t="n">
        <v>0</v>
      </c>
      <c r="R4110" s="2" t="inlineStr"/>
    </row>
    <row r="4111" ht="15" customHeight="1">
      <c r="A4111" t="inlineStr">
        <is>
          <t>A 43266-2024</t>
        </is>
      </c>
      <c r="B4111" s="1" t="n">
        <v>45568.36879629629</v>
      </c>
      <c r="C4111" s="1" t="n">
        <v>45884</v>
      </c>
      <c r="D4111" t="inlineStr">
        <is>
          <t>KALMAR LÄN</t>
        </is>
      </c>
      <c r="E4111" t="inlineStr">
        <is>
          <t>VIMMERBY</t>
        </is>
      </c>
      <c r="G4111" t="n">
        <v>2.4</v>
      </c>
      <c r="H4111" t="n">
        <v>0</v>
      </c>
      <c r="I4111" t="n">
        <v>0</v>
      </c>
      <c r="J4111" t="n">
        <v>0</v>
      </c>
      <c r="K4111" t="n">
        <v>0</v>
      </c>
      <c r="L4111" t="n">
        <v>0</v>
      </c>
      <c r="M4111" t="n">
        <v>0</v>
      </c>
      <c r="N4111" t="n">
        <v>0</v>
      </c>
      <c r="O4111" t="n">
        <v>0</v>
      </c>
      <c r="P4111" t="n">
        <v>0</v>
      </c>
      <c r="Q4111" t="n">
        <v>0</v>
      </c>
      <c r="R4111" s="2" t="inlineStr"/>
    </row>
    <row r="4112" ht="15" customHeight="1">
      <c r="A4112" t="inlineStr">
        <is>
          <t>A 43663-2024</t>
        </is>
      </c>
      <c r="B4112" s="1" t="n">
        <v>45569</v>
      </c>
      <c r="C4112" s="1" t="n">
        <v>45884</v>
      </c>
      <c r="D4112" t="inlineStr">
        <is>
          <t>KALMAR LÄN</t>
        </is>
      </c>
      <c r="E4112" t="inlineStr">
        <is>
          <t>HULTSFRED</t>
        </is>
      </c>
      <c r="G4112" t="n">
        <v>3.9</v>
      </c>
      <c r="H4112" t="n">
        <v>0</v>
      </c>
      <c r="I4112" t="n">
        <v>0</v>
      </c>
      <c r="J4112" t="n">
        <v>0</v>
      </c>
      <c r="K4112" t="n">
        <v>0</v>
      </c>
      <c r="L4112" t="n">
        <v>0</v>
      </c>
      <c r="M4112" t="n">
        <v>0</v>
      </c>
      <c r="N4112" t="n">
        <v>0</v>
      </c>
      <c r="O4112" t="n">
        <v>0</v>
      </c>
      <c r="P4112" t="n">
        <v>0</v>
      </c>
      <c r="Q4112" t="n">
        <v>0</v>
      </c>
      <c r="R4112" s="2" t="inlineStr"/>
    </row>
    <row r="4113" ht="15" customHeight="1">
      <c r="A4113" t="inlineStr">
        <is>
          <t>A 48113-2021</t>
        </is>
      </c>
      <c r="B4113" s="1" t="n">
        <v>44449</v>
      </c>
      <c r="C4113" s="1" t="n">
        <v>45884</v>
      </c>
      <c r="D4113" t="inlineStr">
        <is>
          <t>KALMAR LÄN</t>
        </is>
      </c>
      <c r="E4113" t="inlineStr">
        <is>
          <t>EMMABODA</t>
        </is>
      </c>
      <c r="G4113" t="n">
        <v>1.8</v>
      </c>
      <c r="H4113" t="n">
        <v>0</v>
      </c>
      <c r="I4113" t="n">
        <v>0</v>
      </c>
      <c r="J4113" t="n">
        <v>0</v>
      </c>
      <c r="K4113" t="n">
        <v>0</v>
      </c>
      <c r="L4113" t="n">
        <v>0</v>
      </c>
      <c r="M4113" t="n">
        <v>0</v>
      </c>
      <c r="N4113" t="n">
        <v>0</v>
      </c>
      <c r="O4113" t="n">
        <v>0</v>
      </c>
      <c r="P4113" t="n">
        <v>0</v>
      </c>
      <c r="Q4113" t="n">
        <v>0</v>
      </c>
      <c r="R4113" s="2" t="inlineStr"/>
    </row>
    <row r="4114" ht="15" customHeight="1">
      <c r="A4114" t="inlineStr">
        <is>
          <t>A 52214-2023</t>
        </is>
      </c>
      <c r="B4114" s="1" t="n">
        <v>45224.44980324074</v>
      </c>
      <c r="C4114" s="1" t="n">
        <v>45884</v>
      </c>
      <c r="D4114" t="inlineStr">
        <is>
          <t>KALMAR LÄN</t>
        </is>
      </c>
      <c r="E4114" t="inlineStr">
        <is>
          <t>OSKARSHAMN</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52279-2023</t>
        </is>
      </c>
      <c r="B4115" s="1" t="n">
        <v>45224</v>
      </c>
      <c r="C4115" s="1" t="n">
        <v>45884</v>
      </c>
      <c r="D4115" t="inlineStr">
        <is>
          <t>KALMAR LÄN</t>
        </is>
      </c>
      <c r="E4115" t="inlineStr">
        <is>
          <t>VIMMERBY</t>
        </is>
      </c>
      <c r="G4115" t="n">
        <v>1.8</v>
      </c>
      <c r="H4115" t="n">
        <v>0</v>
      </c>
      <c r="I4115" t="n">
        <v>0</v>
      </c>
      <c r="J4115" t="n">
        <v>0</v>
      </c>
      <c r="K4115" t="n">
        <v>0</v>
      </c>
      <c r="L4115" t="n">
        <v>0</v>
      </c>
      <c r="M4115" t="n">
        <v>0</v>
      </c>
      <c r="N4115" t="n">
        <v>0</v>
      </c>
      <c r="O4115" t="n">
        <v>0</v>
      </c>
      <c r="P4115" t="n">
        <v>0</v>
      </c>
      <c r="Q4115" t="n">
        <v>0</v>
      </c>
      <c r="R4115" s="2" t="inlineStr"/>
    </row>
    <row r="4116" ht="15" customHeight="1">
      <c r="A4116" t="inlineStr">
        <is>
          <t>A 4182-2024</t>
        </is>
      </c>
      <c r="B4116" s="1" t="n">
        <v>45324.24875</v>
      </c>
      <c r="C4116" s="1" t="n">
        <v>45884</v>
      </c>
      <c r="D4116" t="inlineStr">
        <is>
          <t>KALMAR LÄN</t>
        </is>
      </c>
      <c r="E4116" t="inlineStr">
        <is>
          <t>KALMAR</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38824-2024</t>
        </is>
      </c>
      <c r="B4117" s="1" t="n">
        <v>45547.56364583333</v>
      </c>
      <c r="C4117" s="1" t="n">
        <v>45884</v>
      </c>
      <c r="D4117" t="inlineStr">
        <is>
          <t>KALMAR LÄN</t>
        </is>
      </c>
      <c r="E4117" t="inlineStr">
        <is>
          <t>HÖGSBY</t>
        </is>
      </c>
      <c r="F4117" t="inlineStr">
        <is>
          <t>Sveaskog</t>
        </is>
      </c>
      <c r="G4117" t="n">
        <v>7.7</v>
      </c>
      <c r="H4117" t="n">
        <v>0</v>
      </c>
      <c r="I4117" t="n">
        <v>0</v>
      </c>
      <c r="J4117" t="n">
        <v>0</v>
      </c>
      <c r="K4117" t="n">
        <v>0</v>
      </c>
      <c r="L4117" t="n">
        <v>0</v>
      </c>
      <c r="M4117" t="n">
        <v>0</v>
      </c>
      <c r="N4117" t="n">
        <v>0</v>
      </c>
      <c r="O4117" t="n">
        <v>0</v>
      </c>
      <c r="P4117" t="n">
        <v>0</v>
      </c>
      <c r="Q4117" t="n">
        <v>0</v>
      </c>
      <c r="R4117" s="2" t="inlineStr"/>
    </row>
    <row r="4118" ht="15" customHeight="1">
      <c r="A4118" t="inlineStr">
        <is>
          <t>A 9454-2023</t>
        </is>
      </c>
      <c r="B4118" s="1" t="n">
        <v>44981</v>
      </c>
      <c r="C4118" s="1" t="n">
        <v>45884</v>
      </c>
      <c r="D4118" t="inlineStr">
        <is>
          <t>KALMAR LÄN</t>
        </is>
      </c>
      <c r="E4118" t="inlineStr">
        <is>
          <t>HÖGSBY</t>
        </is>
      </c>
      <c r="F4118" t="inlineStr">
        <is>
          <t>Övriga Aktiebolag</t>
        </is>
      </c>
      <c r="G4118" t="n">
        <v>4</v>
      </c>
      <c r="H4118" t="n">
        <v>0</v>
      </c>
      <c r="I4118" t="n">
        <v>0</v>
      </c>
      <c r="J4118" t="n">
        <v>0</v>
      </c>
      <c r="K4118" t="n">
        <v>0</v>
      </c>
      <c r="L4118" t="n">
        <v>0</v>
      </c>
      <c r="M4118" t="n">
        <v>0</v>
      </c>
      <c r="N4118" t="n">
        <v>0</v>
      </c>
      <c r="O4118" t="n">
        <v>0</v>
      </c>
      <c r="P4118" t="n">
        <v>0</v>
      </c>
      <c r="Q4118" t="n">
        <v>0</v>
      </c>
      <c r="R4118" s="2" t="inlineStr"/>
    </row>
    <row r="4119" ht="15" customHeight="1">
      <c r="A4119" t="inlineStr">
        <is>
          <t>A 13072-2024</t>
        </is>
      </c>
      <c r="B4119" s="1" t="n">
        <v>45385.65076388889</v>
      </c>
      <c r="C4119" s="1" t="n">
        <v>45884</v>
      </c>
      <c r="D4119" t="inlineStr">
        <is>
          <t>KALMAR LÄN</t>
        </is>
      </c>
      <c r="E4119" t="inlineStr">
        <is>
          <t>OSKARSHAMN</t>
        </is>
      </c>
      <c r="G4119" t="n">
        <v>2.1</v>
      </c>
      <c r="H4119" t="n">
        <v>0</v>
      </c>
      <c r="I4119" t="n">
        <v>0</v>
      </c>
      <c r="J4119" t="n">
        <v>0</v>
      </c>
      <c r="K4119" t="n">
        <v>0</v>
      </c>
      <c r="L4119" t="n">
        <v>0</v>
      </c>
      <c r="M4119" t="n">
        <v>0</v>
      </c>
      <c r="N4119" t="n">
        <v>0</v>
      </c>
      <c r="O4119" t="n">
        <v>0</v>
      </c>
      <c r="P4119" t="n">
        <v>0</v>
      </c>
      <c r="Q4119" t="n">
        <v>0</v>
      </c>
      <c r="R4119" s="2" t="inlineStr"/>
    </row>
    <row r="4120" ht="15" customHeight="1">
      <c r="A4120" t="inlineStr">
        <is>
          <t>A 944-2024</t>
        </is>
      </c>
      <c r="B4120" s="1" t="n">
        <v>45301.54230324074</v>
      </c>
      <c r="C4120" s="1" t="n">
        <v>45884</v>
      </c>
      <c r="D4120" t="inlineStr">
        <is>
          <t>KALMAR LÄN</t>
        </is>
      </c>
      <c r="E4120" t="inlineStr">
        <is>
          <t>VÄSTERVIK</t>
        </is>
      </c>
      <c r="G4120" t="n">
        <v>2.2</v>
      </c>
      <c r="H4120" t="n">
        <v>0</v>
      </c>
      <c r="I4120" t="n">
        <v>0</v>
      </c>
      <c r="J4120" t="n">
        <v>0</v>
      </c>
      <c r="K4120" t="n">
        <v>0</v>
      </c>
      <c r="L4120" t="n">
        <v>0</v>
      </c>
      <c r="M4120" t="n">
        <v>0</v>
      </c>
      <c r="N4120" t="n">
        <v>0</v>
      </c>
      <c r="O4120" t="n">
        <v>0</v>
      </c>
      <c r="P4120" t="n">
        <v>0</v>
      </c>
      <c r="Q4120" t="n">
        <v>0</v>
      </c>
      <c r="R4120" s="2" t="inlineStr"/>
    </row>
    <row r="4121" ht="15" customHeight="1">
      <c r="A4121" t="inlineStr">
        <is>
          <t>A 946-2024</t>
        </is>
      </c>
      <c r="B4121" s="1" t="n">
        <v>45301.54412037037</v>
      </c>
      <c r="C4121" s="1" t="n">
        <v>45884</v>
      </c>
      <c r="D4121" t="inlineStr">
        <is>
          <t>KALMAR LÄN</t>
        </is>
      </c>
      <c r="E4121" t="inlineStr">
        <is>
          <t>VÄSTERVIK</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44542-2023</t>
        </is>
      </c>
      <c r="B4122" s="1" t="n">
        <v>45189.50895833333</v>
      </c>
      <c r="C4122" s="1" t="n">
        <v>45884</v>
      </c>
      <c r="D4122" t="inlineStr">
        <is>
          <t>KALMAR LÄN</t>
        </is>
      </c>
      <c r="E4122" t="inlineStr">
        <is>
          <t>EMMABODA</t>
        </is>
      </c>
      <c r="G4122" t="n">
        <v>2.4</v>
      </c>
      <c r="H4122" t="n">
        <v>0</v>
      </c>
      <c r="I4122" t="n">
        <v>0</v>
      </c>
      <c r="J4122" t="n">
        <v>0</v>
      </c>
      <c r="K4122" t="n">
        <v>0</v>
      </c>
      <c r="L4122" t="n">
        <v>0</v>
      </c>
      <c r="M4122" t="n">
        <v>0</v>
      </c>
      <c r="N4122" t="n">
        <v>0</v>
      </c>
      <c r="O4122" t="n">
        <v>0</v>
      </c>
      <c r="P4122" t="n">
        <v>0</v>
      </c>
      <c r="Q4122" t="n">
        <v>0</v>
      </c>
      <c r="R4122" s="2" t="inlineStr"/>
    </row>
    <row r="4123" ht="15" customHeight="1">
      <c r="A4123" t="inlineStr">
        <is>
          <t>A 16113-2024</t>
        </is>
      </c>
      <c r="B4123" s="1" t="n">
        <v>45406</v>
      </c>
      <c r="C4123" s="1" t="n">
        <v>45884</v>
      </c>
      <c r="D4123" t="inlineStr">
        <is>
          <t>KALMAR LÄN</t>
        </is>
      </c>
      <c r="E4123" t="inlineStr">
        <is>
          <t>HULTSFRED</t>
        </is>
      </c>
      <c r="G4123" t="n">
        <v>2.5</v>
      </c>
      <c r="H4123" t="n">
        <v>0</v>
      </c>
      <c r="I4123" t="n">
        <v>0</v>
      </c>
      <c r="J4123" t="n">
        <v>0</v>
      </c>
      <c r="K4123" t="n">
        <v>0</v>
      </c>
      <c r="L4123" t="n">
        <v>0</v>
      </c>
      <c r="M4123" t="n">
        <v>0</v>
      </c>
      <c r="N4123" t="n">
        <v>0</v>
      </c>
      <c r="O4123" t="n">
        <v>0</v>
      </c>
      <c r="P4123" t="n">
        <v>0</v>
      </c>
      <c r="Q4123" t="n">
        <v>0</v>
      </c>
      <c r="R4123" s="2" t="inlineStr"/>
    </row>
    <row r="4124" ht="15" customHeight="1">
      <c r="A4124" t="inlineStr">
        <is>
          <t>A 61878-2020</t>
        </is>
      </c>
      <c r="B4124" s="1" t="n">
        <v>44159</v>
      </c>
      <c r="C4124" s="1" t="n">
        <v>45884</v>
      </c>
      <c r="D4124" t="inlineStr">
        <is>
          <t>KALMAR LÄN</t>
        </is>
      </c>
      <c r="E4124" t="inlineStr">
        <is>
          <t>VIMMERBY</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5982-2023</t>
        </is>
      </c>
      <c r="B4125" s="1" t="n">
        <v>44964.35730324074</v>
      </c>
      <c r="C4125" s="1" t="n">
        <v>45884</v>
      </c>
      <c r="D4125" t="inlineStr">
        <is>
          <t>KALMAR LÄN</t>
        </is>
      </c>
      <c r="E4125" t="inlineStr">
        <is>
          <t>VÄSTERVIK</t>
        </is>
      </c>
      <c r="G4125" t="n">
        <v>2.8</v>
      </c>
      <c r="H4125" t="n">
        <v>0</v>
      </c>
      <c r="I4125" t="n">
        <v>0</v>
      </c>
      <c r="J4125" t="n">
        <v>0</v>
      </c>
      <c r="K4125" t="n">
        <v>0</v>
      </c>
      <c r="L4125" t="n">
        <v>0</v>
      </c>
      <c r="M4125" t="n">
        <v>0</v>
      </c>
      <c r="N4125" t="n">
        <v>0</v>
      </c>
      <c r="O4125" t="n">
        <v>0</v>
      </c>
      <c r="P4125" t="n">
        <v>0</v>
      </c>
      <c r="Q4125" t="n">
        <v>0</v>
      </c>
      <c r="R4125" s="2" t="inlineStr"/>
    </row>
    <row r="4126" ht="15" customHeight="1">
      <c r="A4126" t="inlineStr">
        <is>
          <t>A 20052-2025</t>
        </is>
      </c>
      <c r="B4126" s="1" t="n">
        <v>45772.39434027778</v>
      </c>
      <c r="C4126" s="1" t="n">
        <v>45884</v>
      </c>
      <c r="D4126" t="inlineStr">
        <is>
          <t>KALMAR LÄN</t>
        </is>
      </c>
      <c r="E4126" t="inlineStr">
        <is>
          <t>EMMABODA</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59898-2020</t>
        </is>
      </c>
      <c r="B4127" s="1" t="n">
        <v>44151</v>
      </c>
      <c r="C4127" s="1" t="n">
        <v>45884</v>
      </c>
      <c r="D4127" t="inlineStr">
        <is>
          <t>KALMAR LÄN</t>
        </is>
      </c>
      <c r="E4127" t="inlineStr">
        <is>
          <t>KALMAR</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10020-2021</t>
        </is>
      </c>
      <c r="B4128" s="1" t="n">
        <v>44256</v>
      </c>
      <c r="C4128" s="1" t="n">
        <v>45884</v>
      </c>
      <c r="D4128" t="inlineStr">
        <is>
          <t>KALMAR LÄN</t>
        </is>
      </c>
      <c r="E4128" t="inlineStr">
        <is>
          <t>VÄSTERVIK</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42955-2021</t>
        </is>
      </c>
      <c r="B4129" s="1" t="n">
        <v>44431</v>
      </c>
      <c r="C4129" s="1" t="n">
        <v>45884</v>
      </c>
      <c r="D4129" t="inlineStr">
        <is>
          <t>KALMAR LÄN</t>
        </is>
      </c>
      <c r="E4129" t="inlineStr">
        <is>
          <t>NYBRO</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15130-2023</t>
        </is>
      </c>
      <c r="B4130" s="1" t="n">
        <v>45016.51652777778</v>
      </c>
      <c r="C4130" s="1" t="n">
        <v>45884</v>
      </c>
      <c r="D4130" t="inlineStr">
        <is>
          <t>KALMAR LÄN</t>
        </is>
      </c>
      <c r="E4130" t="inlineStr">
        <is>
          <t>HULTSFRED</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26515-2022</t>
        </is>
      </c>
      <c r="B4131" s="1" t="n">
        <v>44739</v>
      </c>
      <c r="C4131" s="1" t="n">
        <v>45884</v>
      </c>
      <c r="D4131" t="inlineStr">
        <is>
          <t>KALMAR LÄN</t>
        </is>
      </c>
      <c r="E4131" t="inlineStr">
        <is>
          <t>TORSÅS</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56853-2022</t>
        </is>
      </c>
      <c r="B4132" s="1" t="n">
        <v>44894.49538194444</v>
      </c>
      <c r="C4132" s="1" t="n">
        <v>45884</v>
      </c>
      <c r="D4132" t="inlineStr">
        <is>
          <t>KALMAR LÄN</t>
        </is>
      </c>
      <c r="E4132" t="inlineStr">
        <is>
          <t>VIMMERBY</t>
        </is>
      </c>
      <c r="G4132" t="n">
        <v>4.3</v>
      </c>
      <c r="H4132" t="n">
        <v>0</v>
      </c>
      <c r="I4132" t="n">
        <v>0</v>
      </c>
      <c r="J4132" t="n">
        <v>0</v>
      </c>
      <c r="K4132" t="n">
        <v>0</v>
      </c>
      <c r="L4132" t="n">
        <v>0</v>
      </c>
      <c r="M4132" t="n">
        <v>0</v>
      </c>
      <c r="N4132" t="n">
        <v>0</v>
      </c>
      <c r="O4132" t="n">
        <v>0</v>
      </c>
      <c r="P4132" t="n">
        <v>0</v>
      </c>
      <c r="Q4132" t="n">
        <v>0</v>
      </c>
      <c r="R4132" s="2" t="inlineStr"/>
    </row>
    <row r="4133" ht="15" customHeight="1">
      <c r="A4133" t="inlineStr">
        <is>
          <t>A 41706-2023</t>
        </is>
      </c>
      <c r="B4133" s="1" t="n">
        <v>45176.38636574074</v>
      </c>
      <c r="C4133" s="1" t="n">
        <v>45884</v>
      </c>
      <c r="D4133" t="inlineStr">
        <is>
          <t>KALMAR LÄN</t>
        </is>
      </c>
      <c r="E4133" t="inlineStr">
        <is>
          <t>HÖGSBY</t>
        </is>
      </c>
      <c r="G4133" t="n">
        <v>2.6</v>
      </c>
      <c r="H4133" t="n">
        <v>0</v>
      </c>
      <c r="I4133" t="n">
        <v>0</v>
      </c>
      <c r="J4133" t="n">
        <v>0</v>
      </c>
      <c r="K4133" t="n">
        <v>0</v>
      </c>
      <c r="L4133" t="n">
        <v>0</v>
      </c>
      <c r="M4133" t="n">
        <v>0</v>
      </c>
      <c r="N4133" t="n">
        <v>0</v>
      </c>
      <c r="O4133" t="n">
        <v>0</v>
      </c>
      <c r="P4133" t="n">
        <v>0</v>
      </c>
      <c r="Q4133" t="n">
        <v>0</v>
      </c>
      <c r="R4133" s="2" t="inlineStr"/>
    </row>
    <row r="4134" ht="15" customHeight="1">
      <c r="A4134" t="inlineStr">
        <is>
          <t>A 17486-2024</t>
        </is>
      </c>
      <c r="B4134" s="1" t="n">
        <v>45415.48979166667</v>
      </c>
      <c r="C4134" s="1" t="n">
        <v>45884</v>
      </c>
      <c r="D4134" t="inlineStr">
        <is>
          <t>KALMAR LÄN</t>
        </is>
      </c>
      <c r="E4134" t="inlineStr">
        <is>
          <t>VIMMERBY</t>
        </is>
      </c>
      <c r="G4134" t="n">
        <v>2.6</v>
      </c>
      <c r="H4134" t="n">
        <v>0</v>
      </c>
      <c r="I4134" t="n">
        <v>0</v>
      </c>
      <c r="J4134" t="n">
        <v>0</v>
      </c>
      <c r="K4134" t="n">
        <v>0</v>
      </c>
      <c r="L4134" t="n">
        <v>0</v>
      </c>
      <c r="M4134" t="n">
        <v>0</v>
      </c>
      <c r="N4134" t="n">
        <v>0</v>
      </c>
      <c r="O4134" t="n">
        <v>0</v>
      </c>
      <c r="P4134" t="n">
        <v>0</v>
      </c>
      <c r="Q4134" t="n">
        <v>0</v>
      </c>
      <c r="R4134" s="2" t="inlineStr"/>
    </row>
    <row r="4135" ht="15" customHeight="1">
      <c r="A4135" t="inlineStr">
        <is>
          <t>A 27077-2022</t>
        </is>
      </c>
      <c r="B4135" s="1" t="n">
        <v>44741.40471064814</v>
      </c>
      <c r="C4135" s="1" t="n">
        <v>45884</v>
      </c>
      <c r="D4135" t="inlineStr">
        <is>
          <t>KALMAR LÄN</t>
        </is>
      </c>
      <c r="E4135" t="inlineStr">
        <is>
          <t>MÖNSTERÅS</t>
        </is>
      </c>
      <c r="G4135" t="n">
        <v>2.3</v>
      </c>
      <c r="H4135" t="n">
        <v>0</v>
      </c>
      <c r="I4135" t="n">
        <v>0</v>
      </c>
      <c r="J4135" t="n">
        <v>0</v>
      </c>
      <c r="K4135" t="n">
        <v>0</v>
      </c>
      <c r="L4135" t="n">
        <v>0</v>
      </c>
      <c r="M4135" t="n">
        <v>0</v>
      </c>
      <c r="N4135" t="n">
        <v>0</v>
      </c>
      <c r="O4135" t="n">
        <v>0</v>
      </c>
      <c r="P4135" t="n">
        <v>0</v>
      </c>
      <c r="Q4135" t="n">
        <v>0</v>
      </c>
      <c r="R4135" s="2" t="inlineStr"/>
    </row>
    <row r="4136" ht="15" customHeight="1">
      <c r="A4136" t="inlineStr">
        <is>
          <t>A 13864-2024</t>
        </is>
      </c>
      <c r="B4136" s="1" t="n">
        <v>45390</v>
      </c>
      <c r="C4136" s="1" t="n">
        <v>45884</v>
      </c>
      <c r="D4136" t="inlineStr">
        <is>
          <t>KALMAR LÄN</t>
        </is>
      </c>
      <c r="E4136" t="inlineStr">
        <is>
          <t>HULTSFRED</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9810-2025</t>
        </is>
      </c>
      <c r="B4137" s="1" t="n">
        <v>45716.56181712963</v>
      </c>
      <c r="C4137" s="1" t="n">
        <v>45884</v>
      </c>
      <c r="D4137" t="inlineStr">
        <is>
          <t>KALMAR LÄN</t>
        </is>
      </c>
      <c r="E4137" t="inlineStr">
        <is>
          <t>TORSÅS</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51263-2023</t>
        </is>
      </c>
      <c r="B4138" s="1" t="n">
        <v>45219</v>
      </c>
      <c r="C4138" s="1" t="n">
        <v>45884</v>
      </c>
      <c r="D4138" t="inlineStr">
        <is>
          <t>KALMAR LÄN</t>
        </is>
      </c>
      <c r="E4138" t="inlineStr">
        <is>
          <t>TORSÅS</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40792-2022</t>
        </is>
      </c>
      <c r="B4139" s="1" t="n">
        <v>44824</v>
      </c>
      <c r="C4139" s="1" t="n">
        <v>45884</v>
      </c>
      <c r="D4139" t="inlineStr">
        <is>
          <t>KALMAR LÄN</t>
        </is>
      </c>
      <c r="E4139" t="inlineStr">
        <is>
          <t>HULTSFRED</t>
        </is>
      </c>
      <c r="G4139" t="n">
        <v>5.1</v>
      </c>
      <c r="H4139" t="n">
        <v>0</v>
      </c>
      <c r="I4139" t="n">
        <v>0</v>
      </c>
      <c r="J4139" t="n">
        <v>0</v>
      </c>
      <c r="K4139" t="n">
        <v>0</v>
      </c>
      <c r="L4139" t="n">
        <v>0</v>
      </c>
      <c r="M4139" t="n">
        <v>0</v>
      </c>
      <c r="N4139" t="n">
        <v>0</v>
      </c>
      <c r="O4139" t="n">
        <v>0</v>
      </c>
      <c r="P4139" t="n">
        <v>0</v>
      </c>
      <c r="Q4139" t="n">
        <v>0</v>
      </c>
      <c r="R4139" s="2" t="inlineStr"/>
    </row>
    <row r="4140" ht="15" customHeight="1">
      <c r="A4140" t="inlineStr">
        <is>
          <t>A 18732-2025</t>
        </is>
      </c>
      <c r="B4140" s="1" t="n">
        <v>45763.6754050926</v>
      </c>
      <c r="C4140" s="1" t="n">
        <v>45884</v>
      </c>
      <c r="D4140" t="inlineStr">
        <is>
          <t>KALMAR LÄN</t>
        </is>
      </c>
      <c r="E4140" t="inlineStr">
        <is>
          <t>MÖNSTERÅS</t>
        </is>
      </c>
      <c r="G4140" t="n">
        <v>4.9</v>
      </c>
      <c r="H4140" t="n">
        <v>0</v>
      </c>
      <c r="I4140" t="n">
        <v>0</v>
      </c>
      <c r="J4140" t="n">
        <v>0</v>
      </c>
      <c r="K4140" t="n">
        <v>0</v>
      </c>
      <c r="L4140" t="n">
        <v>0</v>
      </c>
      <c r="M4140" t="n">
        <v>0</v>
      </c>
      <c r="N4140" t="n">
        <v>0</v>
      </c>
      <c r="O4140" t="n">
        <v>0</v>
      </c>
      <c r="P4140" t="n">
        <v>0</v>
      </c>
      <c r="Q4140" t="n">
        <v>0</v>
      </c>
      <c r="R4140" s="2" t="inlineStr"/>
    </row>
    <row r="4141" ht="15" customHeight="1">
      <c r="A4141" t="inlineStr">
        <is>
          <t>A 39980-2024</t>
        </is>
      </c>
      <c r="B4141" s="1" t="n">
        <v>45553.61098379629</v>
      </c>
      <c r="C4141" s="1" t="n">
        <v>45884</v>
      </c>
      <c r="D4141" t="inlineStr">
        <is>
          <t>KALMAR LÄN</t>
        </is>
      </c>
      <c r="E4141" t="inlineStr">
        <is>
          <t>VÄSTERVIK</t>
        </is>
      </c>
      <c r="G4141" t="n">
        <v>2.3</v>
      </c>
      <c r="H4141" t="n">
        <v>0</v>
      </c>
      <c r="I4141" t="n">
        <v>0</v>
      </c>
      <c r="J4141" t="n">
        <v>0</v>
      </c>
      <c r="K4141" t="n">
        <v>0</v>
      </c>
      <c r="L4141" t="n">
        <v>0</v>
      </c>
      <c r="M4141" t="n">
        <v>0</v>
      </c>
      <c r="N4141" t="n">
        <v>0</v>
      </c>
      <c r="O4141" t="n">
        <v>0</v>
      </c>
      <c r="P4141" t="n">
        <v>0</v>
      </c>
      <c r="Q4141" t="n">
        <v>0</v>
      </c>
      <c r="R4141" s="2" t="inlineStr"/>
    </row>
    <row r="4142" ht="15" customHeight="1">
      <c r="A4142" t="inlineStr">
        <is>
          <t>A 19359-2023</t>
        </is>
      </c>
      <c r="B4142" s="1" t="n">
        <v>45049.61376157407</v>
      </c>
      <c r="C4142" s="1" t="n">
        <v>45884</v>
      </c>
      <c r="D4142" t="inlineStr">
        <is>
          <t>KALMAR LÄN</t>
        </is>
      </c>
      <c r="E4142" t="inlineStr">
        <is>
          <t>EMMABODA</t>
        </is>
      </c>
      <c r="G4142" t="n">
        <v>2.2</v>
      </c>
      <c r="H4142" t="n">
        <v>0</v>
      </c>
      <c r="I4142" t="n">
        <v>0</v>
      </c>
      <c r="J4142" t="n">
        <v>0</v>
      </c>
      <c r="K4142" t="n">
        <v>0</v>
      </c>
      <c r="L4142" t="n">
        <v>0</v>
      </c>
      <c r="M4142" t="n">
        <v>0</v>
      </c>
      <c r="N4142" t="n">
        <v>0</v>
      </c>
      <c r="O4142" t="n">
        <v>0</v>
      </c>
      <c r="P4142" t="n">
        <v>0</v>
      </c>
      <c r="Q4142" t="n">
        <v>0</v>
      </c>
      <c r="R4142" s="2" t="inlineStr"/>
    </row>
    <row r="4143" ht="15" customHeight="1">
      <c r="A4143" t="inlineStr">
        <is>
          <t>A 60525-2021</t>
        </is>
      </c>
      <c r="B4143" s="1" t="n">
        <v>44496.5093287037</v>
      </c>
      <c r="C4143" s="1" t="n">
        <v>45884</v>
      </c>
      <c r="D4143" t="inlineStr">
        <is>
          <t>KALMAR LÄN</t>
        </is>
      </c>
      <c r="E4143" t="inlineStr">
        <is>
          <t>HULTSFRED</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36361-2023</t>
        </is>
      </c>
      <c r="B4144" s="1" t="n">
        <v>45152</v>
      </c>
      <c r="C4144" s="1" t="n">
        <v>45884</v>
      </c>
      <c r="D4144" t="inlineStr">
        <is>
          <t>KALMAR LÄN</t>
        </is>
      </c>
      <c r="E4144" t="inlineStr">
        <is>
          <t>MÖNSTERÅS</t>
        </is>
      </c>
      <c r="F4144" t="inlineStr">
        <is>
          <t>Kommuner</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65049-2020</t>
        </is>
      </c>
      <c r="B4145" s="1" t="n">
        <v>44172</v>
      </c>
      <c r="C4145" s="1" t="n">
        <v>45884</v>
      </c>
      <c r="D4145" t="inlineStr">
        <is>
          <t>KALMAR LÄN</t>
        </is>
      </c>
      <c r="E4145" t="inlineStr">
        <is>
          <t>VIMMERBY</t>
        </is>
      </c>
      <c r="G4145" t="n">
        <v>2.3</v>
      </c>
      <c r="H4145" t="n">
        <v>0</v>
      </c>
      <c r="I4145" t="n">
        <v>0</v>
      </c>
      <c r="J4145" t="n">
        <v>0</v>
      </c>
      <c r="K4145" t="n">
        <v>0</v>
      </c>
      <c r="L4145" t="n">
        <v>0</v>
      </c>
      <c r="M4145" t="n">
        <v>0</v>
      </c>
      <c r="N4145" t="n">
        <v>0</v>
      </c>
      <c r="O4145" t="n">
        <v>0</v>
      </c>
      <c r="P4145" t="n">
        <v>0</v>
      </c>
      <c r="Q4145" t="n">
        <v>0</v>
      </c>
      <c r="R4145" s="2" t="inlineStr"/>
    </row>
    <row r="4146" ht="15" customHeight="1">
      <c r="A4146" t="inlineStr">
        <is>
          <t>A 51009-2023</t>
        </is>
      </c>
      <c r="B4146" s="1" t="n">
        <v>45218.56766203704</v>
      </c>
      <c r="C4146" s="1" t="n">
        <v>45884</v>
      </c>
      <c r="D4146" t="inlineStr">
        <is>
          <t>KALMAR LÄN</t>
        </is>
      </c>
      <c r="E4146" t="inlineStr">
        <is>
          <t>OSKARSHAMN</t>
        </is>
      </c>
      <c r="G4146" t="n">
        <v>4.7</v>
      </c>
      <c r="H4146" t="n">
        <v>0</v>
      </c>
      <c r="I4146" t="n">
        <v>0</v>
      </c>
      <c r="J4146" t="n">
        <v>0</v>
      </c>
      <c r="K4146" t="n">
        <v>0</v>
      </c>
      <c r="L4146" t="n">
        <v>0</v>
      </c>
      <c r="M4146" t="n">
        <v>0</v>
      </c>
      <c r="N4146" t="n">
        <v>0</v>
      </c>
      <c r="O4146" t="n">
        <v>0</v>
      </c>
      <c r="P4146" t="n">
        <v>0</v>
      </c>
      <c r="Q4146" t="n">
        <v>0</v>
      </c>
      <c r="R4146" s="2" t="inlineStr"/>
    </row>
    <row r="4147" ht="15" customHeight="1">
      <c r="A4147" t="inlineStr">
        <is>
          <t>A 3290-2024</t>
        </is>
      </c>
      <c r="B4147" s="1" t="n">
        <v>45317.44828703703</v>
      </c>
      <c r="C4147" s="1" t="n">
        <v>45884</v>
      </c>
      <c r="D4147" t="inlineStr">
        <is>
          <t>KALMAR LÄN</t>
        </is>
      </c>
      <c r="E4147" t="inlineStr">
        <is>
          <t>EMMABODA</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42740-2022</t>
        </is>
      </c>
      <c r="B4148" s="1" t="n">
        <v>44832.45126157408</v>
      </c>
      <c r="C4148" s="1" t="n">
        <v>45884</v>
      </c>
      <c r="D4148" t="inlineStr">
        <is>
          <t>KALMAR LÄN</t>
        </is>
      </c>
      <c r="E4148" t="inlineStr">
        <is>
          <t>NYBRO</t>
        </is>
      </c>
      <c r="F4148" t="inlineStr">
        <is>
          <t>Sveaskog</t>
        </is>
      </c>
      <c r="G4148" t="n">
        <v>2</v>
      </c>
      <c r="H4148" t="n">
        <v>0</v>
      </c>
      <c r="I4148" t="n">
        <v>0</v>
      </c>
      <c r="J4148" t="n">
        <v>0</v>
      </c>
      <c r="K4148" t="n">
        <v>0</v>
      </c>
      <c r="L4148" t="n">
        <v>0</v>
      </c>
      <c r="M4148" t="n">
        <v>0</v>
      </c>
      <c r="N4148" t="n">
        <v>0</v>
      </c>
      <c r="O4148" t="n">
        <v>0</v>
      </c>
      <c r="P4148" t="n">
        <v>0</v>
      </c>
      <c r="Q4148" t="n">
        <v>0</v>
      </c>
      <c r="R4148" s="2" t="inlineStr"/>
    </row>
    <row r="4149" ht="15" customHeight="1">
      <c r="A4149" t="inlineStr">
        <is>
          <t>A 28979-2024</t>
        </is>
      </c>
      <c r="B4149" s="1" t="n">
        <v>45481</v>
      </c>
      <c r="C4149" s="1" t="n">
        <v>45884</v>
      </c>
      <c r="D4149" t="inlineStr">
        <is>
          <t>KALMAR LÄN</t>
        </is>
      </c>
      <c r="E4149" t="inlineStr">
        <is>
          <t>HULTSFRED</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46187-2023</t>
        </is>
      </c>
      <c r="B4150" s="1" t="n">
        <v>45196.6208449074</v>
      </c>
      <c r="C4150" s="1" t="n">
        <v>45884</v>
      </c>
      <c r="D4150" t="inlineStr">
        <is>
          <t>KALMAR LÄN</t>
        </is>
      </c>
      <c r="E4150" t="inlineStr">
        <is>
          <t>EMMABODA</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43463-2022</t>
        </is>
      </c>
      <c r="B4151" s="1" t="n">
        <v>44836.68821759259</v>
      </c>
      <c r="C4151" s="1" t="n">
        <v>45884</v>
      </c>
      <c r="D4151" t="inlineStr">
        <is>
          <t>KALMAR LÄN</t>
        </is>
      </c>
      <c r="E4151" t="inlineStr">
        <is>
          <t>OSKARSHAMN</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3467-2025</t>
        </is>
      </c>
      <c r="B4152" s="1" t="n">
        <v>45680.50885416667</v>
      </c>
      <c r="C4152" s="1" t="n">
        <v>45884</v>
      </c>
      <c r="D4152" t="inlineStr">
        <is>
          <t>KALMAR LÄN</t>
        </is>
      </c>
      <c r="E4152" t="inlineStr">
        <is>
          <t>VÄSTERVIK</t>
        </is>
      </c>
      <c r="G4152" t="n">
        <v>2.7</v>
      </c>
      <c r="H4152" t="n">
        <v>0</v>
      </c>
      <c r="I4152" t="n">
        <v>0</v>
      </c>
      <c r="J4152" t="n">
        <v>0</v>
      </c>
      <c r="K4152" t="n">
        <v>0</v>
      </c>
      <c r="L4152" t="n">
        <v>0</v>
      </c>
      <c r="M4152" t="n">
        <v>0</v>
      </c>
      <c r="N4152" t="n">
        <v>0</v>
      </c>
      <c r="O4152" t="n">
        <v>0</v>
      </c>
      <c r="P4152" t="n">
        <v>0</v>
      </c>
      <c r="Q4152" t="n">
        <v>0</v>
      </c>
      <c r="R4152" s="2" t="inlineStr"/>
    </row>
    <row r="4153" ht="15" customHeight="1">
      <c r="A4153" t="inlineStr">
        <is>
          <t>A 71631-2021</t>
        </is>
      </c>
      <c r="B4153" s="1" t="n">
        <v>44542.90072916666</v>
      </c>
      <c r="C4153" s="1" t="n">
        <v>45884</v>
      </c>
      <c r="D4153" t="inlineStr">
        <is>
          <t>KALMAR LÄN</t>
        </is>
      </c>
      <c r="E4153" t="inlineStr">
        <is>
          <t>VIMMERBY</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54634-2024</t>
        </is>
      </c>
      <c r="B4154" s="1" t="n">
        <v>45617.87357638889</v>
      </c>
      <c r="C4154" s="1" t="n">
        <v>45884</v>
      </c>
      <c r="D4154" t="inlineStr">
        <is>
          <t>KALMAR LÄN</t>
        </is>
      </c>
      <c r="E4154" t="inlineStr">
        <is>
          <t>OSKARSHAMN</t>
        </is>
      </c>
      <c r="F4154" t="inlineStr">
        <is>
          <t>Sveaskog</t>
        </is>
      </c>
      <c r="G4154" t="n">
        <v>5.9</v>
      </c>
      <c r="H4154" t="n">
        <v>0</v>
      </c>
      <c r="I4154" t="n">
        <v>0</v>
      </c>
      <c r="J4154" t="n">
        <v>0</v>
      </c>
      <c r="K4154" t="n">
        <v>0</v>
      </c>
      <c r="L4154" t="n">
        <v>0</v>
      </c>
      <c r="M4154" t="n">
        <v>0</v>
      </c>
      <c r="N4154" t="n">
        <v>0</v>
      </c>
      <c r="O4154" t="n">
        <v>0</v>
      </c>
      <c r="P4154" t="n">
        <v>0</v>
      </c>
      <c r="Q4154" t="n">
        <v>0</v>
      </c>
      <c r="R4154" s="2" t="inlineStr"/>
    </row>
    <row r="4155" ht="15" customHeight="1">
      <c r="A4155" t="inlineStr">
        <is>
          <t>A 69702-2021</t>
        </is>
      </c>
      <c r="B4155" s="1" t="n">
        <v>44532.48237268518</v>
      </c>
      <c r="C4155" s="1" t="n">
        <v>45884</v>
      </c>
      <c r="D4155" t="inlineStr">
        <is>
          <t>KALMAR LÄN</t>
        </is>
      </c>
      <c r="E4155" t="inlineStr">
        <is>
          <t>VÄSTERVIK</t>
        </is>
      </c>
      <c r="G4155" t="n">
        <v>4.4</v>
      </c>
      <c r="H4155" t="n">
        <v>0</v>
      </c>
      <c r="I4155" t="n">
        <v>0</v>
      </c>
      <c r="J4155" t="n">
        <v>0</v>
      </c>
      <c r="K4155" t="n">
        <v>0</v>
      </c>
      <c r="L4155" t="n">
        <v>0</v>
      </c>
      <c r="M4155" t="n">
        <v>0</v>
      </c>
      <c r="N4155" t="n">
        <v>0</v>
      </c>
      <c r="O4155" t="n">
        <v>0</v>
      </c>
      <c r="P4155" t="n">
        <v>0</v>
      </c>
      <c r="Q4155" t="n">
        <v>0</v>
      </c>
      <c r="R4155" s="2" t="inlineStr"/>
    </row>
    <row r="4156" ht="15" customHeight="1">
      <c r="A4156" t="inlineStr">
        <is>
          <t>A 69464-2021</t>
        </is>
      </c>
      <c r="B4156" s="1" t="n">
        <v>44531.67679398148</v>
      </c>
      <c r="C4156" s="1" t="n">
        <v>45884</v>
      </c>
      <c r="D4156" t="inlineStr">
        <is>
          <t>KALMAR LÄN</t>
        </is>
      </c>
      <c r="E4156" t="inlineStr">
        <is>
          <t>EMMABODA</t>
        </is>
      </c>
      <c r="G4156" t="n">
        <v>2.2</v>
      </c>
      <c r="H4156" t="n">
        <v>0</v>
      </c>
      <c r="I4156" t="n">
        <v>0</v>
      </c>
      <c r="J4156" t="n">
        <v>0</v>
      </c>
      <c r="K4156" t="n">
        <v>0</v>
      </c>
      <c r="L4156" t="n">
        <v>0</v>
      </c>
      <c r="M4156" t="n">
        <v>0</v>
      </c>
      <c r="N4156" t="n">
        <v>0</v>
      </c>
      <c r="O4156" t="n">
        <v>0</v>
      </c>
      <c r="P4156" t="n">
        <v>0</v>
      </c>
      <c r="Q4156" t="n">
        <v>0</v>
      </c>
      <c r="R4156" s="2" t="inlineStr"/>
    </row>
    <row r="4157" ht="15" customHeight="1">
      <c r="A4157" t="inlineStr">
        <is>
          <t>A 25717-2022</t>
        </is>
      </c>
      <c r="B4157" s="1" t="n">
        <v>44733.39600694444</v>
      </c>
      <c r="C4157" s="1" t="n">
        <v>45884</v>
      </c>
      <c r="D4157" t="inlineStr">
        <is>
          <t>KALMAR LÄN</t>
        </is>
      </c>
      <c r="E4157" t="inlineStr">
        <is>
          <t>NYBRO</t>
        </is>
      </c>
      <c r="G4157" t="n">
        <v>0.1</v>
      </c>
      <c r="H4157" t="n">
        <v>0</v>
      </c>
      <c r="I4157" t="n">
        <v>0</v>
      </c>
      <c r="J4157" t="n">
        <v>0</v>
      </c>
      <c r="K4157" t="n">
        <v>0</v>
      </c>
      <c r="L4157" t="n">
        <v>0</v>
      </c>
      <c r="M4157" t="n">
        <v>0</v>
      </c>
      <c r="N4157" t="n">
        <v>0</v>
      </c>
      <c r="O4157" t="n">
        <v>0</v>
      </c>
      <c r="P4157" t="n">
        <v>0</v>
      </c>
      <c r="Q4157" t="n">
        <v>0</v>
      </c>
      <c r="R4157" s="2" t="inlineStr"/>
    </row>
    <row r="4158" ht="15" customHeight="1">
      <c r="A4158" t="inlineStr">
        <is>
          <t>A 1614-2025</t>
        </is>
      </c>
      <c r="B4158" s="1" t="n">
        <v>45670.60094907408</v>
      </c>
      <c r="C4158" s="1" t="n">
        <v>45884</v>
      </c>
      <c r="D4158" t="inlineStr">
        <is>
          <t>KALMAR LÄN</t>
        </is>
      </c>
      <c r="E4158" t="inlineStr">
        <is>
          <t>BORGHOLM</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9589-2024</t>
        </is>
      </c>
      <c r="B4159" s="1" t="n">
        <v>45360.69631944445</v>
      </c>
      <c r="C4159" s="1" t="n">
        <v>45884</v>
      </c>
      <c r="D4159" t="inlineStr">
        <is>
          <t>KALMAR LÄN</t>
        </is>
      </c>
      <c r="E4159" t="inlineStr">
        <is>
          <t>HULTSFRED</t>
        </is>
      </c>
      <c r="F4159" t="inlineStr">
        <is>
          <t>Sveaskog</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50428-2024</t>
        </is>
      </c>
      <c r="B4160" s="1" t="n">
        <v>45600</v>
      </c>
      <c r="C4160" s="1" t="n">
        <v>45884</v>
      </c>
      <c r="D4160" t="inlineStr">
        <is>
          <t>KALMAR LÄN</t>
        </is>
      </c>
      <c r="E4160" t="inlineStr">
        <is>
          <t>HÖGSBY</t>
        </is>
      </c>
      <c r="G4160" t="n">
        <v>1.7</v>
      </c>
      <c r="H4160" t="n">
        <v>0</v>
      </c>
      <c r="I4160" t="n">
        <v>0</v>
      </c>
      <c r="J4160" t="n">
        <v>0</v>
      </c>
      <c r="K4160" t="n">
        <v>0</v>
      </c>
      <c r="L4160" t="n">
        <v>0</v>
      </c>
      <c r="M4160" t="n">
        <v>0</v>
      </c>
      <c r="N4160" t="n">
        <v>0</v>
      </c>
      <c r="O4160" t="n">
        <v>0</v>
      </c>
      <c r="P4160" t="n">
        <v>0</v>
      </c>
      <c r="Q4160" t="n">
        <v>0</v>
      </c>
      <c r="R4160" s="2" t="inlineStr"/>
    </row>
    <row r="4161" ht="15" customHeight="1">
      <c r="A4161" t="inlineStr">
        <is>
          <t>A 6896-2024</t>
        </is>
      </c>
      <c r="B4161" s="1" t="n">
        <v>45342.93903935186</v>
      </c>
      <c r="C4161" s="1" t="n">
        <v>45884</v>
      </c>
      <c r="D4161" t="inlineStr">
        <is>
          <t>KALMAR LÄN</t>
        </is>
      </c>
      <c r="E4161" t="inlineStr">
        <is>
          <t>NYBRO</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26433-2023</t>
        </is>
      </c>
      <c r="B4162" s="1" t="n">
        <v>45092.40744212963</v>
      </c>
      <c r="C4162" s="1" t="n">
        <v>45884</v>
      </c>
      <c r="D4162" t="inlineStr">
        <is>
          <t>KALMAR LÄN</t>
        </is>
      </c>
      <c r="E4162" t="inlineStr">
        <is>
          <t>OSKARSHAMN</t>
        </is>
      </c>
      <c r="G4162" t="n">
        <v>4</v>
      </c>
      <c r="H4162" t="n">
        <v>0</v>
      </c>
      <c r="I4162" t="n">
        <v>0</v>
      </c>
      <c r="J4162" t="n">
        <v>0</v>
      </c>
      <c r="K4162" t="n">
        <v>0</v>
      </c>
      <c r="L4162" t="n">
        <v>0</v>
      </c>
      <c r="M4162" t="n">
        <v>0</v>
      </c>
      <c r="N4162" t="n">
        <v>0</v>
      </c>
      <c r="O4162" t="n">
        <v>0</v>
      </c>
      <c r="P4162" t="n">
        <v>0</v>
      </c>
      <c r="Q4162" t="n">
        <v>0</v>
      </c>
      <c r="R4162" s="2" t="inlineStr"/>
    </row>
    <row r="4163" ht="15" customHeight="1">
      <c r="A4163" t="inlineStr">
        <is>
          <t>A 17179-2023</t>
        </is>
      </c>
      <c r="B4163" s="1" t="n">
        <v>45034</v>
      </c>
      <c r="C4163" s="1" t="n">
        <v>45884</v>
      </c>
      <c r="D4163" t="inlineStr">
        <is>
          <t>KALMAR LÄN</t>
        </is>
      </c>
      <c r="E4163" t="inlineStr">
        <is>
          <t>OSKARSHAMN</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19686-2023</t>
        </is>
      </c>
      <c r="B4164" s="1" t="n">
        <v>45051</v>
      </c>
      <c r="C4164" s="1" t="n">
        <v>45884</v>
      </c>
      <c r="D4164" t="inlineStr">
        <is>
          <t>KALMAR LÄN</t>
        </is>
      </c>
      <c r="E4164" t="inlineStr">
        <is>
          <t>EMMABODA</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19695-2023</t>
        </is>
      </c>
      <c r="B4165" s="1" t="n">
        <v>45051.4380787037</v>
      </c>
      <c r="C4165" s="1" t="n">
        <v>45884</v>
      </c>
      <c r="D4165" t="inlineStr">
        <is>
          <t>KALMAR LÄN</t>
        </is>
      </c>
      <c r="E4165" t="inlineStr">
        <is>
          <t>EMMABODA</t>
        </is>
      </c>
      <c r="G4165" t="n">
        <v>4.5</v>
      </c>
      <c r="H4165" t="n">
        <v>0</v>
      </c>
      <c r="I4165" t="n">
        <v>0</v>
      </c>
      <c r="J4165" t="n">
        <v>0</v>
      </c>
      <c r="K4165" t="n">
        <v>0</v>
      </c>
      <c r="L4165" t="n">
        <v>0</v>
      </c>
      <c r="M4165" t="n">
        <v>0</v>
      </c>
      <c r="N4165" t="n">
        <v>0</v>
      </c>
      <c r="O4165" t="n">
        <v>0</v>
      </c>
      <c r="P4165" t="n">
        <v>0</v>
      </c>
      <c r="Q4165" t="n">
        <v>0</v>
      </c>
      <c r="R4165" s="2" t="inlineStr"/>
    </row>
    <row r="4166" ht="15" customHeight="1">
      <c r="A4166" t="inlineStr">
        <is>
          <t>A 47363-2023</t>
        </is>
      </c>
      <c r="B4166" s="1" t="n">
        <v>45202.59584490741</v>
      </c>
      <c r="C4166" s="1" t="n">
        <v>45884</v>
      </c>
      <c r="D4166" t="inlineStr">
        <is>
          <t>KALMAR LÄN</t>
        </is>
      </c>
      <c r="E4166" t="inlineStr">
        <is>
          <t>VÄSTERVIK</t>
        </is>
      </c>
      <c r="G4166" t="n">
        <v>2.5</v>
      </c>
      <c r="H4166" t="n">
        <v>0</v>
      </c>
      <c r="I4166" t="n">
        <v>0</v>
      </c>
      <c r="J4166" t="n">
        <v>0</v>
      </c>
      <c r="K4166" t="n">
        <v>0</v>
      </c>
      <c r="L4166" t="n">
        <v>0</v>
      </c>
      <c r="M4166" t="n">
        <v>0</v>
      </c>
      <c r="N4166" t="n">
        <v>0</v>
      </c>
      <c r="O4166" t="n">
        <v>0</v>
      </c>
      <c r="P4166" t="n">
        <v>0</v>
      </c>
      <c r="Q4166" t="n">
        <v>0</v>
      </c>
      <c r="R4166" s="2" t="inlineStr"/>
    </row>
    <row r="4167" ht="15" customHeight="1">
      <c r="A4167" t="inlineStr">
        <is>
          <t>A 59566-2020</t>
        </is>
      </c>
      <c r="B4167" s="1" t="n">
        <v>44148.72329861111</v>
      </c>
      <c r="C4167" s="1" t="n">
        <v>45884</v>
      </c>
      <c r="D4167" t="inlineStr">
        <is>
          <t>KALMAR LÄN</t>
        </is>
      </c>
      <c r="E4167" t="inlineStr">
        <is>
          <t>TORSÅS</t>
        </is>
      </c>
      <c r="G4167" t="n">
        <v>0.4</v>
      </c>
      <c r="H4167" t="n">
        <v>0</v>
      </c>
      <c r="I4167" t="n">
        <v>0</v>
      </c>
      <c r="J4167" t="n">
        <v>0</v>
      </c>
      <c r="K4167" t="n">
        <v>0</v>
      </c>
      <c r="L4167" t="n">
        <v>0</v>
      </c>
      <c r="M4167" t="n">
        <v>0</v>
      </c>
      <c r="N4167" t="n">
        <v>0</v>
      </c>
      <c r="O4167" t="n">
        <v>0</v>
      </c>
      <c r="P4167" t="n">
        <v>0</v>
      </c>
      <c r="Q4167" t="n">
        <v>0</v>
      </c>
      <c r="R4167" s="2" t="inlineStr"/>
    </row>
    <row r="4168" ht="15" customHeight="1">
      <c r="A4168" t="inlineStr">
        <is>
          <t>A 34559-2021</t>
        </is>
      </c>
      <c r="B4168" s="1" t="n">
        <v>44382</v>
      </c>
      <c r="C4168" s="1" t="n">
        <v>45884</v>
      </c>
      <c r="D4168" t="inlineStr">
        <is>
          <t>KALMAR LÄN</t>
        </is>
      </c>
      <c r="E4168" t="inlineStr">
        <is>
          <t>NYBRO</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28636-2023</t>
        </is>
      </c>
      <c r="B4169" s="1" t="n">
        <v>45103</v>
      </c>
      <c r="C4169" s="1" t="n">
        <v>45884</v>
      </c>
      <c r="D4169" t="inlineStr">
        <is>
          <t>KALMAR LÄN</t>
        </is>
      </c>
      <c r="E4169" t="inlineStr">
        <is>
          <t>NYBRO</t>
        </is>
      </c>
      <c r="G4169" t="n">
        <v>2.9</v>
      </c>
      <c r="H4169" t="n">
        <v>0</v>
      </c>
      <c r="I4169" t="n">
        <v>0</v>
      </c>
      <c r="J4169" t="n">
        <v>0</v>
      </c>
      <c r="K4169" t="n">
        <v>0</v>
      </c>
      <c r="L4169" t="n">
        <v>0</v>
      </c>
      <c r="M4169" t="n">
        <v>0</v>
      </c>
      <c r="N4169" t="n">
        <v>0</v>
      </c>
      <c r="O4169" t="n">
        <v>0</v>
      </c>
      <c r="P4169" t="n">
        <v>0</v>
      </c>
      <c r="Q4169" t="n">
        <v>0</v>
      </c>
      <c r="R4169" s="2" t="inlineStr"/>
    </row>
    <row r="4170" ht="15" customHeight="1">
      <c r="A4170" t="inlineStr">
        <is>
          <t>A 28648-2023</t>
        </is>
      </c>
      <c r="B4170" s="1" t="n">
        <v>45103.64608796296</v>
      </c>
      <c r="C4170" s="1" t="n">
        <v>45884</v>
      </c>
      <c r="D4170" t="inlineStr">
        <is>
          <t>KALMAR LÄN</t>
        </is>
      </c>
      <c r="E4170" t="inlineStr">
        <is>
          <t>HÖGSBY</t>
        </is>
      </c>
      <c r="F4170" t="inlineStr">
        <is>
          <t>Sveaskog</t>
        </is>
      </c>
      <c r="G4170" t="n">
        <v>5.6</v>
      </c>
      <c r="H4170" t="n">
        <v>0</v>
      </c>
      <c r="I4170" t="n">
        <v>0</v>
      </c>
      <c r="J4170" t="n">
        <v>0</v>
      </c>
      <c r="K4170" t="n">
        <v>0</v>
      </c>
      <c r="L4170" t="n">
        <v>0</v>
      </c>
      <c r="M4170" t="n">
        <v>0</v>
      </c>
      <c r="N4170" t="n">
        <v>0</v>
      </c>
      <c r="O4170" t="n">
        <v>0</v>
      </c>
      <c r="P4170" t="n">
        <v>0</v>
      </c>
      <c r="Q4170" t="n">
        <v>0</v>
      </c>
      <c r="R4170" s="2" t="inlineStr"/>
    </row>
    <row r="4171" ht="15" customHeight="1">
      <c r="A4171" t="inlineStr">
        <is>
          <t>A 33815-2022</t>
        </is>
      </c>
      <c r="B4171" s="1" t="n">
        <v>44790.45876157407</v>
      </c>
      <c r="C4171" s="1" t="n">
        <v>45884</v>
      </c>
      <c r="D4171" t="inlineStr">
        <is>
          <t>KALMAR LÄN</t>
        </is>
      </c>
      <c r="E4171" t="inlineStr">
        <is>
          <t>VIMMERBY</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33842-2022</t>
        </is>
      </c>
      <c r="B4172" s="1" t="n">
        <v>44790.49523148148</v>
      </c>
      <c r="C4172" s="1" t="n">
        <v>45884</v>
      </c>
      <c r="D4172" t="inlineStr">
        <is>
          <t>KALMAR LÄN</t>
        </is>
      </c>
      <c r="E4172" t="inlineStr">
        <is>
          <t>VIMMERBY</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37716-2023</t>
        </is>
      </c>
      <c r="B4173" s="1" t="n">
        <v>45159</v>
      </c>
      <c r="C4173" s="1" t="n">
        <v>45884</v>
      </c>
      <c r="D4173" t="inlineStr">
        <is>
          <t>KALMAR LÄN</t>
        </is>
      </c>
      <c r="E4173" t="inlineStr">
        <is>
          <t>VÄSTERVIK</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5686-2025</t>
        </is>
      </c>
      <c r="B4174" s="1" t="n">
        <v>45694.35719907407</v>
      </c>
      <c r="C4174" s="1" t="n">
        <v>45884</v>
      </c>
      <c r="D4174" t="inlineStr">
        <is>
          <t>KALMAR LÄN</t>
        </is>
      </c>
      <c r="E4174" t="inlineStr">
        <is>
          <t>NYBRO</t>
        </is>
      </c>
      <c r="G4174" t="n">
        <v>2.6</v>
      </c>
      <c r="H4174" t="n">
        <v>0</v>
      </c>
      <c r="I4174" t="n">
        <v>0</v>
      </c>
      <c r="J4174" t="n">
        <v>0</v>
      </c>
      <c r="K4174" t="n">
        <v>0</v>
      </c>
      <c r="L4174" t="n">
        <v>0</v>
      </c>
      <c r="M4174" t="n">
        <v>0</v>
      </c>
      <c r="N4174" t="n">
        <v>0</v>
      </c>
      <c r="O4174" t="n">
        <v>0</v>
      </c>
      <c r="P4174" t="n">
        <v>0</v>
      </c>
      <c r="Q4174" t="n">
        <v>0</v>
      </c>
      <c r="R4174" s="2" t="inlineStr"/>
    </row>
    <row r="4175" ht="15" customHeight="1">
      <c r="A4175" t="inlineStr">
        <is>
          <t>A 30273-2024</t>
        </is>
      </c>
      <c r="B4175" s="1" t="n">
        <v>45490.61532407408</v>
      </c>
      <c r="C4175" s="1" t="n">
        <v>45884</v>
      </c>
      <c r="D4175" t="inlineStr">
        <is>
          <t>KALMAR LÄN</t>
        </is>
      </c>
      <c r="E4175" t="inlineStr">
        <is>
          <t>OSKARSHAMN</t>
        </is>
      </c>
      <c r="G4175" t="n">
        <v>0.3</v>
      </c>
      <c r="H4175" t="n">
        <v>0</v>
      </c>
      <c r="I4175" t="n">
        <v>0</v>
      </c>
      <c r="J4175" t="n">
        <v>0</v>
      </c>
      <c r="K4175" t="n">
        <v>0</v>
      </c>
      <c r="L4175" t="n">
        <v>0</v>
      </c>
      <c r="M4175" t="n">
        <v>0</v>
      </c>
      <c r="N4175" t="n">
        <v>0</v>
      </c>
      <c r="O4175" t="n">
        <v>0</v>
      </c>
      <c r="P4175" t="n">
        <v>0</v>
      </c>
      <c r="Q4175" t="n">
        <v>0</v>
      </c>
      <c r="R4175" s="2" t="inlineStr"/>
    </row>
    <row r="4176" ht="15" customHeight="1">
      <c r="A4176" t="inlineStr">
        <is>
          <t>A 3759-2024</t>
        </is>
      </c>
      <c r="B4176" s="1" t="n">
        <v>45321.55706018519</v>
      </c>
      <c r="C4176" s="1" t="n">
        <v>45884</v>
      </c>
      <c r="D4176" t="inlineStr">
        <is>
          <t>KALMAR LÄN</t>
        </is>
      </c>
      <c r="E4176" t="inlineStr">
        <is>
          <t>MÖNSTERÅS</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3776-2024</t>
        </is>
      </c>
      <c r="B4177" s="1" t="n">
        <v>45321.58569444445</v>
      </c>
      <c r="C4177" s="1" t="n">
        <v>45884</v>
      </c>
      <c r="D4177" t="inlineStr">
        <is>
          <t>KALMAR LÄN</t>
        </is>
      </c>
      <c r="E4177" t="inlineStr">
        <is>
          <t>VÄSTERVIK</t>
        </is>
      </c>
      <c r="G4177" t="n">
        <v>4.8</v>
      </c>
      <c r="H4177" t="n">
        <v>0</v>
      </c>
      <c r="I4177" t="n">
        <v>0</v>
      </c>
      <c r="J4177" t="n">
        <v>0</v>
      </c>
      <c r="K4177" t="n">
        <v>0</v>
      </c>
      <c r="L4177" t="n">
        <v>0</v>
      </c>
      <c r="M4177" t="n">
        <v>0</v>
      </c>
      <c r="N4177" t="n">
        <v>0</v>
      </c>
      <c r="O4177" t="n">
        <v>0</v>
      </c>
      <c r="P4177" t="n">
        <v>0</v>
      </c>
      <c r="Q4177" t="n">
        <v>0</v>
      </c>
      <c r="R4177" s="2" t="inlineStr"/>
    </row>
    <row r="4178" ht="15" customHeight="1">
      <c r="A4178" t="inlineStr">
        <is>
          <t>A 3828-2024</t>
        </is>
      </c>
      <c r="B4178" s="1" t="n">
        <v>45321</v>
      </c>
      <c r="C4178" s="1" t="n">
        <v>45884</v>
      </c>
      <c r="D4178" t="inlineStr">
        <is>
          <t>KALMAR LÄN</t>
        </is>
      </c>
      <c r="E4178" t="inlineStr">
        <is>
          <t>VÄSTERVIK</t>
        </is>
      </c>
      <c r="F4178" t="inlineStr">
        <is>
          <t>Holmen skog AB</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5691-2025</t>
        </is>
      </c>
      <c r="B4179" s="1" t="n">
        <v>45694.37447916667</v>
      </c>
      <c r="C4179" s="1" t="n">
        <v>45884</v>
      </c>
      <c r="D4179" t="inlineStr">
        <is>
          <t>KALMAR LÄN</t>
        </is>
      </c>
      <c r="E4179" t="inlineStr">
        <is>
          <t>VÄSTERVIK</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13564-2025</t>
        </is>
      </c>
      <c r="B4180" s="1" t="n">
        <v>45736.56527777778</v>
      </c>
      <c r="C4180" s="1" t="n">
        <v>45884</v>
      </c>
      <c r="D4180" t="inlineStr">
        <is>
          <t>KALMAR LÄN</t>
        </is>
      </c>
      <c r="E4180" t="inlineStr">
        <is>
          <t>EMMABODA</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59456-2023</t>
        </is>
      </c>
      <c r="B4181" s="1" t="n">
        <v>45254.37971064815</v>
      </c>
      <c r="C4181" s="1" t="n">
        <v>45884</v>
      </c>
      <c r="D4181" t="inlineStr">
        <is>
          <t>KALMAR LÄN</t>
        </is>
      </c>
      <c r="E4181" t="inlineStr">
        <is>
          <t>OSKARSHAMN</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52459-2023</t>
        </is>
      </c>
      <c r="B4182" s="1" t="n">
        <v>45225</v>
      </c>
      <c r="C4182" s="1" t="n">
        <v>45884</v>
      </c>
      <c r="D4182" t="inlineStr">
        <is>
          <t>KALMAR LÄN</t>
        </is>
      </c>
      <c r="E4182" t="inlineStr">
        <is>
          <t>NYBRO</t>
        </is>
      </c>
      <c r="G4182" t="n">
        <v>6.5</v>
      </c>
      <c r="H4182" t="n">
        <v>0</v>
      </c>
      <c r="I4182" t="n">
        <v>0</v>
      </c>
      <c r="J4182" t="n">
        <v>0</v>
      </c>
      <c r="K4182" t="n">
        <v>0</v>
      </c>
      <c r="L4182" t="n">
        <v>0</v>
      </c>
      <c r="M4182" t="n">
        <v>0</v>
      </c>
      <c r="N4182" t="n">
        <v>0</v>
      </c>
      <c r="O4182" t="n">
        <v>0</v>
      </c>
      <c r="P4182" t="n">
        <v>0</v>
      </c>
      <c r="Q4182" t="n">
        <v>0</v>
      </c>
      <c r="R4182" s="2" t="inlineStr"/>
    </row>
    <row r="4183" ht="15" customHeight="1">
      <c r="A4183" t="inlineStr">
        <is>
          <t>A 53024-2021</t>
        </is>
      </c>
      <c r="B4183" s="1" t="n">
        <v>44467.68127314815</v>
      </c>
      <c r="C4183" s="1" t="n">
        <v>45884</v>
      </c>
      <c r="D4183" t="inlineStr">
        <is>
          <t>KALMAR LÄN</t>
        </is>
      </c>
      <c r="E4183" t="inlineStr">
        <is>
          <t>OSKARSHAMN</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13781-2024</t>
        </is>
      </c>
      <c r="B4184" s="1" t="n">
        <v>45391.33564814815</v>
      </c>
      <c r="C4184" s="1" t="n">
        <v>45884</v>
      </c>
      <c r="D4184" t="inlineStr">
        <is>
          <t>KALMAR LÄN</t>
        </is>
      </c>
      <c r="E4184" t="inlineStr">
        <is>
          <t>HULTSFRED</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13786-2024</t>
        </is>
      </c>
      <c r="B4185" s="1" t="n">
        <v>45391.33994212963</v>
      </c>
      <c r="C4185" s="1" t="n">
        <v>45884</v>
      </c>
      <c r="D4185" t="inlineStr">
        <is>
          <t>KALMAR LÄN</t>
        </is>
      </c>
      <c r="E4185" t="inlineStr">
        <is>
          <t>HULTSFRED</t>
        </is>
      </c>
      <c r="G4185" t="n">
        <v>3</v>
      </c>
      <c r="H4185" t="n">
        <v>0</v>
      </c>
      <c r="I4185" t="n">
        <v>0</v>
      </c>
      <c r="J4185" t="n">
        <v>0</v>
      </c>
      <c r="K4185" t="n">
        <v>0</v>
      </c>
      <c r="L4185" t="n">
        <v>0</v>
      </c>
      <c r="M4185" t="n">
        <v>0</v>
      </c>
      <c r="N4185" t="n">
        <v>0</v>
      </c>
      <c r="O4185" t="n">
        <v>0</v>
      </c>
      <c r="P4185" t="n">
        <v>0</v>
      </c>
      <c r="Q4185" t="n">
        <v>0</v>
      </c>
      <c r="R4185" s="2" t="inlineStr"/>
    </row>
    <row r="4186" ht="15" customHeight="1">
      <c r="A4186" t="inlineStr">
        <is>
          <t>A 13837-2024</t>
        </is>
      </c>
      <c r="B4186" s="1" t="n">
        <v>45391.4450462963</v>
      </c>
      <c r="C4186" s="1" t="n">
        <v>45884</v>
      </c>
      <c r="D4186" t="inlineStr">
        <is>
          <t>KALMAR LÄN</t>
        </is>
      </c>
      <c r="E4186" t="inlineStr">
        <is>
          <t>VÄSTERVIK</t>
        </is>
      </c>
      <c r="F4186" t="inlineStr">
        <is>
          <t>Sveaskog</t>
        </is>
      </c>
      <c r="G4186" t="n">
        <v>2.9</v>
      </c>
      <c r="H4186" t="n">
        <v>0</v>
      </c>
      <c r="I4186" t="n">
        <v>0</v>
      </c>
      <c r="J4186" t="n">
        <v>0</v>
      </c>
      <c r="K4186" t="n">
        <v>0</v>
      </c>
      <c r="L4186" t="n">
        <v>0</v>
      </c>
      <c r="M4186" t="n">
        <v>0</v>
      </c>
      <c r="N4186" t="n">
        <v>0</v>
      </c>
      <c r="O4186" t="n">
        <v>0</v>
      </c>
      <c r="P4186" t="n">
        <v>0</v>
      </c>
      <c r="Q4186" t="n">
        <v>0</v>
      </c>
      <c r="R4186" s="2" t="inlineStr"/>
    </row>
    <row r="4187" ht="15" customHeight="1">
      <c r="A4187" t="inlineStr">
        <is>
          <t>A 13839-2024</t>
        </is>
      </c>
      <c r="B4187" s="1" t="n">
        <v>45391.44789351852</v>
      </c>
      <c r="C4187" s="1" t="n">
        <v>45884</v>
      </c>
      <c r="D4187" t="inlineStr">
        <is>
          <t>KALMAR LÄN</t>
        </is>
      </c>
      <c r="E4187" t="inlineStr">
        <is>
          <t>VÄSTERVIK</t>
        </is>
      </c>
      <c r="F4187" t="inlineStr">
        <is>
          <t>Sveaskog</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13843-2024</t>
        </is>
      </c>
      <c r="B4188" s="1" t="n">
        <v>45391.45087962963</v>
      </c>
      <c r="C4188" s="1" t="n">
        <v>45884</v>
      </c>
      <c r="D4188" t="inlineStr">
        <is>
          <t>KALMAR LÄN</t>
        </is>
      </c>
      <c r="E4188" t="inlineStr">
        <is>
          <t>VÄSTERVIK</t>
        </is>
      </c>
      <c r="F4188" t="inlineStr">
        <is>
          <t>Sveaskog</t>
        </is>
      </c>
      <c r="G4188" t="n">
        <v>2.7</v>
      </c>
      <c r="H4188" t="n">
        <v>0</v>
      </c>
      <c r="I4188" t="n">
        <v>0</v>
      </c>
      <c r="J4188" t="n">
        <v>0</v>
      </c>
      <c r="K4188" t="n">
        <v>0</v>
      </c>
      <c r="L4188" t="n">
        <v>0</v>
      </c>
      <c r="M4188" t="n">
        <v>0</v>
      </c>
      <c r="N4188" t="n">
        <v>0</v>
      </c>
      <c r="O4188" t="n">
        <v>0</v>
      </c>
      <c r="P4188" t="n">
        <v>0</v>
      </c>
      <c r="Q4188" t="n">
        <v>0</v>
      </c>
      <c r="R4188" s="2" t="inlineStr"/>
    </row>
    <row r="4189" ht="15" customHeight="1">
      <c r="A4189" t="inlineStr">
        <is>
          <t>A 52598-2023</t>
        </is>
      </c>
      <c r="B4189" s="1" t="n">
        <v>45225</v>
      </c>
      <c r="C4189" s="1" t="n">
        <v>45884</v>
      </c>
      <c r="D4189" t="inlineStr">
        <is>
          <t>KALMAR LÄN</t>
        </is>
      </c>
      <c r="E4189" t="inlineStr">
        <is>
          <t>TORSÅS</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38600-2024</t>
        </is>
      </c>
      <c r="B4190" s="1" t="n">
        <v>45546.67505787037</v>
      </c>
      <c r="C4190" s="1" t="n">
        <v>45884</v>
      </c>
      <c r="D4190" t="inlineStr">
        <is>
          <t>KALMAR LÄN</t>
        </is>
      </c>
      <c r="E4190" t="inlineStr">
        <is>
          <t>HÖGSBY</t>
        </is>
      </c>
      <c r="F4190" t="inlineStr">
        <is>
          <t>Sveaskog</t>
        </is>
      </c>
      <c r="G4190" t="n">
        <v>2.4</v>
      </c>
      <c r="H4190" t="n">
        <v>0</v>
      </c>
      <c r="I4190" t="n">
        <v>0</v>
      </c>
      <c r="J4190" t="n">
        <v>0</v>
      </c>
      <c r="K4190" t="n">
        <v>0</v>
      </c>
      <c r="L4190" t="n">
        <v>0</v>
      </c>
      <c r="M4190" t="n">
        <v>0</v>
      </c>
      <c r="N4190" t="n">
        <v>0</v>
      </c>
      <c r="O4190" t="n">
        <v>0</v>
      </c>
      <c r="P4190" t="n">
        <v>0</v>
      </c>
      <c r="Q4190" t="n">
        <v>0</v>
      </c>
      <c r="R4190" s="2" t="inlineStr"/>
    </row>
    <row r="4191" ht="15" customHeight="1">
      <c r="A4191" t="inlineStr">
        <is>
          <t>A 59977-2023</t>
        </is>
      </c>
      <c r="B4191" s="1" t="n">
        <v>45257.7815625</v>
      </c>
      <c r="C4191" s="1" t="n">
        <v>45884</v>
      </c>
      <c r="D4191" t="inlineStr">
        <is>
          <t>KALMAR LÄN</t>
        </is>
      </c>
      <c r="E4191" t="inlineStr">
        <is>
          <t>HULTSFRED</t>
        </is>
      </c>
      <c r="F4191" t="inlineStr">
        <is>
          <t>Sveaskog</t>
        </is>
      </c>
      <c r="G4191" t="n">
        <v>0.4</v>
      </c>
      <c r="H4191" t="n">
        <v>0</v>
      </c>
      <c r="I4191" t="n">
        <v>0</v>
      </c>
      <c r="J4191" t="n">
        <v>0</v>
      </c>
      <c r="K4191" t="n">
        <v>0</v>
      </c>
      <c r="L4191" t="n">
        <v>0</v>
      </c>
      <c r="M4191" t="n">
        <v>0</v>
      </c>
      <c r="N4191" t="n">
        <v>0</v>
      </c>
      <c r="O4191" t="n">
        <v>0</v>
      </c>
      <c r="P4191" t="n">
        <v>0</v>
      </c>
      <c r="Q4191" t="n">
        <v>0</v>
      </c>
      <c r="R4191" s="2" t="inlineStr"/>
    </row>
    <row r="4192" ht="15" customHeight="1">
      <c r="A4192" t="inlineStr">
        <is>
          <t>A 33067-2023</t>
        </is>
      </c>
      <c r="B4192" s="1" t="n">
        <v>45126.38699074074</v>
      </c>
      <c r="C4192" s="1" t="n">
        <v>45884</v>
      </c>
      <c r="D4192" t="inlineStr">
        <is>
          <t>KALMAR LÄN</t>
        </is>
      </c>
      <c r="E4192" t="inlineStr">
        <is>
          <t>EMMABODA</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33081-2023</t>
        </is>
      </c>
      <c r="B4193" s="1" t="n">
        <v>45126.47204861111</v>
      </c>
      <c r="C4193" s="1" t="n">
        <v>45884</v>
      </c>
      <c r="D4193" t="inlineStr">
        <is>
          <t>KALMAR LÄN</t>
        </is>
      </c>
      <c r="E4193" t="inlineStr">
        <is>
          <t>EMMABODA</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16015-2025</t>
        </is>
      </c>
      <c r="B4194" s="1" t="n">
        <v>45749.60487268519</v>
      </c>
      <c r="C4194" s="1" t="n">
        <v>45884</v>
      </c>
      <c r="D4194" t="inlineStr">
        <is>
          <t>KALMAR LÄN</t>
        </is>
      </c>
      <c r="E4194" t="inlineStr">
        <is>
          <t>VIMMERBY</t>
        </is>
      </c>
      <c r="F4194" t="inlineStr">
        <is>
          <t>Kyrkan</t>
        </is>
      </c>
      <c r="G4194" t="n">
        <v>2.7</v>
      </c>
      <c r="H4194" t="n">
        <v>0</v>
      </c>
      <c r="I4194" t="n">
        <v>0</v>
      </c>
      <c r="J4194" t="n">
        <v>0</v>
      </c>
      <c r="K4194" t="n">
        <v>0</v>
      </c>
      <c r="L4194" t="n">
        <v>0</v>
      </c>
      <c r="M4194" t="n">
        <v>0</v>
      </c>
      <c r="N4194" t="n">
        <v>0</v>
      </c>
      <c r="O4194" t="n">
        <v>0</v>
      </c>
      <c r="P4194" t="n">
        <v>0</v>
      </c>
      <c r="Q4194" t="n">
        <v>0</v>
      </c>
      <c r="R4194" s="2" t="inlineStr"/>
    </row>
    <row r="4195" ht="15" customHeight="1">
      <c r="A4195" t="inlineStr">
        <is>
          <t>A 16037-2025</t>
        </is>
      </c>
      <c r="B4195" s="1" t="n">
        <v>45748</v>
      </c>
      <c r="C4195" s="1" t="n">
        <v>45884</v>
      </c>
      <c r="D4195" t="inlineStr">
        <is>
          <t>KALMAR LÄN</t>
        </is>
      </c>
      <c r="E4195" t="inlineStr">
        <is>
          <t>HULTSFRED</t>
        </is>
      </c>
      <c r="G4195" t="n">
        <v>2.8</v>
      </c>
      <c r="H4195" t="n">
        <v>0</v>
      </c>
      <c r="I4195" t="n">
        <v>0</v>
      </c>
      <c r="J4195" t="n">
        <v>0</v>
      </c>
      <c r="K4195" t="n">
        <v>0</v>
      </c>
      <c r="L4195" t="n">
        <v>0</v>
      </c>
      <c r="M4195" t="n">
        <v>0</v>
      </c>
      <c r="N4195" t="n">
        <v>0</v>
      </c>
      <c r="O4195" t="n">
        <v>0</v>
      </c>
      <c r="P4195" t="n">
        <v>0</v>
      </c>
      <c r="Q4195" t="n">
        <v>0</v>
      </c>
      <c r="R4195" s="2" t="inlineStr"/>
    </row>
    <row r="4196" ht="15" customHeight="1">
      <c r="A4196" t="inlineStr">
        <is>
          <t>A 36309-2021</t>
        </is>
      </c>
      <c r="B4196" s="1" t="n">
        <v>44390.44760416666</v>
      </c>
      <c r="C4196" s="1" t="n">
        <v>45884</v>
      </c>
      <c r="D4196" t="inlineStr">
        <is>
          <t>KALMAR LÄN</t>
        </is>
      </c>
      <c r="E4196" t="inlineStr">
        <is>
          <t>NYBRO</t>
        </is>
      </c>
      <c r="F4196" t="inlineStr">
        <is>
          <t>Sveaskog</t>
        </is>
      </c>
      <c r="G4196" t="n">
        <v>3.6</v>
      </c>
      <c r="H4196" t="n">
        <v>0</v>
      </c>
      <c r="I4196" t="n">
        <v>0</v>
      </c>
      <c r="J4196" t="n">
        <v>0</v>
      </c>
      <c r="K4196" t="n">
        <v>0</v>
      </c>
      <c r="L4196" t="n">
        <v>0</v>
      </c>
      <c r="M4196" t="n">
        <v>0</v>
      </c>
      <c r="N4196" t="n">
        <v>0</v>
      </c>
      <c r="O4196" t="n">
        <v>0</v>
      </c>
      <c r="P4196" t="n">
        <v>0</v>
      </c>
      <c r="Q4196" t="n">
        <v>0</v>
      </c>
      <c r="R4196" s="2" t="inlineStr"/>
    </row>
    <row r="4197" ht="15" customHeight="1">
      <c r="A4197" t="inlineStr">
        <is>
          <t>A 16678-2025</t>
        </is>
      </c>
      <c r="B4197" s="1" t="n">
        <v>45754.4484375</v>
      </c>
      <c r="C4197" s="1" t="n">
        <v>45884</v>
      </c>
      <c r="D4197" t="inlineStr">
        <is>
          <t>KALMAR LÄN</t>
        </is>
      </c>
      <c r="E4197" t="inlineStr">
        <is>
          <t>NYBRO</t>
        </is>
      </c>
      <c r="F4197" t="inlineStr">
        <is>
          <t>Sveaskog</t>
        </is>
      </c>
      <c r="G4197" t="n">
        <v>2.2</v>
      </c>
      <c r="H4197" t="n">
        <v>0</v>
      </c>
      <c r="I4197" t="n">
        <v>0</v>
      </c>
      <c r="J4197" t="n">
        <v>0</v>
      </c>
      <c r="K4197" t="n">
        <v>0</v>
      </c>
      <c r="L4197" t="n">
        <v>0</v>
      </c>
      <c r="M4197" t="n">
        <v>0</v>
      </c>
      <c r="N4197" t="n">
        <v>0</v>
      </c>
      <c r="O4197" t="n">
        <v>0</v>
      </c>
      <c r="P4197" t="n">
        <v>0</v>
      </c>
      <c r="Q4197" t="n">
        <v>0</v>
      </c>
      <c r="R4197" s="2" t="inlineStr"/>
    </row>
    <row r="4198" ht="15" customHeight="1">
      <c r="A4198" t="inlineStr">
        <is>
          <t>A 18803-2025</t>
        </is>
      </c>
      <c r="B4198" s="1" t="n">
        <v>45764.35086805555</v>
      </c>
      <c r="C4198" s="1" t="n">
        <v>45884</v>
      </c>
      <c r="D4198" t="inlineStr">
        <is>
          <t>KALMAR LÄN</t>
        </is>
      </c>
      <c r="E4198" t="inlineStr">
        <is>
          <t>MÖNSTERÅS</t>
        </is>
      </c>
      <c r="G4198" t="n">
        <v>7.8</v>
      </c>
      <c r="H4198" t="n">
        <v>0</v>
      </c>
      <c r="I4198" t="n">
        <v>0</v>
      </c>
      <c r="J4198" t="n">
        <v>0</v>
      </c>
      <c r="K4198" t="n">
        <v>0</v>
      </c>
      <c r="L4198" t="n">
        <v>0</v>
      </c>
      <c r="M4198" t="n">
        <v>0</v>
      </c>
      <c r="N4198" t="n">
        <v>0</v>
      </c>
      <c r="O4198" t="n">
        <v>0</v>
      </c>
      <c r="P4198" t="n">
        <v>0</v>
      </c>
      <c r="Q4198" t="n">
        <v>0</v>
      </c>
      <c r="R4198" s="2" t="inlineStr"/>
    </row>
    <row r="4199" ht="15" customHeight="1">
      <c r="A4199" t="inlineStr">
        <is>
          <t>A 5889-2023</t>
        </is>
      </c>
      <c r="B4199" s="1" t="n">
        <v>44963</v>
      </c>
      <c r="C4199" s="1" t="n">
        <v>45884</v>
      </c>
      <c r="D4199" t="inlineStr">
        <is>
          <t>KALMAR LÄN</t>
        </is>
      </c>
      <c r="E4199" t="inlineStr">
        <is>
          <t>OSKARSHAMN</t>
        </is>
      </c>
      <c r="G4199" t="n">
        <v>3.7</v>
      </c>
      <c r="H4199" t="n">
        <v>0</v>
      </c>
      <c r="I4199" t="n">
        <v>0</v>
      </c>
      <c r="J4199" t="n">
        <v>0</v>
      </c>
      <c r="K4199" t="n">
        <v>0</v>
      </c>
      <c r="L4199" t="n">
        <v>0</v>
      </c>
      <c r="M4199" t="n">
        <v>0</v>
      </c>
      <c r="N4199" t="n">
        <v>0</v>
      </c>
      <c r="O4199" t="n">
        <v>0</v>
      </c>
      <c r="P4199" t="n">
        <v>0</v>
      </c>
      <c r="Q4199" t="n">
        <v>0</v>
      </c>
      <c r="R4199" s="2" t="inlineStr"/>
    </row>
    <row r="4200" ht="15" customHeight="1">
      <c r="A4200" t="inlineStr">
        <is>
          <t>A 5903-2023</t>
        </is>
      </c>
      <c r="B4200" s="1" t="n">
        <v>44963</v>
      </c>
      <c r="C4200" s="1" t="n">
        <v>45884</v>
      </c>
      <c r="D4200" t="inlineStr">
        <is>
          <t>KALMAR LÄN</t>
        </is>
      </c>
      <c r="E4200" t="inlineStr">
        <is>
          <t>KALMAR</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12566-2021</t>
        </is>
      </c>
      <c r="B4201" s="1" t="n">
        <v>44270</v>
      </c>
      <c r="C4201" s="1" t="n">
        <v>45884</v>
      </c>
      <c r="D4201" t="inlineStr">
        <is>
          <t>KALMAR LÄN</t>
        </is>
      </c>
      <c r="E4201" t="inlineStr">
        <is>
          <t>NYBRO</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10546-2025</t>
        </is>
      </c>
      <c r="B4202" s="1" t="n">
        <v>45721.49203703704</v>
      </c>
      <c r="C4202" s="1" t="n">
        <v>45884</v>
      </c>
      <c r="D4202" t="inlineStr">
        <is>
          <t>KALMAR LÄN</t>
        </is>
      </c>
      <c r="E4202" t="inlineStr">
        <is>
          <t>HÖGSBY</t>
        </is>
      </c>
      <c r="G4202" t="n">
        <v>2.6</v>
      </c>
      <c r="H4202" t="n">
        <v>0</v>
      </c>
      <c r="I4202" t="n">
        <v>0</v>
      </c>
      <c r="J4202" t="n">
        <v>0</v>
      </c>
      <c r="K4202" t="n">
        <v>0</v>
      </c>
      <c r="L4202" t="n">
        <v>0</v>
      </c>
      <c r="M4202" t="n">
        <v>0</v>
      </c>
      <c r="N4202" t="n">
        <v>0</v>
      </c>
      <c r="O4202" t="n">
        <v>0</v>
      </c>
      <c r="P4202" t="n">
        <v>0</v>
      </c>
      <c r="Q4202" t="n">
        <v>0</v>
      </c>
      <c r="R4202" s="2" t="inlineStr"/>
    </row>
    <row r="4203" ht="15" customHeight="1">
      <c r="A4203" t="inlineStr">
        <is>
          <t>A 10547-2025</t>
        </is>
      </c>
      <c r="B4203" s="1" t="n">
        <v>45721.49525462963</v>
      </c>
      <c r="C4203" s="1" t="n">
        <v>45884</v>
      </c>
      <c r="D4203" t="inlineStr">
        <is>
          <t>KALMAR LÄN</t>
        </is>
      </c>
      <c r="E4203" t="inlineStr">
        <is>
          <t>HÖGSBY</t>
        </is>
      </c>
      <c r="G4203" t="n">
        <v>3.9</v>
      </c>
      <c r="H4203" t="n">
        <v>0</v>
      </c>
      <c r="I4203" t="n">
        <v>0</v>
      </c>
      <c r="J4203" t="n">
        <v>0</v>
      </c>
      <c r="K4203" t="n">
        <v>0</v>
      </c>
      <c r="L4203" t="n">
        <v>0</v>
      </c>
      <c r="M4203" t="n">
        <v>0</v>
      </c>
      <c r="N4203" t="n">
        <v>0</v>
      </c>
      <c r="O4203" t="n">
        <v>0</v>
      </c>
      <c r="P4203" t="n">
        <v>0</v>
      </c>
      <c r="Q4203" t="n">
        <v>0</v>
      </c>
      <c r="R4203" s="2" t="inlineStr"/>
    </row>
    <row r="4204" ht="15" customHeight="1">
      <c r="A4204" t="inlineStr">
        <is>
          <t>A 5355-2024</t>
        </is>
      </c>
      <c r="B4204" s="1" t="n">
        <v>45331</v>
      </c>
      <c r="C4204" s="1" t="n">
        <v>45884</v>
      </c>
      <c r="D4204" t="inlineStr">
        <is>
          <t>KALMAR LÄN</t>
        </is>
      </c>
      <c r="E4204" t="inlineStr">
        <is>
          <t>VÄSTERVIK</t>
        </is>
      </c>
      <c r="F4204" t="inlineStr">
        <is>
          <t>Övriga Aktiebolag</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9694-2023</t>
        </is>
      </c>
      <c r="B4205" s="1" t="n">
        <v>44984.45895833334</v>
      </c>
      <c r="C4205" s="1" t="n">
        <v>45884</v>
      </c>
      <c r="D4205" t="inlineStr">
        <is>
          <t>KALMAR LÄN</t>
        </is>
      </c>
      <c r="E4205" t="inlineStr">
        <is>
          <t>VIMMERBY</t>
        </is>
      </c>
      <c r="G4205" t="n">
        <v>2.1</v>
      </c>
      <c r="H4205" t="n">
        <v>0</v>
      </c>
      <c r="I4205" t="n">
        <v>0</v>
      </c>
      <c r="J4205" t="n">
        <v>0</v>
      </c>
      <c r="K4205" t="n">
        <v>0</v>
      </c>
      <c r="L4205" t="n">
        <v>0</v>
      </c>
      <c r="M4205" t="n">
        <v>0</v>
      </c>
      <c r="N4205" t="n">
        <v>0</v>
      </c>
      <c r="O4205" t="n">
        <v>0</v>
      </c>
      <c r="P4205" t="n">
        <v>0</v>
      </c>
      <c r="Q4205" t="n">
        <v>0</v>
      </c>
      <c r="R4205" s="2" t="inlineStr"/>
    </row>
    <row r="4206" ht="15" customHeight="1">
      <c r="A4206" t="inlineStr">
        <is>
          <t>A 25714-2023</t>
        </is>
      </c>
      <c r="B4206" s="1" t="n">
        <v>45089</v>
      </c>
      <c r="C4206" s="1" t="n">
        <v>45884</v>
      </c>
      <c r="D4206" t="inlineStr">
        <is>
          <t>KALMAR LÄN</t>
        </is>
      </c>
      <c r="E4206" t="inlineStr">
        <is>
          <t>VÄSTERVIK</t>
        </is>
      </c>
      <c r="G4206" t="n">
        <v>10.5</v>
      </c>
      <c r="H4206" t="n">
        <v>0</v>
      </c>
      <c r="I4206" t="n">
        <v>0</v>
      </c>
      <c r="J4206" t="n">
        <v>0</v>
      </c>
      <c r="K4206" t="n">
        <v>0</v>
      </c>
      <c r="L4206" t="n">
        <v>0</v>
      </c>
      <c r="M4206" t="n">
        <v>0</v>
      </c>
      <c r="N4206" t="n">
        <v>0</v>
      </c>
      <c r="O4206" t="n">
        <v>0</v>
      </c>
      <c r="P4206" t="n">
        <v>0</v>
      </c>
      <c r="Q4206" t="n">
        <v>0</v>
      </c>
      <c r="R4206" s="2" t="inlineStr"/>
    </row>
    <row r="4207" ht="15" customHeight="1">
      <c r="A4207" t="inlineStr">
        <is>
          <t>A 29449-2021</t>
        </is>
      </c>
      <c r="B4207" s="1" t="n">
        <v>44361</v>
      </c>
      <c r="C4207" s="1" t="n">
        <v>45884</v>
      </c>
      <c r="D4207" t="inlineStr">
        <is>
          <t>KALMAR LÄN</t>
        </is>
      </c>
      <c r="E4207" t="inlineStr">
        <is>
          <t>MÖNSTERÅS</t>
        </is>
      </c>
      <c r="G4207" t="n">
        <v>8.9</v>
      </c>
      <c r="H4207" t="n">
        <v>0</v>
      </c>
      <c r="I4207" t="n">
        <v>0</v>
      </c>
      <c r="J4207" t="n">
        <v>0</v>
      </c>
      <c r="K4207" t="n">
        <v>0</v>
      </c>
      <c r="L4207" t="n">
        <v>0</v>
      </c>
      <c r="M4207" t="n">
        <v>0</v>
      </c>
      <c r="N4207" t="n">
        <v>0</v>
      </c>
      <c r="O4207" t="n">
        <v>0</v>
      </c>
      <c r="P4207" t="n">
        <v>0</v>
      </c>
      <c r="Q4207" t="n">
        <v>0</v>
      </c>
      <c r="R4207" s="2" t="inlineStr"/>
    </row>
    <row r="4208" ht="15" customHeight="1">
      <c r="A4208" t="inlineStr">
        <is>
          <t>A 59159-2023</t>
        </is>
      </c>
      <c r="B4208" s="1" t="n">
        <v>45251</v>
      </c>
      <c r="C4208" s="1" t="n">
        <v>45884</v>
      </c>
      <c r="D4208" t="inlineStr">
        <is>
          <t>KALMAR LÄN</t>
        </is>
      </c>
      <c r="E4208" t="inlineStr">
        <is>
          <t>MÖNSTERÅS</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54190-2022</t>
        </is>
      </c>
      <c r="B4209" s="1" t="n">
        <v>44881.68282407407</v>
      </c>
      <c r="C4209" s="1" t="n">
        <v>45884</v>
      </c>
      <c r="D4209" t="inlineStr">
        <is>
          <t>KALMAR LÄN</t>
        </is>
      </c>
      <c r="E4209" t="inlineStr">
        <is>
          <t>VÄSTERVIK</t>
        </is>
      </c>
      <c r="G4209" t="n">
        <v>7.4</v>
      </c>
      <c r="H4209" t="n">
        <v>0</v>
      </c>
      <c r="I4209" t="n">
        <v>0</v>
      </c>
      <c r="J4209" t="n">
        <v>0</v>
      </c>
      <c r="K4209" t="n">
        <v>0</v>
      </c>
      <c r="L4209" t="n">
        <v>0</v>
      </c>
      <c r="M4209" t="n">
        <v>0</v>
      </c>
      <c r="N4209" t="n">
        <v>0</v>
      </c>
      <c r="O4209" t="n">
        <v>0</v>
      </c>
      <c r="P4209" t="n">
        <v>0</v>
      </c>
      <c r="Q4209" t="n">
        <v>0</v>
      </c>
      <c r="R4209" s="2" t="inlineStr"/>
    </row>
    <row r="4210" ht="15" customHeight="1">
      <c r="A4210" t="inlineStr">
        <is>
          <t>A 6393-2023</t>
        </is>
      </c>
      <c r="B4210" s="1" t="n">
        <v>44965.65167824074</v>
      </c>
      <c r="C4210" s="1" t="n">
        <v>45884</v>
      </c>
      <c r="D4210" t="inlineStr">
        <is>
          <t>KALMAR LÄN</t>
        </is>
      </c>
      <c r="E4210" t="inlineStr">
        <is>
          <t>TORSÅS</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52072-2023</t>
        </is>
      </c>
      <c r="B4211" s="1" t="n">
        <v>45223</v>
      </c>
      <c r="C4211" s="1" t="n">
        <v>45884</v>
      </c>
      <c r="D4211" t="inlineStr">
        <is>
          <t>KALMAR LÄN</t>
        </is>
      </c>
      <c r="E4211" t="inlineStr">
        <is>
          <t>TORSÅS</t>
        </is>
      </c>
      <c r="G4211" t="n">
        <v>2.2</v>
      </c>
      <c r="H4211" t="n">
        <v>0</v>
      </c>
      <c r="I4211" t="n">
        <v>0</v>
      </c>
      <c r="J4211" t="n">
        <v>0</v>
      </c>
      <c r="K4211" t="n">
        <v>0</v>
      </c>
      <c r="L4211" t="n">
        <v>0</v>
      </c>
      <c r="M4211" t="n">
        <v>0</v>
      </c>
      <c r="N4211" t="n">
        <v>0</v>
      </c>
      <c r="O4211" t="n">
        <v>0</v>
      </c>
      <c r="P4211" t="n">
        <v>0</v>
      </c>
      <c r="Q4211" t="n">
        <v>0</v>
      </c>
      <c r="R4211" s="2" t="inlineStr"/>
    </row>
    <row r="4212" ht="15" customHeight="1">
      <c r="A4212" t="inlineStr">
        <is>
          <t>A 41209-2020</t>
        </is>
      </c>
      <c r="B4212" s="1" t="n">
        <v>44071</v>
      </c>
      <c r="C4212" s="1" t="n">
        <v>45884</v>
      </c>
      <c r="D4212" t="inlineStr">
        <is>
          <t>KALMAR LÄN</t>
        </is>
      </c>
      <c r="E4212" t="inlineStr">
        <is>
          <t>EMMABODA</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10766-2025</t>
        </is>
      </c>
      <c r="B4213" s="1" t="n">
        <v>45722.4630787037</v>
      </c>
      <c r="C4213" s="1" t="n">
        <v>45884</v>
      </c>
      <c r="D4213" t="inlineStr">
        <is>
          <t>KALMAR LÄN</t>
        </is>
      </c>
      <c r="E4213" t="inlineStr">
        <is>
          <t>VÄSTERVIK</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27094-2024</t>
        </is>
      </c>
      <c r="B4214" s="1" t="n">
        <v>45471</v>
      </c>
      <c r="C4214" s="1" t="n">
        <v>45884</v>
      </c>
      <c r="D4214" t="inlineStr">
        <is>
          <t>KALMAR LÄN</t>
        </is>
      </c>
      <c r="E4214" t="inlineStr">
        <is>
          <t>VÄSTERVIK</t>
        </is>
      </c>
      <c r="F4214" t="inlineStr">
        <is>
          <t>Holmen skog AB</t>
        </is>
      </c>
      <c r="G4214" t="n">
        <v>2.4</v>
      </c>
      <c r="H4214" t="n">
        <v>0</v>
      </c>
      <c r="I4214" t="n">
        <v>0</v>
      </c>
      <c r="J4214" t="n">
        <v>0</v>
      </c>
      <c r="K4214" t="n">
        <v>0</v>
      </c>
      <c r="L4214" t="n">
        <v>0</v>
      </c>
      <c r="M4214" t="n">
        <v>0</v>
      </c>
      <c r="N4214" t="n">
        <v>0</v>
      </c>
      <c r="O4214" t="n">
        <v>0</v>
      </c>
      <c r="P4214" t="n">
        <v>0</v>
      </c>
      <c r="Q4214" t="n">
        <v>0</v>
      </c>
      <c r="R4214" s="2" t="inlineStr"/>
      <c r="U4214">
        <f>HYPERLINK("https://klasma.github.io/Logging_0883/knärot/A 27094-2024 karta knärot.png", "A 27094-2024")</f>
        <v/>
      </c>
      <c r="V4214">
        <f>HYPERLINK("https://klasma.github.io/Logging_0883/klagomål/A 27094-2024 FSC-klagomål.docx", "A 27094-2024")</f>
        <v/>
      </c>
      <c r="W4214">
        <f>HYPERLINK("https://klasma.github.io/Logging_0883/klagomålsmail/A 27094-2024 FSC-klagomål mail.docx", "A 27094-2024")</f>
        <v/>
      </c>
      <c r="X4214">
        <f>HYPERLINK("https://klasma.github.io/Logging_0883/tillsyn/A 27094-2024 tillsynsbegäran.docx", "A 27094-2024")</f>
        <v/>
      </c>
      <c r="Y4214">
        <f>HYPERLINK("https://klasma.github.io/Logging_0883/tillsynsmail/A 27094-2024 tillsynsbegäran mail.docx", "A 27094-2024")</f>
        <v/>
      </c>
    </row>
    <row r="4215" ht="15" customHeight="1">
      <c r="A4215" t="inlineStr">
        <is>
          <t>A 43284-2022</t>
        </is>
      </c>
      <c r="B4215" s="1" t="n">
        <v>44834</v>
      </c>
      <c r="C4215" s="1" t="n">
        <v>45884</v>
      </c>
      <c r="D4215" t="inlineStr">
        <is>
          <t>KALMAR LÄN</t>
        </is>
      </c>
      <c r="E4215" t="inlineStr">
        <is>
          <t>HULTSFRED</t>
        </is>
      </c>
      <c r="G4215" t="n">
        <v>10.5</v>
      </c>
      <c r="H4215" t="n">
        <v>0</v>
      </c>
      <c r="I4215" t="n">
        <v>0</v>
      </c>
      <c r="J4215" t="n">
        <v>0</v>
      </c>
      <c r="K4215" t="n">
        <v>0</v>
      </c>
      <c r="L4215" t="n">
        <v>0</v>
      </c>
      <c r="M4215" t="n">
        <v>0</v>
      </c>
      <c r="N4215" t="n">
        <v>0</v>
      </c>
      <c r="O4215" t="n">
        <v>0</v>
      </c>
      <c r="P4215" t="n">
        <v>0</v>
      </c>
      <c r="Q4215" t="n">
        <v>0</v>
      </c>
      <c r="R4215" s="2" t="inlineStr"/>
    </row>
    <row r="4216" ht="15" customHeight="1">
      <c r="A4216" t="inlineStr">
        <is>
          <t>A 10836-2025</t>
        </is>
      </c>
      <c r="B4216" s="1" t="n">
        <v>45722.56913194444</v>
      </c>
      <c r="C4216" s="1" t="n">
        <v>45884</v>
      </c>
      <c r="D4216" t="inlineStr">
        <is>
          <t>KALMAR LÄN</t>
        </is>
      </c>
      <c r="E4216" t="inlineStr">
        <is>
          <t>KALMAR</t>
        </is>
      </c>
      <c r="F4216" t="inlineStr">
        <is>
          <t>Sveaskog</t>
        </is>
      </c>
      <c r="G4216" t="n">
        <v>9.300000000000001</v>
      </c>
      <c r="H4216" t="n">
        <v>0</v>
      </c>
      <c r="I4216" t="n">
        <v>0</v>
      </c>
      <c r="J4216" t="n">
        <v>0</v>
      </c>
      <c r="K4216" t="n">
        <v>0</v>
      </c>
      <c r="L4216" t="n">
        <v>0</v>
      </c>
      <c r="M4216" t="n">
        <v>0</v>
      </c>
      <c r="N4216" t="n">
        <v>0</v>
      </c>
      <c r="O4216" t="n">
        <v>0</v>
      </c>
      <c r="P4216" t="n">
        <v>0</v>
      </c>
      <c r="Q4216" t="n">
        <v>0</v>
      </c>
      <c r="R4216" s="2" t="inlineStr"/>
    </row>
    <row r="4217" ht="15" customHeight="1">
      <c r="A4217" t="inlineStr">
        <is>
          <t>A 44980-2021</t>
        </is>
      </c>
      <c r="B4217" s="1" t="n">
        <v>44438</v>
      </c>
      <c r="C4217" s="1" t="n">
        <v>45884</v>
      </c>
      <c r="D4217" t="inlineStr">
        <is>
          <t>KALMAR LÄN</t>
        </is>
      </c>
      <c r="E4217" t="inlineStr">
        <is>
          <t>KALMAR</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21758-2024</t>
        </is>
      </c>
      <c r="B4218" s="1" t="n">
        <v>45442.59461805555</v>
      </c>
      <c r="C4218" s="1" t="n">
        <v>45884</v>
      </c>
      <c r="D4218" t="inlineStr">
        <is>
          <t>KALMAR LÄN</t>
        </is>
      </c>
      <c r="E4218" t="inlineStr">
        <is>
          <t>HULTSFRED</t>
        </is>
      </c>
      <c r="G4218" t="n">
        <v>3.4</v>
      </c>
      <c r="H4218" t="n">
        <v>0</v>
      </c>
      <c r="I4218" t="n">
        <v>0</v>
      </c>
      <c r="J4218" t="n">
        <v>0</v>
      </c>
      <c r="K4218" t="n">
        <v>0</v>
      </c>
      <c r="L4218" t="n">
        <v>0</v>
      </c>
      <c r="M4218" t="n">
        <v>0</v>
      </c>
      <c r="N4218" t="n">
        <v>0</v>
      </c>
      <c r="O4218" t="n">
        <v>0</v>
      </c>
      <c r="P4218" t="n">
        <v>0</v>
      </c>
      <c r="Q4218" t="n">
        <v>0</v>
      </c>
      <c r="R4218" s="2" t="inlineStr"/>
    </row>
    <row r="4219" ht="15" customHeight="1">
      <c r="A4219" t="inlineStr">
        <is>
          <t>A 22198-2024</t>
        </is>
      </c>
      <c r="B4219" s="1" t="n">
        <v>45446.36865740741</v>
      </c>
      <c r="C4219" s="1" t="n">
        <v>45884</v>
      </c>
      <c r="D4219" t="inlineStr">
        <is>
          <t>KALMAR LÄN</t>
        </is>
      </c>
      <c r="E4219" t="inlineStr">
        <is>
          <t>VIMMERBY</t>
        </is>
      </c>
      <c r="F4219" t="inlineStr">
        <is>
          <t>Sveaskog</t>
        </is>
      </c>
      <c r="G4219" t="n">
        <v>2.3</v>
      </c>
      <c r="H4219" t="n">
        <v>0</v>
      </c>
      <c r="I4219" t="n">
        <v>0</v>
      </c>
      <c r="J4219" t="n">
        <v>0</v>
      </c>
      <c r="K4219" t="n">
        <v>0</v>
      </c>
      <c r="L4219" t="n">
        <v>0</v>
      </c>
      <c r="M4219" t="n">
        <v>0</v>
      </c>
      <c r="N4219" t="n">
        <v>0</v>
      </c>
      <c r="O4219" t="n">
        <v>0</v>
      </c>
      <c r="P4219" t="n">
        <v>0</v>
      </c>
      <c r="Q4219" t="n">
        <v>0</v>
      </c>
      <c r="R4219" s="2" t="inlineStr"/>
    </row>
    <row r="4220" ht="15" customHeight="1">
      <c r="A4220" t="inlineStr">
        <is>
          <t>A 61499-2022</t>
        </is>
      </c>
      <c r="B4220" s="1" t="n">
        <v>44910</v>
      </c>
      <c r="C4220" s="1" t="n">
        <v>45884</v>
      </c>
      <c r="D4220" t="inlineStr">
        <is>
          <t>KALMAR LÄN</t>
        </is>
      </c>
      <c r="E4220" t="inlineStr">
        <is>
          <t>NYBRO</t>
        </is>
      </c>
      <c r="G4220" t="n">
        <v>4.5</v>
      </c>
      <c r="H4220" t="n">
        <v>0</v>
      </c>
      <c r="I4220" t="n">
        <v>0</v>
      </c>
      <c r="J4220" t="n">
        <v>0</v>
      </c>
      <c r="K4220" t="n">
        <v>0</v>
      </c>
      <c r="L4220" t="n">
        <v>0</v>
      </c>
      <c r="M4220" t="n">
        <v>0</v>
      </c>
      <c r="N4220" t="n">
        <v>0</v>
      </c>
      <c r="O4220" t="n">
        <v>0</v>
      </c>
      <c r="P4220" t="n">
        <v>0</v>
      </c>
      <c r="Q4220" t="n">
        <v>0</v>
      </c>
      <c r="R4220" s="2" t="inlineStr"/>
    </row>
    <row r="4221" ht="15" customHeight="1">
      <c r="A4221" t="inlineStr">
        <is>
          <t>A 57311-2023</t>
        </is>
      </c>
      <c r="B4221" s="1" t="n">
        <v>45245.63574074074</v>
      </c>
      <c r="C4221" s="1" t="n">
        <v>45884</v>
      </c>
      <c r="D4221" t="inlineStr">
        <is>
          <t>KALMAR LÄN</t>
        </is>
      </c>
      <c r="E4221" t="inlineStr">
        <is>
          <t>VIMMERBY</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2285-2023</t>
        </is>
      </c>
      <c r="B4222" s="1" t="n">
        <v>44942.52636574074</v>
      </c>
      <c r="C4222" s="1" t="n">
        <v>45884</v>
      </c>
      <c r="D4222" t="inlineStr">
        <is>
          <t>KALMAR LÄN</t>
        </is>
      </c>
      <c r="E4222" t="inlineStr">
        <is>
          <t>TORSÅS</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51607-2023</t>
        </is>
      </c>
      <c r="B4223" s="1" t="n">
        <v>45222.49363425926</v>
      </c>
      <c r="C4223" s="1" t="n">
        <v>45884</v>
      </c>
      <c r="D4223" t="inlineStr">
        <is>
          <t>KALMAR LÄN</t>
        </is>
      </c>
      <c r="E4223" t="inlineStr">
        <is>
          <t>TORSÅS</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51305-2024</t>
        </is>
      </c>
      <c r="B4224" s="1" t="n">
        <v>45603</v>
      </c>
      <c r="C4224" s="1" t="n">
        <v>45884</v>
      </c>
      <c r="D4224" t="inlineStr">
        <is>
          <t>KALMAR LÄN</t>
        </is>
      </c>
      <c r="E4224" t="inlineStr">
        <is>
          <t>NYBRO</t>
        </is>
      </c>
      <c r="G4224" t="n">
        <v>1.9</v>
      </c>
      <c r="H4224" t="n">
        <v>0</v>
      </c>
      <c r="I4224" t="n">
        <v>0</v>
      </c>
      <c r="J4224" t="n">
        <v>0</v>
      </c>
      <c r="K4224" t="n">
        <v>0</v>
      </c>
      <c r="L4224" t="n">
        <v>0</v>
      </c>
      <c r="M4224" t="n">
        <v>0</v>
      </c>
      <c r="N4224" t="n">
        <v>0</v>
      </c>
      <c r="O4224" t="n">
        <v>0</v>
      </c>
      <c r="P4224" t="n">
        <v>0</v>
      </c>
      <c r="Q4224" t="n">
        <v>0</v>
      </c>
      <c r="R4224" s="2" t="inlineStr"/>
    </row>
    <row r="4225" ht="15" customHeight="1">
      <c r="A4225" t="inlineStr">
        <is>
          <t>A 51647-2023</t>
        </is>
      </c>
      <c r="B4225" s="1" t="n">
        <v>45222.55752314815</v>
      </c>
      <c r="C4225" s="1" t="n">
        <v>45884</v>
      </c>
      <c r="D4225" t="inlineStr">
        <is>
          <t>KALMAR LÄN</t>
        </is>
      </c>
      <c r="E4225" t="inlineStr">
        <is>
          <t>TORSÅS</t>
        </is>
      </c>
      <c r="G4225" t="n">
        <v>3.8</v>
      </c>
      <c r="H4225" t="n">
        <v>0</v>
      </c>
      <c r="I4225" t="n">
        <v>0</v>
      </c>
      <c r="J4225" t="n">
        <v>0</v>
      </c>
      <c r="K4225" t="n">
        <v>0</v>
      </c>
      <c r="L4225" t="n">
        <v>0</v>
      </c>
      <c r="M4225" t="n">
        <v>0</v>
      </c>
      <c r="N4225" t="n">
        <v>0</v>
      </c>
      <c r="O4225" t="n">
        <v>0</v>
      </c>
      <c r="P4225" t="n">
        <v>0</v>
      </c>
      <c r="Q4225" t="n">
        <v>0</v>
      </c>
      <c r="R4225" s="2" t="inlineStr"/>
    </row>
    <row r="4226" ht="15" customHeight="1">
      <c r="A4226" t="inlineStr">
        <is>
          <t>A 4031-2024</t>
        </is>
      </c>
      <c r="B4226" s="1" t="n">
        <v>45323.40695601852</v>
      </c>
      <c r="C4226" s="1" t="n">
        <v>45884</v>
      </c>
      <c r="D4226" t="inlineStr">
        <is>
          <t>KALMAR LÄN</t>
        </is>
      </c>
      <c r="E4226" t="inlineStr">
        <is>
          <t>EMMABODA</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8974-2023</t>
        </is>
      </c>
      <c r="B4227" s="1" t="n">
        <v>44979.50945601852</v>
      </c>
      <c r="C4227" s="1" t="n">
        <v>45884</v>
      </c>
      <c r="D4227" t="inlineStr">
        <is>
          <t>KALMAR LÄN</t>
        </is>
      </c>
      <c r="E4227" t="inlineStr">
        <is>
          <t>EMMABODA</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37300-2024</t>
        </is>
      </c>
      <c r="B4228" s="1" t="n">
        <v>45540.46302083333</v>
      </c>
      <c r="C4228" s="1" t="n">
        <v>45884</v>
      </c>
      <c r="D4228" t="inlineStr">
        <is>
          <t>KALMAR LÄN</t>
        </is>
      </c>
      <c r="E4228" t="inlineStr">
        <is>
          <t>KALMAR</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37462-2023</t>
        </is>
      </c>
      <c r="B4229" s="1" t="n">
        <v>45156.75122685185</v>
      </c>
      <c r="C4229" s="1" t="n">
        <v>45884</v>
      </c>
      <c r="D4229" t="inlineStr">
        <is>
          <t>KALMAR LÄN</t>
        </is>
      </c>
      <c r="E4229" t="inlineStr">
        <is>
          <t>NYBRO</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52035-2023</t>
        </is>
      </c>
      <c r="B4230" s="1" t="n">
        <v>45216</v>
      </c>
      <c r="C4230" s="1" t="n">
        <v>45884</v>
      </c>
      <c r="D4230" t="inlineStr">
        <is>
          <t>KALMAR LÄN</t>
        </is>
      </c>
      <c r="E4230" t="inlineStr">
        <is>
          <t>VÄSTERVIK</t>
        </is>
      </c>
      <c r="G4230" t="n">
        <v>3.4</v>
      </c>
      <c r="H4230" t="n">
        <v>0</v>
      </c>
      <c r="I4230" t="n">
        <v>0</v>
      </c>
      <c r="J4230" t="n">
        <v>0</v>
      </c>
      <c r="K4230" t="n">
        <v>0</v>
      </c>
      <c r="L4230" t="n">
        <v>0</v>
      </c>
      <c r="M4230" t="n">
        <v>0</v>
      </c>
      <c r="N4230" t="n">
        <v>0</v>
      </c>
      <c r="O4230" t="n">
        <v>0</v>
      </c>
      <c r="P4230" t="n">
        <v>0</v>
      </c>
      <c r="Q4230" t="n">
        <v>0</v>
      </c>
      <c r="R4230" s="2" t="inlineStr"/>
    </row>
    <row r="4231" ht="15" customHeight="1">
      <c r="A4231" t="inlineStr">
        <is>
          <t>A 9688-2025</t>
        </is>
      </c>
      <c r="B4231" s="1" t="n">
        <v>45716.35474537037</v>
      </c>
      <c r="C4231" s="1" t="n">
        <v>45884</v>
      </c>
      <c r="D4231" t="inlineStr">
        <is>
          <t>KALMAR LÄN</t>
        </is>
      </c>
      <c r="E4231" t="inlineStr">
        <is>
          <t>EMMABODA</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9715-2025</t>
        </is>
      </c>
      <c r="B4232" s="1" t="n">
        <v>45716.39373842593</v>
      </c>
      <c r="C4232" s="1" t="n">
        <v>45884</v>
      </c>
      <c r="D4232" t="inlineStr">
        <is>
          <t>KALMAR LÄN</t>
        </is>
      </c>
      <c r="E4232" t="inlineStr">
        <is>
          <t>EMMABODA</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9719-2025</t>
        </is>
      </c>
      <c r="B4233" s="1" t="n">
        <v>45715</v>
      </c>
      <c r="C4233" s="1" t="n">
        <v>45884</v>
      </c>
      <c r="D4233" t="inlineStr">
        <is>
          <t>KALMAR LÄN</t>
        </is>
      </c>
      <c r="E4233" t="inlineStr">
        <is>
          <t>HULTSFRED</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12587-2025</t>
        </is>
      </c>
      <c r="B4234" s="1" t="n">
        <v>45732.75637731481</v>
      </c>
      <c r="C4234" s="1" t="n">
        <v>45884</v>
      </c>
      <c r="D4234" t="inlineStr">
        <is>
          <t>KALMAR LÄN</t>
        </is>
      </c>
      <c r="E4234" t="inlineStr">
        <is>
          <t>VIMMERBY</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12588-2025</t>
        </is>
      </c>
      <c r="B4235" s="1" t="n">
        <v>45732.76936342593</v>
      </c>
      <c r="C4235" s="1" t="n">
        <v>45884</v>
      </c>
      <c r="D4235" t="inlineStr">
        <is>
          <t>KALMAR LÄN</t>
        </is>
      </c>
      <c r="E4235" t="inlineStr">
        <is>
          <t>VIMMERBY</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38781-2022</t>
        </is>
      </c>
      <c r="B4236" s="1" t="n">
        <v>44816.42498842593</v>
      </c>
      <c r="C4236" s="1" t="n">
        <v>45884</v>
      </c>
      <c r="D4236" t="inlineStr">
        <is>
          <t>KALMAR LÄN</t>
        </is>
      </c>
      <c r="E4236" t="inlineStr">
        <is>
          <t>KALMAR</t>
        </is>
      </c>
      <c r="G4236" t="n">
        <v>6.2</v>
      </c>
      <c r="H4236" t="n">
        <v>0</v>
      </c>
      <c r="I4236" t="n">
        <v>0</v>
      </c>
      <c r="J4236" t="n">
        <v>0</v>
      </c>
      <c r="K4236" t="n">
        <v>0</v>
      </c>
      <c r="L4236" t="n">
        <v>0</v>
      </c>
      <c r="M4236" t="n">
        <v>0</v>
      </c>
      <c r="N4236" t="n">
        <v>0</v>
      </c>
      <c r="O4236" t="n">
        <v>0</v>
      </c>
      <c r="P4236" t="n">
        <v>0</v>
      </c>
      <c r="Q4236" t="n">
        <v>0</v>
      </c>
      <c r="R4236" s="2" t="inlineStr"/>
    </row>
    <row r="4237" ht="15" customHeight="1">
      <c r="A4237" t="inlineStr">
        <is>
          <t>A 58050-2023</t>
        </is>
      </c>
      <c r="B4237" s="1" t="n">
        <v>45247</v>
      </c>
      <c r="C4237" s="1" t="n">
        <v>45884</v>
      </c>
      <c r="D4237" t="inlineStr">
        <is>
          <t>KALMAR LÄN</t>
        </is>
      </c>
      <c r="E4237" t="inlineStr">
        <is>
          <t>HÖGSBY</t>
        </is>
      </c>
      <c r="G4237" t="n">
        <v>4.3</v>
      </c>
      <c r="H4237" t="n">
        <v>0</v>
      </c>
      <c r="I4237" t="n">
        <v>0</v>
      </c>
      <c r="J4237" t="n">
        <v>0</v>
      </c>
      <c r="K4237" t="n">
        <v>0</v>
      </c>
      <c r="L4237" t="n">
        <v>0</v>
      </c>
      <c r="M4237" t="n">
        <v>0</v>
      </c>
      <c r="N4237" t="n">
        <v>0</v>
      </c>
      <c r="O4237" t="n">
        <v>0</v>
      </c>
      <c r="P4237" t="n">
        <v>0</v>
      </c>
      <c r="Q4237" t="n">
        <v>0</v>
      </c>
      <c r="R4237" s="2" t="inlineStr"/>
    </row>
    <row r="4238" ht="15" customHeight="1">
      <c r="A4238" t="inlineStr">
        <is>
          <t>A 14894-2025</t>
        </is>
      </c>
      <c r="B4238" s="1" t="n">
        <v>45743</v>
      </c>
      <c r="C4238" s="1" t="n">
        <v>45884</v>
      </c>
      <c r="D4238" t="inlineStr">
        <is>
          <t>KALMAR LÄN</t>
        </is>
      </c>
      <c r="E4238" t="inlineStr">
        <is>
          <t>HÖGSBY</t>
        </is>
      </c>
      <c r="F4238" t="inlineStr">
        <is>
          <t>Kommuner</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49408-2023</t>
        </is>
      </c>
      <c r="B4239" s="1" t="n">
        <v>45211.43555555555</v>
      </c>
      <c r="C4239" s="1" t="n">
        <v>45884</v>
      </c>
      <c r="D4239" t="inlineStr">
        <is>
          <t>KALMAR LÄN</t>
        </is>
      </c>
      <c r="E4239" t="inlineStr">
        <is>
          <t>VIMMERBY</t>
        </is>
      </c>
      <c r="G4239" t="n">
        <v>13.1</v>
      </c>
      <c r="H4239" t="n">
        <v>0</v>
      </c>
      <c r="I4239" t="n">
        <v>0</v>
      </c>
      <c r="J4239" t="n">
        <v>0</v>
      </c>
      <c r="K4239" t="n">
        <v>0</v>
      </c>
      <c r="L4239" t="n">
        <v>0</v>
      </c>
      <c r="M4239" t="n">
        <v>0</v>
      </c>
      <c r="N4239" t="n">
        <v>0</v>
      </c>
      <c r="O4239" t="n">
        <v>0</v>
      </c>
      <c r="P4239" t="n">
        <v>0</v>
      </c>
      <c r="Q4239" t="n">
        <v>0</v>
      </c>
      <c r="R4239" s="2" t="inlineStr"/>
    </row>
    <row r="4240" ht="15" customHeight="1">
      <c r="A4240" t="inlineStr">
        <is>
          <t>A 37413-2024</t>
        </is>
      </c>
      <c r="B4240" s="1" t="n">
        <v>45540.6293287037</v>
      </c>
      <c r="C4240" s="1" t="n">
        <v>45884</v>
      </c>
      <c r="D4240" t="inlineStr">
        <is>
          <t>KALMAR LÄN</t>
        </is>
      </c>
      <c r="E4240" t="inlineStr">
        <is>
          <t>MÖNSTERÅS</t>
        </is>
      </c>
      <c r="G4240" t="n">
        <v>4</v>
      </c>
      <c r="H4240" t="n">
        <v>0</v>
      </c>
      <c r="I4240" t="n">
        <v>0</v>
      </c>
      <c r="J4240" t="n">
        <v>0</v>
      </c>
      <c r="K4240" t="n">
        <v>0</v>
      </c>
      <c r="L4240" t="n">
        <v>0</v>
      </c>
      <c r="M4240" t="n">
        <v>0</v>
      </c>
      <c r="N4240" t="n">
        <v>0</v>
      </c>
      <c r="O4240" t="n">
        <v>0</v>
      </c>
      <c r="P4240" t="n">
        <v>0</v>
      </c>
      <c r="Q4240" t="n">
        <v>0</v>
      </c>
      <c r="R4240" s="2" t="inlineStr"/>
    </row>
    <row r="4241" ht="15" customHeight="1">
      <c r="A4241" t="inlineStr">
        <is>
          <t>A 35770-2023</t>
        </is>
      </c>
      <c r="B4241" s="1" t="n">
        <v>45147</v>
      </c>
      <c r="C4241" s="1" t="n">
        <v>45884</v>
      </c>
      <c r="D4241" t="inlineStr">
        <is>
          <t>KALMAR LÄN</t>
        </is>
      </c>
      <c r="E4241" t="inlineStr">
        <is>
          <t>VÄSTERVIK</t>
        </is>
      </c>
      <c r="F4241" t="inlineStr">
        <is>
          <t>Holmen skog AB</t>
        </is>
      </c>
      <c r="G4241" t="n">
        <v>2</v>
      </c>
      <c r="H4241" t="n">
        <v>0</v>
      </c>
      <c r="I4241" t="n">
        <v>0</v>
      </c>
      <c r="J4241" t="n">
        <v>0</v>
      </c>
      <c r="K4241" t="n">
        <v>0</v>
      </c>
      <c r="L4241" t="n">
        <v>0</v>
      </c>
      <c r="M4241" t="n">
        <v>0</v>
      </c>
      <c r="N4241" t="n">
        <v>0</v>
      </c>
      <c r="O4241" t="n">
        <v>0</v>
      </c>
      <c r="P4241" t="n">
        <v>0</v>
      </c>
      <c r="Q4241" t="n">
        <v>0</v>
      </c>
      <c r="R4241" s="2" t="inlineStr"/>
    </row>
    <row r="4242" ht="15" customHeight="1">
      <c r="A4242" t="inlineStr">
        <is>
          <t>A 16703-2022</t>
        </is>
      </c>
      <c r="B4242" s="1" t="n">
        <v>44673.38012731481</v>
      </c>
      <c r="C4242" s="1" t="n">
        <v>45884</v>
      </c>
      <c r="D4242" t="inlineStr">
        <is>
          <t>KALMAR LÄN</t>
        </is>
      </c>
      <c r="E4242" t="inlineStr">
        <is>
          <t>EMMABODA</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56536-2022</t>
        </is>
      </c>
      <c r="B4243" s="1" t="n">
        <v>44893</v>
      </c>
      <c r="C4243" s="1" t="n">
        <v>45884</v>
      </c>
      <c r="D4243" t="inlineStr">
        <is>
          <t>KALMAR LÄN</t>
        </is>
      </c>
      <c r="E4243" t="inlineStr">
        <is>
          <t>VIMMERBY</t>
        </is>
      </c>
      <c r="G4243" t="n">
        <v>3.2</v>
      </c>
      <c r="H4243" t="n">
        <v>0</v>
      </c>
      <c r="I4243" t="n">
        <v>0</v>
      </c>
      <c r="J4243" t="n">
        <v>0</v>
      </c>
      <c r="K4243" t="n">
        <v>0</v>
      </c>
      <c r="L4243" t="n">
        <v>0</v>
      </c>
      <c r="M4243" t="n">
        <v>0</v>
      </c>
      <c r="N4243" t="n">
        <v>0</v>
      </c>
      <c r="O4243" t="n">
        <v>0</v>
      </c>
      <c r="P4243" t="n">
        <v>0</v>
      </c>
      <c r="Q4243" t="n">
        <v>0</v>
      </c>
      <c r="R4243" s="2" t="inlineStr"/>
    </row>
    <row r="4244" ht="15" customHeight="1">
      <c r="A4244" t="inlineStr">
        <is>
          <t>A 7932-2025</t>
        </is>
      </c>
      <c r="B4244" s="1" t="n">
        <v>45707.3793287037</v>
      </c>
      <c r="C4244" s="1" t="n">
        <v>45884</v>
      </c>
      <c r="D4244" t="inlineStr">
        <is>
          <t>KALMAR LÄN</t>
        </is>
      </c>
      <c r="E4244" t="inlineStr">
        <is>
          <t>VIMMERBY</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50269-2023</t>
        </is>
      </c>
      <c r="B4245" s="1" t="n">
        <v>45209</v>
      </c>
      <c r="C4245" s="1" t="n">
        <v>45884</v>
      </c>
      <c r="D4245" t="inlineStr">
        <is>
          <t>KALMAR LÄN</t>
        </is>
      </c>
      <c r="E4245" t="inlineStr">
        <is>
          <t>HULTSFRED</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24643-2024</t>
        </is>
      </c>
      <c r="B4246" s="1" t="n">
        <v>45460.55929398148</v>
      </c>
      <c r="C4246" s="1" t="n">
        <v>45884</v>
      </c>
      <c r="D4246" t="inlineStr">
        <is>
          <t>KALMAR LÄN</t>
        </is>
      </c>
      <c r="E4246" t="inlineStr">
        <is>
          <t>KALMAR</t>
        </is>
      </c>
      <c r="G4246" t="n">
        <v>2.2</v>
      </c>
      <c r="H4246" t="n">
        <v>0</v>
      </c>
      <c r="I4246" t="n">
        <v>0</v>
      </c>
      <c r="J4246" t="n">
        <v>0</v>
      </c>
      <c r="K4246" t="n">
        <v>0</v>
      </c>
      <c r="L4246" t="n">
        <v>0</v>
      </c>
      <c r="M4246" t="n">
        <v>0</v>
      </c>
      <c r="N4246" t="n">
        <v>0</v>
      </c>
      <c r="O4246" t="n">
        <v>0</v>
      </c>
      <c r="P4246" t="n">
        <v>0</v>
      </c>
      <c r="Q4246" t="n">
        <v>0</v>
      </c>
      <c r="R4246" s="2" t="inlineStr"/>
    </row>
    <row r="4247" ht="15" customHeight="1">
      <c r="A4247" t="inlineStr">
        <is>
          <t>A 61874-2022</t>
        </is>
      </c>
      <c r="B4247" s="1" t="n">
        <v>44917</v>
      </c>
      <c r="C4247" s="1" t="n">
        <v>45884</v>
      </c>
      <c r="D4247" t="inlineStr">
        <is>
          <t>KALMAR LÄN</t>
        </is>
      </c>
      <c r="E4247" t="inlineStr">
        <is>
          <t>MÖNSTERÅS</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51449-2024</t>
        </is>
      </c>
      <c r="B4248" s="1" t="n">
        <v>45603</v>
      </c>
      <c r="C4248" s="1" t="n">
        <v>45884</v>
      </c>
      <c r="D4248" t="inlineStr">
        <is>
          <t>KALMAR LÄN</t>
        </is>
      </c>
      <c r="E4248" t="inlineStr">
        <is>
          <t>NYBRO</t>
        </is>
      </c>
      <c r="G4248" t="n">
        <v>3.7</v>
      </c>
      <c r="H4248" t="n">
        <v>0</v>
      </c>
      <c r="I4248" t="n">
        <v>0</v>
      </c>
      <c r="J4248" t="n">
        <v>0</v>
      </c>
      <c r="K4248" t="n">
        <v>0</v>
      </c>
      <c r="L4248" t="n">
        <v>0</v>
      </c>
      <c r="M4248" t="n">
        <v>0</v>
      </c>
      <c r="N4248" t="n">
        <v>0</v>
      </c>
      <c r="O4248" t="n">
        <v>0</v>
      </c>
      <c r="P4248" t="n">
        <v>0</v>
      </c>
      <c r="Q4248" t="n">
        <v>0</v>
      </c>
      <c r="R4248" s="2" t="inlineStr"/>
    </row>
    <row r="4249" ht="15" customHeight="1">
      <c r="A4249" t="inlineStr">
        <is>
          <t>A 50471-2023</t>
        </is>
      </c>
      <c r="B4249" s="1" t="n">
        <v>45216</v>
      </c>
      <c r="C4249" s="1" t="n">
        <v>45884</v>
      </c>
      <c r="D4249" t="inlineStr">
        <is>
          <t>KALMAR LÄN</t>
        </is>
      </c>
      <c r="E4249" t="inlineStr">
        <is>
          <t>OSKARSHAMN</t>
        </is>
      </c>
      <c r="G4249" t="n">
        <v>3.3</v>
      </c>
      <c r="H4249" t="n">
        <v>0</v>
      </c>
      <c r="I4249" t="n">
        <v>0</v>
      </c>
      <c r="J4249" t="n">
        <v>0</v>
      </c>
      <c r="K4249" t="n">
        <v>0</v>
      </c>
      <c r="L4249" t="n">
        <v>0</v>
      </c>
      <c r="M4249" t="n">
        <v>0</v>
      </c>
      <c r="N4249" t="n">
        <v>0</v>
      </c>
      <c r="O4249" t="n">
        <v>0</v>
      </c>
      <c r="P4249" t="n">
        <v>0</v>
      </c>
      <c r="Q4249" t="n">
        <v>0</v>
      </c>
      <c r="R4249" s="2" t="inlineStr"/>
    </row>
    <row r="4250" ht="15" customHeight="1">
      <c r="A4250" t="inlineStr">
        <is>
          <t>A 46476-2024</t>
        </is>
      </c>
      <c r="B4250" s="1" t="n">
        <v>45582</v>
      </c>
      <c r="C4250" s="1" t="n">
        <v>45884</v>
      </c>
      <c r="D4250" t="inlineStr">
        <is>
          <t>KALMAR LÄN</t>
        </is>
      </c>
      <c r="E4250" t="inlineStr">
        <is>
          <t>HULTSFRED</t>
        </is>
      </c>
      <c r="F4250" t="inlineStr">
        <is>
          <t>Sveaskog</t>
        </is>
      </c>
      <c r="G4250" t="n">
        <v>0.3</v>
      </c>
      <c r="H4250" t="n">
        <v>0</v>
      </c>
      <c r="I4250" t="n">
        <v>0</v>
      </c>
      <c r="J4250" t="n">
        <v>0</v>
      </c>
      <c r="K4250" t="n">
        <v>0</v>
      </c>
      <c r="L4250" t="n">
        <v>0</v>
      </c>
      <c r="M4250" t="n">
        <v>0</v>
      </c>
      <c r="N4250" t="n">
        <v>0</v>
      </c>
      <c r="O4250" t="n">
        <v>0</v>
      </c>
      <c r="P4250" t="n">
        <v>0</v>
      </c>
      <c r="Q4250" t="n">
        <v>0</v>
      </c>
      <c r="R4250" s="2" t="inlineStr"/>
    </row>
    <row r="4251" ht="15" customHeight="1">
      <c r="A4251" t="inlineStr">
        <is>
          <t>A 49708-2024</t>
        </is>
      </c>
      <c r="B4251" s="1" t="n">
        <v>45596.69846064815</v>
      </c>
      <c r="C4251" s="1" t="n">
        <v>45884</v>
      </c>
      <c r="D4251" t="inlineStr">
        <is>
          <t>KALMAR LÄN</t>
        </is>
      </c>
      <c r="E4251" t="inlineStr">
        <is>
          <t>VÄSTERVIK</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49726-2024</t>
        </is>
      </c>
      <c r="B4252" s="1" t="n">
        <v>45596.75166666666</v>
      </c>
      <c r="C4252" s="1" t="n">
        <v>45884</v>
      </c>
      <c r="D4252" t="inlineStr">
        <is>
          <t>KALMAR LÄN</t>
        </is>
      </c>
      <c r="E4252" t="inlineStr">
        <is>
          <t>EMMABODA</t>
        </is>
      </c>
      <c r="G4252" t="n">
        <v>5.9</v>
      </c>
      <c r="H4252" t="n">
        <v>0</v>
      </c>
      <c r="I4252" t="n">
        <v>0</v>
      </c>
      <c r="J4252" t="n">
        <v>0</v>
      </c>
      <c r="K4252" t="n">
        <v>0</v>
      </c>
      <c r="L4252" t="n">
        <v>0</v>
      </c>
      <c r="M4252" t="n">
        <v>0</v>
      </c>
      <c r="N4252" t="n">
        <v>0</v>
      </c>
      <c r="O4252" t="n">
        <v>0</v>
      </c>
      <c r="P4252" t="n">
        <v>0</v>
      </c>
      <c r="Q4252" t="n">
        <v>0</v>
      </c>
      <c r="R4252" s="2" t="inlineStr"/>
    </row>
    <row r="4253" ht="15" customHeight="1">
      <c r="A4253" t="inlineStr">
        <is>
          <t>A 38040-2023</t>
        </is>
      </c>
      <c r="B4253" s="1" t="n">
        <v>45160.66336805555</v>
      </c>
      <c r="C4253" s="1" t="n">
        <v>45884</v>
      </c>
      <c r="D4253" t="inlineStr">
        <is>
          <t>KALMAR LÄN</t>
        </is>
      </c>
      <c r="E4253" t="inlineStr">
        <is>
          <t>VÄSTERVIK</t>
        </is>
      </c>
      <c r="F4253" t="inlineStr">
        <is>
          <t>Sveaskog</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51076-2024</t>
        </is>
      </c>
      <c r="B4254" s="1" t="n">
        <v>45603.45233796296</v>
      </c>
      <c r="C4254" s="1" t="n">
        <v>45884</v>
      </c>
      <c r="D4254" t="inlineStr">
        <is>
          <t>KALMAR LÄN</t>
        </is>
      </c>
      <c r="E4254" t="inlineStr">
        <is>
          <t>OSKARSHAMN</t>
        </is>
      </c>
      <c r="G4254" t="n">
        <v>3.9</v>
      </c>
      <c r="H4254" t="n">
        <v>0</v>
      </c>
      <c r="I4254" t="n">
        <v>0</v>
      </c>
      <c r="J4254" t="n">
        <v>0</v>
      </c>
      <c r="K4254" t="n">
        <v>0</v>
      </c>
      <c r="L4254" t="n">
        <v>0</v>
      </c>
      <c r="M4254" t="n">
        <v>0</v>
      </c>
      <c r="N4254" t="n">
        <v>0</v>
      </c>
      <c r="O4254" t="n">
        <v>0</v>
      </c>
      <c r="P4254" t="n">
        <v>0</v>
      </c>
      <c r="Q4254" t="n">
        <v>0</v>
      </c>
      <c r="R4254" s="2" t="inlineStr"/>
    </row>
    <row r="4255" ht="15" customHeight="1">
      <c r="A4255" t="inlineStr">
        <is>
          <t>A 41199-2023</t>
        </is>
      </c>
      <c r="B4255" s="1" t="n">
        <v>45174.40454861111</v>
      </c>
      <c r="C4255" s="1" t="n">
        <v>45884</v>
      </c>
      <c r="D4255" t="inlineStr">
        <is>
          <t>KALMAR LÄN</t>
        </is>
      </c>
      <c r="E4255" t="inlineStr">
        <is>
          <t>VIMMERBY</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45113-2023</t>
        </is>
      </c>
      <c r="B4256" s="1" t="n">
        <v>45191.43909722222</v>
      </c>
      <c r="C4256" s="1" t="n">
        <v>45884</v>
      </c>
      <c r="D4256" t="inlineStr">
        <is>
          <t>KALMAR LÄN</t>
        </is>
      </c>
      <c r="E4256" t="inlineStr">
        <is>
          <t>NYBRO</t>
        </is>
      </c>
      <c r="F4256" t="inlineStr">
        <is>
          <t>Sveaskog</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49929-2022</t>
        </is>
      </c>
      <c r="B4257" s="1" t="n">
        <v>44865.32546296297</v>
      </c>
      <c r="C4257" s="1" t="n">
        <v>45884</v>
      </c>
      <c r="D4257" t="inlineStr">
        <is>
          <t>KALMAR LÄN</t>
        </is>
      </c>
      <c r="E4257" t="inlineStr">
        <is>
          <t>NYBRO</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41452-2024</t>
        </is>
      </c>
      <c r="B4258" s="1" t="n">
        <v>45560.40998842593</v>
      </c>
      <c r="C4258" s="1" t="n">
        <v>45884</v>
      </c>
      <c r="D4258" t="inlineStr">
        <is>
          <t>KALMAR LÄN</t>
        </is>
      </c>
      <c r="E4258" t="inlineStr">
        <is>
          <t>OSKARSHAMN</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494-2022</t>
        </is>
      </c>
      <c r="B4259" s="1" t="n">
        <v>44566</v>
      </c>
      <c r="C4259" s="1" t="n">
        <v>45884</v>
      </c>
      <c r="D4259" t="inlineStr">
        <is>
          <t>KALMAR LÄN</t>
        </is>
      </c>
      <c r="E4259" t="inlineStr">
        <is>
          <t>NYBRO</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11645-2024</t>
        </is>
      </c>
      <c r="B4260" s="1" t="n">
        <v>45373.4965625</v>
      </c>
      <c r="C4260" s="1" t="n">
        <v>45884</v>
      </c>
      <c r="D4260" t="inlineStr">
        <is>
          <t>KALMAR LÄN</t>
        </is>
      </c>
      <c r="E4260" t="inlineStr">
        <is>
          <t>NYBRO</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19457-2025</t>
        </is>
      </c>
      <c r="B4261" s="1" t="n">
        <v>45770.36494212963</v>
      </c>
      <c r="C4261" s="1" t="n">
        <v>45884</v>
      </c>
      <c r="D4261" t="inlineStr">
        <is>
          <t>KALMAR LÄN</t>
        </is>
      </c>
      <c r="E4261" t="inlineStr">
        <is>
          <t>NYBRO</t>
        </is>
      </c>
      <c r="G4261" t="n">
        <v>3.3</v>
      </c>
      <c r="H4261" t="n">
        <v>0</v>
      </c>
      <c r="I4261" t="n">
        <v>0</v>
      </c>
      <c r="J4261" t="n">
        <v>0</v>
      </c>
      <c r="K4261" t="n">
        <v>0</v>
      </c>
      <c r="L4261" t="n">
        <v>0</v>
      </c>
      <c r="M4261" t="n">
        <v>0</v>
      </c>
      <c r="N4261" t="n">
        <v>0</v>
      </c>
      <c r="O4261" t="n">
        <v>0</v>
      </c>
      <c r="P4261" t="n">
        <v>0</v>
      </c>
      <c r="Q4261" t="n">
        <v>0</v>
      </c>
      <c r="R4261" s="2" t="inlineStr"/>
    </row>
    <row r="4262" ht="15" customHeight="1">
      <c r="A4262" t="inlineStr">
        <is>
          <t>A 62280-2022</t>
        </is>
      </c>
      <c r="B4262" s="1" t="n">
        <v>44923</v>
      </c>
      <c r="C4262" s="1" t="n">
        <v>45884</v>
      </c>
      <c r="D4262" t="inlineStr">
        <is>
          <t>KALMAR LÄN</t>
        </is>
      </c>
      <c r="E4262" t="inlineStr">
        <is>
          <t>MÖNSTERÅS</t>
        </is>
      </c>
      <c r="G4262" t="n">
        <v>2.2</v>
      </c>
      <c r="H4262" t="n">
        <v>0</v>
      </c>
      <c r="I4262" t="n">
        <v>0</v>
      </c>
      <c r="J4262" t="n">
        <v>0</v>
      </c>
      <c r="K4262" t="n">
        <v>0</v>
      </c>
      <c r="L4262" t="n">
        <v>0</v>
      </c>
      <c r="M4262" t="n">
        <v>0</v>
      </c>
      <c r="N4262" t="n">
        <v>0</v>
      </c>
      <c r="O4262" t="n">
        <v>0</v>
      </c>
      <c r="P4262" t="n">
        <v>0</v>
      </c>
      <c r="Q4262" t="n">
        <v>0</v>
      </c>
      <c r="R4262" s="2" t="inlineStr"/>
    </row>
    <row r="4263" ht="15" customHeight="1">
      <c r="A4263" t="inlineStr">
        <is>
          <t>A 64373-2023</t>
        </is>
      </c>
      <c r="B4263" s="1" t="n">
        <v>45280.554375</v>
      </c>
      <c r="C4263" s="1" t="n">
        <v>45884</v>
      </c>
      <c r="D4263" t="inlineStr">
        <is>
          <t>KALMAR LÄN</t>
        </is>
      </c>
      <c r="E4263" t="inlineStr">
        <is>
          <t>TORSÅS</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1889-2023</t>
        </is>
      </c>
      <c r="B4264" s="1" t="n">
        <v>44939</v>
      </c>
      <c r="C4264" s="1" t="n">
        <v>45884</v>
      </c>
      <c r="D4264" t="inlineStr">
        <is>
          <t>KALMAR LÄN</t>
        </is>
      </c>
      <c r="E4264" t="inlineStr">
        <is>
          <t>MÖNSTERÅS</t>
        </is>
      </c>
      <c r="G4264" t="n">
        <v>3.8</v>
      </c>
      <c r="H4264" t="n">
        <v>0</v>
      </c>
      <c r="I4264" t="n">
        <v>0</v>
      </c>
      <c r="J4264" t="n">
        <v>0</v>
      </c>
      <c r="K4264" t="n">
        <v>0</v>
      </c>
      <c r="L4264" t="n">
        <v>0</v>
      </c>
      <c r="M4264" t="n">
        <v>0</v>
      </c>
      <c r="N4264" t="n">
        <v>0</v>
      </c>
      <c r="O4264" t="n">
        <v>0</v>
      </c>
      <c r="P4264" t="n">
        <v>0</v>
      </c>
      <c r="Q4264" t="n">
        <v>0</v>
      </c>
      <c r="R4264" s="2" t="inlineStr"/>
    </row>
    <row r="4265" ht="15" customHeight="1">
      <c r="A4265" t="inlineStr">
        <is>
          <t>A 44358-2022</t>
        </is>
      </c>
      <c r="B4265" s="1" t="n">
        <v>44839</v>
      </c>
      <c r="C4265" s="1" t="n">
        <v>45884</v>
      </c>
      <c r="D4265" t="inlineStr">
        <is>
          <t>KALMAR LÄN</t>
        </is>
      </c>
      <c r="E4265" t="inlineStr">
        <is>
          <t>NYBRO</t>
        </is>
      </c>
      <c r="G4265" t="n">
        <v>8.300000000000001</v>
      </c>
      <c r="H4265" t="n">
        <v>0</v>
      </c>
      <c r="I4265" t="n">
        <v>0</v>
      </c>
      <c r="J4265" t="n">
        <v>0</v>
      </c>
      <c r="K4265" t="n">
        <v>0</v>
      </c>
      <c r="L4265" t="n">
        <v>0</v>
      </c>
      <c r="M4265" t="n">
        <v>0</v>
      </c>
      <c r="N4265" t="n">
        <v>0</v>
      </c>
      <c r="O4265" t="n">
        <v>0</v>
      </c>
      <c r="P4265" t="n">
        <v>0</v>
      </c>
      <c r="Q4265" t="n">
        <v>0</v>
      </c>
      <c r="R4265" s="2" t="inlineStr"/>
    </row>
    <row r="4266" ht="15" customHeight="1">
      <c r="A4266" t="inlineStr">
        <is>
          <t>A 59002-2021</t>
        </is>
      </c>
      <c r="B4266" s="1" t="n">
        <v>44490</v>
      </c>
      <c r="C4266" s="1" t="n">
        <v>45884</v>
      </c>
      <c r="D4266" t="inlineStr">
        <is>
          <t>KALMAR LÄN</t>
        </is>
      </c>
      <c r="E4266" t="inlineStr">
        <is>
          <t>OSKARSHAMN</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10803-2025</t>
        </is>
      </c>
      <c r="B4267" s="1" t="n">
        <v>45722.52284722222</v>
      </c>
      <c r="C4267" s="1" t="n">
        <v>45884</v>
      </c>
      <c r="D4267" t="inlineStr">
        <is>
          <t>KALMAR LÄN</t>
        </is>
      </c>
      <c r="E4267" t="inlineStr">
        <is>
          <t>VÄSTERVIK</t>
        </is>
      </c>
      <c r="F4267" t="inlineStr">
        <is>
          <t>Övriga Aktiebolag</t>
        </is>
      </c>
      <c r="G4267" t="n">
        <v>3.5</v>
      </c>
      <c r="H4267" t="n">
        <v>0</v>
      </c>
      <c r="I4267" t="n">
        <v>0</v>
      </c>
      <c r="J4267" t="n">
        <v>0</v>
      </c>
      <c r="K4267" t="n">
        <v>0</v>
      </c>
      <c r="L4267" t="n">
        <v>0</v>
      </c>
      <c r="M4267" t="n">
        <v>0</v>
      </c>
      <c r="N4267" t="n">
        <v>0</v>
      </c>
      <c r="O4267" t="n">
        <v>0</v>
      </c>
      <c r="P4267" t="n">
        <v>0</v>
      </c>
      <c r="Q4267" t="n">
        <v>0</v>
      </c>
      <c r="R4267" s="2" t="inlineStr"/>
    </row>
    <row r="4268" ht="15" customHeight="1">
      <c r="A4268" t="inlineStr">
        <is>
          <t>A 26971-2023</t>
        </is>
      </c>
      <c r="B4268" s="1" t="n">
        <v>45091</v>
      </c>
      <c r="C4268" s="1" t="n">
        <v>45884</v>
      </c>
      <c r="D4268" t="inlineStr">
        <is>
          <t>KALMAR LÄN</t>
        </is>
      </c>
      <c r="E4268" t="inlineStr">
        <is>
          <t>EMMABODA</t>
        </is>
      </c>
      <c r="G4268" t="n">
        <v>5.5</v>
      </c>
      <c r="H4268" t="n">
        <v>0</v>
      </c>
      <c r="I4268" t="n">
        <v>0</v>
      </c>
      <c r="J4268" t="n">
        <v>0</v>
      </c>
      <c r="K4268" t="n">
        <v>0</v>
      </c>
      <c r="L4268" t="n">
        <v>0</v>
      </c>
      <c r="M4268" t="n">
        <v>0</v>
      </c>
      <c r="N4268" t="n">
        <v>0</v>
      </c>
      <c r="O4268" t="n">
        <v>0</v>
      </c>
      <c r="P4268" t="n">
        <v>0</v>
      </c>
      <c r="Q4268" t="n">
        <v>0</v>
      </c>
      <c r="R4268" s="2" t="inlineStr"/>
    </row>
    <row r="4269" ht="15" customHeight="1">
      <c r="A4269" t="inlineStr">
        <is>
          <t>A 32525-2024</t>
        </is>
      </c>
      <c r="B4269" s="1" t="n">
        <v>45513.47613425926</v>
      </c>
      <c r="C4269" s="1" t="n">
        <v>45884</v>
      </c>
      <c r="D4269" t="inlineStr">
        <is>
          <t>KALMAR LÄN</t>
        </is>
      </c>
      <c r="E4269" t="inlineStr">
        <is>
          <t>TORSÅS</t>
        </is>
      </c>
      <c r="G4269" t="n">
        <v>4.9</v>
      </c>
      <c r="H4269" t="n">
        <v>0</v>
      </c>
      <c r="I4269" t="n">
        <v>0</v>
      </c>
      <c r="J4269" t="n">
        <v>0</v>
      </c>
      <c r="K4269" t="n">
        <v>0</v>
      </c>
      <c r="L4269" t="n">
        <v>0</v>
      </c>
      <c r="M4269" t="n">
        <v>0</v>
      </c>
      <c r="N4269" t="n">
        <v>0</v>
      </c>
      <c r="O4269" t="n">
        <v>0</v>
      </c>
      <c r="P4269" t="n">
        <v>0</v>
      </c>
      <c r="Q4269" t="n">
        <v>0</v>
      </c>
      <c r="R4269" s="2" t="inlineStr"/>
    </row>
    <row r="4270" ht="15" customHeight="1">
      <c r="A4270" t="inlineStr">
        <is>
          <t>A 32532-2024</t>
        </is>
      </c>
      <c r="B4270" s="1" t="n">
        <v>45513.47923611111</v>
      </c>
      <c r="C4270" s="1" t="n">
        <v>45884</v>
      </c>
      <c r="D4270" t="inlineStr">
        <is>
          <t>KALMAR LÄN</t>
        </is>
      </c>
      <c r="E4270" t="inlineStr">
        <is>
          <t>TORSÅS</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50783-2023</t>
        </is>
      </c>
      <c r="B4271" s="1" t="n">
        <v>45217.64325231482</v>
      </c>
      <c r="C4271" s="1" t="n">
        <v>45884</v>
      </c>
      <c r="D4271" t="inlineStr">
        <is>
          <t>KALMAR LÄN</t>
        </is>
      </c>
      <c r="E4271" t="inlineStr">
        <is>
          <t>NYBRO</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50894-2023</t>
        </is>
      </c>
      <c r="B4272" s="1" t="n">
        <v>45218.40142361111</v>
      </c>
      <c r="C4272" s="1" t="n">
        <v>45884</v>
      </c>
      <c r="D4272" t="inlineStr">
        <is>
          <t>KALMAR LÄN</t>
        </is>
      </c>
      <c r="E4272" t="inlineStr">
        <is>
          <t>HULTSFRED</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56606-2022</t>
        </is>
      </c>
      <c r="B4273" s="1" t="n">
        <v>44893.57989583333</v>
      </c>
      <c r="C4273" s="1" t="n">
        <v>45884</v>
      </c>
      <c r="D4273" t="inlineStr">
        <is>
          <t>KALMAR LÄN</t>
        </is>
      </c>
      <c r="E4273" t="inlineStr">
        <is>
          <t>EMMABODA</t>
        </is>
      </c>
      <c r="G4273" t="n">
        <v>3</v>
      </c>
      <c r="H4273" t="n">
        <v>0</v>
      </c>
      <c r="I4273" t="n">
        <v>0</v>
      </c>
      <c r="J4273" t="n">
        <v>0</v>
      </c>
      <c r="K4273" t="n">
        <v>0</v>
      </c>
      <c r="L4273" t="n">
        <v>0</v>
      </c>
      <c r="M4273" t="n">
        <v>0</v>
      </c>
      <c r="N4273" t="n">
        <v>0</v>
      </c>
      <c r="O4273" t="n">
        <v>0</v>
      </c>
      <c r="P4273" t="n">
        <v>0</v>
      </c>
      <c r="Q4273" t="n">
        <v>0</v>
      </c>
      <c r="R4273" s="2" t="inlineStr"/>
    </row>
    <row r="4274" ht="15" customHeight="1">
      <c r="A4274" t="inlineStr">
        <is>
          <t>A 5584-2025</t>
        </is>
      </c>
      <c r="B4274" s="1" t="n">
        <v>45693.5546875</v>
      </c>
      <c r="C4274" s="1" t="n">
        <v>45884</v>
      </c>
      <c r="D4274" t="inlineStr">
        <is>
          <t>KALMAR LÄN</t>
        </is>
      </c>
      <c r="E4274" t="inlineStr">
        <is>
          <t>HULTSFRED</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5587-2025</t>
        </is>
      </c>
      <c r="B4275" s="1" t="n">
        <v>45693.55793981482</v>
      </c>
      <c r="C4275" s="1" t="n">
        <v>45884</v>
      </c>
      <c r="D4275" t="inlineStr">
        <is>
          <t>KALMAR LÄN</t>
        </is>
      </c>
      <c r="E4275" t="inlineStr">
        <is>
          <t>HULTSFRED</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54569-2023</t>
        </is>
      </c>
      <c r="B4276" s="1" t="n">
        <v>45233.65532407408</v>
      </c>
      <c r="C4276" s="1" t="n">
        <v>45884</v>
      </c>
      <c r="D4276" t="inlineStr">
        <is>
          <t>KALMAR LÄN</t>
        </is>
      </c>
      <c r="E4276" t="inlineStr">
        <is>
          <t>VÄSTERVIK</t>
        </is>
      </c>
      <c r="F4276" t="inlineStr">
        <is>
          <t>Holmen skog AB</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2746-2023</t>
        </is>
      </c>
      <c r="B4277" s="1" t="n">
        <v>44944</v>
      </c>
      <c r="C4277" s="1" t="n">
        <v>45884</v>
      </c>
      <c r="D4277" t="inlineStr">
        <is>
          <t>KALMAR LÄN</t>
        </is>
      </c>
      <c r="E4277" t="inlineStr">
        <is>
          <t>VÄSTERVIK</t>
        </is>
      </c>
      <c r="G4277" t="n">
        <v>5.5</v>
      </c>
      <c r="H4277" t="n">
        <v>0</v>
      </c>
      <c r="I4277" t="n">
        <v>0</v>
      </c>
      <c r="J4277" t="n">
        <v>0</v>
      </c>
      <c r="K4277" t="n">
        <v>0</v>
      </c>
      <c r="L4277" t="n">
        <v>0</v>
      </c>
      <c r="M4277" t="n">
        <v>0</v>
      </c>
      <c r="N4277" t="n">
        <v>0</v>
      </c>
      <c r="O4277" t="n">
        <v>0</v>
      </c>
      <c r="P4277" t="n">
        <v>0</v>
      </c>
      <c r="Q4277" t="n">
        <v>0</v>
      </c>
      <c r="R4277" s="2" t="inlineStr"/>
    </row>
    <row r="4278" ht="15" customHeight="1">
      <c r="A4278" t="inlineStr">
        <is>
          <t>A 39191-2020</t>
        </is>
      </c>
      <c r="B4278" s="1" t="n">
        <v>44063</v>
      </c>
      <c r="C4278" s="1" t="n">
        <v>45884</v>
      </c>
      <c r="D4278" t="inlineStr">
        <is>
          <t>KALMAR LÄN</t>
        </is>
      </c>
      <c r="E4278" t="inlineStr">
        <is>
          <t>VIMMERBY</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39195-2020</t>
        </is>
      </c>
      <c r="B4279" s="1" t="n">
        <v>44063</v>
      </c>
      <c r="C4279" s="1" t="n">
        <v>45884</v>
      </c>
      <c r="D4279" t="inlineStr">
        <is>
          <t>KALMAR LÄN</t>
        </is>
      </c>
      <c r="E4279" t="inlineStr">
        <is>
          <t>MÖNSTERÅS</t>
        </is>
      </c>
      <c r="G4279" t="n">
        <v>3.2</v>
      </c>
      <c r="H4279" t="n">
        <v>0</v>
      </c>
      <c r="I4279" t="n">
        <v>0</v>
      </c>
      <c r="J4279" t="n">
        <v>0</v>
      </c>
      <c r="K4279" t="n">
        <v>0</v>
      </c>
      <c r="L4279" t="n">
        <v>0</v>
      </c>
      <c r="M4279" t="n">
        <v>0</v>
      </c>
      <c r="N4279" t="n">
        <v>0</v>
      </c>
      <c r="O4279" t="n">
        <v>0</v>
      </c>
      <c r="P4279" t="n">
        <v>0</v>
      </c>
      <c r="Q4279" t="n">
        <v>0</v>
      </c>
      <c r="R4279" s="2" t="inlineStr"/>
    </row>
    <row r="4280" ht="15" customHeight="1">
      <c r="A4280" t="inlineStr">
        <is>
          <t>A 50723-2023</t>
        </is>
      </c>
      <c r="B4280" s="1" t="n">
        <v>45210</v>
      </c>
      <c r="C4280" s="1" t="n">
        <v>45884</v>
      </c>
      <c r="D4280" t="inlineStr">
        <is>
          <t>KALMAR LÄN</t>
        </is>
      </c>
      <c r="E4280" t="inlineStr">
        <is>
          <t>NYBRO</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19989-2025</t>
        </is>
      </c>
      <c r="B4281" s="1" t="n">
        <v>45771.72923611111</v>
      </c>
      <c r="C4281" s="1" t="n">
        <v>45884</v>
      </c>
      <c r="D4281" t="inlineStr">
        <is>
          <t>KALMAR LÄN</t>
        </is>
      </c>
      <c r="E4281" t="inlineStr">
        <is>
          <t>TORSÅS</t>
        </is>
      </c>
      <c r="G4281" t="n">
        <v>2.4</v>
      </c>
      <c r="H4281" t="n">
        <v>0</v>
      </c>
      <c r="I4281" t="n">
        <v>0</v>
      </c>
      <c r="J4281" t="n">
        <v>0</v>
      </c>
      <c r="K4281" t="n">
        <v>0</v>
      </c>
      <c r="L4281" t="n">
        <v>0</v>
      </c>
      <c r="M4281" t="n">
        <v>0</v>
      </c>
      <c r="N4281" t="n">
        <v>0</v>
      </c>
      <c r="O4281" t="n">
        <v>0</v>
      </c>
      <c r="P4281" t="n">
        <v>0</v>
      </c>
      <c r="Q4281" t="n">
        <v>0</v>
      </c>
      <c r="R4281" s="2" t="inlineStr"/>
    </row>
    <row r="4282" ht="15" customHeight="1">
      <c r="A4282" t="inlineStr">
        <is>
          <t>A 19991-2025</t>
        </is>
      </c>
      <c r="B4282" s="1" t="n">
        <v>45771.73158564815</v>
      </c>
      <c r="C4282" s="1" t="n">
        <v>45884</v>
      </c>
      <c r="D4282" t="inlineStr">
        <is>
          <t>KALMAR LÄN</t>
        </is>
      </c>
      <c r="E4282" t="inlineStr">
        <is>
          <t>TORSÅS</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56613-2023</t>
        </is>
      </c>
      <c r="B4283" s="1" t="n">
        <v>45243.67643518518</v>
      </c>
      <c r="C4283" s="1" t="n">
        <v>45884</v>
      </c>
      <c r="D4283" t="inlineStr">
        <is>
          <t>KALMAR LÄN</t>
        </is>
      </c>
      <c r="E4283" t="inlineStr">
        <is>
          <t>TORSÅS</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32937-2023</t>
        </is>
      </c>
      <c r="B4284" s="1" t="n">
        <v>45113</v>
      </c>
      <c r="C4284" s="1" t="n">
        <v>45884</v>
      </c>
      <c r="D4284" t="inlineStr">
        <is>
          <t>KALMAR LÄN</t>
        </is>
      </c>
      <c r="E4284" t="inlineStr">
        <is>
          <t>OSKARSHAMN</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12435-2024</t>
        </is>
      </c>
      <c r="B4285" s="1" t="n">
        <v>45379.4459375</v>
      </c>
      <c r="C4285" s="1" t="n">
        <v>45884</v>
      </c>
      <c r="D4285" t="inlineStr">
        <is>
          <t>KALMAR LÄN</t>
        </is>
      </c>
      <c r="E4285" t="inlineStr">
        <is>
          <t>VÄSTERVIK</t>
        </is>
      </c>
      <c r="G4285" t="n">
        <v>0.4</v>
      </c>
      <c r="H4285" t="n">
        <v>0</v>
      </c>
      <c r="I4285" t="n">
        <v>0</v>
      </c>
      <c r="J4285" t="n">
        <v>0</v>
      </c>
      <c r="K4285" t="n">
        <v>0</v>
      </c>
      <c r="L4285" t="n">
        <v>0</v>
      </c>
      <c r="M4285" t="n">
        <v>0</v>
      </c>
      <c r="N4285" t="n">
        <v>0</v>
      </c>
      <c r="O4285" t="n">
        <v>0</v>
      </c>
      <c r="P4285" t="n">
        <v>0</v>
      </c>
      <c r="Q4285" t="n">
        <v>0</v>
      </c>
      <c r="R4285" s="2" t="inlineStr"/>
    </row>
    <row r="4286" ht="15" customHeight="1">
      <c r="A4286" t="inlineStr">
        <is>
          <t>A 56748-2023</t>
        </is>
      </c>
      <c r="B4286" s="1" t="n">
        <v>45244.36743055555</v>
      </c>
      <c r="C4286" s="1" t="n">
        <v>45884</v>
      </c>
      <c r="D4286" t="inlineStr">
        <is>
          <t>KALMAR LÄN</t>
        </is>
      </c>
      <c r="E4286" t="inlineStr">
        <is>
          <t>OSKARSHAMN</t>
        </is>
      </c>
      <c r="G4286" t="n">
        <v>5.2</v>
      </c>
      <c r="H4286" t="n">
        <v>0</v>
      </c>
      <c r="I4286" t="n">
        <v>0</v>
      </c>
      <c r="J4286" t="n">
        <v>0</v>
      </c>
      <c r="K4286" t="n">
        <v>0</v>
      </c>
      <c r="L4286" t="n">
        <v>0</v>
      </c>
      <c r="M4286" t="n">
        <v>0</v>
      </c>
      <c r="N4286" t="n">
        <v>0</v>
      </c>
      <c r="O4286" t="n">
        <v>0</v>
      </c>
      <c r="P4286" t="n">
        <v>0</v>
      </c>
      <c r="Q4286" t="n">
        <v>0</v>
      </c>
      <c r="R4286" s="2" t="inlineStr"/>
    </row>
    <row r="4287" ht="15" customHeight="1">
      <c r="A4287" t="inlineStr">
        <is>
          <t>A 9864-2025</t>
        </is>
      </c>
      <c r="B4287" s="1" t="n">
        <v>45716</v>
      </c>
      <c r="C4287" s="1" t="n">
        <v>45884</v>
      </c>
      <c r="D4287" t="inlineStr">
        <is>
          <t>KALMAR LÄN</t>
        </is>
      </c>
      <c r="E4287" t="inlineStr">
        <is>
          <t>EMMABODA</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9867-2025</t>
        </is>
      </c>
      <c r="B4288" s="1" t="n">
        <v>45716</v>
      </c>
      <c r="C4288" s="1" t="n">
        <v>45884</v>
      </c>
      <c r="D4288" t="inlineStr">
        <is>
          <t>KALMAR LÄN</t>
        </is>
      </c>
      <c r="E4288" t="inlineStr">
        <is>
          <t>EMMABODA</t>
        </is>
      </c>
      <c r="G4288" t="n">
        <v>3.2</v>
      </c>
      <c r="H4288" t="n">
        <v>0</v>
      </c>
      <c r="I4288" t="n">
        <v>0</v>
      </c>
      <c r="J4288" t="n">
        <v>0</v>
      </c>
      <c r="K4288" t="n">
        <v>0</v>
      </c>
      <c r="L4288" t="n">
        <v>0</v>
      </c>
      <c r="M4288" t="n">
        <v>0</v>
      </c>
      <c r="N4288" t="n">
        <v>0</v>
      </c>
      <c r="O4288" t="n">
        <v>0</v>
      </c>
      <c r="P4288" t="n">
        <v>0</v>
      </c>
      <c r="Q4288" t="n">
        <v>0</v>
      </c>
      <c r="R4288" s="2" t="inlineStr"/>
    </row>
    <row r="4289" ht="15" customHeight="1">
      <c r="A4289" t="inlineStr">
        <is>
          <t>A 62330-2023</t>
        </is>
      </c>
      <c r="B4289" s="1" t="n">
        <v>45267</v>
      </c>
      <c r="C4289" s="1" t="n">
        <v>45884</v>
      </c>
      <c r="D4289" t="inlineStr">
        <is>
          <t>KALMAR LÄN</t>
        </is>
      </c>
      <c r="E4289" t="inlineStr">
        <is>
          <t>OSKARSHAMN</t>
        </is>
      </c>
      <c r="F4289" t="inlineStr">
        <is>
          <t>Sveaskog</t>
        </is>
      </c>
      <c r="G4289" t="n">
        <v>5.2</v>
      </c>
      <c r="H4289" t="n">
        <v>0</v>
      </c>
      <c r="I4289" t="n">
        <v>0</v>
      </c>
      <c r="J4289" t="n">
        <v>0</v>
      </c>
      <c r="K4289" t="n">
        <v>0</v>
      </c>
      <c r="L4289" t="n">
        <v>0</v>
      </c>
      <c r="M4289" t="n">
        <v>0</v>
      </c>
      <c r="N4289" t="n">
        <v>0</v>
      </c>
      <c r="O4289" t="n">
        <v>0</v>
      </c>
      <c r="P4289" t="n">
        <v>0</v>
      </c>
      <c r="Q4289" t="n">
        <v>0</v>
      </c>
      <c r="R4289" s="2" t="inlineStr"/>
    </row>
    <row r="4290" ht="15" customHeight="1">
      <c r="A4290" t="inlineStr">
        <is>
          <t>A 60754-2022</t>
        </is>
      </c>
      <c r="B4290" s="1" t="n">
        <v>44914.32637731481</v>
      </c>
      <c r="C4290" s="1" t="n">
        <v>45884</v>
      </c>
      <c r="D4290" t="inlineStr">
        <is>
          <t>KALMAR LÄN</t>
        </is>
      </c>
      <c r="E4290" t="inlineStr">
        <is>
          <t>KALMAR</t>
        </is>
      </c>
      <c r="G4290" t="n">
        <v>4.7</v>
      </c>
      <c r="H4290" t="n">
        <v>0</v>
      </c>
      <c r="I4290" t="n">
        <v>0</v>
      </c>
      <c r="J4290" t="n">
        <v>0</v>
      </c>
      <c r="K4290" t="n">
        <v>0</v>
      </c>
      <c r="L4290" t="n">
        <v>0</v>
      </c>
      <c r="M4290" t="n">
        <v>0</v>
      </c>
      <c r="N4290" t="n">
        <v>0</v>
      </c>
      <c r="O4290" t="n">
        <v>0</v>
      </c>
      <c r="P4290" t="n">
        <v>0</v>
      </c>
      <c r="Q4290" t="n">
        <v>0</v>
      </c>
      <c r="R4290" s="2" t="inlineStr"/>
    </row>
    <row r="4291" ht="15" customHeight="1">
      <c r="A4291" t="inlineStr">
        <is>
          <t>A 31686-2023</t>
        </is>
      </c>
      <c r="B4291" s="1" t="n">
        <v>45117</v>
      </c>
      <c r="C4291" s="1" t="n">
        <v>45884</v>
      </c>
      <c r="D4291" t="inlineStr">
        <is>
          <t>KALMAR LÄN</t>
        </is>
      </c>
      <c r="E4291" t="inlineStr">
        <is>
          <t>VÄSTERVIK</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60810-2022</t>
        </is>
      </c>
      <c r="B4292" s="1" t="n">
        <v>44914.46178240741</v>
      </c>
      <c r="C4292" s="1" t="n">
        <v>45884</v>
      </c>
      <c r="D4292" t="inlineStr">
        <is>
          <t>KALMAR LÄN</t>
        </is>
      </c>
      <c r="E4292" t="inlineStr">
        <is>
          <t>TORSÅS</t>
        </is>
      </c>
      <c r="G4292" t="n">
        <v>3.4</v>
      </c>
      <c r="H4292" t="n">
        <v>0</v>
      </c>
      <c r="I4292" t="n">
        <v>0</v>
      </c>
      <c r="J4292" t="n">
        <v>0</v>
      </c>
      <c r="K4292" t="n">
        <v>0</v>
      </c>
      <c r="L4292" t="n">
        <v>0</v>
      </c>
      <c r="M4292" t="n">
        <v>0</v>
      </c>
      <c r="N4292" t="n">
        <v>0</v>
      </c>
      <c r="O4292" t="n">
        <v>0</v>
      </c>
      <c r="P4292" t="n">
        <v>0</v>
      </c>
      <c r="Q4292" t="n">
        <v>0</v>
      </c>
      <c r="R4292" s="2" t="inlineStr"/>
    </row>
    <row r="4293" ht="15" customHeight="1">
      <c r="A4293" t="inlineStr">
        <is>
          <t>A 8945-2025</t>
        </is>
      </c>
      <c r="B4293" s="1" t="n">
        <v>45713.45311342592</v>
      </c>
      <c r="C4293" s="1" t="n">
        <v>45884</v>
      </c>
      <c r="D4293" t="inlineStr">
        <is>
          <t>KALMAR LÄN</t>
        </is>
      </c>
      <c r="E4293" t="inlineStr">
        <is>
          <t>VIMMERBY</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4104-2024</t>
        </is>
      </c>
      <c r="B4294" s="1" t="n">
        <v>45323.6571875</v>
      </c>
      <c r="C4294" s="1" t="n">
        <v>45884</v>
      </c>
      <c r="D4294" t="inlineStr">
        <is>
          <t>KALMAR LÄN</t>
        </is>
      </c>
      <c r="E4294" t="inlineStr">
        <is>
          <t>MÖNSTERÅS</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26279-2023</t>
        </is>
      </c>
      <c r="B4295" s="1" t="n">
        <v>45091</v>
      </c>
      <c r="C4295" s="1" t="n">
        <v>45884</v>
      </c>
      <c r="D4295" t="inlineStr">
        <is>
          <t>KALMAR LÄN</t>
        </is>
      </c>
      <c r="E4295" t="inlineStr">
        <is>
          <t>MÖNSTERÅS</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40116-2024</t>
        </is>
      </c>
      <c r="B4296" s="1" t="n">
        <v>45554</v>
      </c>
      <c r="C4296" s="1" t="n">
        <v>45884</v>
      </c>
      <c r="D4296" t="inlineStr">
        <is>
          <t>KALMAR LÄN</t>
        </is>
      </c>
      <c r="E4296" t="inlineStr">
        <is>
          <t>EMMABODA</t>
        </is>
      </c>
      <c r="F4296" t="inlineStr">
        <is>
          <t>Kyrkan</t>
        </is>
      </c>
      <c r="G4296" t="n">
        <v>3.9</v>
      </c>
      <c r="H4296" t="n">
        <v>0</v>
      </c>
      <c r="I4296" t="n">
        <v>0</v>
      </c>
      <c r="J4296" t="n">
        <v>0</v>
      </c>
      <c r="K4296" t="n">
        <v>0</v>
      </c>
      <c r="L4296" t="n">
        <v>0</v>
      </c>
      <c r="M4296" t="n">
        <v>0</v>
      </c>
      <c r="N4296" t="n">
        <v>0</v>
      </c>
      <c r="O4296" t="n">
        <v>0</v>
      </c>
      <c r="P4296" t="n">
        <v>0</v>
      </c>
      <c r="Q4296" t="n">
        <v>0</v>
      </c>
      <c r="R4296" s="2" t="inlineStr"/>
    </row>
    <row r="4297" ht="15" customHeight="1">
      <c r="A4297" t="inlineStr">
        <is>
          <t>A 11732-2023</t>
        </is>
      </c>
      <c r="B4297" s="1" t="n">
        <v>44994</v>
      </c>
      <c r="C4297" s="1" t="n">
        <v>45884</v>
      </c>
      <c r="D4297" t="inlineStr">
        <is>
          <t>KALMAR LÄN</t>
        </is>
      </c>
      <c r="E4297" t="inlineStr">
        <is>
          <t>KALMAR</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11735-2023</t>
        </is>
      </c>
      <c r="B4298" s="1" t="n">
        <v>44994</v>
      </c>
      <c r="C4298" s="1" t="n">
        <v>45884</v>
      </c>
      <c r="D4298" t="inlineStr">
        <is>
          <t>KALMAR LÄN</t>
        </is>
      </c>
      <c r="E4298" t="inlineStr">
        <is>
          <t>KALMAR</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2121-2022</t>
        </is>
      </c>
      <c r="B4299" s="1" t="n">
        <v>44578.32717592592</v>
      </c>
      <c r="C4299" s="1" t="n">
        <v>45884</v>
      </c>
      <c r="D4299" t="inlineStr">
        <is>
          <t>KALMAR LÄN</t>
        </is>
      </c>
      <c r="E4299" t="inlineStr">
        <is>
          <t>VIMMERBY</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35129-2023</t>
        </is>
      </c>
      <c r="B4300" s="1" t="n">
        <v>45145</v>
      </c>
      <c r="C4300" s="1" t="n">
        <v>45884</v>
      </c>
      <c r="D4300" t="inlineStr">
        <is>
          <t>KALMAR LÄN</t>
        </is>
      </c>
      <c r="E4300" t="inlineStr">
        <is>
          <t>NYBRO</t>
        </is>
      </c>
      <c r="G4300" t="n">
        <v>3.8</v>
      </c>
      <c r="H4300" t="n">
        <v>0</v>
      </c>
      <c r="I4300" t="n">
        <v>0</v>
      </c>
      <c r="J4300" t="n">
        <v>0</v>
      </c>
      <c r="K4300" t="n">
        <v>0</v>
      </c>
      <c r="L4300" t="n">
        <v>0</v>
      </c>
      <c r="M4300" t="n">
        <v>0</v>
      </c>
      <c r="N4300" t="n">
        <v>0</v>
      </c>
      <c r="O4300" t="n">
        <v>0</v>
      </c>
      <c r="P4300" t="n">
        <v>0</v>
      </c>
      <c r="Q4300" t="n">
        <v>0</v>
      </c>
      <c r="R4300" s="2" t="inlineStr"/>
    </row>
    <row r="4301" ht="15" customHeight="1">
      <c r="A4301" t="inlineStr">
        <is>
          <t>A 60030-2022</t>
        </is>
      </c>
      <c r="B4301" s="1" t="n">
        <v>44909</v>
      </c>
      <c r="C4301" s="1" t="n">
        <v>45884</v>
      </c>
      <c r="D4301" t="inlineStr">
        <is>
          <t>KALMAR LÄN</t>
        </is>
      </c>
      <c r="E4301" t="inlineStr">
        <is>
          <t>NYBRO</t>
        </is>
      </c>
      <c r="G4301" t="n">
        <v>2.9</v>
      </c>
      <c r="H4301" t="n">
        <v>0</v>
      </c>
      <c r="I4301" t="n">
        <v>0</v>
      </c>
      <c r="J4301" t="n">
        <v>0</v>
      </c>
      <c r="K4301" t="n">
        <v>0</v>
      </c>
      <c r="L4301" t="n">
        <v>0</v>
      </c>
      <c r="M4301" t="n">
        <v>0</v>
      </c>
      <c r="N4301" t="n">
        <v>0</v>
      </c>
      <c r="O4301" t="n">
        <v>0</v>
      </c>
      <c r="P4301" t="n">
        <v>0</v>
      </c>
      <c r="Q4301" t="n">
        <v>0</v>
      </c>
      <c r="R4301" s="2" t="inlineStr"/>
    </row>
    <row r="4302" ht="15" customHeight="1">
      <c r="A4302" t="inlineStr">
        <is>
          <t>A 60041-2022</t>
        </is>
      </c>
      <c r="B4302" s="1" t="n">
        <v>44909.51342592593</v>
      </c>
      <c r="C4302" s="1" t="n">
        <v>45884</v>
      </c>
      <c r="D4302" t="inlineStr">
        <is>
          <t>KALMAR LÄN</t>
        </is>
      </c>
      <c r="E4302" t="inlineStr">
        <is>
          <t>NYBRO</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35165-2023</t>
        </is>
      </c>
      <c r="B4303" s="1" t="n">
        <v>45145.57739583333</v>
      </c>
      <c r="C4303" s="1" t="n">
        <v>45884</v>
      </c>
      <c r="D4303" t="inlineStr">
        <is>
          <t>KALMAR LÄN</t>
        </is>
      </c>
      <c r="E4303" t="inlineStr">
        <is>
          <t>NYBRO</t>
        </is>
      </c>
      <c r="G4303" t="n">
        <v>2.5</v>
      </c>
      <c r="H4303" t="n">
        <v>0</v>
      </c>
      <c r="I4303" t="n">
        <v>0</v>
      </c>
      <c r="J4303" t="n">
        <v>0</v>
      </c>
      <c r="K4303" t="n">
        <v>0</v>
      </c>
      <c r="L4303" t="n">
        <v>0</v>
      </c>
      <c r="M4303" t="n">
        <v>0</v>
      </c>
      <c r="N4303" t="n">
        <v>0</v>
      </c>
      <c r="O4303" t="n">
        <v>0</v>
      </c>
      <c r="P4303" t="n">
        <v>0</v>
      </c>
      <c r="Q4303" t="n">
        <v>0</v>
      </c>
      <c r="R4303" s="2" t="inlineStr"/>
    </row>
    <row r="4304" ht="15" customHeight="1">
      <c r="A4304" t="inlineStr">
        <is>
          <t>A 10688-2024</t>
        </is>
      </c>
      <c r="B4304" s="1" t="n">
        <v>45369.39894675926</v>
      </c>
      <c r="C4304" s="1" t="n">
        <v>45884</v>
      </c>
      <c r="D4304" t="inlineStr">
        <is>
          <t>KALMAR LÄN</t>
        </is>
      </c>
      <c r="E4304" t="inlineStr">
        <is>
          <t>VÄSTERVIK</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14529-2022</t>
        </is>
      </c>
      <c r="B4305" s="1" t="n">
        <v>44655</v>
      </c>
      <c r="C4305" s="1" t="n">
        <v>45884</v>
      </c>
      <c r="D4305" t="inlineStr">
        <is>
          <t>KALMAR LÄN</t>
        </is>
      </c>
      <c r="E4305" t="inlineStr">
        <is>
          <t>VÄSTERVIK</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23413-2023</t>
        </is>
      </c>
      <c r="B4306" s="1" t="n">
        <v>45076.506875</v>
      </c>
      <c r="C4306" s="1" t="n">
        <v>45884</v>
      </c>
      <c r="D4306" t="inlineStr">
        <is>
          <t>KALMAR LÄN</t>
        </is>
      </c>
      <c r="E4306" t="inlineStr">
        <is>
          <t>HÖGSBY</t>
        </is>
      </c>
      <c r="F4306" t="inlineStr">
        <is>
          <t>Sveaskog</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9792-2023</t>
        </is>
      </c>
      <c r="B4307" s="1" t="n">
        <v>44984.64269675926</v>
      </c>
      <c r="C4307" s="1" t="n">
        <v>45884</v>
      </c>
      <c r="D4307" t="inlineStr">
        <is>
          <t>KALMAR LÄN</t>
        </is>
      </c>
      <c r="E4307" t="inlineStr">
        <is>
          <t>VÄSTERVIK</t>
        </is>
      </c>
      <c r="F4307" t="inlineStr">
        <is>
          <t>Holmen skog AB</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23664-2024</t>
        </is>
      </c>
      <c r="B4308" s="1" t="n">
        <v>45454.57378472222</v>
      </c>
      <c r="C4308" s="1" t="n">
        <v>45884</v>
      </c>
      <c r="D4308" t="inlineStr">
        <is>
          <t>KALMAR LÄN</t>
        </is>
      </c>
      <c r="E4308" t="inlineStr">
        <is>
          <t>KALMAR</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10424-2025</t>
        </is>
      </c>
      <c r="B4309" s="1" t="n">
        <v>45720.65146990741</v>
      </c>
      <c r="C4309" s="1" t="n">
        <v>45884</v>
      </c>
      <c r="D4309" t="inlineStr">
        <is>
          <t>KALMAR LÄN</t>
        </is>
      </c>
      <c r="E4309" t="inlineStr">
        <is>
          <t>OSKARSHAMN</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16881-2025</t>
        </is>
      </c>
      <c r="B4310" s="1" t="n">
        <v>45755.29855324074</v>
      </c>
      <c r="C4310" s="1" t="n">
        <v>45884</v>
      </c>
      <c r="D4310" t="inlineStr">
        <is>
          <t>KALMAR LÄN</t>
        </is>
      </c>
      <c r="E4310" t="inlineStr">
        <is>
          <t>HULTSFRED</t>
        </is>
      </c>
      <c r="F4310" t="inlineStr">
        <is>
          <t>Sveaskog</t>
        </is>
      </c>
      <c r="G4310" t="n">
        <v>3.3</v>
      </c>
      <c r="H4310" t="n">
        <v>0</v>
      </c>
      <c r="I4310" t="n">
        <v>0</v>
      </c>
      <c r="J4310" t="n">
        <v>0</v>
      </c>
      <c r="K4310" t="n">
        <v>0</v>
      </c>
      <c r="L4310" t="n">
        <v>0</v>
      </c>
      <c r="M4310" t="n">
        <v>0</v>
      </c>
      <c r="N4310" t="n">
        <v>0</v>
      </c>
      <c r="O4310" t="n">
        <v>0</v>
      </c>
      <c r="P4310" t="n">
        <v>0</v>
      </c>
      <c r="Q4310" t="n">
        <v>0</v>
      </c>
      <c r="R4310" s="2" t="inlineStr"/>
    </row>
    <row r="4311" ht="15" customHeight="1">
      <c r="A4311" t="inlineStr">
        <is>
          <t>A 65130-2023</t>
        </is>
      </c>
      <c r="B4311" s="1" t="n">
        <v>45288.50891203704</v>
      </c>
      <c r="C4311" s="1" t="n">
        <v>45884</v>
      </c>
      <c r="D4311" t="inlineStr">
        <is>
          <t>KALMAR LÄN</t>
        </is>
      </c>
      <c r="E4311" t="inlineStr">
        <is>
          <t>HÖGSBY</t>
        </is>
      </c>
      <c r="F4311" t="inlineStr">
        <is>
          <t>Sveaskog</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23852-2024</t>
        </is>
      </c>
      <c r="B4312" s="1" t="n">
        <v>45455.5603587963</v>
      </c>
      <c r="C4312" s="1" t="n">
        <v>45884</v>
      </c>
      <c r="D4312" t="inlineStr">
        <is>
          <t>KALMAR LÄN</t>
        </is>
      </c>
      <c r="E4312" t="inlineStr">
        <is>
          <t>HULTSFRED</t>
        </is>
      </c>
      <c r="G4312" t="n">
        <v>2.2</v>
      </c>
      <c r="H4312" t="n">
        <v>0</v>
      </c>
      <c r="I4312" t="n">
        <v>0</v>
      </c>
      <c r="J4312" t="n">
        <v>0</v>
      </c>
      <c r="K4312" t="n">
        <v>0</v>
      </c>
      <c r="L4312" t="n">
        <v>0</v>
      </c>
      <c r="M4312" t="n">
        <v>0</v>
      </c>
      <c r="N4312" t="n">
        <v>0</v>
      </c>
      <c r="O4312" t="n">
        <v>0</v>
      </c>
      <c r="P4312" t="n">
        <v>0</v>
      </c>
      <c r="Q4312" t="n">
        <v>0</v>
      </c>
      <c r="R4312" s="2" t="inlineStr"/>
    </row>
    <row r="4313" ht="15" customHeight="1">
      <c r="A4313" t="inlineStr">
        <is>
          <t>A 11433-2024</t>
        </is>
      </c>
      <c r="B4313" s="1" t="n">
        <v>45372.51892361111</v>
      </c>
      <c r="C4313" s="1" t="n">
        <v>45884</v>
      </c>
      <c r="D4313" t="inlineStr">
        <is>
          <t>KALMAR LÄN</t>
        </is>
      </c>
      <c r="E4313" t="inlineStr">
        <is>
          <t>HULTSFRED</t>
        </is>
      </c>
      <c r="G4313" t="n">
        <v>2.7</v>
      </c>
      <c r="H4313" t="n">
        <v>0</v>
      </c>
      <c r="I4313" t="n">
        <v>0</v>
      </c>
      <c r="J4313" t="n">
        <v>0</v>
      </c>
      <c r="K4313" t="n">
        <v>0</v>
      </c>
      <c r="L4313" t="n">
        <v>0</v>
      </c>
      <c r="M4313" t="n">
        <v>0</v>
      </c>
      <c r="N4313" t="n">
        <v>0</v>
      </c>
      <c r="O4313" t="n">
        <v>0</v>
      </c>
      <c r="P4313" t="n">
        <v>0</v>
      </c>
      <c r="Q4313" t="n">
        <v>0</v>
      </c>
      <c r="R4313" s="2" t="inlineStr"/>
    </row>
    <row r="4314" ht="15" customHeight="1">
      <c r="A4314" t="inlineStr">
        <is>
          <t>A 34386-2024</t>
        </is>
      </c>
      <c r="B4314" s="1" t="n">
        <v>45525.41762731481</v>
      </c>
      <c r="C4314" s="1" t="n">
        <v>45884</v>
      </c>
      <c r="D4314" t="inlineStr">
        <is>
          <t>KALMAR LÄN</t>
        </is>
      </c>
      <c r="E4314" t="inlineStr">
        <is>
          <t>VIMMERBY</t>
        </is>
      </c>
      <c r="G4314" t="n">
        <v>0.3</v>
      </c>
      <c r="H4314" t="n">
        <v>0</v>
      </c>
      <c r="I4314" t="n">
        <v>0</v>
      </c>
      <c r="J4314" t="n">
        <v>0</v>
      </c>
      <c r="K4314" t="n">
        <v>0</v>
      </c>
      <c r="L4314" t="n">
        <v>0</v>
      </c>
      <c r="M4314" t="n">
        <v>0</v>
      </c>
      <c r="N4314" t="n">
        <v>0</v>
      </c>
      <c r="O4314" t="n">
        <v>0</v>
      </c>
      <c r="P4314" t="n">
        <v>0</v>
      </c>
      <c r="Q4314" t="n">
        <v>0</v>
      </c>
      <c r="R4314" s="2" t="inlineStr"/>
    </row>
    <row r="4315" ht="15" customHeight="1">
      <c r="A4315" t="inlineStr">
        <is>
          <t>A 55721-2024</t>
        </is>
      </c>
      <c r="B4315" s="1" t="n">
        <v>45622.7463425926</v>
      </c>
      <c r="C4315" s="1" t="n">
        <v>45884</v>
      </c>
      <c r="D4315" t="inlineStr">
        <is>
          <t>KALMAR LÄN</t>
        </is>
      </c>
      <c r="E4315" t="inlineStr">
        <is>
          <t>NYBRO</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20073-2024</t>
        </is>
      </c>
      <c r="B4316" s="1" t="n">
        <v>45434.42591435185</v>
      </c>
      <c r="C4316" s="1" t="n">
        <v>45884</v>
      </c>
      <c r="D4316" t="inlineStr">
        <is>
          <t>KALMAR LÄN</t>
        </is>
      </c>
      <c r="E4316" t="inlineStr">
        <is>
          <t>NYBRO</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26701-2022</t>
        </is>
      </c>
      <c r="B4317" s="1" t="n">
        <v>44739</v>
      </c>
      <c r="C4317" s="1" t="n">
        <v>45884</v>
      </c>
      <c r="D4317" t="inlineStr">
        <is>
          <t>KALMAR LÄN</t>
        </is>
      </c>
      <c r="E4317" t="inlineStr">
        <is>
          <t>MÖNSTERÅS</t>
        </is>
      </c>
      <c r="G4317" t="n">
        <v>6.5</v>
      </c>
      <c r="H4317" t="n">
        <v>0</v>
      </c>
      <c r="I4317" t="n">
        <v>0</v>
      </c>
      <c r="J4317" t="n">
        <v>0</v>
      </c>
      <c r="K4317" t="n">
        <v>0</v>
      </c>
      <c r="L4317" t="n">
        <v>0</v>
      </c>
      <c r="M4317" t="n">
        <v>0</v>
      </c>
      <c r="N4317" t="n">
        <v>0</v>
      </c>
      <c r="O4317" t="n">
        <v>0</v>
      </c>
      <c r="P4317" t="n">
        <v>0</v>
      </c>
      <c r="Q4317" t="n">
        <v>0</v>
      </c>
      <c r="R4317" s="2" t="inlineStr"/>
    </row>
    <row r="4318" ht="15" customHeight="1">
      <c r="A4318" t="inlineStr">
        <is>
          <t>A 1417-2025</t>
        </is>
      </c>
      <c r="B4318" s="1" t="n">
        <v>45668.41509259259</v>
      </c>
      <c r="C4318" s="1" t="n">
        <v>45884</v>
      </c>
      <c r="D4318" t="inlineStr">
        <is>
          <t>KALMAR LÄN</t>
        </is>
      </c>
      <c r="E4318" t="inlineStr">
        <is>
          <t>EMMABODA</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1419-2025</t>
        </is>
      </c>
      <c r="B4319" s="1" t="n">
        <v>45668.48770833333</v>
      </c>
      <c r="C4319" s="1" t="n">
        <v>45884</v>
      </c>
      <c r="D4319" t="inlineStr">
        <is>
          <t>KALMAR LÄN</t>
        </is>
      </c>
      <c r="E4319" t="inlineStr">
        <is>
          <t>NYBRO</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11619-2023</t>
        </is>
      </c>
      <c r="B4320" s="1" t="n">
        <v>44994.42113425926</v>
      </c>
      <c r="C4320" s="1" t="n">
        <v>45884</v>
      </c>
      <c r="D4320" t="inlineStr">
        <is>
          <t>KALMAR LÄN</t>
        </is>
      </c>
      <c r="E4320" t="inlineStr">
        <is>
          <t>VIMMERBY</t>
        </is>
      </c>
      <c r="G4320" t="n">
        <v>2.5</v>
      </c>
      <c r="H4320" t="n">
        <v>0</v>
      </c>
      <c r="I4320" t="n">
        <v>0</v>
      </c>
      <c r="J4320" t="n">
        <v>0</v>
      </c>
      <c r="K4320" t="n">
        <v>0</v>
      </c>
      <c r="L4320" t="n">
        <v>0</v>
      </c>
      <c r="M4320" t="n">
        <v>0</v>
      </c>
      <c r="N4320" t="n">
        <v>0</v>
      </c>
      <c r="O4320" t="n">
        <v>0</v>
      </c>
      <c r="P4320" t="n">
        <v>0</v>
      </c>
      <c r="Q4320" t="n">
        <v>0</v>
      </c>
      <c r="R4320" s="2" t="inlineStr"/>
    </row>
    <row r="4321" ht="15" customHeight="1">
      <c r="A4321" t="inlineStr">
        <is>
          <t>A 50914-2023</t>
        </is>
      </c>
      <c r="B4321" s="1" t="n">
        <v>45218</v>
      </c>
      <c r="C4321" s="1" t="n">
        <v>45884</v>
      </c>
      <c r="D4321" t="inlineStr">
        <is>
          <t>KALMAR LÄN</t>
        </is>
      </c>
      <c r="E4321" t="inlineStr">
        <is>
          <t>MÖNSTERÅS</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11645-2023</t>
        </is>
      </c>
      <c r="B4322" s="1" t="n">
        <v>44994.45324074074</v>
      </c>
      <c r="C4322" s="1" t="n">
        <v>45884</v>
      </c>
      <c r="D4322" t="inlineStr">
        <is>
          <t>KALMAR LÄN</t>
        </is>
      </c>
      <c r="E4322" t="inlineStr">
        <is>
          <t>HULTSFRED</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37033-2021</t>
        </is>
      </c>
      <c r="B4323" s="1" t="n">
        <v>44393</v>
      </c>
      <c r="C4323" s="1" t="n">
        <v>45884</v>
      </c>
      <c r="D4323" t="inlineStr">
        <is>
          <t>KALMAR LÄN</t>
        </is>
      </c>
      <c r="E4323" t="inlineStr">
        <is>
          <t>VÄSTERVIK</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10926-2024</t>
        </is>
      </c>
      <c r="B4324" s="1" t="n">
        <v>45370.42829861111</v>
      </c>
      <c r="C4324" s="1" t="n">
        <v>45884</v>
      </c>
      <c r="D4324" t="inlineStr">
        <is>
          <t>KALMAR LÄN</t>
        </is>
      </c>
      <c r="E4324" t="inlineStr">
        <is>
          <t>TORSÅS</t>
        </is>
      </c>
      <c r="G4324" t="n">
        <v>4.6</v>
      </c>
      <c r="H4324" t="n">
        <v>0</v>
      </c>
      <c r="I4324" t="n">
        <v>0</v>
      </c>
      <c r="J4324" t="n">
        <v>0</v>
      </c>
      <c r="K4324" t="n">
        <v>0</v>
      </c>
      <c r="L4324" t="n">
        <v>0</v>
      </c>
      <c r="M4324" t="n">
        <v>0</v>
      </c>
      <c r="N4324" t="n">
        <v>0</v>
      </c>
      <c r="O4324" t="n">
        <v>0</v>
      </c>
      <c r="P4324" t="n">
        <v>0</v>
      </c>
      <c r="Q4324" t="n">
        <v>0</v>
      </c>
      <c r="R4324" s="2" t="inlineStr"/>
    </row>
    <row r="4325" ht="15" customHeight="1">
      <c r="A4325" t="inlineStr">
        <is>
          <t>A 5878-2023</t>
        </is>
      </c>
      <c r="B4325" s="1" t="n">
        <v>44963.62231481481</v>
      </c>
      <c r="C4325" s="1" t="n">
        <v>45884</v>
      </c>
      <c r="D4325" t="inlineStr">
        <is>
          <t>KALMAR LÄN</t>
        </is>
      </c>
      <c r="E4325" t="inlineStr">
        <is>
          <t>HULTSFRED</t>
        </is>
      </c>
      <c r="G4325" t="n">
        <v>3.9</v>
      </c>
      <c r="H4325" t="n">
        <v>0</v>
      </c>
      <c r="I4325" t="n">
        <v>0</v>
      </c>
      <c r="J4325" t="n">
        <v>0</v>
      </c>
      <c r="K4325" t="n">
        <v>0</v>
      </c>
      <c r="L4325" t="n">
        <v>0</v>
      </c>
      <c r="M4325" t="n">
        <v>0</v>
      </c>
      <c r="N4325" t="n">
        <v>0</v>
      </c>
      <c r="O4325" t="n">
        <v>0</v>
      </c>
      <c r="P4325" t="n">
        <v>0</v>
      </c>
      <c r="Q4325" t="n">
        <v>0</v>
      </c>
      <c r="R4325" s="2" t="inlineStr"/>
    </row>
    <row r="4326" ht="15" customHeight="1">
      <c r="A4326" t="inlineStr">
        <is>
          <t>A 5882-2023</t>
        </is>
      </c>
      <c r="B4326" s="1" t="n">
        <v>44963.63244212963</v>
      </c>
      <c r="C4326" s="1" t="n">
        <v>45884</v>
      </c>
      <c r="D4326" t="inlineStr">
        <is>
          <t>KALMAR LÄN</t>
        </is>
      </c>
      <c r="E4326" t="inlineStr">
        <is>
          <t>OSKARSHAMN</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30262-2022</t>
        </is>
      </c>
      <c r="B4327" s="1" t="n">
        <v>44759.39475694444</v>
      </c>
      <c r="C4327" s="1" t="n">
        <v>45884</v>
      </c>
      <c r="D4327" t="inlineStr">
        <is>
          <t>KALMAR LÄN</t>
        </is>
      </c>
      <c r="E4327" t="inlineStr">
        <is>
          <t>EMMABODA</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7280-2025</t>
        </is>
      </c>
      <c r="B4328" s="1" t="n">
        <v>45702.63559027778</v>
      </c>
      <c r="C4328" s="1" t="n">
        <v>45884</v>
      </c>
      <c r="D4328" t="inlineStr">
        <is>
          <t>KALMAR LÄN</t>
        </is>
      </c>
      <c r="E4328" t="inlineStr">
        <is>
          <t>NYBRO</t>
        </is>
      </c>
      <c r="F4328" t="inlineStr">
        <is>
          <t>Sveaskog</t>
        </is>
      </c>
      <c r="G4328" t="n">
        <v>9.1</v>
      </c>
      <c r="H4328" t="n">
        <v>0</v>
      </c>
      <c r="I4328" t="n">
        <v>0</v>
      </c>
      <c r="J4328" t="n">
        <v>0</v>
      </c>
      <c r="K4328" t="n">
        <v>0</v>
      </c>
      <c r="L4328" t="n">
        <v>0</v>
      </c>
      <c r="M4328" t="n">
        <v>0</v>
      </c>
      <c r="N4328" t="n">
        <v>0</v>
      </c>
      <c r="O4328" t="n">
        <v>0</v>
      </c>
      <c r="P4328" t="n">
        <v>0</v>
      </c>
      <c r="Q4328" t="n">
        <v>0</v>
      </c>
      <c r="R4328" s="2" t="inlineStr"/>
    </row>
    <row r="4329" ht="15" customHeight="1">
      <c r="A4329" t="inlineStr">
        <is>
          <t>A 26881-2021</t>
        </is>
      </c>
      <c r="B4329" s="1" t="n">
        <v>44349.62881944444</v>
      </c>
      <c r="C4329" s="1" t="n">
        <v>45884</v>
      </c>
      <c r="D4329" t="inlineStr">
        <is>
          <t>KALMAR LÄN</t>
        </is>
      </c>
      <c r="E4329" t="inlineStr">
        <is>
          <t>EMMABODA</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6069-2023</t>
        </is>
      </c>
      <c r="B4330" s="1" t="n">
        <v>44964.5115162037</v>
      </c>
      <c r="C4330" s="1" t="n">
        <v>45884</v>
      </c>
      <c r="D4330" t="inlineStr">
        <is>
          <t>KALMAR LÄN</t>
        </is>
      </c>
      <c r="E4330" t="inlineStr">
        <is>
          <t>VIMMERBY</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27526-2021</t>
        </is>
      </c>
      <c r="B4331" s="1" t="n">
        <v>44351.66695601852</v>
      </c>
      <c r="C4331" s="1" t="n">
        <v>45884</v>
      </c>
      <c r="D4331" t="inlineStr">
        <is>
          <t>KALMAR LÄN</t>
        </is>
      </c>
      <c r="E4331" t="inlineStr">
        <is>
          <t>NYBRO</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7260-2023</t>
        </is>
      </c>
      <c r="B4332" s="1" t="n">
        <v>44970.63949074074</v>
      </c>
      <c r="C4332" s="1" t="n">
        <v>45884</v>
      </c>
      <c r="D4332" t="inlineStr">
        <is>
          <t>KALMAR LÄN</t>
        </is>
      </c>
      <c r="E4332" t="inlineStr">
        <is>
          <t>OSKARSHAMN</t>
        </is>
      </c>
      <c r="G4332" t="n">
        <v>8.5</v>
      </c>
      <c r="H4332" t="n">
        <v>0</v>
      </c>
      <c r="I4332" t="n">
        <v>0</v>
      </c>
      <c r="J4332" t="n">
        <v>0</v>
      </c>
      <c r="K4332" t="n">
        <v>0</v>
      </c>
      <c r="L4332" t="n">
        <v>0</v>
      </c>
      <c r="M4332" t="n">
        <v>0</v>
      </c>
      <c r="N4332" t="n">
        <v>0</v>
      </c>
      <c r="O4332" t="n">
        <v>0</v>
      </c>
      <c r="P4332" t="n">
        <v>0</v>
      </c>
      <c r="Q4332" t="n">
        <v>0</v>
      </c>
      <c r="R4332" s="2" t="inlineStr"/>
    </row>
    <row r="4333" ht="15" customHeight="1">
      <c r="A4333" t="inlineStr">
        <is>
          <t>A 31421-2024</t>
        </is>
      </c>
      <c r="B4333" s="1" t="n">
        <v>45505</v>
      </c>
      <c r="C4333" s="1" t="n">
        <v>45884</v>
      </c>
      <c r="D4333" t="inlineStr">
        <is>
          <t>KALMAR LÄN</t>
        </is>
      </c>
      <c r="E4333" t="inlineStr">
        <is>
          <t>HULTSFRED</t>
        </is>
      </c>
      <c r="G4333" t="n">
        <v>5.2</v>
      </c>
      <c r="H4333" t="n">
        <v>0</v>
      </c>
      <c r="I4333" t="n">
        <v>0</v>
      </c>
      <c r="J4333" t="n">
        <v>0</v>
      </c>
      <c r="K4333" t="n">
        <v>0</v>
      </c>
      <c r="L4333" t="n">
        <v>0</v>
      </c>
      <c r="M4333" t="n">
        <v>0</v>
      </c>
      <c r="N4333" t="n">
        <v>0</v>
      </c>
      <c r="O4333" t="n">
        <v>0</v>
      </c>
      <c r="P4333" t="n">
        <v>0</v>
      </c>
      <c r="Q4333" t="n">
        <v>0</v>
      </c>
      <c r="R4333" s="2" t="inlineStr"/>
    </row>
    <row r="4334" ht="15" customHeight="1">
      <c r="A4334" t="inlineStr">
        <is>
          <t>A 38844-2023</t>
        </is>
      </c>
      <c r="B4334" s="1" t="n">
        <v>45163.48395833333</v>
      </c>
      <c r="C4334" s="1" t="n">
        <v>45884</v>
      </c>
      <c r="D4334" t="inlineStr">
        <is>
          <t>KALMAR LÄN</t>
        </is>
      </c>
      <c r="E4334" t="inlineStr">
        <is>
          <t>NYBRO</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21831-2023</t>
        </is>
      </c>
      <c r="B4335" s="1" t="n">
        <v>45068</v>
      </c>
      <c r="C4335" s="1" t="n">
        <v>45884</v>
      </c>
      <c r="D4335" t="inlineStr">
        <is>
          <t>KALMAR LÄN</t>
        </is>
      </c>
      <c r="E4335" t="inlineStr">
        <is>
          <t>VÄSTERVIK</t>
        </is>
      </c>
      <c r="G4335" t="n">
        <v>0.4</v>
      </c>
      <c r="H4335" t="n">
        <v>0</v>
      </c>
      <c r="I4335" t="n">
        <v>0</v>
      </c>
      <c r="J4335" t="n">
        <v>0</v>
      </c>
      <c r="K4335" t="n">
        <v>0</v>
      </c>
      <c r="L4335" t="n">
        <v>0</v>
      </c>
      <c r="M4335" t="n">
        <v>0</v>
      </c>
      <c r="N4335" t="n">
        <v>0</v>
      </c>
      <c r="O4335" t="n">
        <v>0</v>
      </c>
      <c r="P4335" t="n">
        <v>0</v>
      </c>
      <c r="Q4335" t="n">
        <v>0</v>
      </c>
      <c r="R4335" s="2" t="inlineStr"/>
    </row>
    <row r="4336" ht="15" customHeight="1">
      <c r="A4336" t="inlineStr">
        <is>
          <t>A 38071-2024</t>
        </is>
      </c>
      <c r="B4336" s="1" t="n">
        <v>45544</v>
      </c>
      <c r="C4336" s="1" t="n">
        <v>45884</v>
      </c>
      <c r="D4336" t="inlineStr">
        <is>
          <t>KALMAR LÄN</t>
        </is>
      </c>
      <c r="E4336" t="inlineStr">
        <is>
          <t>KALMAR</t>
        </is>
      </c>
      <c r="F4336" t="inlineStr">
        <is>
          <t>Kommuner</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41896-2023</t>
        </is>
      </c>
      <c r="B4337" s="1" t="n">
        <v>45176.72427083334</v>
      </c>
      <c r="C4337" s="1" t="n">
        <v>45884</v>
      </c>
      <c r="D4337" t="inlineStr">
        <is>
          <t>KALMAR LÄN</t>
        </is>
      </c>
      <c r="E4337" t="inlineStr">
        <is>
          <t>VIMMERBY</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3203-2021</t>
        </is>
      </c>
      <c r="B4338" s="1" t="n">
        <v>44217</v>
      </c>
      <c r="C4338" s="1" t="n">
        <v>45884</v>
      </c>
      <c r="D4338" t="inlineStr">
        <is>
          <t>KALMAR LÄN</t>
        </is>
      </c>
      <c r="E4338" t="inlineStr">
        <is>
          <t>TORSÅS</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33461-2024</t>
        </is>
      </c>
      <c r="B4339" s="1" t="n">
        <v>45519.58827546296</v>
      </c>
      <c r="C4339" s="1" t="n">
        <v>45884</v>
      </c>
      <c r="D4339" t="inlineStr">
        <is>
          <t>KALMAR LÄN</t>
        </is>
      </c>
      <c r="E4339" t="inlineStr">
        <is>
          <t>OSKARSHAMN</t>
        </is>
      </c>
      <c r="G4339" t="n">
        <v>3.1</v>
      </c>
      <c r="H4339" t="n">
        <v>0</v>
      </c>
      <c r="I4339" t="n">
        <v>0</v>
      </c>
      <c r="J4339" t="n">
        <v>0</v>
      </c>
      <c r="K4339" t="n">
        <v>0</v>
      </c>
      <c r="L4339" t="n">
        <v>0</v>
      </c>
      <c r="M4339" t="n">
        <v>0</v>
      </c>
      <c r="N4339" t="n">
        <v>0</v>
      </c>
      <c r="O4339" t="n">
        <v>0</v>
      </c>
      <c r="P4339" t="n">
        <v>0</v>
      </c>
      <c r="Q4339" t="n">
        <v>0</v>
      </c>
      <c r="R4339" s="2" t="inlineStr"/>
    </row>
    <row r="4340" ht="15" customHeight="1">
      <c r="A4340" t="inlineStr">
        <is>
          <t>A 50071-2022</t>
        </is>
      </c>
      <c r="B4340" s="1" t="n">
        <v>44865.48206018518</v>
      </c>
      <c r="C4340" s="1" t="n">
        <v>45884</v>
      </c>
      <c r="D4340" t="inlineStr">
        <is>
          <t>KALMAR LÄN</t>
        </is>
      </c>
      <c r="E4340" t="inlineStr">
        <is>
          <t>MÖNSTERÅS</t>
        </is>
      </c>
      <c r="G4340" t="n">
        <v>2.2</v>
      </c>
      <c r="H4340" t="n">
        <v>0</v>
      </c>
      <c r="I4340" t="n">
        <v>0</v>
      </c>
      <c r="J4340" t="n">
        <v>0</v>
      </c>
      <c r="K4340" t="n">
        <v>0</v>
      </c>
      <c r="L4340" t="n">
        <v>0</v>
      </c>
      <c r="M4340" t="n">
        <v>0</v>
      </c>
      <c r="N4340" t="n">
        <v>0</v>
      </c>
      <c r="O4340" t="n">
        <v>0</v>
      </c>
      <c r="P4340" t="n">
        <v>0</v>
      </c>
      <c r="Q4340" t="n">
        <v>0</v>
      </c>
      <c r="R4340" s="2" t="inlineStr"/>
    </row>
    <row r="4341" ht="15" customHeight="1">
      <c r="A4341" t="inlineStr">
        <is>
          <t>A 11461-2024</t>
        </is>
      </c>
      <c r="B4341" s="1" t="n">
        <v>45372.58623842592</v>
      </c>
      <c r="C4341" s="1" t="n">
        <v>45884</v>
      </c>
      <c r="D4341" t="inlineStr">
        <is>
          <t>KALMAR LÄN</t>
        </is>
      </c>
      <c r="E4341" t="inlineStr">
        <is>
          <t>OSKARSHAMN</t>
        </is>
      </c>
      <c r="G4341" t="n">
        <v>5.8</v>
      </c>
      <c r="H4341" t="n">
        <v>0</v>
      </c>
      <c r="I4341" t="n">
        <v>0</v>
      </c>
      <c r="J4341" t="n">
        <v>0</v>
      </c>
      <c r="K4341" t="n">
        <v>0</v>
      </c>
      <c r="L4341" t="n">
        <v>0</v>
      </c>
      <c r="M4341" t="n">
        <v>0</v>
      </c>
      <c r="N4341" t="n">
        <v>0</v>
      </c>
      <c r="O4341" t="n">
        <v>0</v>
      </c>
      <c r="P4341" t="n">
        <v>0</v>
      </c>
      <c r="Q4341" t="n">
        <v>0</v>
      </c>
      <c r="R4341" s="2" t="inlineStr"/>
    </row>
    <row r="4342" ht="15" customHeight="1">
      <c r="A4342" t="inlineStr">
        <is>
          <t>A 11473-2024</t>
        </is>
      </c>
      <c r="B4342" s="1" t="n">
        <v>45372</v>
      </c>
      <c r="C4342" s="1" t="n">
        <v>45884</v>
      </c>
      <c r="D4342" t="inlineStr">
        <is>
          <t>KALMAR LÄN</t>
        </is>
      </c>
      <c r="E4342" t="inlineStr">
        <is>
          <t>OSKARSHAMN</t>
        </is>
      </c>
      <c r="G4342" t="n">
        <v>3.4</v>
      </c>
      <c r="H4342" t="n">
        <v>0</v>
      </c>
      <c r="I4342" t="n">
        <v>0</v>
      </c>
      <c r="J4342" t="n">
        <v>0</v>
      </c>
      <c r="K4342" t="n">
        <v>0</v>
      </c>
      <c r="L4342" t="n">
        <v>0</v>
      </c>
      <c r="M4342" t="n">
        <v>0</v>
      </c>
      <c r="N4342" t="n">
        <v>0</v>
      </c>
      <c r="O4342" t="n">
        <v>0</v>
      </c>
      <c r="P4342" t="n">
        <v>0</v>
      </c>
      <c r="Q4342" t="n">
        <v>0</v>
      </c>
      <c r="R4342" s="2" t="inlineStr"/>
    </row>
    <row r="4343" ht="15" customHeight="1">
      <c r="A4343" t="inlineStr">
        <is>
          <t>A 6510-2024</t>
        </is>
      </c>
      <c r="B4343" s="1" t="n">
        <v>45340.86449074074</v>
      </c>
      <c r="C4343" s="1" t="n">
        <v>45884</v>
      </c>
      <c r="D4343" t="inlineStr">
        <is>
          <t>KALMAR LÄN</t>
        </is>
      </c>
      <c r="E4343" t="inlineStr">
        <is>
          <t>HULTSFRED</t>
        </is>
      </c>
      <c r="G4343" t="n">
        <v>4.4</v>
      </c>
      <c r="H4343" t="n">
        <v>0</v>
      </c>
      <c r="I4343" t="n">
        <v>0</v>
      </c>
      <c r="J4343" t="n">
        <v>0</v>
      </c>
      <c r="K4343" t="n">
        <v>0</v>
      </c>
      <c r="L4343" t="n">
        <v>0</v>
      </c>
      <c r="M4343" t="n">
        <v>0</v>
      </c>
      <c r="N4343" t="n">
        <v>0</v>
      </c>
      <c r="O4343" t="n">
        <v>0</v>
      </c>
      <c r="P4343" t="n">
        <v>0</v>
      </c>
      <c r="Q4343" t="n">
        <v>0</v>
      </c>
      <c r="R4343" s="2" t="inlineStr"/>
    </row>
    <row r="4344" ht="15" customHeight="1">
      <c r="A4344" t="inlineStr">
        <is>
          <t>A 6597-2024</t>
        </is>
      </c>
      <c r="B4344" s="1" t="n">
        <v>45341.54589120371</v>
      </c>
      <c r="C4344" s="1" t="n">
        <v>45884</v>
      </c>
      <c r="D4344" t="inlineStr">
        <is>
          <t>KALMAR LÄN</t>
        </is>
      </c>
      <c r="E4344" t="inlineStr">
        <is>
          <t>HÖGSBY</t>
        </is>
      </c>
      <c r="G4344" t="n">
        <v>5.5</v>
      </c>
      <c r="H4344" t="n">
        <v>0</v>
      </c>
      <c r="I4344" t="n">
        <v>0</v>
      </c>
      <c r="J4344" t="n">
        <v>0</v>
      </c>
      <c r="K4344" t="n">
        <v>0</v>
      </c>
      <c r="L4344" t="n">
        <v>0</v>
      </c>
      <c r="M4344" t="n">
        <v>0</v>
      </c>
      <c r="N4344" t="n">
        <v>0</v>
      </c>
      <c r="O4344" t="n">
        <v>0</v>
      </c>
      <c r="P4344" t="n">
        <v>0</v>
      </c>
      <c r="Q4344" t="n">
        <v>0</v>
      </c>
      <c r="R4344" s="2" t="inlineStr"/>
    </row>
    <row r="4345" ht="15" customHeight="1">
      <c r="A4345" t="inlineStr">
        <is>
          <t>A 15236-2023</t>
        </is>
      </c>
      <c r="B4345" s="1" t="n">
        <v>45019.36079861111</v>
      </c>
      <c r="C4345" s="1" t="n">
        <v>45884</v>
      </c>
      <c r="D4345" t="inlineStr">
        <is>
          <t>KALMAR LÄN</t>
        </is>
      </c>
      <c r="E4345" t="inlineStr">
        <is>
          <t>HULTSFRED</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37461-2023</t>
        </is>
      </c>
      <c r="B4346" s="1" t="n">
        <v>45156.74657407407</v>
      </c>
      <c r="C4346" s="1" t="n">
        <v>45884</v>
      </c>
      <c r="D4346" t="inlineStr">
        <is>
          <t>KALMAR LÄN</t>
        </is>
      </c>
      <c r="E4346" t="inlineStr">
        <is>
          <t>NYBRO</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9633-2025</t>
        </is>
      </c>
      <c r="B4347" s="1" t="n">
        <v>45715.72884259259</v>
      </c>
      <c r="C4347" s="1" t="n">
        <v>45884</v>
      </c>
      <c r="D4347" t="inlineStr">
        <is>
          <t>KALMAR LÄN</t>
        </is>
      </c>
      <c r="E4347" t="inlineStr">
        <is>
          <t>OSKARSHAMN</t>
        </is>
      </c>
      <c r="G4347" t="n">
        <v>3.5</v>
      </c>
      <c r="H4347" t="n">
        <v>0</v>
      </c>
      <c r="I4347" t="n">
        <v>0</v>
      </c>
      <c r="J4347" t="n">
        <v>0</v>
      </c>
      <c r="K4347" t="n">
        <v>0</v>
      </c>
      <c r="L4347" t="n">
        <v>0</v>
      </c>
      <c r="M4347" t="n">
        <v>0</v>
      </c>
      <c r="N4347" t="n">
        <v>0</v>
      </c>
      <c r="O4347" t="n">
        <v>0</v>
      </c>
      <c r="P4347" t="n">
        <v>0</v>
      </c>
      <c r="Q4347" t="n">
        <v>0</v>
      </c>
      <c r="R4347" s="2" t="inlineStr"/>
    </row>
    <row r="4348" ht="15" customHeight="1">
      <c r="A4348" t="inlineStr">
        <is>
          <t>A 14475-2023</t>
        </is>
      </c>
      <c r="B4348" s="1" t="n">
        <v>45012</v>
      </c>
      <c r="C4348" s="1" t="n">
        <v>45884</v>
      </c>
      <c r="D4348" t="inlineStr">
        <is>
          <t>KALMAR LÄN</t>
        </is>
      </c>
      <c r="E4348" t="inlineStr">
        <is>
          <t>OSKARSHAMN</t>
        </is>
      </c>
      <c r="G4348" t="n">
        <v>1.8</v>
      </c>
      <c r="H4348" t="n">
        <v>0</v>
      </c>
      <c r="I4348" t="n">
        <v>0</v>
      </c>
      <c r="J4348" t="n">
        <v>0</v>
      </c>
      <c r="K4348" t="n">
        <v>0</v>
      </c>
      <c r="L4348" t="n">
        <v>0</v>
      </c>
      <c r="M4348" t="n">
        <v>0</v>
      </c>
      <c r="N4348" t="n">
        <v>0</v>
      </c>
      <c r="O4348" t="n">
        <v>0</v>
      </c>
      <c r="P4348" t="n">
        <v>0</v>
      </c>
      <c r="Q4348" t="n">
        <v>0</v>
      </c>
      <c r="R4348" s="2" t="inlineStr"/>
    </row>
    <row r="4349" ht="15" customHeight="1">
      <c r="A4349" t="inlineStr">
        <is>
          <t>A 5925-2021</t>
        </is>
      </c>
      <c r="B4349" s="1" t="n">
        <v>44231.57006944445</v>
      </c>
      <c r="C4349" s="1" t="n">
        <v>45884</v>
      </c>
      <c r="D4349" t="inlineStr">
        <is>
          <t>KALMAR LÄN</t>
        </is>
      </c>
      <c r="E4349" t="inlineStr">
        <is>
          <t>NYBRO</t>
        </is>
      </c>
      <c r="F4349" t="inlineStr">
        <is>
          <t>Sveaskog</t>
        </is>
      </c>
      <c r="G4349" t="n">
        <v>2.4</v>
      </c>
      <c r="H4349" t="n">
        <v>0</v>
      </c>
      <c r="I4349" t="n">
        <v>0</v>
      </c>
      <c r="J4349" t="n">
        <v>0</v>
      </c>
      <c r="K4349" t="n">
        <v>0</v>
      </c>
      <c r="L4349" t="n">
        <v>0</v>
      </c>
      <c r="M4349" t="n">
        <v>0</v>
      </c>
      <c r="N4349" t="n">
        <v>0</v>
      </c>
      <c r="O4349" t="n">
        <v>0</v>
      </c>
      <c r="P4349" t="n">
        <v>0</v>
      </c>
      <c r="Q4349" t="n">
        <v>0</v>
      </c>
      <c r="R4349" s="2" t="inlineStr"/>
    </row>
    <row r="4350" ht="15" customHeight="1">
      <c r="A4350" t="inlineStr">
        <is>
          <t>A 17926-2025</t>
        </is>
      </c>
      <c r="B4350" s="1" t="n">
        <v>45759.38987268518</v>
      </c>
      <c r="C4350" s="1" t="n">
        <v>45884</v>
      </c>
      <c r="D4350" t="inlineStr">
        <is>
          <t>KALMAR LÄN</t>
        </is>
      </c>
      <c r="E4350" t="inlineStr">
        <is>
          <t>VIMMERBY</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42817-2023</t>
        </is>
      </c>
      <c r="B4351" s="1" t="n">
        <v>45182</v>
      </c>
      <c r="C4351" s="1" t="n">
        <v>45884</v>
      </c>
      <c r="D4351" t="inlineStr">
        <is>
          <t>KALMAR LÄN</t>
        </is>
      </c>
      <c r="E4351" t="inlineStr">
        <is>
          <t>NYBRO</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7345-2025</t>
        </is>
      </c>
      <c r="B4352" s="1" t="n">
        <v>45703.68050925926</v>
      </c>
      <c r="C4352" s="1" t="n">
        <v>45884</v>
      </c>
      <c r="D4352" t="inlineStr">
        <is>
          <t>KALMAR LÄN</t>
        </is>
      </c>
      <c r="E4352" t="inlineStr">
        <is>
          <t>KALMAR</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11507-2025</t>
        </is>
      </c>
      <c r="B4353" s="1" t="n">
        <v>45726.82771990741</v>
      </c>
      <c r="C4353" s="1" t="n">
        <v>45884</v>
      </c>
      <c r="D4353" t="inlineStr">
        <is>
          <t>KALMAR LÄN</t>
        </is>
      </c>
      <c r="E4353" t="inlineStr">
        <is>
          <t>OSKARSHAMN</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8118-2025</t>
        </is>
      </c>
      <c r="B4354" s="1" t="n">
        <v>45707.7502662037</v>
      </c>
      <c r="C4354" s="1" t="n">
        <v>45884</v>
      </c>
      <c r="D4354" t="inlineStr">
        <is>
          <t>KALMAR LÄN</t>
        </is>
      </c>
      <c r="E4354" t="inlineStr">
        <is>
          <t>HÖGSBY</t>
        </is>
      </c>
      <c r="G4354" t="n">
        <v>2.3</v>
      </c>
      <c r="H4354" t="n">
        <v>0</v>
      </c>
      <c r="I4354" t="n">
        <v>0</v>
      </c>
      <c r="J4354" t="n">
        <v>0</v>
      </c>
      <c r="K4354" t="n">
        <v>0</v>
      </c>
      <c r="L4354" t="n">
        <v>0</v>
      </c>
      <c r="M4354" t="n">
        <v>0</v>
      </c>
      <c r="N4354" t="n">
        <v>0</v>
      </c>
      <c r="O4354" t="n">
        <v>0</v>
      </c>
      <c r="P4354" t="n">
        <v>0</v>
      </c>
      <c r="Q4354" t="n">
        <v>0</v>
      </c>
      <c r="R4354" s="2" t="inlineStr"/>
    </row>
    <row r="4355" ht="15" customHeight="1">
      <c r="A4355" t="inlineStr">
        <is>
          <t>A 72860-2021</t>
        </is>
      </c>
      <c r="B4355" s="1" t="n">
        <v>44547.48429398148</v>
      </c>
      <c r="C4355" s="1" t="n">
        <v>45884</v>
      </c>
      <c r="D4355" t="inlineStr">
        <is>
          <t>KALMAR LÄN</t>
        </is>
      </c>
      <c r="E4355" t="inlineStr">
        <is>
          <t>HULTSFRED</t>
        </is>
      </c>
      <c r="G4355" t="n">
        <v>4.6</v>
      </c>
      <c r="H4355" t="n">
        <v>0</v>
      </c>
      <c r="I4355" t="n">
        <v>0</v>
      </c>
      <c r="J4355" t="n">
        <v>0</v>
      </c>
      <c r="K4355" t="n">
        <v>0</v>
      </c>
      <c r="L4355" t="n">
        <v>0</v>
      </c>
      <c r="M4355" t="n">
        <v>0</v>
      </c>
      <c r="N4355" t="n">
        <v>0</v>
      </c>
      <c r="O4355" t="n">
        <v>0</v>
      </c>
      <c r="P4355" t="n">
        <v>0</v>
      </c>
      <c r="Q4355" t="n">
        <v>0</v>
      </c>
      <c r="R4355" s="2" t="inlineStr"/>
    </row>
    <row r="4356" ht="15" customHeight="1">
      <c r="A4356" t="inlineStr">
        <is>
          <t>A 16541-2024</t>
        </is>
      </c>
      <c r="B4356" s="1" t="n">
        <v>45408.4359837963</v>
      </c>
      <c r="C4356" s="1" t="n">
        <v>45884</v>
      </c>
      <c r="D4356" t="inlineStr">
        <is>
          <t>KALMAR LÄN</t>
        </is>
      </c>
      <c r="E4356" t="inlineStr">
        <is>
          <t>HULTSFRED</t>
        </is>
      </c>
      <c r="G4356" t="n">
        <v>3.4</v>
      </c>
      <c r="H4356" t="n">
        <v>0</v>
      </c>
      <c r="I4356" t="n">
        <v>0</v>
      </c>
      <c r="J4356" t="n">
        <v>0</v>
      </c>
      <c r="K4356" t="n">
        <v>0</v>
      </c>
      <c r="L4356" t="n">
        <v>0</v>
      </c>
      <c r="M4356" t="n">
        <v>0</v>
      </c>
      <c r="N4356" t="n">
        <v>0</v>
      </c>
      <c r="O4356" t="n">
        <v>0</v>
      </c>
      <c r="P4356" t="n">
        <v>0</v>
      </c>
      <c r="Q4356" t="n">
        <v>0</v>
      </c>
      <c r="R4356" s="2" t="inlineStr"/>
    </row>
    <row r="4357" ht="15" customHeight="1">
      <c r="A4357" t="inlineStr">
        <is>
          <t>A 37994-2023</t>
        </is>
      </c>
      <c r="B4357" s="1" t="n">
        <v>45160.60979166667</v>
      </c>
      <c r="C4357" s="1" t="n">
        <v>45884</v>
      </c>
      <c r="D4357" t="inlineStr">
        <is>
          <t>KALMAR LÄN</t>
        </is>
      </c>
      <c r="E4357" t="inlineStr">
        <is>
          <t>HULTSFRED</t>
        </is>
      </c>
      <c r="G4357" t="n">
        <v>2</v>
      </c>
      <c r="H4357" t="n">
        <v>0</v>
      </c>
      <c r="I4357" t="n">
        <v>0</v>
      </c>
      <c r="J4357" t="n">
        <v>0</v>
      </c>
      <c r="K4357" t="n">
        <v>0</v>
      </c>
      <c r="L4357" t="n">
        <v>0</v>
      </c>
      <c r="M4357" t="n">
        <v>0</v>
      </c>
      <c r="N4357" t="n">
        <v>0</v>
      </c>
      <c r="O4357" t="n">
        <v>0</v>
      </c>
      <c r="P4357" t="n">
        <v>0</v>
      </c>
      <c r="Q4357" t="n">
        <v>0</v>
      </c>
      <c r="R4357" s="2" t="inlineStr"/>
    </row>
    <row r="4358" ht="15" customHeight="1">
      <c r="A4358" t="inlineStr">
        <is>
          <t>A 50718-2020</t>
        </is>
      </c>
      <c r="B4358" s="1" t="n">
        <v>44111</v>
      </c>
      <c r="C4358" s="1" t="n">
        <v>45884</v>
      </c>
      <c r="D4358" t="inlineStr">
        <is>
          <t>KALMAR LÄN</t>
        </is>
      </c>
      <c r="E4358" t="inlineStr">
        <is>
          <t>TORSÅS</t>
        </is>
      </c>
      <c r="G4358" t="n">
        <v>4.6</v>
      </c>
      <c r="H4358" t="n">
        <v>0</v>
      </c>
      <c r="I4358" t="n">
        <v>0</v>
      </c>
      <c r="J4358" t="n">
        <v>0</v>
      </c>
      <c r="K4358" t="n">
        <v>0</v>
      </c>
      <c r="L4358" t="n">
        <v>0</v>
      </c>
      <c r="M4358" t="n">
        <v>0</v>
      </c>
      <c r="N4358" t="n">
        <v>0</v>
      </c>
      <c r="O4358" t="n">
        <v>0</v>
      </c>
      <c r="P4358" t="n">
        <v>0</v>
      </c>
      <c r="Q4358" t="n">
        <v>0</v>
      </c>
      <c r="R4358" s="2" t="inlineStr"/>
    </row>
    <row r="4359" ht="15" customHeight="1">
      <c r="A4359" t="inlineStr">
        <is>
          <t>A 50556-2022</t>
        </is>
      </c>
      <c r="B4359" s="1" t="n">
        <v>44866.62503472222</v>
      </c>
      <c r="C4359" s="1" t="n">
        <v>45884</v>
      </c>
      <c r="D4359" t="inlineStr">
        <is>
          <t>KALMAR LÄN</t>
        </is>
      </c>
      <c r="E4359" t="inlineStr">
        <is>
          <t>NYBRO</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58917-2024</t>
        </is>
      </c>
      <c r="B4360" s="1" t="n">
        <v>45636</v>
      </c>
      <c r="C4360" s="1" t="n">
        <v>45884</v>
      </c>
      <c r="D4360" t="inlineStr">
        <is>
          <t>KALMAR LÄN</t>
        </is>
      </c>
      <c r="E4360" t="inlineStr">
        <is>
          <t>TORSÅS</t>
        </is>
      </c>
      <c r="G4360" t="n">
        <v>4.4</v>
      </c>
      <c r="H4360" t="n">
        <v>0</v>
      </c>
      <c r="I4360" t="n">
        <v>0</v>
      </c>
      <c r="J4360" t="n">
        <v>0</v>
      </c>
      <c r="K4360" t="n">
        <v>0</v>
      </c>
      <c r="L4360" t="n">
        <v>0</v>
      </c>
      <c r="M4360" t="n">
        <v>0</v>
      </c>
      <c r="N4360" t="n">
        <v>0</v>
      </c>
      <c r="O4360" t="n">
        <v>0</v>
      </c>
      <c r="P4360" t="n">
        <v>0</v>
      </c>
      <c r="Q4360" t="n">
        <v>0</v>
      </c>
      <c r="R4360" s="2" t="inlineStr"/>
    </row>
    <row r="4361" ht="15" customHeight="1">
      <c r="A4361" t="inlineStr">
        <is>
          <t>A 37642-2023</t>
        </is>
      </c>
      <c r="B4361" s="1" t="n">
        <v>45159.47940972223</v>
      </c>
      <c r="C4361" s="1" t="n">
        <v>45884</v>
      </c>
      <c r="D4361" t="inlineStr">
        <is>
          <t>KALMAR LÄN</t>
        </is>
      </c>
      <c r="E4361" t="inlineStr">
        <is>
          <t>VÄSTERVIK</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59871-2022</t>
        </is>
      </c>
      <c r="B4362" s="1" t="n">
        <v>44908</v>
      </c>
      <c r="C4362" s="1" t="n">
        <v>45884</v>
      </c>
      <c r="D4362" t="inlineStr">
        <is>
          <t>KALMAR LÄN</t>
        </is>
      </c>
      <c r="E4362" t="inlineStr">
        <is>
          <t>VÄSTERVIK</t>
        </is>
      </c>
      <c r="F4362" t="inlineStr">
        <is>
          <t>Övriga Aktiebolag</t>
        </is>
      </c>
      <c r="G4362" t="n">
        <v>0.4</v>
      </c>
      <c r="H4362" t="n">
        <v>0</v>
      </c>
      <c r="I4362" t="n">
        <v>0</v>
      </c>
      <c r="J4362" t="n">
        <v>0</v>
      </c>
      <c r="K4362" t="n">
        <v>0</v>
      </c>
      <c r="L4362" t="n">
        <v>0</v>
      </c>
      <c r="M4362" t="n">
        <v>0</v>
      </c>
      <c r="N4362" t="n">
        <v>0</v>
      </c>
      <c r="O4362" t="n">
        <v>0</v>
      </c>
      <c r="P4362" t="n">
        <v>0</v>
      </c>
      <c r="Q4362" t="n">
        <v>0</v>
      </c>
      <c r="R4362" s="2" t="inlineStr"/>
    </row>
    <row r="4363" ht="15" customHeight="1">
      <c r="A4363" t="inlineStr">
        <is>
          <t>A 2507-2023</t>
        </is>
      </c>
      <c r="B4363" s="1" t="n">
        <v>44939</v>
      </c>
      <c r="C4363" s="1" t="n">
        <v>45884</v>
      </c>
      <c r="D4363" t="inlineStr">
        <is>
          <t>KALMAR LÄN</t>
        </is>
      </c>
      <c r="E4363" t="inlineStr">
        <is>
          <t>HULTSFRED</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39771-2022</t>
        </is>
      </c>
      <c r="B4364" s="1" t="n">
        <v>44819</v>
      </c>
      <c r="C4364" s="1" t="n">
        <v>45884</v>
      </c>
      <c r="D4364" t="inlineStr">
        <is>
          <t>KALMAR LÄN</t>
        </is>
      </c>
      <c r="E4364" t="inlineStr">
        <is>
          <t>NYBRO</t>
        </is>
      </c>
      <c r="F4364" t="inlineStr">
        <is>
          <t>Kommuner</t>
        </is>
      </c>
      <c r="G4364" t="n">
        <v>3.6</v>
      </c>
      <c r="H4364" t="n">
        <v>0</v>
      </c>
      <c r="I4364" t="n">
        <v>0</v>
      </c>
      <c r="J4364" t="n">
        <v>0</v>
      </c>
      <c r="K4364" t="n">
        <v>0</v>
      </c>
      <c r="L4364" t="n">
        <v>0</v>
      </c>
      <c r="M4364" t="n">
        <v>0</v>
      </c>
      <c r="N4364" t="n">
        <v>0</v>
      </c>
      <c r="O4364" t="n">
        <v>0</v>
      </c>
      <c r="P4364" t="n">
        <v>0</v>
      </c>
      <c r="Q4364" t="n">
        <v>0</v>
      </c>
      <c r="R4364" s="2" t="inlineStr"/>
    </row>
    <row r="4365" ht="15" customHeight="1">
      <c r="A4365" t="inlineStr">
        <is>
          <t>A 32633-2023</t>
        </is>
      </c>
      <c r="B4365" s="1" t="n">
        <v>45121.58699074074</v>
      </c>
      <c r="C4365" s="1" t="n">
        <v>45884</v>
      </c>
      <c r="D4365" t="inlineStr">
        <is>
          <t>KALMAR LÄN</t>
        </is>
      </c>
      <c r="E4365" t="inlineStr">
        <is>
          <t>VIMMERBY</t>
        </is>
      </c>
      <c r="F4365" t="inlineStr">
        <is>
          <t>Sveaskog</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32646-2023</t>
        </is>
      </c>
      <c r="B4366" s="1" t="n">
        <v>45121.60563657407</v>
      </c>
      <c r="C4366" s="1" t="n">
        <v>45884</v>
      </c>
      <c r="D4366" t="inlineStr">
        <is>
          <t>KALMAR LÄN</t>
        </is>
      </c>
      <c r="E4366" t="inlineStr">
        <is>
          <t>HULTSFRED</t>
        </is>
      </c>
      <c r="G4366" t="n">
        <v>5.1</v>
      </c>
      <c r="H4366" t="n">
        <v>0</v>
      </c>
      <c r="I4366" t="n">
        <v>0</v>
      </c>
      <c r="J4366" t="n">
        <v>0</v>
      </c>
      <c r="K4366" t="n">
        <v>0</v>
      </c>
      <c r="L4366" t="n">
        <v>0</v>
      </c>
      <c r="M4366" t="n">
        <v>0</v>
      </c>
      <c r="N4366" t="n">
        <v>0</v>
      </c>
      <c r="O4366" t="n">
        <v>0</v>
      </c>
      <c r="P4366" t="n">
        <v>0</v>
      </c>
      <c r="Q4366" t="n">
        <v>0</v>
      </c>
      <c r="R4366" s="2" t="inlineStr"/>
    </row>
    <row r="4367" ht="15" customHeight="1">
      <c r="A4367" t="inlineStr">
        <is>
          <t>A 32656-2023</t>
        </is>
      </c>
      <c r="B4367" s="1" t="n">
        <v>45121</v>
      </c>
      <c r="C4367" s="1" t="n">
        <v>45884</v>
      </c>
      <c r="D4367" t="inlineStr">
        <is>
          <t>KALMAR LÄN</t>
        </is>
      </c>
      <c r="E4367" t="inlineStr">
        <is>
          <t>EMMABODA</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45226-2023</t>
        </is>
      </c>
      <c r="B4368" s="1" t="n">
        <v>45191.58287037037</v>
      </c>
      <c r="C4368" s="1" t="n">
        <v>45884</v>
      </c>
      <c r="D4368" t="inlineStr">
        <is>
          <t>KALMAR LÄN</t>
        </is>
      </c>
      <c r="E4368" t="inlineStr">
        <is>
          <t>EMMABODA</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29715-2022</t>
        </is>
      </c>
      <c r="B4369" s="1" t="n">
        <v>44755</v>
      </c>
      <c r="C4369" s="1" t="n">
        <v>45884</v>
      </c>
      <c r="D4369" t="inlineStr">
        <is>
          <t>KALMAR LÄN</t>
        </is>
      </c>
      <c r="E4369" t="inlineStr">
        <is>
          <t>NYBRO</t>
        </is>
      </c>
      <c r="G4369" t="n">
        <v>4.8</v>
      </c>
      <c r="H4369" t="n">
        <v>0</v>
      </c>
      <c r="I4369" t="n">
        <v>0</v>
      </c>
      <c r="J4369" t="n">
        <v>0</v>
      </c>
      <c r="K4369" t="n">
        <v>0</v>
      </c>
      <c r="L4369" t="n">
        <v>0</v>
      </c>
      <c r="M4369" t="n">
        <v>0</v>
      </c>
      <c r="N4369" t="n">
        <v>0</v>
      </c>
      <c r="O4369" t="n">
        <v>0</v>
      </c>
      <c r="P4369" t="n">
        <v>0</v>
      </c>
      <c r="Q4369" t="n">
        <v>0</v>
      </c>
      <c r="R4369" s="2" t="inlineStr"/>
    </row>
    <row r="4370" ht="15" customHeight="1">
      <c r="A4370" t="inlineStr">
        <is>
          <t>A 21028-2023</t>
        </is>
      </c>
      <c r="B4370" s="1" t="n">
        <v>45061</v>
      </c>
      <c r="C4370" s="1" t="n">
        <v>45884</v>
      </c>
      <c r="D4370" t="inlineStr">
        <is>
          <t>KALMAR LÄN</t>
        </is>
      </c>
      <c r="E4370" t="inlineStr">
        <is>
          <t>VIMMERBY</t>
        </is>
      </c>
      <c r="F4370" t="inlineStr">
        <is>
          <t>Övriga Aktiebolag</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41068-2023</t>
        </is>
      </c>
      <c r="B4371" s="1" t="n">
        <v>45173</v>
      </c>
      <c r="C4371" s="1" t="n">
        <v>45884</v>
      </c>
      <c r="D4371" t="inlineStr">
        <is>
          <t>KALMAR LÄN</t>
        </is>
      </c>
      <c r="E4371" t="inlineStr">
        <is>
          <t>KALMAR</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35544-2024</t>
        </is>
      </c>
      <c r="B4372" s="1" t="n">
        <v>45531</v>
      </c>
      <c r="C4372" s="1" t="n">
        <v>45884</v>
      </c>
      <c r="D4372" t="inlineStr">
        <is>
          <t>KALMAR LÄN</t>
        </is>
      </c>
      <c r="E4372" t="inlineStr">
        <is>
          <t>OSKARSHAMN</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5150-2022</t>
        </is>
      </c>
      <c r="B4373" s="1" t="n">
        <v>44594.37378472222</v>
      </c>
      <c r="C4373" s="1" t="n">
        <v>45884</v>
      </c>
      <c r="D4373" t="inlineStr">
        <is>
          <t>KALMAR LÄN</t>
        </is>
      </c>
      <c r="E4373" t="inlineStr">
        <is>
          <t>NYBRO</t>
        </is>
      </c>
      <c r="G4373" t="n">
        <v>3.1</v>
      </c>
      <c r="H4373" t="n">
        <v>0</v>
      </c>
      <c r="I4373" t="n">
        <v>0</v>
      </c>
      <c r="J4373" t="n">
        <v>0</v>
      </c>
      <c r="K4373" t="n">
        <v>0</v>
      </c>
      <c r="L4373" t="n">
        <v>0</v>
      </c>
      <c r="M4373" t="n">
        <v>0</v>
      </c>
      <c r="N4373" t="n">
        <v>0</v>
      </c>
      <c r="O4373" t="n">
        <v>0</v>
      </c>
      <c r="P4373" t="n">
        <v>0</v>
      </c>
      <c r="Q4373" t="n">
        <v>0</v>
      </c>
      <c r="R4373" s="2" t="inlineStr"/>
    </row>
    <row r="4374" ht="15" customHeight="1">
      <c r="A4374" t="inlineStr">
        <is>
          <t>A 5182-2022</t>
        </is>
      </c>
      <c r="B4374" s="1" t="n">
        <v>44594</v>
      </c>
      <c r="C4374" s="1" t="n">
        <v>45884</v>
      </c>
      <c r="D4374" t="inlineStr">
        <is>
          <t>KALMAR LÄN</t>
        </is>
      </c>
      <c r="E4374" t="inlineStr">
        <is>
          <t>EMMABODA</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73640-2021</t>
        </is>
      </c>
      <c r="B4375" s="1" t="n">
        <v>44552.43644675926</v>
      </c>
      <c r="C4375" s="1" t="n">
        <v>45884</v>
      </c>
      <c r="D4375" t="inlineStr">
        <is>
          <t>KALMAR LÄN</t>
        </is>
      </c>
      <c r="E4375" t="inlineStr">
        <is>
          <t>VÄSTERVIK</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73709-2021</t>
        </is>
      </c>
      <c r="B4376" s="1" t="n">
        <v>44552</v>
      </c>
      <c r="C4376" s="1" t="n">
        <v>45884</v>
      </c>
      <c r="D4376" t="inlineStr">
        <is>
          <t>KALMAR LÄN</t>
        </is>
      </c>
      <c r="E4376" t="inlineStr">
        <is>
          <t>HÖGSBY</t>
        </is>
      </c>
      <c r="G4376" t="n">
        <v>1.9</v>
      </c>
      <c r="H4376" t="n">
        <v>0</v>
      </c>
      <c r="I4376" t="n">
        <v>0</v>
      </c>
      <c r="J4376" t="n">
        <v>0</v>
      </c>
      <c r="K4376" t="n">
        <v>0</v>
      </c>
      <c r="L4376" t="n">
        <v>0</v>
      </c>
      <c r="M4376" t="n">
        <v>0</v>
      </c>
      <c r="N4376" t="n">
        <v>0</v>
      </c>
      <c r="O4376" t="n">
        <v>0</v>
      </c>
      <c r="P4376" t="n">
        <v>0</v>
      </c>
      <c r="Q4376" t="n">
        <v>0</v>
      </c>
      <c r="R4376" s="2" t="inlineStr"/>
    </row>
    <row r="4377" ht="15" customHeight="1">
      <c r="A4377" t="inlineStr">
        <is>
          <t>A 11155-2023</t>
        </is>
      </c>
      <c r="B4377" s="1" t="n">
        <v>44992.52833333334</v>
      </c>
      <c r="C4377" s="1" t="n">
        <v>45884</v>
      </c>
      <c r="D4377" t="inlineStr">
        <is>
          <t>KALMAR LÄN</t>
        </is>
      </c>
      <c r="E4377" t="inlineStr">
        <is>
          <t>NYBRO</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22183-2021</t>
        </is>
      </c>
      <c r="B4378" s="1" t="n">
        <v>44326.32891203704</v>
      </c>
      <c r="C4378" s="1" t="n">
        <v>45884</v>
      </c>
      <c r="D4378" t="inlineStr">
        <is>
          <t>KALMAR LÄN</t>
        </is>
      </c>
      <c r="E4378" t="inlineStr">
        <is>
          <t>EMMABODA</t>
        </is>
      </c>
      <c r="G4378" t="n">
        <v>2.6</v>
      </c>
      <c r="H4378" t="n">
        <v>0</v>
      </c>
      <c r="I4378" t="n">
        <v>0</v>
      </c>
      <c r="J4378" t="n">
        <v>0</v>
      </c>
      <c r="K4378" t="n">
        <v>0</v>
      </c>
      <c r="L4378" t="n">
        <v>0</v>
      </c>
      <c r="M4378" t="n">
        <v>0</v>
      </c>
      <c r="N4378" t="n">
        <v>0</v>
      </c>
      <c r="O4378" t="n">
        <v>0</v>
      </c>
      <c r="P4378" t="n">
        <v>0</v>
      </c>
      <c r="Q4378" t="n">
        <v>0</v>
      </c>
      <c r="R4378" s="2" t="inlineStr"/>
    </row>
    <row r="4379" ht="15" customHeight="1">
      <c r="A4379" t="inlineStr">
        <is>
          <t>A 22197-2021</t>
        </is>
      </c>
      <c r="B4379" s="1" t="n">
        <v>44326.34681712963</v>
      </c>
      <c r="C4379" s="1" t="n">
        <v>45884</v>
      </c>
      <c r="D4379" t="inlineStr">
        <is>
          <t>KALMAR LÄN</t>
        </is>
      </c>
      <c r="E4379" t="inlineStr">
        <is>
          <t>EMMABODA</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36395-2023</t>
        </is>
      </c>
      <c r="B4380" s="1" t="n">
        <v>45152.54458333334</v>
      </c>
      <c r="C4380" s="1" t="n">
        <v>45884</v>
      </c>
      <c r="D4380" t="inlineStr">
        <is>
          <t>KALMAR LÄN</t>
        </is>
      </c>
      <c r="E4380" t="inlineStr">
        <is>
          <t>HULTSFRED</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23883-2021</t>
        </is>
      </c>
      <c r="B4381" s="1" t="n">
        <v>44335</v>
      </c>
      <c r="C4381" s="1" t="n">
        <v>45884</v>
      </c>
      <c r="D4381" t="inlineStr">
        <is>
          <t>KALMAR LÄN</t>
        </is>
      </c>
      <c r="E4381" t="inlineStr">
        <is>
          <t>NYBRO</t>
        </is>
      </c>
      <c r="G4381" t="n">
        <v>6.5</v>
      </c>
      <c r="H4381" t="n">
        <v>0</v>
      </c>
      <c r="I4381" t="n">
        <v>0</v>
      </c>
      <c r="J4381" t="n">
        <v>0</v>
      </c>
      <c r="K4381" t="n">
        <v>0</v>
      </c>
      <c r="L4381" t="n">
        <v>0</v>
      </c>
      <c r="M4381" t="n">
        <v>0</v>
      </c>
      <c r="N4381" t="n">
        <v>0</v>
      </c>
      <c r="O4381" t="n">
        <v>0</v>
      </c>
      <c r="P4381" t="n">
        <v>0</v>
      </c>
      <c r="Q4381" t="n">
        <v>0</v>
      </c>
      <c r="R4381" s="2" t="inlineStr"/>
    </row>
    <row r="4382" ht="15" customHeight="1">
      <c r="A4382" t="inlineStr">
        <is>
          <t>A 6120-2021</t>
        </is>
      </c>
      <c r="B4382" s="1" t="n">
        <v>44232</v>
      </c>
      <c r="C4382" s="1" t="n">
        <v>45884</v>
      </c>
      <c r="D4382" t="inlineStr">
        <is>
          <t>KALMAR LÄN</t>
        </is>
      </c>
      <c r="E4382" t="inlineStr">
        <is>
          <t>OSKARSHAMN</t>
        </is>
      </c>
      <c r="G4382" t="n">
        <v>0.4</v>
      </c>
      <c r="H4382" t="n">
        <v>0</v>
      </c>
      <c r="I4382" t="n">
        <v>0</v>
      </c>
      <c r="J4382" t="n">
        <v>0</v>
      </c>
      <c r="K4382" t="n">
        <v>0</v>
      </c>
      <c r="L4382" t="n">
        <v>0</v>
      </c>
      <c r="M4382" t="n">
        <v>0</v>
      </c>
      <c r="N4382" t="n">
        <v>0</v>
      </c>
      <c r="O4382" t="n">
        <v>0</v>
      </c>
      <c r="P4382" t="n">
        <v>0</v>
      </c>
      <c r="Q4382" t="n">
        <v>0</v>
      </c>
      <c r="R4382" s="2" t="inlineStr"/>
    </row>
    <row r="4383" ht="15" customHeight="1">
      <c r="A4383" t="inlineStr">
        <is>
          <t>A 3672-2025</t>
        </is>
      </c>
      <c r="B4383" s="1" t="n">
        <v>45681.43521990741</v>
      </c>
      <c r="C4383" s="1" t="n">
        <v>45884</v>
      </c>
      <c r="D4383" t="inlineStr">
        <is>
          <t>KALMAR LÄN</t>
        </is>
      </c>
      <c r="E4383" t="inlineStr">
        <is>
          <t>HULTSFRED</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39944-2023</t>
        </is>
      </c>
      <c r="B4384" s="1" t="n">
        <v>45168</v>
      </c>
      <c r="C4384" s="1" t="n">
        <v>45884</v>
      </c>
      <c r="D4384" t="inlineStr">
        <is>
          <t>KALMAR LÄN</t>
        </is>
      </c>
      <c r="E4384" t="inlineStr">
        <is>
          <t>HULTSFRED</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50978-2022</t>
        </is>
      </c>
      <c r="B4385" s="1" t="n">
        <v>44867</v>
      </c>
      <c r="C4385" s="1" t="n">
        <v>45884</v>
      </c>
      <c r="D4385" t="inlineStr">
        <is>
          <t>KALMAR LÄN</t>
        </is>
      </c>
      <c r="E4385" t="inlineStr">
        <is>
          <t>NYBRO</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28987-2023</t>
        </is>
      </c>
      <c r="B4386" s="1" t="n">
        <v>45104.62357638889</v>
      </c>
      <c r="C4386" s="1" t="n">
        <v>45884</v>
      </c>
      <c r="D4386" t="inlineStr">
        <is>
          <t>KALMAR LÄN</t>
        </is>
      </c>
      <c r="E4386" t="inlineStr">
        <is>
          <t>KALMAR</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68345-2021</t>
        </is>
      </c>
      <c r="B4387" s="1" t="n">
        <v>44528.68445601852</v>
      </c>
      <c r="C4387" s="1" t="n">
        <v>45884</v>
      </c>
      <c r="D4387" t="inlineStr">
        <is>
          <t>KALMAR LÄN</t>
        </is>
      </c>
      <c r="E4387" t="inlineStr">
        <is>
          <t>NYBRO</t>
        </is>
      </c>
      <c r="G4387" t="n">
        <v>2.9</v>
      </c>
      <c r="H4387" t="n">
        <v>0</v>
      </c>
      <c r="I4387" t="n">
        <v>0</v>
      </c>
      <c r="J4387" t="n">
        <v>0</v>
      </c>
      <c r="K4387" t="n">
        <v>0</v>
      </c>
      <c r="L4387" t="n">
        <v>0</v>
      </c>
      <c r="M4387" t="n">
        <v>0</v>
      </c>
      <c r="N4387" t="n">
        <v>0</v>
      </c>
      <c r="O4387" t="n">
        <v>0</v>
      </c>
      <c r="P4387" t="n">
        <v>0</v>
      </c>
      <c r="Q4387" t="n">
        <v>0</v>
      </c>
      <c r="R4387" s="2" t="inlineStr"/>
    </row>
    <row r="4388" ht="15" customHeight="1">
      <c r="A4388" t="inlineStr">
        <is>
          <t>A 8971-2023</t>
        </is>
      </c>
      <c r="B4388" s="1" t="n">
        <v>44979.50762731482</v>
      </c>
      <c r="C4388" s="1" t="n">
        <v>45884</v>
      </c>
      <c r="D4388" t="inlineStr">
        <is>
          <t>KALMAR LÄN</t>
        </is>
      </c>
      <c r="E4388" t="inlineStr">
        <is>
          <t>EMMABODA</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15222-2025</t>
        </is>
      </c>
      <c r="B4389" s="1" t="n">
        <v>45744.58425925926</v>
      </c>
      <c r="C4389" s="1" t="n">
        <v>45884</v>
      </c>
      <c r="D4389" t="inlineStr">
        <is>
          <t>KALMAR LÄN</t>
        </is>
      </c>
      <c r="E4389" t="inlineStr">
        <is>
          <t>NYBRO</t>
        </is>
      </c>
      <c r="G4389" t="n">
        <v>2.7</v>
      </c>
      <c r="H4389" t="n">
        <v>0</v>
      </c>
      <c r="I4389" t="n">
        <v>0</v>
      </c>
      <c r="J4389" t="n">
        <v>0</v>
      </c>
      <c r="K4389" t="n">
        <v>0</v>
      </c>
      <c r="L4389" t="n">
        <v>0</v>
      </c>
      <c r="M4389" t="n">
        <v>0</v>
      </c>
      <c r="N4389" t="n">
        <v>0</v>
      </c>
      <c r="O4389" t="n">
        <v>0</v>
      </c>
      <c r="P4389" t="n">
        <v>0</v>
      </c>
      <c r="Q4389" t="n">
        <v>0</v>
      </c>
      <c r="R4389" s="2" t="inlineStr"/>
    </row>
    <row r="4390" ht="15" customHeight="1">
      <c r="A4390" t="inlineStr">
        <is>
          <t>A 49461-2023</t>
        </is>
      </c>
      <c r="B4390" s="1" t="n">
        <v>45211.52642361111</v>
      </c>
      <c r="C4390" s="1" t="n">
        <v>45884</v>
      </c>
      <c r="D4390" t="inlineStr">
        <is>
          <t>KALMAR LÄN</t>
        </is>
      </c>
      <c r="E4390" t="inlineStr">
        <is>
          <t>VIMMERBY</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5106-2024</t>
        </is>
      </c>
      <c r="B4391" s="1" t="n">
        <v>45330</v>
      </c>
      <c r="C4391" s="1" t="n">
        <v>45884</v>
      </c>
      <c r="D4391" t="inlineStr">
        <is>
          <t>KALMAR LÄN</t>
        </is>
      </c>
      <c r="E4391" t="inlineStr">
        <is>
          <t>TORSÅS</t>
        </is>
      </c>
      <c r="G4391" t="n">
        <v>3.2</v>
      </c>
      <c r="H4391" t="n">
        <v>0</v>
      </c>
      <c r="I4391" t="n">
        <v>0</v>
      </c>
      <c r="J4391" t="n">
        <v>0</v>
      </c>
      <c r="K4391" t="n">
        <v>0</v>
      </c>
      <c r="L4391" t="n">
        <v>0</v>
      </c>
      <c r="M4391" t="n">
        <v>0</v>
      </c>
      <c r="N4391" t="n">
        <v>0</v>
      </c>
      <c r="O4391" t="n">
        <v>0</v>
      </c>
      <c r="P4391" t="n">
        <v>0</v>
      </c>
      <c r="Q4391" t="n">
        <v>0</v>
      </c>
      <c r="R4391" s="2" t="inlineStr"/>
    </row>
    <row r="4392" ht="15" customHeight="1">
      <c r="A4392" t="inlineStr">
        <is>
          <t>A 31045-2023</t>
        </is>
      </c>
      <c r="B4392" s="1" t="n">
        <v>45113</v>
      </c>
      <c r="C4392" s="1" t="n">
        <v>45884</v>
      </c>
      <c r="D4392" t="inlineStr">
        <is>
          <t>KALMAR LÄN</t>
        </is>
      </c>
      <c r="E4392" t="inlineStr">
        <is>
          <t>KALMAR</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31070-2023</t>
        </is>
      </c>
      <c r="B4393" s="1" t="n">
        <v>45113.63261574074</v>
      </c>
      <c r="C4393" s="1" t="n">
        <v>45884</v>
      </c>
      <c r="D4393" t="inlineStr">
        <is>
          <t>KALMAR LÄN</t>
        </is>
      </c>
      <c r="E4393" t="inlineStr">
        <is>
          <t>EMMABODA</t>
        </is>
      </c>
      <c r="G4393" t="n">
        <v>0.4</v>
      </c>
      <c r="H4393" t="n">
        <v>0</v>
      </c>
      <c r="I4393" t="n">
        <v>0</v>
      </c>
      <c r="J4393" t="n">
        <v>0</v>
      </c>
      <c r="K4393" t="n">
        <v>0</v>
      </c>
      <c r="L4393" t="n">
        <v>0</v>
      </c>
      <c r="M4393" t="n">
        <v>0</v>
      </c>
      <c r="N4393" t="n">
        <v>0</v>
      </c>
      <c r="O4393" t="n">
        <v>0</v>
      </c>
      <c r="P4393" t="n">
        <v>0</v>
      </c>
      <c r="Q4393" t="n">
        <v>0</v>
      </c>
      <c r="R4393" s="2" t="inlineStr"/>
    </row>
    <row r="4394" ht="15" customHeight="1">
      <c r="A4394" t="inlineStr">
        <is>
          <t>A 31078-2023</t>
        </is>
      </c>
      <c r="B4394" s="1" t="n">
        <v>45113.64193287037</v>
      </c>
      <c r="C4394" s="1" t="n">
        <v>45884</v>
      </c>
      <c r="D4394" t="inlineStr">
        <is>
          <t>KALMAR LÄN</t>
        </is>
      </c>
      <c r="E4394" t="inlineStr">
        <is>
          <t>EMMABODA</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26094-2023</t>
        </is>
      </c>
      <c r="B4395" s="1" t="n">
        <v>45091</v>
      </c>
      <c r="C4395" s="1" t="n">
        <v>45884</v>
      </c>
      <c r="D4395" t="inlineStr">
        <is>
          <t>KALMAR LÄN</t>
        </is>
      </c>
      <c r="E4395" t="inlineStr">
        <is>
          <t>KALMAR</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26120-2023</t>
        </is>
      </c>
      <c r="B4396" s="1" t="n">
        <v>45091.44322916667</v>
      </c>
      <c r="C4396" s="1" t="n">
        <v>45884</v>
      </c>
      <c r="D4396" t="inlineStr">
        <is>
          <t>KALMAR LÄN</t>
        </is>
      </c>
      <c r="E4396" t="inlineStr">
        <is>
          <t>NYBRO</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55396-2022</t>
        </is>
      </c>
      <c r="B4397" s="1" t="n">
        <v>44882</v>
      </c>
      <c r="C4397" s="1" t="n">
        <v>45884</v>
      </c>
      <c r="D4397" t="inlineStr">
        <is>
          <t>KALMAR LÄN</t>
        </is>
      </c>
      <c r="E4397" t="inlineStr">
        <is>
          <t>HULTSFRED</t>
        </is>
      </c>
      <c r="G4397" t="n">
        <v>5.4</v>
      </c>
      <c r="H4397" t="n">
        <v>0</v>
      </c>
      <c r="I4397" t="n">
        <v>0</v>
      </c>
      <c r="J4397" t="n">
        <v>0</v>
      </c>
      <c r="K4397" t="n">
        <v>0</v>
      </c>
      <c r="L4397" t="n">
        <v>0</v>
      </c>
      <c r="M4397" t="n">
        <v>0</v>
      </c>
      <c r="N4397" t="n">
        <v>0</v>
      </c>
      <c r="O4397" t="n">
        <v>0</v>
      </c>
      <c r="P4397" t="n">
        <v>0</v>
      </c>
      <c r="Q4397" t="n">
        <v>0</v>
      </c>
      <c r="R4397" s="2" t="inlineStr"/>
    </row>
    <row r="4398" ht="15" customHeight="1">
      <c r="A4398" t="inlineStr">
        <is>
          <t>A 23091-2023</t>
        </is>
      </c>
      <c r="B4398" s="1" t="n">
        <v>45075</v>
      </c>
      <c r="C4398" s="1" t="n">
        <v>45884</v>
      </c>
      <c r="D4398" t="inlineStr">
        <is>
          <t>KALMAR LÄN</t>
        </is>
      </c>
      <c r="E4398" t="inlineStr">
        <is>
          <t>TORSÅS</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23095-2023</t>
        </is>
      </c>
      <c r="B4399" s="1" t="n">
        <v>45075.43059027778</v>
      </c>
      <c r="C4399" s="1" t="n">
        <v>45884</v>
      </c>
      <c r="D4399" t="inlineStr">
        <is>
          <t>KALMAR LÄN</t>
        </is>
      </c>
      <c r="E4399" t="inlineStr">
        <is>
          <t>VIMMERBY</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11429-2022</t>
        </is>
      </c>
      <c r="B4400" s="1" t="n">
        <v>44630</v>
      </c>
      <c r="C4400" s="1" t="n">
        <v>45884</v>
      </c>
      <c r="D4400" t="inlineStr">
        <is>
          <t>KALMAR LÄN</t>
        </is>
      </c>
      <c r="E4400" t="inlineStr">
        <is>
          <t>VIMMERBY</t>
        </is>
      </c>
      <c r="G4400" t="n">
        <v>2.6</v>
      </c>
      <c r="H4400" t="n">
        <v>0</v>
      </c>
      <c r="I4400" t="n">
        <v>0</v>
      </c>
      <c r="J4400" t="n">
        <v>0</v>
      </c>
      <c r="K4400" t="n">
        <v>0</v>
      </c>
      <c r="L4400" t="n">
        <v>0</v>
      </c>
      <c r="M4400" t="n">
        <v>0</v>
      </c>
      <c r="N4400" t="n">
        <v>0</v>
      </c>
      <c r="O4400" t="n">
        <v>0</v>
      </c>
      <c r="P4400" t="n">
        <v>0</v>
      </c>
      <c r="Q4400" t="n">
        <v>0</v>
      </c>
      <c r="R4400" s="2" t="inlineStr"/>
    </row>
    <row r="4401" ht="15" customHeight="1">
      <c r="A4401" t="inlineStr">
        <is>
          <t>A 28404-2024</t>
        </is>
      </c>
      <c r="B4401" s="1" t="n">
        <v>45477.61552083334</v>
      </c>
      <c r="C4401" s="1" t="n">
        <v>45884</v>
      </c>
      <c r="D4401" t="inlineStr">
        <is>
          <t>KALMAR LÄN</t>
        </is>
      </c>
      <c r="E4401" t="inlineStr">
        <is>
          <t>VÄSTERVIK</t>
        </is>
      </c>
      <c r="F4401" t="inlineStr">
        <is>
          <t>Holmen skog AB</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28415-2024</t>
        </is>
      </c>
      <c r="B4402" s="1" t="n">
        <v>45477.62924768519</v>
      </c>
      <c r="C4402" s="1" t="n">
        <v>45884</v>
      </c>
      <c r="D4402" t="inlineStr">
        <is>
          <t>KALMAR LÄN</t>
        </is>
      </c>
      <c r="E4402" t="inlineStr">
        <is>
          <t>VÄSTERVIK</t>
        </is>
      </c>
      <c r="F4402" t="inlineStr">
        <is>
          <t>Holmen skog AB</t>
        </is>
      </c>
      <c r="G4402" t="n">
        <v>2.7</v>
      </c>
      <c r="H4402" t="n">
        <v>0</v>
      </c>
      <c r="I4402" t="n">
        <v>0</v>
      </c>
      <c r="J4402" t="n">
        <v>0</v>
      </c>
      <c r="K4402" t="n">
        <v>0</v>
      </c>
      <c r="L4402" t="n">
        <v>0</v>
      </c>
      <c r="M4402" t="n">
        <v>0</v>
      </c>
      <c r="N4402" t="n">
        <v>0</v>
      </c>
      <c r="O4402" t="n">
        <v>0</v>
      </c>
      <c r="P4402" t="n">
        <v>0</v>
      </c>
      <c r="Q4402" t="n">
        <v>0</v>
      </c>
      <c r="R4402" s="2" t="inlineStr"/>
    </row>
    <row r="4403" ht="15" customHeight="1">
      <c r="A4403" t="inlineStr">
        <is>
          <t>A 28461-2024</t>
        </is>
      </c>
      <c r="B4403" s="1" t="n">
        <v>45477.69497685185</v>
      </c>
      <c r="C4403" s="1" t="n">
        <v>45884</v>
      </c>
      <c r="D4403" t="inlineStr">
        <is>
          <t>KALMAR LÄN</t>
        </is>
      </c>
      <c r="E4403" t="inlineStr">
        <is>
          <t>EMMABODA</t>
        </is>
      </c>
      <c r="F4403" t="inlineStr">
        <is>
          <t>Sveaskog</t>
        </is>
      </c>
      <c r="G4403" t="n">
        <v>6.1</v>
      </c>
      <c r="H4403" t="n">
        <v>0</v>
      </c>
      <c r="I4403" t="n">
        <v>0</v>
      </c>
      <c r="J4403" t="n">
        <v>0</v>
      </c>
      <c r="K4403" t="n">
        <v>0</v>
      </c>
      <c r="L4403" t="n">
        <v>0</v>
      </c>
      <c r="M4403" t="n">
        <v>0</v>
      </c>
      <c r="N4403" t="n">
        <v>0</v>
      </c>
      <c r="O4403" t="n">
        <v>0</v>
      </c>
      <c r="P4403" t="n">
        <v>0</v>
      </c>
      <c r="Q4403" t="n">
        <v>0</v>
      </c>
      <c r="R4403" s="2" t="inlineStr"/>
    </row>
    <row r="4404" ht="15" customHeight="1">
      <c r="A4404" t="inlineStr">
        <is>
          <t>A 49592-2021</t>
        </is>
      </c>
      <c r="B4404" s="1" t="n">
        <v>44455.39767361111</v>
      </c>
      <c r="C4404" s="1" t="n">
        <v>45884</v>
      </c>
      <c r="D4404" t="inlineStr">
        <is>
          <t>KALMAR LÄN</t>
        </is>
      </c>
      <c r="E4404" t="inlineStr">
        <is>
          <t>OSKARSHAMN</t>
        </is>
      </c>
      <c r="F4404" t="inlineStr">
        <is>
          <t>Sveaskog</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39736-2023</t>
        </is>
      </c>
      <c r="B4405" s="1" t="n">
        <v>45167.65172453703</v>
      </c>
      <c r="C4405" s="1" t="n">
        <v>45884</v>
      </c>
      <c r="D4405" t="inlineStr">
        <is>
          <t>KALMAR LÄN</t>
        </is>
      </c>
      <c r="E4405" t="inlineStr">
        <is>
          <t>EMMABODA</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39748-2023</t>
        </is>
      </c>
      <c r="B4406" s="1" t="n">
        <v>45167</v>
      </c>
      <c r="C4406" s="1" t="n">
        <v>45884</v>
      </c>
      <c r="D4406" t="inlineStr">
        <is>
          <t>KALMAR LÄN</t>
        </is>
      </c>
      <c r="E4406" t="inlineStr">
        <is>
          <t>KALMAR</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40335-2023</t>
        </is>
      </c>
      <c r="B4407" s="1" t="n">
        <v>45169.62481481482</v>
      </c>
      <c r="C4407" s="1" t="n">
        <v>45884</v>
      </c>
      <c r="D4407" t="inlineStr">
        <is>
          <t>KALMAR LÄN</t>
        </is>
      </c>
      <c r="E4407" t="inlineStr">
        <is>
          <t>NYBRO</t>
        </is>
      </c>
      <c r="G4407" t="n">
        <v>3.3</v>
      </c>
      <c r="H4407" t="n">
        <v>0</v>
      </c>
      <c r="I4407" t="n">
        <v>0</v>
      </c>
      <c r="J4407" t="n">
        <v>0</v>
      </c>
      <c r="K4407" t="n">
        <v>0</v>
      </c>
      <c r="L4407" t="n">
        <v>0</v>
      </c>
      <c r="M4407" t="n">
        <v>0</v>
      </c>
      <c r="N4407" t="n">
        <v>0</v>
      </c>
      <c r="O4407" t="n">
        <v>0</v>
      </c>
      <c r="P4407" t="n">
        <v>0</v>
      </c>
      <c r="Q4407" t="n">
        <v>0</v>
      </c>
      <c r="R4407" s="2" t="inlineStr"/>
    </row>
    <row r="4408" ht="15" customHeight="1">
      <c r="A4408" t="inlineStr">
        <is>
          <t>A 59224-2024</t>
        </is>
      </c>
      <c r="B4408" s="1" t="n">
        <v>45637.57834490741</v>
      </c>
      <c r="C4408" s="1" t="n">
        <v>45884</v>
      </c>
      <c r="D4408" t="inlineStr">
        <is>
          <t>KALMAR LÄN</t>
        </is>
      </c>
      <c r="E4408" t="inlineStr">
        <is>
          <t>EMMABODA</t>
        </is>
      </c>
      <c r="G4408" t="n">
        <v>4.1</v>
      </c>
      <c r="H4408" t="n">
        <v>0</v>
      </c>
      <c r="I4408" t="n">
        <v>0</v>
      </c>
      <c r="J4408" t="n">
        <v>0</v>
      </c>
      <c r="K4408" t="n">
        <v>0</v>
      </c>
      <c r="L4408" t="n">
        <v>0</v>
      </c>
      <c r="M4408" t="n">
        <v>0</v>
      </c>
      <c r="N4408" t="n">
        <v>0</v>
      </c>
      <c r="O4408" t="n">
        <v>0</v>
      </c>
      <c r="P4408" t="n">
        <v>0</v>
      </c>
      <c r="Q4408" t="n">
        <v>0</v>
      </c>
      <c r="R4408" s="2" t="inlineStr"/>
    </row>
    <row r="4409" ht="15" customHeight="1">
      <c r="A4409" t="inlineStr">
        <is>
          <t>A 54480-2023</t>
        </is>
      </c>
      <c r="B4409" s="1" t="n">
        <v>45233.47571759259</v>
      </c>
      <c r="C4409" s="1" t="n">
        <v>45884</v>
      </c>
      <c r="D4409" t="inlineStr">
        <is>
          <t>KALMAR LÄN</t>
        </is>
      </c>
      <c r="E4409" t="inlineStr">
        <is>
          <t>KALMAR</t>
        </is>
      </c>
      <c r="G4409" t="n">
        <v>0.4</v>
      </c>
      <c r="H4409" t="n">
        <v>0</v>
      </c>
      <c r="I4409" t="n">
        <v>0</v>
      </c>
      <c r="J4409" t="n">
        <v>0</v>
      </c>
      <c r="K4409" t="n">
        <v>0</v>
      </c>
      <c r="L4409" t="n">
        <v>0</v>
      </c>
      <c r="M4409" t="n">
        <v>0</v>
      </c>
      <c r="N4409" t="n">
        <v>0</v>
      </c>
      <c r="O4409" t="n">
        <v>0</v>
      </c>
      <c r="P4409" t="n">
        <v>0</v>
      </c>
      <c r="Q4409" t="n">
        <v>0</v>
      </c>
      <c r="R4409" s="2" t="inlineStr"/>
    </row>
    <row r="4410" ht="15" customHeight="1">
      <c r="A4410" t="inlineStr">
        <is>
          <t>A 54512-2023</t>
        </is>
      </c>
      <c r="B4410" s="1" t="n">
        <v>45233</v>
      </c>
      <c r="C4410" s="1" t="n">
        <v>45884</v>
      </c>
      <c r="D4410" t="inlineStr">
        <is>
          <t>KALMAR LÄN</t>
        </is>
      </c>
      <c r="E4410" t="inlineStr">
        <is>
          <t>NYBRO</t>
        </is>
      </c>
      <c r="F4410" t="inlineStr">
        <is>
          <t>Sveaskog</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34212-2024</t>
        </is>
      </c>
      <c r="B4411" s="1" t="n">
        <v>45524.50288194444</v>
      </c>
      <c r="C4411" s="1" t="n">
        <v>45884</v>
      </c>
      <c r="D4411" t="inlineStr">
        <is>
          <t>KALMAR LÄN</t>
        </is>
      </c>
      <c r="E4411" t="inlineStr">
        <is>
          <t>EMMABODA</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46465-2023</t>
        </is>
      </c>
      <c r="B4412" s="1" t="n">
        <v>45197.62081018519</v>
      </c>
      <c r="C4412" s="1" t="n">
        <v>45884</v>
      </c>
      <c r="D4412" t="inlineStr">
        <is>
          <t>KALMAR LÄN</t>
        </is>
      </c>
      <c r="E4412" t="inlineStr">
        <is>
          <t>HULTSFRED</t>
        </is>
      </c>
      <c r="G4412" t="n">
        <v>3.9</v>
      </c>
      <c r="H4412" t="n">
        <v>0</v>
      </c>
      <c r="I4412" t="n">
        <v>0</v>
      </c>
      <c r="J4412" t="n">
        <v>0</v>
      </c>
      <c r="K4412" t="n">
        <v>0</v>
      </c>
      <c r="L4412" t="n">
        <v>0</v>
      </c>
      <c r="M4412" t="n">
        <v>0</v>
      </c>
      <c r="N4412" t="n">
        <v>0</v>
      </c>
      <c r="O4412" t="n">
        <v>0</v>
      </c>
      <c r="P4412" t="n">
        <v>0</v>
      </c>
      <c r="Q4412" t="n">
        <v>0</v>
      </c>
      <c r="R4412" s="2" t="inlineStr"/>
    </row>
    <row r="4413" ht="15" customHeight="1">
      <c r="A4413" t="inlineStr">
        <is>
          <t>A 39845-2022</t>
        </is>
      </c>
      <c r="B4413" s="1" t="n">
        <v>44819</v>
      </c>
      <c r="C4413" s="1" t="n">
        <v>45884</v>
      </c>
      <c r="D4413" t="inlineStr">
        <is>
          <t>KALMAR LÄN</t>
        </is>
      </c>
      <c r="E4413" t="inlineStr">
        <is>
          <t>HULTSFRED</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10419-2023</t>
        </is>
      </c>
      <c r="B4414" s="1" t="n">
        <v>44987</v>
      </c>
      <c r="C4414" s="1" t="n">
        <v>45884</v>
      </c>
      <c r="D4414" t="inlineStr">
        <is>
          <t>KALMAR LÄN</t>
        </is>
      </c>
      <c r="E4414" t="inlineStr">
        <is>
          <t>VÄSTERVIK</t>
        </is>
      </c>
      <c r="G4414" t="n">
        <v>0.4</v>
      </c>
      <c r="H4414" t="n">
        <v>0</v>
      </c>
      <c r="I4414" t="n">
        <v>0</v>
      </c>
      <c r="J4414" t="n">
        <v>0</v>
      </c>
      <c r="K4414" t="n">
        <v>0</v>
      </c>
      <c r="L4414" t="n">
        <v>0</v>
      </c>
      <c r="M4414" t="n">
        <v>0</v>
      </c>
      <c r="N4414" t="n">
        <v>0</v>
      </c>
      <c r="O4414" t="n">
        <v>0</v>
      </c>
      <c r="P4414" t="n">
        <v>0</v>
      </c>
      <c r="Q4414" t="n">
        <v>0</v>
      </c>
      <c r="R4414" s="2" t="inlineStr"/>
    </row>
    <row r="4415" ht="15" customHeight="1">
      <c r="A4415" t="inlineStr">
        <is>
          <t>A 40006-2023</t>
        </is>
      </c>
      <c r="B4415" s="1" t="n">
        <v>45168</v>
      </c>
      <c r="C4415" s="1" t="n">
        <v>45884</v>
      </c>
      <c r="D4415" t="inlineStr">
        <is>
          <t>KALMAR LÄN</t>
        </is>
      </c>
      <c r="E4415" t="inlineStr">
        <is>
          <t>HULTSFRED</t>
        </is>
      </c>
      <c r="F4415" t="inlineStr">
        <is>
          <t>Sveaskog</t>
        </is>
      </c>
      <c r="G4415" t="n">
        <v>9.199999999999999</v>
      </c>
      <c r="H4415" t="n">
        <v>0</v>
      </c>
      <c r="I4415" t="n">
        <v>0</v>
      </c>
      <c r="J4415" t="n">
        <v>0</v>
      </c>
      <c r="K4415" t="n">
        <v>0</v>
      </c>
      <c r="L4415" t="n">
        <v>0</v>
      </c>
      <c r="M4415" t="n">
        <v>0</v>
      </c>
      <c r="N4415" t="n">
        <v>0</v>
      </c>
      <c r="O4415" t="n">
        <v>0</v>
      </c>
      <c r="P4415" t="n">
        <v>0</v>
      </c>
      <c r="Q4415" t="n">
        <v>0</v>
      </c>
      <c r="R4415" s="2" t="inlineStr"/>
    </row>
    <row r="4416" ht="15" customHeight="1">
      <c r="A4416" t="inlineStr">
        <is>
          <t>A 58868-2023</t>
        </is>
      </c>
      <c r="B4416" s="1" t="n">
        <v>45252</v>
      </c>
      <c r="C4416" s="1" t="n">
        <v>45884</v>
      </c>
      <c r="D4416" t="inlineStr">
        <is>
          <t>KALMAR LÄN</t>
        </is>
      </c>
      <c r="E4416" t="inlineStr">
        <is>
          <t>HULTSFRED</t>
        </is>
      </c>
      <c r="F4416" t="inlineStr">
        <is>
          <t>Kyrkan</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46560-2022</t>
        </is>
      </c>
      <c r="B4417" s="1" t="n">
        <v>44848</v>
      </c>
      <c r="C4417" s="1" t="n">
        <v>45884</v>
      </c>
      <c r="D4417" t="inlineStr">
        <is>
          <t>KALMAR LÄN</t>
        </is>
      </c>
      <c r="E4417" t="inlineStr">
        <is>
          <t>VÄSTERVIK</t>
        </is>
      </c>
      <c r="F4417" t="inlineStr">
        <is>
          <t>Sveaskog</t>
        </is>
      </c>
      <c r="G4417" t="n">
        <v>2</v>
      </c>
      <c r="H4417" t="n">
        <v>0</v>
      </c>
      <c r="I4417" t="n">
        <v>0</v>
      </c>
      <c r="J4417" t="n">
        <v>0</v>
      </c>
      <c r="K4417" t="n">
        <v>0</v>
      </c>
      <c r="L4417" t="n">
        <v>0</v>
      </c>
      <c r="M4417" t="n">
        <v>0</v>
      </c>
      <c r="N4417" t="n">
        <v>0</v>
      </c>
      <c r="O4417" t="n">
        <v>0</v>
      </c>
      <c r="P4417" t="n">
        <v>0</v>
      </c>
      <c r="Q4417" t="n">
        <v>0</v>
      </c>
      <c r="R4417" s="2" t="inlineStr"/>
    </row>
    <row r="4418" ht="15" customHeight="1">
      <c r="A4418" t="inlineStr">
        <is>
          <t>A 49486-2022</t>
        </is>
      </c>
      <c r="B4418" s="1" t="n">
        <v>44861</v>
      </c>
      <c r="C4418" s="1" t="n">
        <v>45884</v>
      </c>
      <c r="D4418" t="inlineStr">
        <is>
          <t>KALMAR LÄN</t>
        </is>
      </c>
      <c r="E4418" t="inlineStr">
        <is>
          <t>HÖGSBY</t>
        </is>
      </c>
      <c r="G4418" t="n">
        <v>1.9</v>
      </c>
      <c r="H4418" t="n">
        <v>0</v>
      </c>
      <c r="I4418" t="n">
        <v>0</v>
      </c>
      <c r="J4418" t="n">
        <v>0</v>
      </c>
      <c r="K4418" t="n">
        <v>0</v>
      </c>
      <c r="L4418" t="n">
        <v>0</v>
      </c>
      <c r="M4418" t="n">
        <v>0</v>
      </c>
      <c r="N4418" t="n">
        <v>0</v>
      </c>
      <c r="O4418" t="n">
        <v>0</v>
      </c>
      <c r="P4418" t="n">
        <v>0</v>
      </c>
      <c r="Q4418" t="n">
        <v>0</v>
      </c>
      <c r="R4418" s="2" t="inlineStr"/>
    </row>
    <row r="4419" ht="15" customHeight="1">
      <c r="A4419" t="inlineStr">
        <is>
          <t>A 19445-2021</t>
        </is>
      </c>
      <c r="B4419" s="1" t="n">
        <v>44310</v>
      </c>
      <c r="C4419" s="1" t="n">
        <v>45884</v>
      </c>
      <c r="D4419" t="inlineStr">
        <is>
          <t>KALMAR LÄN</t>
        </is>
      </c>
      <c r="E4419" t="inlineStr">
        <is>
          <t>VIMMERBY</t>
        </is>
      </c>
      <c r="G4419" t="n">
        <v>6.8</v>
      </c>
      <c r="H4419" t="n">
        <v>0</v>
      </c>
      <c r="I4419" t="n">
        <v>0</v>
      </c>
      <c r="J4419" t="n">
        <v>0</v>
      </c>
      <c r="K4419" t="n">
        <v>0</v>
      </c>
      <c r="L4419" t="n">
        <v>0</v>
      </c>
      <c r="M4419" t="n">
        <v>0</v>
      </c>
      <c r="N4419" t="n">
        <v>0</v>
      </c>
      <c r="O4419" t="n">
        <v>0</v>
      </c>
      <c r="P4419" t="n">
        <v>0</v>
      </c>
      <c r="Q4419" t="n">
        <v>0</v>
      </c>
      <c r="R4419" s="2" t="inlineStr"/>
    </row>
    <row r="4420" ht="15" customHeight="1">
      <c r="A4420" t="inlineStr">
        <is>
          <t>A 47124-2023</t>
        </is>
      </c>
      <c r="B4420" s="1" t="n">
        <v>45201</v>
      </c>
      <c r="C4420" s="1" t="n">
        <v>45884</v>
      </c>
      <c r="D4420" t="inlineStr">
        <is>
          <t>KALMAR LÄN</t>
        </is>
      </c>
      <c r="E4420" t="inlineStr">
        <is>
          <t>VÄSTERVIK</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11141-2024</t>
        </is>
      </c>
      <c r="B4421" s="1" t="n">
        <v>45371.45865740741</v>
      </c>
      <c r="C4421" s="1" t="n">
        <v>45884</v>
      </c>
      <c r="D4421" t="inlineStr">
        <is>
          <t>KALMAR LÄN</t>
        </is>
      </c>
      <c r="E4421" t="inlineStr">
        <is>
          <t>VIMMERBY</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27122-2023</t>
        </is>
      </c>
      <c r="B4422" s="1" t="n">
        <v>45096.45247685185</v>
      </c>
      <c r="C4422" s="1" t="n">
        <v>45884</v>
      </c>
      <c r="D4422" t="inlineStr">
        <is>
          <t>KALMAR LÄN</t>
        </is>
      </c>
      <c r="E4422" t="inlineStr">
        <is>
          <t>VIMMERBY</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28395-2023</t>
        </is>
      </c>
      <c r="B4423" s="1" t="n">
        <v>45100.4062962963</v>
      </c>
      <c r="C4423" s="1" t="n">
        <v>45884</v>
      </c>
      <c r="D4423" t="inlineStr">
        <is>
          <t>KALMAR LÄN</t>
        </is>
      </c>
      <c r="E4423" t="inlineStr">
        <is>
          <t>VIMMERBY</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28479-2023</t>
        </is>
      </c>
      <c r="B4424" s="1" t="n">
        <v>45103.42912037037</v>
      </c>
      <c r="C4424" s="1" t="n">
        <v>45884</v>
      </c>
      <c r="D4424" t="inlineStr">
        <is>
          <t>KALMAR LÄN</t>
        </is>
      </c>
      <c r="E4424" t="inlineStr">
        <is>
          <t>NYBRO</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28503-2023</t>
        </is>
      </c>
      <c r="B4425" s="1" t="n">
        <v>45103.4578125</v>
      </c>
      <c r="C4425" s="1" t="n">
        <v>45884</v>
      </c>
      <c r="D4425" t="inlineStr">
        <is>
          <t>KALMAR LÄN</t>
        </is>
      </c>
      <c r="E4425" t="inlineStr">
        <is>
          <t>NYBRO</t>
        </is>
      </c>
      <c r="G4425" t="n">
        <v>2.2</v>
      </c>
      <c r="H4425" t="n">
        <v>0</v>
      </c>
      <c r="I4425" t="n">
        <v>0</v>
      </c>
      <c r="J4425" t="n">
        <v>0</v>
      </c>
      <c r="K4425" t="n">
        <v>0</v>
      </c>
      <c r="L4425" t="n">
        <v>0</v>
      </c>
      <c r="M4425" t="n">
        <v>0</v>
      </c>
      <c r="N4425" t="n">
        <v>0</v>
      </c>
      <c r="O4425" t="n">
        <v>0</v>
      </c>
      <c r="P4425" t="n">
        <v>0</v>
      </c>
      <c r="Q4425" t="n">
        <v>0</v>
      </c>
      <c r="R4425" s="2" t="inlineStr"/>
    </row>
    <row r="4426" ht="15" customHeight="1">
      <c r="A4426" t="inlineStr">
        <is>
          <t>A 34623-2022</t>
        </is>
      </c>
      <c r="B4426" s="1" t="n">
        <v>44795</v>
      </c>
      <c r="C4426" s="1" t="n">
        <v>45884</v>
      </c>
      <c r="D4426" t="inlineStr">
        <is>
          <t>KALMAR LÄN</t>
        </is>
      </c>
      <c r="E4426" t="inlineStr">
        <is>
          <t>TORSÅS</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13074-2025</t>
        </is>
      </c>
      <c r="B4427" s="1" t="n">
        <v>45734.61841435185</v>
      </c>
      <c r="C4427" s="1" t="n">
        <v>45884</v>
      </c>
      <c r="D4427" t="inlineStr">
        <is>
          <t>KALMAR LÄN</t>
        </is>
      </c>
      <c r="E4427" t="inlineStr">
        <is>
          <t>TORSÅS</t>
        </is>
      </c>
      <c r="G4427" t="n">
        <v>9</v>
      </c>
      <c r="H4427" t="n">
        <v>0</v>
      </c>
      <c r="I4427" t="n">
        <v>0</v>
      </c>
      <c r="J4427" t="n">
        <v>0</v>
      </c>
      <c r="K4427" t="n">
        <v>0</v>
      </c>
      <c r="L4427" t="n">
        <v>0</v>
      </c>
      <c r="M4427" t="n">
        <v>0</v>
      </c>
      <c r="N4427" t="n">
        <v>0</v>
      </c>
      <c r="O4427" t="n">
        <v>0</v>
      </c>
      <c r="P4427" t="n">
        <v>0</v>
      </c>
      <c r="Q4427" t="n">
        <v>0</v>
      </c>
      <c r="R4427" s="2" t="inlineStr"/>
    </row>
    <row r="4428" ht="15" customHeight="1">
      <c r="A4428" t="inlineStr">
        <is>
          <t>A 62649-2023</t>
        </is>
      </c>
      <c r="B4428" s="1" t="n">
        <v>45271.43061342592</v>
      </c>
      <c r="C4428" s="1" t="n">
        <v>45884</v>
      </c>
      <c r="D4428" t="inlineStr">
        <is>
          <t>KALMAR LÄN</t>
        </is>
      </c>
      <c r="E4428" t="inlineStr">
        <is>
          <t>TORSÅS</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35154-2024</t>
        </is>
      </c>
      <c r="B4429" s="1" t="n">
        <v>45530.38103009259</v>
      </c>
      <c r="C4429" s="1" t="n">
        <v>45884</v>
      </c>
      <c r="D4429" t="inlineStr">
        <is>
          <t>KALMAR LÄN</t>
        </is>
      </c>
      <c r="E4429" t="inlineStr">
        <is>
          <t>OSKARSHAMN</t>
        </is>
      </c>
      <c r="F4429" t="inlineStr">
        <is>
          <t>Sveaskog</t>
        </is>
      </c>
      <c r="G4429" t="n">
        <v>3.7</v>
      </c>
      <c r="H4429" t="n">
        <v>0</v>
      </c>
      <c r="I4429" t="n">
        <v>0</v>
      </c>
      <c r="J4429" t="n">
        <v>0</v>
      </c>
      <c r="K4429" t="n">
        <v>0</v>
      </c>
      <c r="L4429" t="n">
        <v>0</v>
      </c>
      <c r="M4429" t="n">
        <v>0</v>
      </c>
      <c r="N4429" t="n">
        <v>0</v>
      </c>
      <c r="O4429" t="n">
        <v>0</v>
      </c>
      <c r="P4429" t="n">
        <v>0</v>
      </c>
      <c r="Q4429" t="n">
        <v>0</v>
      </c>
      <c r="R4429" s="2" t="inlineStr"/>
    </row>
    <row r="4430" ht="15" customHeight="1">
      <c r="A4430" t="inlineStr">
        <is>
          <t>A 27827-2023</t>
        </is>
      </c>
      <c r="B4430" s="1" t="n">
        <v>45098.52928240741</v>
      </c>
      <c r="C4430" s="1" t="n">
        <v>45884</v>
      </c>
      <c r="D4430" t="inlineStr">
        <is>
          <t>KALMAR LÄN</t>
        </is>
      </c>
      <c r="E4430" t="inlineStr">
        <is>
          <t>OSKARSHAMN</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13163-2025</t>
        </is>
      </c>
      <c r="B4431" s="1" t="n">
        <v>45735.36414351852</v>
      </c>
      <c r="C4431" s="1" t="n">
        <v>45884</v>
      </c>
      <c r="D4431" t="inlineStr">
        <is>
          <t>KALMAR LÄN</t>
        </is>
      </c>
      <c r="E4431" t="inlineStr">
        <is>
          <t>OSKARSHAMN</t>
        </is>
      </c>
      <c r="G4431" t="n">
        <v>3.6</v>
      </c>
      <c r="H4431" t="n">
        <v>0</v>
      </c>
      <c r="I4431" t="n">
        <v>0</v>
      </c>
      <c r="J4431" t="n">
        <v>0</v>
      </c>
      <c r="K4431" t="n">
        <v>0</v>
      </c>
      <c r="L4431" t="n">
        <v>0</v>
      </c>
      <c r="M4431" t="n">
        <v>0</v>
      </c>
      <c r="N4431" t="n">
        <v>0</v>
      </c>
      <c r="O4431" t="n">
        <v>0</v>
      </c>
      <c r="P4431" t="n">
        <v>0</v>
      </c>
      <c r="Q4431" t="n">
        <v>0</v>
      </c>
      <c r="R4431" s="2" t="inlineStr"/>
    </row>
    <row r="4432" ht="15" customHeight="1">
      <c r="A4432" t="inlineStr">
        <is>
          <t>A 27830-2023</t>
        </is>
      </c>
      <c r="B4432" s="1" t="n">
        <v>45093</v>
      </c>
      <c r="C4432" s="1" t="n">
        <v>45884</v>
      </c>
      <c r="D4432" t="inlineStr">
        <is>
          <t>KALMAR LÄN</t>
        </is>
      </c>
      <c r="E4432" t="inlineStr">
        <is>
          <t>HÖGSBY</t>
        </is>
      </c>
      <c r="G4432" t="n">
        <v>4.4</v>
      </c>
      <c r="H4432" t="n">
        <v>0</v>
      </c>
      <c r="I4432" t="n">
        <v>0</v>
      </c>
      <c r="J4432" t="n">
        <v>0</v>
      </c>
      <c r="K4432" t="n">
        <v>0</v>
      </c>
      <c r="L4432" t="n">
        <v>0</v>
      </c>
      <c r="M4432" t="n">
        <v>0</v>
      </c>
      <c r="N4432" t="n">
        <v>0</v>
      </c>
      <c r="O4432" t="n">
        <v>0</v>
      </c>
      <c r="P4432" t="n">
        <v>0</v>
      </c>
      <c r="Q4432" t="n">
        <v>0</v>
      </c>
      <c r="R4432" s="2" t="inlineStr"/>
    </row>
    <row r="4433" ht="15" customHeight="1">
      <c r="A4433" t="inlineStr">
        <is>
          <t>A 11621-2024</t>
        </is>
      </c>
      <c r="B4433" s="1" t="n">
        <v>45373.43667824074</v>
      </c>
      <c r="C4433" s="1" t="n">
        <v>45884</v>
      </c>
      <c r="D4433" t="inlineStr">
        <is>
          <t>KALMAR LÄN</t>
        </is>
      </c>
      <c r="E4433" t="inlineStr">
        <is>
          <t>NYBRO</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35162-2024</t>
        </is>
      </c>
      <c r="B4434" s="1" t="n">
        <v>45530.40025462963</v>
      </c>
      <c r="C4434" s="1" t="n">
        <v>45884</v>
      </c>
      <c r="D4434" t="inlineStr">
        <is>
          <t>KALMAR LÄN</t>
        </is>
      </c>
      <c r="E4434" t="inlineStr">
        <is>
          <t>VÄSTERVIK</t>
        </is>
      </c>
      <c r="F4434" t="inlineStr">
        <is>
          <t>Sveaskog</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49129-2023</t>
        </is>
      </c>
      <c r="B4435" s="1" t="n">
        <v>45210</v>
      </c>
      <c r="C4435" s="1" t="n">
        <v>45884</v>
      </c>
      <c r="D4435" t="inlineStr">
        <is>
          <t>KALMAR LÄN</t>
        </is>
      </c>
      <c r="E4435" t="inlineStr">
        <is>
          <t>TORSÅS</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18055-2024</t>
        </is>
      </c>
      <c r="B4436" s="1" t="n">
        <v>45420.39489583333</v>
      </c>
      <c r="C4436" s="1" t="n">
        <v>45884</v>
      </c>
      <c r="D4436" t="inlineStr">
        <is>
          <t>KALMAR LÄN</t>
        </is>
      </c>
      <c r="E4436" t="inlineStr">
        <is>
          <t>HULTSFRED</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24941-2023</t>
        </is>
      </c>
      <c r="B4437" s="1" t="n">
        <v>45085.55108796297</v>
      </c>
      <c r="C4437" s="1" t="n">
        <v>45884</v>
      </c>
      <c r="D4437" t="inlineStr">
        <is>
          <t>KALMAR LÄN</t>
        </is>
      </c>
      <c r="E4437" t="inlineStr">
        <is>
          <t>NYBRO</t>
        </is>
      </c>
      <c r="G4437" t="n">
        <v>6</v>
      </c>
      <c r="H4437" t="n">
        <v>0</v>
      </c>
      <c r="I4437" t="n">
        <v>0</v>
      </c>
      <c r="J4437" t="n">
        <v>0</v>
      </c>
      <c r="K4437" t="n">
        <v>0</v>
      </c>
      <c r="L4437" t="n">
        <v>0</v>
      </c>
      <c r="M4437" t="n">
        <v>0</v>
      </c>
      <c r="N4437" t="n">
        <v>0</v>
      </c>
      <c r="O4437" t="n">
        <v>0</v>
      </c>
      <c r="P4437" t="n">
        <v>0</v>
      </c>
      <c r="Q4437" t="n">
        <v>0</v>
      </c>
      <c r="R4437" s="2" t="inlineStr"/>
    </row>
    <row r="4438" ht="15" customHeight="1">
      <c r="A4438" t="inlineStr">
        <is>
          <t>A 7336-2025</t>
        </is>
      </c>
      <c r="B4438" s="1" t="n">
        <v>45703.40883101852</v>
      </c>
      <c r="C4438" s="1" t="n">
        <v>45884</v>
      </c>
      <c r="D4438" t="inlineStr">
        <is>
          <t>KALMAR LÄN</t>
        </is>
      </c>
      <c r="E4438" t="inlineStr">
        <is>
          <t>HULTSFRED</t>
        </is>
      </c>
      <c r="F4438" t="inlineStr">
        <is>
          <t>Sveaskog</t>
        </is>
      </c>
      <c r="G4438" t="n">
        <v>2.6</v>
      </c>
      <c r="H4438" t="n">
        <v>0</v>
      </c>
      <c r="I4438" t="n">
        <v>0</v>
      </c>
      <c r="J4438" t="n">
        <v>0</v>
      </c>
      <c r="K4438" t="n">
        <v>0</v>
      </c>
      <c r="L4438" t="n">
        <v>0</v>
      </c>
      <c r="M4438" t="n">
        <v>0</v>
      </c>
      <c r="N4438" t="n">
        <v>0</v>
      </c>
      <c r="O4438" t="n">
        <v>0</v>
      </c>
      <c r="P4438" t="n">
        <v>0</v>
      </c>
      <c r="Q4438" t="n">
        <v>0</v>
      </c>
      <c r="R4438" s="2" t="inlineStr"/>
    </row>
    <row r="4439" ht="15" customHeight="1">
      <c r="A4439" t="inlineStr">
        <is>
          <t>A 62322-2023</t>
        </is>
      </c>
      <c r="B4439" s="1" t="n">
        <v>45267.81348379629</v>
      </c>
      <c r="C4439" s="1" t="n">
        <v>45884</v>
      </c>
      <c r="D4439" t="inlineStr">
        <is>
          <t>KALMAR LÄN</t>
        </is>
      </c>
      <c r="E4439" t="inlineStr">
        <is>
          <t>OSKARSHAMN</t>
        </is>
      </c>
      <c r="F4439" t="inlineStr">
        <is>
          <t>Sveaskog</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62325-2023</t>
        </is>
      </c>
      <c r="B4440" s="1" t="n">
        <v>45267</v>
      </c>
      <c r="C4440" s="1" t="n">
        <v>45884</v>
      </c>
      <c r="D4440" t="inlineStr">
        <is>
          <t>KALMAR LÄN</t>
        </is>
      </c>
      <c r="E4440" t="inlineStr">
        <is>
          <t>OSKARSHAMN</t>
        </is>
      </c>
      <c r="F4440" t="inlineStr">
        <is>
          <t>Sveaskog</t>
        </is>
      </c>
      <c r="G4440" t="n">
        <v>5.9</v>
      </c>
      <c r="H4440" t="n">
        <v>0</v>
      </c>
      <c r="I4440" t="n">
        <v>0</v>
      </c>
      <c r="J4440" t="n">
        <v>0</v>
      </c>
      <c r="K4440" t="n">
        <v>0</v>
      </c>
      <c r="L4440" t="n">
        <v>0</v>
      </c>
      <c r="M4440" t="n">
        <v>0</v>
      </c>
      <c r="N4440" t="n">
        <v>0</v>
      </c>
      <c r="O4440" t="n">
        <v>0</v>
      </c>
      <c r="P4440" t="n">
        <v>0</v>
      </c>
      <c r="Q4440" t="n">
        <v>0</v>
      </c>
      <c r="R4440" s="2" t="inlineStr"/>
    </row>
    <row r="4441" ht="15" customHeight="1">
      <c r="A4441" t="inlineStr">
        <is>
          <t>A 15897-2024</t>
        </is>
      </c>
      <c r="B4441" s="1" t="n">
        <v>45405.40068287037</v>
      </c>
      <c r="C4441" s="1" t="n">
        <v>45884</v>
      </c>
      <c r="D4441" t="inlineStr">
        <is>
          <t>KALMAR LÄN</t>
        </is>
      </c>
      <c r="E4441" t="inlineStr">
        <is>
          <t>MÖNSTERÅS</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4024-2024</t>
        </is>
      </c>
      <c r="B4442" s="1" t="n">
        <v>45323.39561342593</v>
      </c>
      <c r="C4442" s="1" t="n">
        <v>45884</v>
      </c>
      <c r="D4442" t="inlineStr">
        <is>
          <t>KALMAR LÄN</t>
        </is>
      </c>
      <c r="E4442" t="inlineStr">
        <is>
          <t>EMMABODA</t>
        </is>
      </c>
      <c r="G4442" t="n">
        <v>3.3</v>
      </c>
      <c r="H4442" t="n">
        <v>0</v>
      </c>
      <c r="I4442" t="n">
        <v>0</v>
      </c>
      <c r="J4442" t="n">
        <v>0</v>
      </c>
      <c r="K4442" t="n">
        <v>0</v>
      </c>
      <c r="L4442" t="n">
        <v>0</v>
      </c>
      <c r="M4442" t="n">
        <v>0</v>
      </c>
      <c r="N4442" t="n">
        <v>0</v>
      </c>
      <c r="O4442" t="n">
        <v>0</v>
      </c>
      <c r="P4442" t="n">
        <v>0</v>
      </c>
      <c r="Q4442" t="n">
        <v>0</v>
      </c>
      <c r="R4442" s="2" t="inlineStr"/>
    </row>
    <row r="4443" ht="15" customHeight="1">
      <c r="A4443" t="inlineStr">
        <is>
          <t>A 47149-2022</t>
        </is>
      </c>
      <c r="B4443" s="1" t="n">
        <v>44852.57822916667</v>
      </c>
      <c r="C4443" s="1" t="n">
        <v>45884</v>
      </c>
      <c r="D4443" t="inlineStr">
        <is>
          <t>KALMAR LÄN</t>
        </is>
      </c>
      <c r="E4443" t="inlineStr">
        <is>
          <t>EMMABODA</t>
        </is>
      </c>
      <c r="G4443" t="n">
        <v>3.4</v>
      </c>
      <c r="H4443" t="n">
        <v>0</v>
      </c>
      <c r="I4443" t="n">
        <v>0</v>
      </c>
      <c r="J4443" t="n">
        <v>0</v>
      </c>
      <c r="K4443" t="n">
        <v>0</v>
      </c>
      <c r="L4443" t="n">
        <v>0</v>
      </c>
      <c r="M4443" t="n">
        <v>0</v>
      </c>
      <c r="N4443" t="n">
        <v>0</v>
      </c>
      <c r="O4443" t="n">
        <v>0</v>
      </c>
      <c r="P4443" t="n">
        <v>0</v>
      </c>
      <c r="Q4443" t="n">
        <v>0</v>
      </c>
      <c r="R4443" s="2" t="inlineStr"/>
    </row>
    <row r="4444" ht="15" customHeight="1">
      <c r="A4444" t="inlineStr">
        <is>
          <t>A 13778-2024</t>
        </is>
      </c>
      <c r="B4444" s="1" t="n">
        <v>45391.32674768518</v>
      </c>
      <c r="C4444" s="1" t="n">
        <v>45884</v>
      </c>
      <c r="D4444" t="inlineStr">
        <is>
          <t>KALMAR LÄN</t>
        </is>
      </c>
      <c r="E4444" t="inlineStr">
        <is>
          <t>OSKARSHAMN</t>
        </is>
      </c>
      <c r="G4444" t="n">
        <v>0.4</v>
      </c>
      <c r="H4444" t="n">
        <v>0</v>
      </c>
      <c r="I4444" t="n">
        <v>0</v>
      </c>
      <c r="J4444" t="n">
        <v>0</v>
      </c>
      <c r="K4444" t="n">
        <v>0</v>
      </c>
      <c r="L4444" t="n">
        <v>0</v>
      </c>
      <c r="M4444" t="n">
        <v>0</v>
      </c>
      <c r="N4444" t="n">
        <v>0</v>
      </c>
      <c r="O4444" t="n">
        <v>0</v>
      </c>
      <c r="P4444" t="n">
        <v>0</v>
      </c>
      <c r="Q4444" t="n">
        <v>0</v>
      </c>
      <c r="R4444" s="2" t="inlineStr"/>
    </row>
    <row r="4445" ht="15" customHeight="1">
      <c r="A4445" t="inlineStr">
        <is>
          <t>A 14811-2025</t>
        </is>
      </c>
      <c r="B4445" s="1" t="n">
        <v>45743.33715277778</v>
      </c>
      <c r="C4445" s="1" t="n">
        <v>45884</v>
      </c>
      <c r="D4445" t="inlineStr">
        <is>
          <t>KALMAR LÄN</t>
        </is>
      </c>
      <c r="E4445" t="inlineStr">
        <is>
          <t>VÄSTERVIK</t>
        </is>
      </c>
      <c r="G4445" t="n">
        <v>3.1</v>
      </c>
      <c r="H4445" t="n">
        <v>0</v>
      </c>
      <c r="I4445" t="n">
        <v>0</v>
      </c>
      <c r="J4445" t="n">
        <v>0</v>
      </c>
      <c r="K4445" t="n">
        <v>0</v>
      </c>
      <c r="L4445" t="n">
        <v>0</v>
      </c>
      <c r="M4445" t="n">
        <v>0</v>
      </c>
      <c r="N4445" t="n">
        <v>0</v>
      </c>
      <c r="O4445" t="n">
        <v>0</v>
      </c>
      <c r="P4445" t="n">
        <v>0</v>
      </c>
      <c r="Q4445" t="n">
        <v>0</v>
      </c>
      <c r="R4445" s="2" t="inlineStr"/>
    </row>
    <row r="4446" ht="15" customHeight="1">
      <c r="A4446" t="inlineStr">
        <is>
          <t>A 7423-2025</t>
        </is>
      </c>
      <c r="B4446" s="1" t="n">
        <v>45705.37840277778</v>
      </c>
      <c r="C4446" s="1" t="n">
        <v>45884</v>
      </c>
      <c r="D4446" t="inlineStr">
        <is>
          <t>KALMAR LÄN</t>
        </is>
      </c>
      <c r="E4446" t="inlineStr">
        <is>
          <t>NYBRO</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13813-2024</t>
        </is>
      </c>
      <c r="B4447" s="1" t="n">
        <v>45391.41310185185</v>
      </c>
      <c r="C4447" s="1" t="n">
        <v>45884</v>
      </c>
      <c r="D4447" t="inlineStr">
        <is>
          <t>KALMAR LÄN</t>
        </is>
      </c>
      <c r="E4447" t="inlineStr">
        <is>
          <t>VIMMERBY</t>
        </is>
      </c>
      <c r="G4447" t="n">
        <v>0.4</v>
      </c>
      <c r="H4447" t="n">
        <v>0</v>
      </c>
      <c r="I4447" t="n">
        <v>0</v>
      </c>
      <c r="J4447" t="n">
        <v>0</v>
      </c>
      <c r="K4447" t="n">
        <v>0</v>
      </c>
      <c r="L4447" t="n">
        <v>0</v>
      </c>
      <c r="M4447" t="n">
        <v>0</v>
      </c>
      <c r="N4447" t="n">
        <v>0</v>
      </c>
      <c r="O4447" t="n">
        <v>0</v>
      </c>
      <c r="P4447" t="n">
        <v>0</v>
      </c>
      <c r="Q4447" t="n">
        <v>0</v>
      </c>
      <c r="R4447" s="2" t="inlineStr"/>
    </row>
    <row r="4448" ht="15" customHeight="1">
      <c r="A4448" t="inlineStr">
        <is>
          <t>A 34597-2022</t>
        </is>
      </c>
      <c r="B4448" s="1" t="n">
        <v>44795</v>
      </c>
      <c r="C4448" s="1" t="n">
        <v>45884</v>
      </c>
      <c r="D4448" t="inlineStr">
        <is>
          <t>KALMAR LÄN</t>
        </is>
      </c>
      <c r="E4448" t="inlineStr">
        <is>
          <t>VIMMERBY</t>
        </is>
      </c>
      <c r="G4448" t="n">
        <v>2.2</v>
      </c>
      <c r="H4448" t="n">
        <v>0</v>
      </c>
      <c r="I4448" t="n">
        <v>0</v>
      </c>
      <c r="J4448" t="n">
        <v>0</v>
      </c>
      <c r="K4448" t="n">
        <v>0</v>
      </c>
      <c r="L4448" t="n">
        <v>0</v>
      </c>
      <c r="M4448" t="n">
        <v>0</v>
      </c>
      <c r="N4448" t="n">
        <v>0</v>
      </c>
      <c r="O4448" t="n">
        <v>0</v>
      </c>
      <c r="P4448" t="n">
        <v>0</v>
      </c>
      <c r="Q4448" t="n">
        <v>0</v>
      </c>
      <c r="R4448" s="2" t="inlineStr"/>
    </row>
    <row r="4449" ht="15" customHeight="1">
      <c r="A4449" t="inlineStr">
        <is>
          <t>A 34636-2022</t>
        </is>
      </c>
      <c r="B4449" s="1" t="n">
        <v>44795.45020833334</v>
      </c>
      <c r="C4449" s="1" t="n">
        <v>45884</v>
      </c>
      <c r="D4449" t="inlineStr">
        <is>
          <t>KALMAR LÄN</t>
        </is>
      </c>
      <c r="E4449" t="inlineStr">
        <is>
          <t>TORSÅS</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59013-2023</t>
        </is>
      </c>
      <c r="B4450" s="1" t="n">
        <v>45252.65233796297</v>
      </c>
      <c r="C4450" s="1" t="n">
        <v>45884</v>
      </c>
      <c r="D4450" t="inlineStr">
        <is>
          <t>KALMAR LÄN</t>
        </is>
      </c>
      <c r="E4450" t="inlineStr">
        <is>
          <t>OSKARSHAMN</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58679-2022</t>
        </is>
      </c>
      <c r="B4451" s="1" t="n">
        <v>44902.68434027778</v>
      </c>
      <c r="C4451" s="1" t="n">
        <v>45884</v>
      </c>
      <c r="D4451" t="inlineStr">
        <is>
          <t>KALMAR LÄN</t>
        </is>
      </c>
      <c r="E4451" t="inlineStr">
        <is>
          <t>HÖGSBY</t>
        </is>
      </c>
      <c r="G4451" t="n">
        <v>3.8</v>
      </c>
      <c r="H4451" t="n">
        <v>0</v>
      </c>
      <c r="I4451" t="n">
        <v>0</v>
      </c>
      <c r="J4451" t="n">
        <v>0</v>
      </c>
      <c r="K4451" t="n">
        <v>0</v>
      </c>
      <c r="L4451" t="n">
        <v>0</v>
      </c>
      <c r="M4451" t="n">
        <v>0</v>
      </c>
      <c r="N4451" t="n">
        <v>0</v>
      </c>
      <c r="O4451" t="n">
        <v>0</v>
      </c>
      <c r="P4451" t="n">
        <v>0</v>
      </c>
      <c r="Q4451" t="n">
        <v>0</v>
      </c>
      <c r="R4451" s="2" t="inlineStr"/>
    </row>
    <row r="4452" ht="15" customHeight="1">
      <c r="A4452" t="inlineStr">
        <is>
          <t>A 58680-2022</t>
        </is>
      </c>
      <c r="B4452" s="1" t="n">
        <v>44902.68466435185</v>
      </c>
      <c r="C4452" s="1" t="n">
        <v>45884</v>
      </c>
      <c r="D4452" t="inlineStr">
        <is>
          <t>KALMAR LÄN</t>
        </is>
      </c>
      <c r="E4452" t="inlineStr">
        <is>
          <t>TORSÅS</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35046-2023</t>
        </is>
      </c>
      <c r="B4453" s="1" t="n">
        <v>45145.38140046296</v>
      </c>
      <c r="C4453" s="1" t="n">
        <v>45884</v>
      </c>
      <c r="D4453" t="inlineStr">
        <is>
          <t>KALMAR LÄN</t>
        </is>
      </c>
      <c r="E4453" t="inlineStr">
        <is>
          <t>TORSÅS</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38969-2023</t>
        </is>
      </c>
      <c r="B4454" s="1" t="n">
        <v>45163.63621527778</v>
      </c>
      <c r="C4454" s="1" t="n">
        <v>45884</v>
      </c>
      <c r="D4454" t="inlineStr">
        <is>
          <t>KALMAR LÄN</t>
        </is>
      </c>
      <c r="E4454" t="inlineStr">
        <is>
          <t>VIMMERBY</t>
        </is>
      </c>
      <c r="F4454" t="inlineStr">
        <is>
          <t>Sveaskog</t>
        </is>
      </c>
      <c r="G4454" t="n">
        <v>2.4</v>
      </c>
      <c r="H4454" t="n">
        <v>0</v>
      </c>
      <c r="I4454" t="n">
        <v>0</v>
      </c>
      <c r="J4454" t="n">
        <v>0</v>
      </c>
      <c r="K4454" t="n">
        <v>0</v>
      </c>
      <c r="L4454" t="n">
        <v>0</v>
      </c>
      <c r="M4454" t="n">
        <v>0</v>
      </c>
      <c r="N4454" t="n">
        <v>0</v>
      </c>
      <c r="O4454" t="n">
        <v>0</v>
      </c>
      <c r="P4454" t="n">
        <v>0</v>
      </c>
      <c r="Q4454" t="n">
        <v>0</v>
      </c>
      <c r="R4454" s="2" t="inlineStr"/>
    </row>
    <row r="4455" ht="15" customHeight="1">
      <c r="A4455" t="inlineStr">
        <is>
          <t>A 10966-2023</t>
        </is>
      </c>
      <c r="B4455" s="1" t="n">
        <v>44991.57855324074</v>
      </c>
      <c r="C4455" s="1" t="n">
        <v>45884</v>
      </c>
      <c r="D4455" t="inlineStr">
        <is>
          <t>KALMAR LÄN</t>
        </is>
      </c>
      <c r="E4455" t="inlineStr">
        <is>
          <t>HULTSFRED</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11988-2022</t>
        </is>
      </c>
      <c r="B4456" s="1" t="n">
        <v>44635.68771990741</v>
      </c>
      <c r="C4456" s="1" t="n">
        <v>45884</v>
      </c>
      <c r="D4456" t="inlineStr">
        <is>
          <t>KALMAR LÄN</t>
        </is>
      </c>
      <c r="E4456" t="inlineStr">
        <is>
          <t>VÄSTERVIK</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58971-2023</t>
        </is>
      </c>
      <c r="B4457" s="1" t="n">
        <v>45252.61453703704</v>
      </c>
      <c r="C4457" s="1" t="n">
        <v>45884</v>
      </c>
      <c r="D4457" t="inlineStr">
        <is>
          <t>KALMAR LÄN</t>
        </is>
      </c>
      <c r="E4457" t="inlineStr">
        <is>
          <t>KALMAR</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9044-2025</t>
        </is>
      </c>
      <c r="B4458" s="1" t="n">
        <v>45713.6275</v>
      </c>
      <c r="C4458" s="1" t="n">
        <v>45884</v>
      </c>
      <c r="D4458" t="inlineStr">
        <is>
          <t>KALMAR LÄN</t>
        </is>
      </c>
      <c r="E4458" t="inlineStr">
        <is>
          <t>BORGHOLM</t>
        </is>
      </c>
      <c r="F4458" t="inlineStr">
        <is>
          <t>Sveaskog</t>
        </is>
      </c>
      <c r="G4458" t="n">
        <v>4</v>
      </c>
      <c r="H4458" t="n">
        <v>0</v>
      </c>
      <c r="I4458" t="n">
        <v>0</v>
      </c>
      <c r="J4458" t="n">
        <v>0</v>
      </c>
      <c r="K4458" t="n">
        <v>0</v>
      </c>
      <c r="L4458" t="n">
        <v>0</v>
      </c>
      <c r="M4458" t="n">
        <v>0</v>
      </c>
      <c r="N4458" t="n">
        <v>0</v>
      </c>
      <c r="O4458" t="n">
        <v>0</v>
      </c>
      <c r="P4458" t="n">
        <v>0</v>
      </c>
      <c r="Q4458" t="n">
        <v>0</v>
      </c>
      <c r="R4458" s="2" t="inlineStr"/>
    </row>
    <row r="4459" ht="15" customHeight="1">
      <c r="A4459" t="inlineStr">
        <is>
          <t>A 52897-2024</t>
        </is>
      </c>
      <c r="B4459" s="1" t="n">
        <v>45610.67653935185</v>
      </c>
      <c r="C4459" s="1" t="n">
        <v>45884</v>
      </c>
      <c r="D4459" t="inlineStr">
        <is>
          <t>KALMAR LÄN</t>
        </is>
      </c>
      <c r="E4459" t="inlineStr">
        <is>
          <t>HULTSFRED</t>
        </is>
      </c>
      <c r="G4459" t="n">
        <v>2.4</v>
      </c>
      <c r="H4459" t="n">
        <v>0</v>
      </c>
      <c r="I4459" t="n">
        <v>0</v>
      </c>
      <c r="J4459" t="n">
        <v>0</v>
      </c>
      <c r="K4459" t="n">
        <v>0</v>
      </c>
      <c r="L4459" t="n">
        <v>0</v>
      </c>
      <c r="M4459" t="n">
        <v>0</v>
      </c>
      <c r="N4459" t="n">
        <v>0</v>
      </c>
      <c r="O4459" t="n">
        <v>0</v>
      </c>
      <c r="P4459" t="n">
        <v>0</v>
      </c>
      <c r="Q4459" t="n">
        <v>0</v>
      </c>
      <c r="R4459" s="2" t="inlineStr"/>
    </row>
    <row r="4460" ht="15" customHeight="1">
      <c r="A4460" t="inlineStr">
        <is>
          <t>A 24257-2022</t>
        </is>
      </c>
      <c r="B4460" s="1" t="n">
        <v>44725</v>
      </c>
      <c r="C4460" s="1" t="n">
        <v>45884</v>
      </c>
      <c r="D4460" t="inlineStr">
        <is>
          <t>KALMAR LÄN</t>
        </is>
      </c>
      <c r="E4460" t="inlineStr">
        <is>
          <t>HULTSFRED</t>
        </is>
      </c>
      <c r="G4460" t="n">
        <v>2.3</v>
      </c>
      <c r="H4460" t="n">
        <v>0</v>
      </c>
      <c r="I4460" t="n">
        <v>0</v>
      </c>
      <c r="J4460" t="n">
        <v>0</v>
      </c>
      <c r="K4460" t="n">
        <v>0</v>
      </c>
      <c r="L4460" t="n">
        <v>0</v>
      </c>
      <c r="M4460" t="n">
        <v>0</v>
      </c>
      <c r="N4460" t="n">
        <v>0</v>
      </c>
      <c r="O4460" t="n">
        <v>0</v>
      </c>
      <c r="P4460" t="n">
        <v>0</v>
      </c>
      <c r="Q4460" t="n">
        <v>0</v>
      </c>
      <c r="R4460" s="2" t="inlineStr"/>
    </row>
    <row r="4461" ht="15" customHeight="1">
      <c r="A4461" t="inlineStr">
        <is>
          <t>A 16786-2021</t>
        </is>
      </c>
      <c r="B4461" s="1" t="n">
        <v>44295.30354166667</v>
      </c>
      <c r="C4461" s="1" t="n">
        <v>45884</v>
      </c>
      <c r="D4461" t="inlineStr">
        <is>
          <t>KALMAR LÄN</t>
        </is>
      </c>
      <c r="E4461" t="inlineStr">
        <is>
          <t>TORSÅS</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23459-2023</t>
        </is>
      </c>
      <c r="B4462" s="1" t="n">
        <v>45072</v>
      </c>
      <c r="C4462" s="1" t="n">
        <v>45884</v>
      </c>
      <c r="D4462" t="inlineStr">
        <is>
          <t>KALMAR LÄN</t>
        </is>
      </c>
      <c r="E4462" t="inlineStr">
        <is>
          <t>EMMABODA</t>
        </is>
      </c>
      <c r="G4462" t="n">
        <v>4.6</v>
      </c>
      <c r="H4462" t="n">
        <v>0</v>
      </c>
      <c r="I4462" t="n">
        <v>0</v>
      </c>
      <c r="J4462" t="n">
        <v>0</v>
      </c>
      <c r="K4462" t="n">
        <v>0</v>
      </c>
      <c r="L4462" t="n">
        <v>0</v>
      </c>
      <c r="M4462" t="n">
        <v>0</v>
      </c>
      <c r="N4462" t="n">
        <v>0</v>
      </c>
      <c r="O4462" t="n">
        <v>0</v>
      </c>
      <c r="P4462" t="n">
        <v>0</v>
      </c>
      <c r="Q4462" t="n">
        <v>0</v>
      </c>
      <c r="R4462" s="2" t="inlineStr"/>
    </row>
    <row r="4463" ht="15" customHeight="1">
      <c r="A4463" t="inlineStr">
        <is>
          <t>A 36009-2023</t>
        </is>
      </c>
      <c r="B4463" s="1" t="n">
        <v>45149.35745370371</v>
      </c>
      <c r="C4463" s="1" t="n">
        <v>45884</v>
      </c>
      <c r="D4463" t="inlineStr">
        <is>
          <t>KALMAR LÄN</t>
        </is>
      </c>
      <c r="E4463" t="inlineStr">
        <is>
          <t>EMMABODA</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12844-2021</t>
        </is>
      </c>
      <c r="B4464" s="1" t="n">
        <v>44271</v>
      </c>
      <c r="C4464" s="1" t="n">
        <v>45884</v>
      </c>
      <c r="D4464" t="inlineStr">
        <is>
          <t>KALMAR LÄN</t>
        </is>
      </c>
      <c r="E4464" t="inlineStr">
        <is>
          <t>KALMAR</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12869-2021</t>
        </is>
      </c>
      <c r="B4465" s="1" t="n">
        <v>44271</v>
      </c>
      <c r="C4465" s="1" t="n">
        <v>45884</v>
      </c>
      <c r="D4465" t="inlineStr">
        <is>
          <t>KALMAR LÄN</t>
        </is>
      </c>
      <c r="E4465" t="inlineStr">
        <is>
          <t>KALMAR</t>
        </is>
      </c>
      <c r="G4465" t="n">
        <v>3.4</v>
      </c>
      <c r="H4465" t="n">
        <v>0</v>
      </c>
      <c r="I4465" t="n">
        <v>0</v>
      </c>
      <c r="J4465" t="n">
        <v>0</v>
      </c>
      <c r="K4465" t="n">
        <v>0</v>
      </c>
      <c r="L4465" t="n">
        <v>0</v>
      </c>
      <c r="M4465" t="n">
        <v>0</v>
      </c>
      <c r="N4465" t="n">
        <v>0</v>
      </c>
      <c r="O4465" t="n">
        <v>0</v>
      </c>
      <c r="P4465" t="n">
        <v>0</v>
      </c>
      <c r="Q4465" t="n">
        <v>0</v>
      </c>
      <c r="R4465" s="2" t="inlineStr"/>
    </row>
    <row r="4466" ht="15" customHeight="1">
      <c r="A4466" t="inlineStr">
        <is>
          <t>A 12567-2024</t>
        </is>
      </c>
      <c r="B4466" s="1" t="n">
        <v>45379.69200231481</v>
      </c>
      <c r="C4466" s="1" t="n">
        <v>45884</v>
      </c>
      <c r="D4466" t="inlineStr">
        <is>
          <t>KALMAR LÄN</t>
        </is>
      </c>
      <c r="E4466" t="inlineStr">
        <is>
          <t>OSKARSHAMN</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28-2022</t>
        </is>
      </c>
      <c r="B4467" s="1" t="n">
        <v>44564.34321759259</v>
      </c>
      <c r="C4467" s="1" t="n">
        <v>45884</v>
      </c>
      <c r="D4467" t="inlineStr">
        <is>
          <t>KALMAR LÄN</t>
        </is>
      </c>
      <c r="E4467" t="inlineStr">
        <is>
          <t>KALMAR</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170-2022</t>
        </is>
      </c>
      <c r="B4468" s="1" t="n">
        <v>44564.62540509259</v>
      </c>
      <c r="C4468" s="1" t="n">
        <v>45884</v>
      </c>
      <c r="D4468" t="inlineStr">
        <is>
          <t>KALMAR LÄN</t>
        </is>
      </c>
      <c r="E4468" t="inlineStr">
        <is>
          <t>VÄSTERVIK</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174-2022</t>
        </is>
      </c>
      <c r="B4469" s="1" t="n">
        <v>44564.62763888889</v>
      </c>
      <c r="C4469" s="1" t="n">
        <v>45884</v>
      </c>
      <c r="D4469" t="inlineStr">
        <is>
          <t>KALMAR LÄN</t>
        </is>
      </c>
      <c r="E4469" t="inlineStr">
        <is>
          <t>VÄSTERVIK</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9587-2025</t>
        </is>
      </c>
      <c r="B4470" s="1" t="n">
        <v>45715.6405787037</v>
      </c>
      <c r="C4470" s="1" t="n">
        <v>45884</v>
      </c>
      <c r="D4470" t="inlineStr">
        <is>
          <t>KALMAR LÄN</t>
        </is>
      </c>
      <c r="E4470" t="inlineStr">
        <is>
          <t>HULTSFRED</t>
        </is>
      </c>
      <c r="F4470" t="inlineStr">
        <is>
          <t>Sveaskog</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22099-2023</t>
        </is>
      </c>
      <c r="B4471" s="1" t="n">
        <v>45069</v>
      </c>
      <c r="C4471" s="1" t="n">
        <v>45884</v>
      </c>
      <c r="D4471" t="inlineStr">
        <is>
          <t>KALMAR LÄN</t>
        </is>
      </c>
      <c r="E4471" t="inlineStr">
        <is>
          <t>EMMABODA</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22117-2023</t>
        </is>
      </c>
      <c r="B4472" s="1" t="n">
        <v>45069</v>
      </c>
      <c r="C4472" s="1" t="n">
        <v>45884</v>
      </c>
      <c r="D4472" t="inlineStr">
        <is>
          <t>KALMAR LÄN</t>
        </is>
      </c>
      <c r="E4472" t="inlineStr">
        <is>
          <t>EMMABODA</t>
        </is>
      </c>
      <c r="G4472" t="n">
        <v>5.2</v>
      </c>
      <c r="H4472" t="n">
        <v>0</v>
      </c>
      <c r="I4472" t="n">
        <v>0</v>
      </c>
      <c r="J4472" t="n">
        <v>0</v>
      </c>
      <c r="K4472" t="n">
        <v>0</v>
      </c>
      <c r="L4472" t="n">
        <v>0</v>
      </c>
      <c r="M4472" t="n">
        <v>0</v>
      </c>
      <c r="N4472" t="n">
        <v>0</v>
      </c>
      <c r="O4472" t="n">
        <v>0</v>
      </c>
      <c r="P4472" t="n">
        <v>0</v>
      </c>
      <c r="Q4472" t="n">
        <v>0</v>
      </c>
      <c r="R4472" s="2" t="inlineStr"/>
    </row>
    <row r="4473" ht="15" customHeight="1">
      <c r="A4473" t="inlineStr">
        <is>
          <t>A 37973-2024</t>
        </is>
      </c>
      <c r="B4473" s="1" t="n">
        <v>45544.57149305556</v>
      </c>
      <c r="C4473" s="1" t="n">
        <v>45884</v>
      </c>
      <c r="D4473" t="inlineStr">
        <is>
          <t>KALMAR LÄN</t>
        </is>
      </c>
      <c r="E4473" t="inlineStr">
        <is>
          <t>KALMAR</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26927-2023</t>
        </is>
      </c>
      <c r="B4474" s="1" t="n">
        <v>45093.62174768518</v>
      </c>
      <c r="C4474" s="1" t="n">
        <v>45884</v>
      </c>
      <c r="D4474" t="inlineStr">
        <is>
          <t>KALMAR LÄN</t>
        </is>
      </c>
      <c r="E4474" t="inlineStr">
        <is>
          <t>HÖGSBY</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26937-2023</t>
        </is>
      </c>
      <c r="B4475" s="1" t="n">
        <v>45093.62777777778</v>
      </c>
      <c r="C4475" s="1" t="n">
        <v>45884</v>
      </c>
      <c r="D4475" t="inlineStr">
        <is>
          <t>KALMAR LÄN</t>
        </is>
      </c>
      <c r="E4475" t="inlineStr">
        <is>
          <t>VIMMERBY</t>
        </is>
      </c>
      <c r="F4475" t="inlineStr">
        <is>
          <t>Sveaskog</t>
        </is>
      </c>
      <c r="G4475" t="n">
        <v>14.5</v>
      </c>
      <c r="H4475" t="n">
        <v>0</v>
      </c>
      <c r="I4475" t="n">
        <v>0</v>
      </c>
      <c r="J4475" t="n">
        <v>0</v>
      </c>
      <c r="K4475" t="n">
        <v>0</v>
      </c>
      <c r="L4475" t="n">
        <v>0</v>
      </c>
      <c r="M4475" t="n">
        <v>0</v>
      </c>
      <c r="N4475" t="n">
        <v>0</v>
      </c>
      <c r="O4475" t="n">
        <v>0</v>
      </c>
      <c r="P4475" t="n">
        <v>0</v>
      </c>
      <c r="Q4475" t="n">
        <v>0</v>
      </c>
      <c r="R4475" s="2" t="inlineStr"/>
    </row>
    <row r="4476" ht="15" customHeight="1">
      <c r="A4476" t="inlineStr">
        <is>
          <t>A 3548-2024</t>
        </is>
      </c>
      <c r="B4476" s="1" t="n">
        <v>45320.60097222222</v>
      </c>
      <c r="C4476" s="1" t="n">
        <v>45884</v>
      </c>
      <c r="D4476" t="inlineStr">
        <is>
          <t>KALMAR LÄN</t>
        </is>
      </c>
      <c r="E4476" t="inlineStr">
        <is>
          <t>HÖGSBY</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57486-2024</t>
        </is>
      </c>
      <c r="B4477" s="1" t="n">
        <v>45630.35827546296</v>
      </c>
      <c r="C4477" s="1" t="n">
        <v>45884</v>
      </c>
      <c r="D4477" t="inlineStr">
        <is>
          <t>KALMAR LÄN</t>
        </is>
      </c>
      <c r="E4477" t="inlineStr">
        <is>
          <t>VIMMERBY</t>
        </is>
      </c>
      <c r="G4477" t="n">
        <v>0.4</v>
      </c>
      <c r="H4477" t="n">
        <v>0</v>
      </c>
      <c r="I4477" t="n">
        <v>0</v>
      </c>
      <c r="J4477" t="n">
        <v>0</v>
      </c>
      <c r="K4477" t="n">
        <v>0</v>
      </c>
      <c r="L4477" t="n">
        <v>0</v>
      </c>
      <c r="M4477" t="n">
        <v>0</v>
      </c>
      <c r="N4477" t="n">
        <v>0</v>
      </c>
      <c r="O4477" t="n">
        <v>0</v>
      </c>
      <c r="P4477" t="n">
        <v>0</v>
      </c>
      <c r="Q4477" t="n">
        <v>0</v>
      </c>
      <c r="R4477" s="2" t="inlineStr"/>
    </row>
    <row r="4478" ht="15" customHeight="1">
      <c r="A4478" t="inlineStr">
        <is>
          <t>A 57489-2024</t>
        </is>
      </c>
      <c r="B4478" s="1" t="n">
        <v>45630.3630787037</v>
      </c>
      <c r="C4478" s="1" t="n">
        <v>45884</v>
      </c>
      <c r="D4478" t="inlineStr">
        <is>
          <t>KALMAR LÄN</t>
        </is>
      </c>
      <c r="E4478" t="inlineStr">
        <is>
          <t>KALMAR</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58439-2023</t>
        </is>
      </c>
      <c r="B4479" s="1" t="n">
        <v>45250.90488425926</v>
      </c>
      <c r="C4479" s="1" t="n">
        <v>45884</v>
      </c>
      <c r="D4479" t="inlineStr">
        <is>
          <t>KALMAR LÄN</t>
        </is>
      </c>
      <c r="E4479" t="inlineStr">
        <is>
          <t>TORSÅS</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15446-2024</t>
        </is>
      </c>
      <c r="B4480" s="1" t="n">
        <v>45401.4321412037</v>
      </c>
      <c r="C4480" s="1" t="n">
        <v>45884</v>
      </c>
      <c r="D4480" t="inlineStr">
        <is>
          <t>KALMAR LÄN</t>
        </is>
      </c>
      <c r="E4480" t="inlineStr">
        <is>
          <t>EMMABODA</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64428-2023</t>
        </is>
      </c>
      <c r="B4481" s="1" t="n">
        <v>45280.66769675926</v>
      </c>
      <c r="C4481" s="1" t="n">
        <v>45884</v>
      </c>
      <c r="D4481" t="inlineStr">
        <is>
          <t>KALMAR LÄN</t>
        </is>
      </c>
      <c r="E4481" t="inlineStr">
        <is>
          <t>VIMMERBY</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30281-2024</t>
        </is>
      </c>
      <c r="B4482" s="1" t="n">
        <v>45490.636875</v>
      </c>
      <c r="C4482" s="1" t="n">
        <v>45884</v>
      </c>
      <c r="D4482" t="inlineStr">
        <is>
          <t>KALMAR LÄN</t>
        </is>
      </c>
      <c r="E4482" t="inlineStr">
        <is>
          <t>OSKARSHAMN</t>
        </is>
      </c>
      <c r="G4482" t="n">
        <v>0.2</v>
      </c>
      <c r="H4482" t="n">
        <v>0</v>
      </c>
      <c r="I4482" t="n">
        <v>0</v>
      </c>
      <c r="J4482" t="n">
        <v>0</v>
      </c>
      <c r="K4482" t="n">
        <v>0</v>
      </c>
      <c r="L4482" t="n">
        <v>0</v>
      </c>
      <c r="M4482" t="n">
        <v>0</v>
      </c>
      <c r="N4482" t="n">
        <v>0</v>
      </c>
      <c r="O4482" t="n">
        <v>0</v>
      </c>
      <c r="P4482" t="n">
        <v>0</v>
      </c>
      <c r="Q4482" t="n">
        <v>0</v>
      </c>
      <c r="R4482" s="2" t="inlineStr"/>
    </row>
    <row r="4483" ht="15" customHeight="1">
      <c r="A4483" t="inlineStr">
        <is>
          <t>A 31318-2021</t>
        </is>
      </c>
      <c r="B4483" s="1" t="n">
        <v>44368</v>
      </c>
      <c r="C4483" s="1" t="n">
        <v>45884</v>
      </c>
      <c r="D4483" t="inlineStr">
        <is>
          <t>KALMAR LÄN</t>
        </is>
      </c>
      <c r="E4483" t="inlineStr">
        <is>
          <t>VÄSTERVIK</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39354-2024</t>
        </is>
      </c>
      <c r="B4484" s="1" t="n">
        <v>45551.45940972222</v>
      </c>
      <c r="C4484" s="1" t="n">
        <v>45884</v>
      </c>
      <c r="D4484" t="inlineStr">
        <is>
          <t>KALMAR LÄN</t>
        </is>
      </c>
      <c r="E4484" t="inlineStr">
        <is>
          <t>NYBRO</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43186-2021</t>
        </is>
      </c>
      <c r="B4485" s="1" t="n">
        <v>44431.84840277778</v>
      </c>
      <c r="C4485" s="1" t="n">
        <v>45884</v>
      </c>
      <c r="D4485" t="inlineStr">
        <is>
          <t>KALMAR LÄN</t>
        </is>
      </c>
      <c r="E4485" t="inlineStr">
        <is>
          <t>VIMMERBY</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34245-2024</t>
        </is>
      </c>
      <c r="B4486" s="1" t="n">
        <v>45524.58461805555</v>
      </c>
      <c r="C4486" s="1" t="n">
        <v>45884</v>
      </c>
      <c r="D4486" t="inlineStr">
        <is>
          <t>KALMAR LÄN</t>
        </is>
      </c>
      <c r="E4486" t="inlineStr">
        <is>
          <t>EMMABODA</t>
        </is>
      </c>
      <c r="G4486" t="n">
        <v>6.9</v>
      </c>
      <c r="H4486" t="n">
        <v>0</v>
      </c>
      <c r="I4486" t="n">
        <v>0</v>
      </c>
      <c r="J4486" t="n">
        <v>0</v>
      </c>
      <c r="K4486" t="n">
        <v>0</v>
      </c>
      <c r="L4486" t="n">
        <v>0</v>
      </c>
      <c r="M4486" t="n">
        <v>0</v>
      </c>
      <c r="N4486" t="n">
        <v>0</v>
      </c>
      <c r="O4486" t="n">
        <v>0</v>
      </c>
      <c r="P4486" t="n">
        <v>0</v>
      </c>
      <c r="Q4486" t="n">
        <v>0</v>
      </c>
      <c r="R4486" s="2" t="inlineStr"/>
    </row>
    <row r="4487" ht="15" customHeight="1">
      <c r="A4487" t="inlineStr">
        <is>
          <t>A 45032-2024</t>
        </is>
      </c>
      <c r="B4487" s="1" t="n">
        <v>45575</v>
      </c>
      <c r="C4487" s="1" t="n">
        <v>45884</v>
      </c>
      <c r="D4487" t="inlineStr">
        <is>
          <t>KALMAR LÄN</t>
        </is>
      </c>
      <c r="E4487" t="inlineStr">
        <is>
          <t>HULTSFRED</t>
        </is>
      </c>
      <c r="G4487" t="n">
        <v>3.2</v>
      </c>
      <c r="H4487" t="n">
        <v>0</v>
      </c>
      <c r="I4487" t="n">
        <v>0</v>
      </c>
      <c r="J4487" t="n">
        <v>0</v>
      </c>
      <c r="K4487" t="n">
        <v>0</v>
      </c>
      <c r="L4487" t="n">
        <v>0</v>
      </c>
      <c r="M4487" t="n">
        <v>0</v>
      </c>
      <c r="N4487" t="n">
        <v>0</v>
      </c>
      <c r="O4487" t="n">
        <v>0</v>
      </c>
      <c r="P4487" t="n">
        <v>0</v>
      </c>
      <c r="Q4487" t="n">
        <v>0</v>
      </c>
      <c r="R4487" s="2" t="inlineStr"/>
    </row>
    <row r="4488" ht="15" customHeight="1">
      <c r="A4488" t="inlineStr">
        <is>
          <t>A 1799-2025</t>
        </is>
      </c>
      <c r="B4488" s="1" t="n">
        <v>45671.46746527778</v>
      </c>
      <c r="C4488" s="1" t="n">
        <v>45884</v>
      </c>
      <c r="D4488" t="inlineStr">
        <is>
          <t>KALMAR LÄN</t>
        </is>
      </c>
      <c r="E4488" t="inlineStr">
        <is>
          <t>VIMMERBY</t>
        </is>
      </c>
      <c r="G4488" t="n">
        <v>3.3</v>
      </c>
      <c r="H4488" t="n">
        <v>0</v>
      </c>
      <c r="I4488" t="n">
        <v>0</v>
      </c>
      <c r="J4488" t="n">
        <v>0</v>
      </c>
      <c r="K4488" t="n">
        <v>0</v>
      </c>
      <c r="L4488" t="n">
        <v>0</v>
      </c>
      <c r="M4488" t="n">
        <v>0</v>
      </c>
      <c r="N4488" t="n">
        <v>0</v>
      </c>
      <c r="O4488" t="n">
        <v>0</v>
      </c>
      <c r="P4488" t="n">
        <v>0</v>
      </c>
      <c r="Q4488" t="n">
        <v>0</v>
      </c>
      <c r="R4488" s="2" t="inlineStr"/>
    </row>
    <row r="4489" ht="15" customHeight="1">
      <c r="A4489" t="inlineStr">
        <is>
          <t>A 56899-2024</t>
        </is>
      </c>
      <c r="B4489" s="1" t="n">
        <v>45628</v>
      </c>
      <c r="C4489" s="1" t="n">
        <v>45884</v>
      </c>
      <c r="D4489" t="inlineStr">
        <is>
          <t>KALMAR LÄN</t>
        </is>
      </c>
      <c r="E4489" t="inlineStr">
        <is>
          <t>NYBRO</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63676-2023</t>
        </is>
      </c>
      <c r="B4490" s="1" t="n">
        <v>45275.64739583333</v>
      </c>
      <c r="C4490" s="1" t="n">
        <v>45884</v>
      </c>
      <c r="D4490" t="inlineStr">
        <is>
          <t>KALMAR LÄN</t>
        </is>
      </c>
      <c r="E4490" t="inlineStr">
        <is>
          <t>MÖRBYLÅNGA</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9275-2023</t>
        </is>
      </c>
      <c r="B4491" s="1" t="n">
        <v>44980.61068287037</v>
      </c>
      <c r="C4491" s="1" t="n">
        <v>45884</v>
      </c>
      <c r="D4491" t="inlineStr">
        <is>
          <t>KALMAR LÄN</t>
        </is>
      </c>
      <c r="E4491" t="inlineStr">
        <is>
          <t>OSKARSHAMN</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16953-2025</t>
        </is>
      </c>
      <c r="B4492" s="1" t="n">
        <v>45755.44333333334</v>
      </c>
      <c r="C4492" s="1" t="n">
        <v>45884</v>
      </c>
      <c r="D4492" t="inlineStr">
        <is>
          <t>KALMAR LÄN</t>
        </is>
      </c>
      <c r="E4492" t="inlineStr">
        <is>
          <t>VIMMERBY</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30588-2023</t>
        </is>
      </c>
      <c r="B4493" s="1" t="n">
        <v>45112.33599537037</v>
      </c>
      <c r="C4493" s="1" t="n">
        <v>45884</v>
      </c>
      <c r="D4493" t="inlineStr">
        <is>
          <t>KALMAR LÄN</t>
        </is>
      </c>
      <c r="E4493" t="inlineStr">
        <is>
          <t>VIMMERBY</t>
        </is>
      </c>
      <c r="G4493" t="n">
        <v>2.7</v>
      </c>
      <c r="H4493" t="n">
        <v>0</v>
      </c>
      <c r="I4493" t="n">
        <v>0</v>
      </c>
      <c r="J4493" t="n">
        <v>0</v>
      </c>
      <c r="K4493" t="n">
        <v>0</v>
      </c>
      <c r="L4493" t="n">
        <v>0</v>
      </c>
      <c r="M4493" t="n">
        <v>0</v>
      </c>
      <c r="N4493" t="n">
        <v>0</v>
      </c>
      <c r="O4493" t="n">
        <v>0</v>
      </c>
      <c r="P4493" t="n">
        <v>0</v>
      </c>
      <c r="Q4493" t="n">
        <v>0</v>
      </c>
      <c r="R4493" s="2" t="inlineStr"/>
    </row>
    <row r="4494" ht="15" customHeight="1">
      <c r="A4494" t="inlineStr">
        <is>
          <t>A 30503-2023</t>
        </is>
      </c>
      <c r="B4494" s="1" t="n">
        <v>45111</v>
      </c>
      <c r="C4494" s="1" t="n">
        <v>45884</v>
      </c>
      <c r="D4494" t="inlineStr">
        <is>
          <t>KALMAR LÄN</t>
        </is>
      </c>
      <c r="E4494" t="inlineStr">
        <is>
          <t>VIMMERBY</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1785-2025</t>
        </is>
      </c>
      <c r="B4495" s="1" t="n">
        <v>45671.45061342593</v>
      </c>
      <c r="C4495" s="1" t="n">
        <v>45884</v>
      </c>
      <c r="D4495" t="inlineStr">
        <is>
          <t>KALMAR LÄN</t>
        </is>
      </c>
      <c r="E4495" t="inlineStr">
        <is>
          <t>VÄSTERVIK</t>
        </is>
      </c>
      <c r="F4495" t="inlineStr">
        <is>
          <t>Sveaskog</t>
        </is>
      </c>
      <c r="G4495" t="n">
        <v>2.8</v>
      </c>
      <c r="H4495" t="n">
        <v>0</v>
      </c>
      <c r="I4495" t="n">
        <v>0</v>
      </c>
      <c r="J4495" t="n">
        <v>0</v>
      </c>
      <c r="K4495" t="n">
        <v>0</v>
      </c>
      <c r="L4495" t="n">
        <v>0</v>
      </c>
      <c r="M4495" t="n">
        <v>0</v>
      </c>
      <c r="N4495" t="n">
        <v>0</v>
      </c>
      <c r="O4495" t="n">
        <v>0</v>
      </c>
      <c r="P4495" t="n">
        <v>0</v>
      </c>
      <c r="Q4495" t="n">
        <v>0</v>
      </c>
      <c r="R4495" s="2" t="inlineStr"/>
    </row>
    <row r="4496" ht="15" customHeight="1">
      <c r="A4496" t="inlineStr">
        <is>
          <t>A 8593-2023</t>
        </is>
      </c>
      <c r="B4496" s="1" t="n">
        <v>44977</v>
      </c>
      <c r="C4496" s="1" t="n">
        <v>45884</v>
      </c>
      <c r="D4496" t="inlineStr">
        <is>
          <t>KALMAR LÄN</t>
        </is>
      </c>
      <c r="E4496" t="inlineStr">
        <is>
          <t>VÄSTERVIK</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42896-2023</t>
        </is>
      </c>
      <c r="B4497" s="1" t="n">
        <v>45177</v>
      </c>
      <c r="C4497" s="1" t="n">
        <v>45884</v>
      </c>
      <c r="D4497" t="inlineStr">
        <is>
          <t>KALMAR LÄN</t>
        </is>
      </c>
      <c r="E4497" t="inlineStr">
        <is>
          <t>NYBRO</t>
        </is>
      </c>
      <c r="F4497" t="inlineStr">
        <is>
          <t>Kyrkan</t>
        </is>
      </c>
      <c r="G4497" t="n">
        <v>3.3</v>
      </c>
      <c r="H4497" t="n">
        <v>0</v>
      </c>
      <c r="I4497" t="n">
        <v>0</v>
      </c>
      <c r="J4497" t="n">
        <v>0</v>
      </c>
      <c r="K4497" t="n">
        <v>0</v>
      </c>
      <c r="L4497" t="n">
        <v>0</v>
      </c>
      <c r="M4497" t="n">
        <v>0</v>
      </c>
      <c r="N4497" t="n">
        <v>0</v>
      </c>
      <c r="O4497" t="n">
        <v>0</v>
      </c>
      <c r="P4497" t="n">
        <v>0</v>
      </c>
      <c r="Q4497" t="n">
        <v>0</v>
      </c>
      <c r="R4497" s="2" t="inlineStr"/>
    </row>
    <row r="4498" ht="15" customHeight="1">
      <c r="A4498" t="inlineStr">
        <is>
          <t>A 42909-2023</t>
        </is>
      </c>
      <c r="B4498" s="1" t="n">
        <v>45182.50636574074</v>
      </c>
      <c r="C4498" s="1" t="n">
        <v>45884</v>
      </c>
      <c r="D4498" t="inlineStr">
        <is>
          <t>KALMAR LÄN</t>
        </is>
      </c>
      <c r="E4498" t="inlineStr">
        <is>
          <t>TORSÅS</t>
        </is>
      </c>
      <c r="G4498" t="n">
        <v>0.4</v>
      </c>
      <c r="H4498" t="n">
        <v>0</v>
      </c>
      <c r="I4498" t="n">
        <v>0</v>
      </c>
      <c r="J4498" t="n">
        <v>0</v>
      </c>
      <c r="K4498" t="n">
        <v>0</v>
      </c>
      <c r="L4498" t="n">
        <v>0</v>
      </c>
      <c r="M4498" t="n">
        <v>0</v>
      </c>
      <c r="N4498" t="n">
        <v>0</v>
      </c>
      <c r="O4498" t="n">
        <v>0</v>
      </c>
      <c r="P4498" t="n">
        <v>0</v>
      </c>
      <c r="Q4498" t="n">
        <v>0</v>
      </c>
      <c r="R4498" s="2" t="inlineStr"/>
    </row>
    <row r="4499" ht="15" customHeight="1">
      <c r="A4499" t="inlineStr">
        <is>
          <t>A 7531-2024</t>
        </is>
      </c>
      <c r="B4499" s="1" t="n">
        <v>45348.39001157408</v>
      </c>
      <c r="C4499" s="1" t="n">
        <v>45884</v>
      </c>
      <c r="D4499" t="inlineStr">
        <is>
          <t>KALMAR LÄN</t>
        </is>
      </c>
      <c r="E4499" t="inlineStr">
        <is>
          <t>HULTSFRED</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7568-2024</t>
        </is>
      </c>
      <c r="B4500" s="1" t="n">
        <v>45348.45074074074</v>
      </c>
      <c r="C4500" s="1" t="n">
        <v>45884</v>
      </c>
      <c r="D4500" t="inlineStr">
        <is>
          <t>KALMAR LÄN</t>
        </is>
      </c>
      <c r="E4500" t="inlineStr">
        <is>
          <t>EMMABODA</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9831-2023</t>
        </is>
      </c>
      <c r="B4501" s="1" t="n">
        <v>44984.76328703704</v>
      </c>
      <c r="C4501" s="1" t="n">
        <v>45884</v>
      </c>
      <c r="D4501" t="inlineStr">
        <is>
          <t>KALMAR LÄN</t>
        </is>
      </c>
      <c r="E4501" t="inlineStr">
        <is>
          <t>OSKARSHAMN</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30063-2023</t>
        </is>
      </c>
      <c r="B4502" s="1" t="n">
        <v>45110.4184375</v>
      </c>
      <c r="C4502" s="1" t="n">
        <v>45884</v>
      </c>
      <c r="D4502" t="inlineStr">
        <is>
          <t>KALMAR LÄN</t>
        </is>
      </c>
      <c r="E4502" t="inlineStr">
        <is>
          <t>VIMMERBY</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14685-2025</t>
        </is>
      </c>
      <c r="B4503" s="1" t="n">
        <v>45742.57653935185</v>
      </c>
      <c r="C4503" s="1" t="n">
        <v>45884</v>
      </c>
      <c r="D4503" t="inlineStr">
        <is>
          <t>KALMAR LÄN</t>
        </is>
      </c>
      <c r="E4503" t="inlineStr">
        <is>
          <t>VÄSTERVIK</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27870-2024</t>
        </is>
      </c>
      <c r="B4504" s="1" t="n">
        <v>45475.70619212963</v>
      </c>
      <c r="C4504" s="1" t="n">
        <v>45884</v>
      </c>
      <c r="D4504" t="inlineStr">
        <is>
          <t>KALMAR LÄN</t>
        </is>
      </c>
      <c r="E4504" t="inlineStr">
        <is>
          <t>NYBRO</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5510-2021</t>
        </is>
      </c>
      <c r="B4505" s="1" t="n">
        <v>44230</v>
      </c>
      <c r="C4505" s="1" t="n">
        <v>45884</v>
      </c>
      <c r="D4505" t="inlineStr">
        <is>
          <t>KALMAR LÄN</t>
        </is>
      </c>
      <c r="E4505" t="inlineStr">
        <is>
          <t>VÄSTERVIK</t>
        </is>
      </c>
      <c r="G4505" t="n">
        <v>3.2</v>
      </c>
      <c r="H4505" t="n">
        <v>0</v>
      </c>
      <c r="I4505" t="n">
        <v>0</v>
      </c>
      <c r="J4505" t="n">
        <v>0</v>
      </c>
      <c r="K4505" t="n">
        <v>0</v>
      </c>
      <c r="L4505" t="n">
        <v>0</v>
      </c>
      <c r="M4505" t="n">
        <v>0</v>
      </c>
      <c r="N4505" t="n">
        <v>0</v>
      </c>
      <c r="O4505" t="n">
        <v>0</v>
      </c>
      <c r="P4505" t="n">
        <v>0</v>
      </c>
      <c r="Q4505" t="n">
        <v>0</v>
      </c>
      <c r="R4505" s="2" t="inlineStr"/>
    </row>
    <row r="4506" ht="15" customHeight="1">
      <c r="A4506" t="inlineStr">
        <is>
          <t>A 44256-2024</t>
        </is>
      </c>
      <c r="B4506" s="1" t="n">
        <v>45573.45638888889</v>
      </c>
      <c r="C4506" s="1" t="n">
        <v>45884</v>
      </c>
      <c r="D4506" t="inlineStr">
        <is>
          <t>KALMAR LÄN</t>
        </is>
      </c>
      <c r="E4506" t="inlineStr">
        <is>
          <t>HULTSFRED</t>
        </is>
      </c>
      <c r="G4506" t="n">
        <v>3.5</v>
      </c>
      <c r="H4506" t="n">
        <v>0</v>
      </c>
      <c r="I4506" t="n">
        <v>0</v>
      </c>
      <c r="J4506" t="n">
        <v>0</v>
      </c>
      <c r="K4506" t="n">
        <v>0</v>
      </c>
      <c r="L4506" t="n">
        <v>0</v>
      </c>
      <c r="M4506" t="n">
        <v>0</v>
      </c>
      <c r="N4506" t="n">
        <v>0</v>
      </c>
      <c r="O4506" t="n">
        <v>0</v>
      </c>
      <c r="P4506" t="n">
        <v>0</v>
      </c>
      <c r="Q4506" t="n">
        <v>0</v>
      </c>
      <c r="R4506" s="2" t="inlineStr"/>
    </row>
    <row r="4507" ht="15" customHeight="1">
      <c r="A4507" t="inlineStr">
        <is>
          <t>A 46248-2023</t>
        </is>
      </c>
      <c r="B4507" s="1" t="n">
        <v>45196.87342592593</v>
      </c>
      <c r="C4507" s="1" t="n">
        <v>45884</v>
      </c>
      <c r="D4507" t="inlineStr">
        <is>
          <t>KALMAR LÄN</t>
        </is>
      </c>
      <c r="E4507" t="inlineStr">
        <is>
          <t>OSKARSHAMN</t>
        </is>
      </c>
      <c r="F4507" t="inlineStr">
        <is>
          <t>Sveaskog</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35417-2022</t>
        </is>
      </c>
      <c r="B4508" s="1" t="n">
        <v>44798</v>
      </c>
      <c r="C4508" s="1" t="n">
        <v>45884</v>
      </c>
      <c r="D4508" t="inlineStr">
        <is>
          <t>KALMAR LÄN</t>
        </is>
      </c>
      <c r="E4508" t="inlineStr">
        <is>
          <t>VÄSTERVIK</t>
        </is>
      </c>
      <c r="G4508" t="n">
        <v>5.2</v>
      </c>
      <c r="H4508" t="n">
        <v>0</v>
      </c>
      <c r="I4508" t="n">
        <v>0</v>
      </c>
      <c r="J4508" t="n">
        <v>0</v>
      </c>
      <c r="K4508" t="n">
        <v>0</v>
      </c>
      <c r="L4508" t="n">
        <v>0</v>
      </c>
      <c r="M4508" t="n">
        <v>0</v>
      </c>
      <c r="N4508" t="n">
        <v>0</v>
      </c>
      <c r="O4508" t="n">
        <v>0</v>
      </c>
      <c r="P4508" t="n">
        <v>0</v>
      </c>
      <c r="Q4508" t="n">
        <v>0</v>
      </c>
      <c r="R4508" s="2" t="inlineStr"/>
    </row>
    <row r="4509" ht="15" customHeight="1">
      <c r="A4509" t="inlineStr">
        <is>
          <t>A 40326-2023</t>
        </is>
      </c>
      <c r="B4509" s="1" t="n">
        <v>45169.61795138889</v>
      </c>
      <c r="C4509" s="1" t="n">
        <v>45884</v>
      </c>
      <c r="D4509" t="inlineStr">
        <is>
          <t>KALMAR LÄN</t>
        </is>
      </c>
      <c r="E4509" t="inlineStr">
        <is>
          <t>HULTSFRED</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25400-2021</t>
        </is>
      </c>
      <c r="B4510" s="1" t="n">
        <v>44342</v>
      </c>
      <c r="C4510" s="1" t="n">
        <v>45884</v>
      </c>
      <c r="D4510" t="inlineStr">
        <is>
          <t>KALMAR LÄN</t>
        </is>
      </c>
      <c r="E4510" t="inlineStr">
        <is>
          <t>OSKARSHAMN</t>
        </is>
      </c>
      <c r="G4510" t="n">
        <v>1.4</v>
      </c>
      <c r="H4510" t="n">
        <v>0</v>
      </c>
      <c r="I4510" t="n">
        <v>0</v>
      </c>
      <c r="J4510" t="n">
        <v>0</v>
      </c>
      <c r="K4510" t="n">
        <v>0</v>
      </c>
      <c r="L4510" t="n">
        <v>0</v>
      </c>
      <c r="M4510" t="n">
        <v>0</v>
      </c>
      <c r="N4510" t="n">
        <v>0</v>
      </c>
      <c r="O4510" t="n">
        <v>0</v>
      </c>
      <c r="P4510" t="n">
        <v>0</v>
      </c>
      <c r="Q4510" t="n">
        <v>0</v>
      </c>
      <c r="R4510" s="2" t="inlineStr"/>
    </row>
    <row r="4511" ht="15" customHeight="1">
      <c r="A4511" t="inlineStr">
        <is>
          <t>A 16119-2024</t>
        </is>
      </c>
      <c r="B4511" s="1" t="n">
        <v>45406</v>
      </c>
      <c r="C4511" s="1" t="n">
        <v>45884</v>
      </c>
      <c r="D4511" t="inlineStr">
        <is>
          <t>KALMAR LÄN</t>
        </is>
      </c>
      <c r="E4511" t="inlineStr">
        <is>
          <t>KALMAR</t>
        </is>
      </c>
      <c r="G4511" t="n">
        <v>4.1</v>
      </c>
      <c r="H4511" t="n">
        <v>0</v>
      </c>
      <c r="I4511" t="n">
        <v>0</v>
      </c>
      <c r="J4511" t="n">
        <v>0</v>
      </c>
      <c r="K4511" t="n">
        <v>0</v>
      </c>
      <c r="L4511" t="n">
        <v>0</v>
      </c>
      <c r="M4511" t="n">
        <v>0</v>
      </c>
      <c r="N4511" t="n">
        <v>0</v>
      </c>
      <c r="O4511" t="n">
        <v>0</v>
      </c>
      <c r="P4511" t="n">
        <v>0</v>
      </c>
      <c r="Q4511" t="n">
        <v>0</v>
      </c>
      <c r="R4511" s="2" t="inlineStr"/>
    </row>
    <row r="4512" ht="15" customHeight="1">
      <c r="A4512" t="inlineStr">
        <is>
          <t>A 29145-2023</t>
        </is>
      </c>
      <c r="B4512" s="1" t="n">
        <v>45105</v>
      </c>
      <c r="C4512" s="1" t="n">
        <v>45884</v>
      </c>
      <c r="D4512" t="inlineStr">
        <is>
          <t>KALMAR LÄN</t>
        </is>
      </c>
      <c r="E4512" t="inlineStr">
        <is>
          <t>OSKARSHAMN</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30515-2023</t>
        </is>
      </c>
      <c r="B4513" s="1" t="n">
        <v>45111.65074074074</v>
      </c>
      <c r="C4513" s="1" t="n">
        <v>45884</v>
      </c>
      <c r="D4513" t="inlineStr">
        <is>
          <t>KALMAR LÄN</t>
        </is>
      </c>
      <c r="E4513" t="inlineStr">
        <is>
          <t>EMMABODA</t>
        </is>
      </c>
      <c r="G4513" t="n">
        <v>2</v>
      </c>
      <c r="H4513" t="n">
        <v>0</v>
      </c>
      <c r="I4513" t="n">
        <v>0</v>
      </c>
      <c r="J4513" t="n">
        <v>0</v>
      </c>
      <c r="K4513" t="n">
        <v>0</v>
      </c>
      <c r="L4513" t="n">
        <v>0</v>
      </c>
      <c r="M4513" t="n">
        <v>0</v>
      </c>
      <c r="N4513" t="n">
        <v>0</v>
      </c>
      <c r="O4513" t="n">
        <v>0</v>
      </c>
      <c r="P4513" t="n">
        <v>0</v>
      </c>
      <c r="Q4513" t="n">
        <v>0</v>
      </c>
      <c r="R4513" s="2" t="inlineStr"/>
    </row>
    <row r="4514" ht="15" customHeight="1">
      <c r="A4514" t="inlineStr">
        <is>
          <t>A 16207-2022</t>
        </is>
      </c>
      <c r="B4514" s="1" t="n">
        <v>44669</v>
      </c>
      <c r="C4514" s="1" t="n">
        <v>45884</v>
      </c>
      <c r="D4514" t="inlineStr">
        <is>
          <t>KALMAR LÄN</t>
        </is>
      </c>
      <c r="E4514" t="inlineStr">
        <is>
          <t>VÄSTERVIK</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19333-2023</t>
        </is>
      </c>
      <c r="B4515" s="1" t="n">
        <v>45049.566875</v>
      </c>
      <c r="C4515" s="1" t="n">
        <v>45884</v>
      </c>
      <c r="D4515" t="inlineStr">
        <is>
          <t>KALMAR LÄN</t>
        </is>
      </c>
      <c r="E4515" t="inlineStr">
        <is>
          <t>VÄSTERVIK</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35752-2021</t>
        </is>
      </c>
      <c r="B4516" s="1" t="n">
        <v>44386.57552083334</v>
      </c>
      <c r="C4516" s="1" t="n">
        <v>45884</v>
      </c>
      <c r="D4516" t="inlineStr">
        <is>
          <t>KALMAR LÄN</t>
        </is>
      </c>
      <c r="E4516" t="inlineStr">
        <is>
          <t>NYBRO</t>
        </is>
      </c>
      <c r="G4516" t="n">
        <v>9.5</v>
      </c>
      <c r="H4516" t="n">
        <v>0</v>
      </c>
      <c r="I4516" t="n">
        <v>0</v>
      </c>
      <c r="J4516" t="n">
        <v>0</v>
      </c>
      <c r="K4516" t="n">
        <v>0</v>
      </c>
      <c r="L4516" t="n">
        <v>0</v>
      </c>
      <c r="M4516" t="n">
        <v>0</v>
      </c>
      <c r="N4516" t="n">
        <v>0</v>
      </c>
      <c r="O4516" t="n">
        <v>0</v>
      </c>
      <c r="P4516" t="n">
        <v>0</v>
      </c>
      <c r="Q4516" t="n">
        <v>0</v>
      </c>
      <c r="R4516" s="2" t="inlineStr"/>
    </row>
    <row r="4517" ht="15" customHeight="1">
      <c r="A4517" t="inlineStr">
        <is>
          <t>A 67875-2020</t>
        </is>
      </c>
      <c r="B4517" s="1" t="n">
        <v>44182</v>
      </c>
      <c r="C4517" s="1" t="n">
        <v>45884</v>
      </c>
      <c r="D4517" t="inlineStr">
        <is>
          <t>KALMAR LÄN</t>
        </is>
      </c>
      <c r="E4517" t="inlineStr">
        <is>
          <t>KALMAR</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6895-2024</t>
        </is>
      </c>
      <c r="B4518" s="1" t="n">
        <v>45342.93295138889</v>
      </c>
      <c r="C4518" s="1" t="n">
        <v>45884</v>
      </c>
      <c r="D4518" t="inlineStr">
        <is>
          <t>KALMAR LÄN</t>
        </is>
      </c>
      <c r="E4518" t="inlineStr">
        <is>
          <t>NYBRO</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32388-2024</t>
        </is>
      </c>
      <c r="B4519" s="1" t="n">
        <v>45512.63465277778</v>
      </c>
      <c r="C4519" s="1" t="n">
        <v>45884</v>
      </c>
      <c r="D4519" t="inlineStr">
        <is>
          <t>KALMAR LÄN</t>
        </is>
      </c>
      <c r="E4519" t="inlineStr">
        <is>
          <t>VÄSTERVIK</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32389-2024</t>
        </is>
      </c>
      <c r="B4520" s="1" t="n">
        <v>45512.63642361111</v>
      </c>
      <c r="C4520" s="1" t="n">
        <v>45884</v>
      </c>
      <c r="D4520" t="inlineStr">
        <is>
          <t>KALMAR LÄN</t>
        </is>
      </c>
      <c r="E4520" t="inlineStr">
        <is>
          <t>VÄSTERVIK</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60366-2022</t>
        </is>
      </c>
      <c r="B4521" s="1" t="n">
        <v>44910</v>
      </c>
      <c r="C4521" s="1" t="n">
        <v>45884</v>
      </c>
      <c r="D4521" t="inlineStr">
        <is>
          <t>KALMAR LÄN</t>
        </is>
      </c>
      <c r="E4521" t="inlineStr">
        <is>
          <t>NYBRO</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2354-2024</t>
        </is>
      </c>
      <c r="B4522" s="1" t="n">
        <v>45310.58832175926</v>
      </c>
      <c r="C4522" s="1" t="n">
        <v>45884</v>
      </c>
      <c r="D4522" t="inlineStr">
        <is>
          <t>KALMAR LÄN</t>
        </is>
      </c>
      <c r="E4522" t="inlineStr">
        <is>
          <t>EMMABODA</t>
        </is>
      </c>
      <c r="G4522" t="n">
        <v>5.7</v>
      </c>
      <c r="H4522" t="n">
        <v>0</v>
      </c>
      <c r="I4522" t="n">
        <v>0</v>
      </c>
      <c r="J4522" t="n">
        <v>0</v>
      </c>
      <c r="K4522" t="n">
        <v>0</v>
      </c>
      <c r="L4522" t="n">
        <v>0</v>
      </c>
      <c r="M4522" t="n">
        <v>0</v>
      </c>
      <c r="N4522" t="n">
        <v>0</v>
      </c>
      <c r="O4522" t="n">
        <v>0</v>
      </c>
      <c r="P4522" t="n">
        <v>0</v>
      </c>
      <c r="Q4522" t="n">
        <v>0</v>
      </c>
      <c r="R4522" s="2" t="inlineStr"/>
    </row>
    <row r="4523" ht="15" customHeight="1">
      <c r="A4523" t="inlineStr">
        <is>
          <t>A 27143-2023</t>
        </is>
      </c>
      <c r="B4523" s="1" t="n">
        <v>45096.46872685185</v>
      </c>
      <c r="C4523" s="1" t="n">
        <v>45884</v>
      </c>
      <c r="D4523" t="inlineStr">
        <is>
          <t>KALMAR LÄN</t>
        </is>
      </c>
      <c r="E4523" t="inlineStr">
        <is>
          <t>OSKARSHAMN</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43068-2023</t>
        </is>
      </c>
      <c r="B4524" s="1" t="n">
        <v>45182.78834490741</v>
      </c>
      <c r="C4524" s="1" t="n">
        <v>45884</v>
      </c>
      <c r="D4524" t="inlineStr">
        <is>
          <t>KALMAR LÄN</t>
        </is>
      </c>
      <c r="E4524" t="inlineStr">
        <is>
          <t>VIMMERBY</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23626-2024</t>
        </is>
      </c>
      <c r="B4525" s="1" t="n">
        <v>45454</v>
      </c>
      <c r="C4525" s="1" t="n">
        <v>45884</v>
      </c>
      <c r="D4525" t="inlineStr">
        <is>
          <t>KALMAR LÄN</t>
        </is>
      </c>
      <c r="E4525" t="inlineStr">
        <is>
          <t>VÄSTERVIK</t>
        </is>
      </c>
      <c r="G4525" t="n">
        <v>2.1</v>
      </c>
      <c r="H4525" t="n">
        <v>0</v>
      </c>
      <c r="I4525" t="n">
        <v>0</v>
      </c>
      <c r="J4525" t="n">
        <v>0</v>
      </c>
      <c r="K4525" t="n">
        <v>0</v>
      </c>
      <c r="L4525" t="n">
        <v>0</v>
      </c>
      <c r="M4525" t="n">
        <v>0</v>
      </c>
      <c r="N4525" t="n">
        <v>0</v>
      </c>
      <c r="O4525" t="n">
        <v>0</v>
      </c>
      <c r="P4525" t="n">
        <v>0</v>
      </c>
      <c r="Q4525" t="n">
        <v>0</v>
      </c>
      <c r="R4525" s="2" t="inlineStr"/>
    </row>
    <row r="4526" ht="15" customHeight="1">
      <c r="A4526" t="inlineStr">
        <is>
          <t>A 18346-2023</t>
        </is>
      </c>
      <c r="B4526" s="1" t="n">
        <v>45041.68686342592</v>
      </c>
      <c r="C4526" s="1" t="n">
        <v>45884</v>
      </c>
      <c r="D4526" t="inlineStr">
        <is>
          <t>KALMAR LÄN</t>
        </is>
      </c>
      <c r="E4526" t="inlineStr">
        <is>
          <t>OSKARSHAMN</t>
        </is>
      </c>
      <c r="G4526" t="n">
        <v>2.1</v>
      </c>
      <c r="H4526" t="n">
        <v>0</v>
      </c>
      <c r="I4526" t="n">
        <v>0</v>
      </c>
      <c r="J4526" t="n">
        <v>0</v>
      </c>
      <c r="K4526" t="n">
        <v>0</v>
      </c>
      <c r="L4526" t="n">
        <v>0</v>
      </c>
      <c r="M4526" t="n">
        <v>0</v>
      </c>
      <c r="N4526" t="n">
        <v>0</v>
      </c>
      <c r="O4526" t="n">
        <v>0</v>
      </c>
      <c r="P4526" t="n">
        <v>0</v>
      </c>
      <c r="Q4526" t="n">
        <v>0</v>
      </c>
      <c r="R4526" s="2" t="inlineStr"/>
    </row>
    <row r="4527" ht="15" customHeight="1">
      <c r="A4527" t="inlineStr">
        <is>
          <t>A 48102-2023</t>
        </is>
      </c>
      <c r="B4527" s="1" t="n">
        <v>45205.32967592592</v>
      </c>
      <c r="C4527" s="1" t="n">
        <v>45884</v>
      </c>
      <c r="D4527" t="inlineStr">
        <is>
          <t>KALMAR LÄN</t>
        </is>
      </c>
      <c r="E4527" t="inlineStr">
        <is>
          <t>NYBRO</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17315-2023</t>
        </is>
      </c>
      <c r="B4528" s="1" t="n">
        <v>45035.54475694444</v>
      </c>
      <c r="C4528" s="1" t="n">
        <v>45884</v>
      </c>
      <c r="D4528" t="inlineStr">
        <is>
          <t>KALMAR LÄN</t>
        </is>
      </c>
      <c r="E4528" t="inlineStr">
        <is>
          <t>VÄSTERVIK</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46267-2022</t>
        </is>
      </c>
      <c r="B4529" s="1" t="n">
        <v>44847</v>
      </c>
      <c r="C4529" s="1" t="n">
        <v>45884</v>
      </c>
      <c r="D4529" t="inlineStr">
        <is>
          <t>KALMAR LÄN</t>
        </is>
      </c>
      <c r="E4529" t="inlineStr">
        <is>
          <t>VÄSTERVIK</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16521-2024</t>
        </is>
      </c>
      <c r="B4530" s="1" t="n">
        <v>45408</v>
      </c>
      <c r="C4530" s="1" t="n">
        <v>45884</v>
      </c>
      <c r="D4530" t="inlineStr">
        <is>
          <t>KALMAR LÄN</t>
        </is>
      </c>
      <c r="E4530" t="inlineStr">
        <is>
          <t>EMMABODA</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2587-2023</t>
        </is>
      </c>
      <c r="B4531" s="1" t="n">
        <v>44943</v>
      </c>
      <c r="C4531" s="1" t="n">
        <v>45884</v>
      </c>
      <c r="D4531" t="inlineStr">
        <is>
          <t>KALMAR LÄN</t>
        </is>
      </c>
      <c r="E4531" t="inlineStr">
        <is>
          <t>OSKARSHAMN</t>
        </is>
      </c>
      <c r="G4531" t="n">
        <v>10.8</v>
      </c>
      <c r="H4531" t="n">
        <v>0</v>
      </c>
      <c r="I4531" t="n">
        <v>0</v>
      </c>
      <c r="J4531" t="n">
        <v>0</v>
      </c>
      <c r="K4531" t="n">
        <v>0</v>
      </c>
      <c r="L4531" t="n">
        <v>0</v>
      </c>
      <c r="M4531" t="n">
        <v>0</v>
      </c>
      <c r="N4531" t="n">
        <v>0</v>
      </c>
      <c r="O4531" t="n">
        <v>0</v>
      </c>
      <c r="P4531" t="n">
        <v>0</v>
      </c>
      <c r="Q4531" t="n">
        <v>0</v>
      </c>
      <c r="R4531" s="2" t="inlineStr"/>
    </row>
    <row r="4532" ht="15" customHeight="1">
      <c r="A4532" t="inlineStr">
        <is>
          <t>A 43213-2023</t>
        </is>
      </c>
      <c r="B4532" s="1" t="n">
        <v>45183</v>
      </c>
      <c r="C4532" s="1" t="n">
        <v>45884</v>
      </c>
      <c r="D4532" t="inlineStr">
        <is>
          <t>KALMAR LÄN</t>
        </is>
      </c>
      <c r="E4532" t="inlineStr">
        <is>
          <t>HÖGSBY</t>
        </is>
      </c>
      <c r="G4532" t="n">
        <v>1.8</v>
      </c>
      <c r="H4532" t="n">
        <v>0</v>
      </c>
      <c r="I4532" t="n">
        <v>0</v>
      </c>
      <c r="J4532" t="n">
        <v>0</v>
      </c>
      <c r="K4532" t="n">
        <v>0</v>
      </c>
      <c r="L4532" t="n">
        <v>0</v>
      </c>
      <c r="M4532" t="n">
        <v>0</v>
      </c>
      <c r="N4532" t="n">
        <v>0</v>
      </c>
      <c r="O4532" t="n">
        <v>0</v>
      </c>
      <c r="P4532" t="n">
        <v>0</v>
      </c>
      <c r="Q4532" t="n">
        <v>0</v>
      </c>
      <c r="R4532" s="2" t="inlineStr"/>
    </row>
    <row r="4533" ht="15" customHeight="1">
      <c r="A4533" t="inlineStr">
        <is>
          <t>A 55609-2024</t>
        </is>
      </c>
      <c r="B4533" s="1" t="n">
        <v>45622.58350694444</v>
      </c>
      <c r="C4533" s="1" t="n">
        <v>45884</v>
      </c>
      <c r="D4533" t="inlineStr">
        <is>
          <t>KALMAR LÄN</t>
        </is>
      </c>
      <c r="E4533" t="inlineStr">
        <is>
          <t>VÄSTERVIK</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156-2022</t>
        </is>
      </c>
      <c r="B4534" s="1" t="n">
        <v>44564.60331018519</v>
      </c>
      <c r="C4534" s="1" t="n">
        <v>45884</v>
      </c>
      <c r="D4534" t="inlineStr">
        <is>
          <t>KALMAR LÄN</t>
        </is>
      </c>
      <c r="E4534" t="inlineStr">
        <is>
          <t>OSKARSHAMN</t>
        </is>
      </c>
      <c r="G4534" t="n">
        <v>2.1</v>
      </c>
      <c r="H4534" t="n">
        <v>0</v>
      </c>
      <c r="I4534" t="n">
        <v>0</v>
      </c>
      <c r="J4534" t="n">
        <v>0</v>
      </c>
      <c r="K4534" t="n">
        <v>0</v>
      </c>
      <c r="L4534" t="n">
        <v>0</v>
      </c>
      <c r="M4534" t="n">
        <v>0</v>
      </c>
      <c r="N4534" t="n">
        <v>0</v>
      </c>
      <c r="O4534" t="n">
        <v>0</v>
      </c>
      <c r="P4534" t="n">
        <v>0</v>
      </c>
      <c r="Q4534" t="n">
        <v>0</v>
      </c>
      <c r="R4534" s="2" t="inlineStr"/>
    </row>
    <row r="4535" ht="15" customHeight="1">
      <c r="A4535" t="inlineStr">
        <is>
          <t>A 16446-2022</t>
        </is>
      </c>
      <c r="B4535" s="1" t="n">
        <v>44671</v>
      </c>
      <c r="C4535" s="1" t="n">
        <v>45884</v>
      </c>
      <c r="D4535" t="inlineStr">
        <is>
          <t>KALMAR LÄN</t>
        </is>
      </c>
      <c r="E4535" t="inlineStr">
        <is>
          <t>TORSÅS</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42904-2024</t>
        </is>
      </c>
      <c r="B4536" s="1" t="n">
        <v>45566.88295138889</v>
      </c>
      <c r="C4536" s="1" t="n">
        <v>45884</v>
      </c>
      <c r="D4536" t="inlineStr">
        <is>
          <t>KALMAR LÄN</t>
        </is>
      </c>
      <c r="E4536" t="inlineStr">
        <is>
          <t>OSKARSHAMN</t>
        </is>
      </c>
      <c r="F4536" t="inlineStr">
        <is>
          <t>Sveaskog</t>
        </is>
      </c>
      <c r="G4536" t="n">
        <v>4.8</v>
      </c>
      <c r="H4536" t="n">
        <v>0</v>
      </c>
      <c r="I4536" t="n">
        <v>0</v>
      </c>
      <c r="J4536" t="n">
        <v>0</v>
      </c>
      <c r="K4536" t="n">
        <v>0</v>
      </c>
      <c r="L4536" t="n">
        <v>0</v>
      </c>
      <c r="M4536" t="n">
        <v>0</v>
      </c>
      <c r="N4536" t="n">
        <v>0</v>
      </c>
      <c r="O4536" t="n">
        <v>0</v>
      </c>
      <c r="P4536" t="n">
        <v>0</v>
      </c>
      <c r="Q4536" t="n">
        <v>0</v>
      </c>
      <c r="R4536" s="2" t="inlineStr"/>
    </row>
    <row r="4537" ht="15" customHeight="1">
      <c r="A4537" t="inlineStr">
        <is>
          <t>A 3642-2024</t>
        </is>
      </c>
      <c r="B4537" s="1" t="n">
        <v>45321.30368055555</v>
      </c>
      <c r="C4537" s="1" t="n">
        <v>45884</v>
      </c>
      <c r="D4537" t="inlineStr">
        <is>
          <t>KALMAR LÄN</t>
        </is>
      </c>
      <c r="E4537" t="inlineStr">
        <is>
          <t>NYBRO</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61839-2024</t>
        </is>
      </c>
      <c r="B4538" s="1" t="n">
        <v>45649.63702546297</v>
      </c>
      <c r="C4538" s="1" t="n">
        <v>45884</v>
      </c>
      <c r="D4538" t="inlineStr">
        <is>
          <t>KALMAR LÄN</t>
        </is>
      </c>
      <c r="E4538" t="inlineStr">
        <is>
          <t>NYBRO</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6235-2021</t>
        </is>
      </c>
      <c r="B4539" s="1" t="n">
        <v>44235.39321759259</v>
      </c>
      <c r="C4539" s="1" t="n">
        <v>45884</v>
      </c>
      <c r="D4539" t="inlineStr">
        <is>
          <t>KALMAR LÄN</t>
        </is>
      </c>
      <c r="E4539" t="inlineStr">
        <is>
          <t>HULTSFRED</t>
        </is>
      </c>
      <c r="G4539" t="n">
        <v>2.1</v>
      </c>
      <c r="H4539" t="n">
        <v>0</v>
      </c>
      <c r="I4539" t="n">
        <v>0</v>
      </c>
      <c r="J4539" t="n">
        <v>0</v>
      </c>
      <c r="K4539" t="n">
        <v>0</v>
      </c>
      <c r="L4539" t="n">
        <v>0</v>
      </c>
      <c r="M4539" t="n">
        <v>0</v>
      </c>
      <c r="N4539" t="n">
        <v>0</v>
      </c>
      <c r="O4539" t="n">
        <v>0</v>
      </c>
      <c r="P4539" t="n">
        <v>0</v>
      </c>
      <c r="Q4539" t="n">
        <v>0</v>
      </c>
      <c r="R4539" s="2" t="inlineStr"/>
    </row>
    <row r="4540" ht="15" customHeight="1">
      <c r="A4540" t="inlineStr">
        <is>
          <t>A 42369-2024</t>
        </is>
      </c>
      <c r="B4540" s="1" t="n">
        <v>45564.47452546296</v>
      </c>
      <c r="C4540" s="1" t="n">
        <v>45884</v>
      </c>
      <c r="D4540" t="inlineStr">
        <is>
          <t>KALMAR LÄN</t>
        </is>
      </c>
      <c r="E4540" t="inlineStr">
        <is>
          <t>KALMAR</t>
        </is>
      </c>
      <c r="G4540" t="n">
        <v>7.1</v>
      </c>
      <c r="H4540" t="n">
        <v>0</v>
      </c>
      <c r="I4540" t="n">
        <v>0</v>
      </c>
      <c r="J4540" t="n">
        <v>0</v>
      </c>
      <c r="K4540" t="n">
        <v>0</v>
      </c>
      <c r="L4540" t="n">
        <v>0</v>
      </c>
      <c r="M4540" t="n">
        <v>0</v>
      </c>
      <c r="N4540" t="n">
        <v>0</v>
      </c>
      <c r="O4540" t="n">
        <v>0</v>
      </c>
      <c r="P4540" t="n">
        <v>0</v>
      </c>
      <c r="Q4540" t="n">
        <v>0</v>
      </c>
      <c r="R4540" s="2" t="inlineStr"/>
    </row>
    <row r="4541" ht="15" customHeight="1">
      <c r="A4541" t="inlineStr">
        <is>
          <t>A 7330-2021</t>
        </is>
      </c>
      <c r="B4541" s="1" t="n">
        <v>44239</v>
      </c>
      <c r="C4541" s="1" t="n">
        <v>45884</v>
      </c>
      <c r="D4541" t="inlineStr">
        <is>
          <t>KALMAR LÄN</t>
        </is>
      </c>
      <c r="E4541" t="inlineStr">
        <is>
          <t>EMMABODA</t>
        </is>
      </c>
      <c r="G4541" t="n">
        <v>2</v>
      </c>
      <c r="H4541" t="n">
        <v>0</v>
      </c>
      <c r="I4541" t="n">
        <v>0</v>
      </c>
      <c r="J4541" t="n">
        <v>0</v>
      </c>
      <c r="K4541" t="n">
        <v>0</v>
      </c>
      <c r="L4541" t="n">
        <v>0</v>
      </c>
      <c r="M4541" t="n">
        <v>0</v>
      </c>
      <c r="N4541" t="n">
        <v>0</v>
      </c>
      <c r="O4541" t="n">
        <v>0</v>
      </c>
      <c r="P4541" t="n">
        <v>0</v>
      </c>
      <c r="Q4541" t="n">
        <v>0</v>
      </c>
      <c r="R4541" s="2" t="inlineStr"/>
    </row>
    <row r="4542" ht="15" customHeight="1">
      <c r="A4542" t="inlineStr">
        <is>
          <t>A 4267-2024</t>
        </is>
      </c>
      <c r="B4542" s="1" t="n">
        <v>45324</v>
      </c>
      <c r="C4542" s="1" t="n">
        <v>45884</v>
      </c>
      <c r="D4542" t="inlineStr">
        <is>
          <t>KALMAR LÄN</t>
        </is>
      </c>
      <c r="E4542" t="inlineStr">
        <is>
          <t>TORSÅS</t>
        </is>
      </c>
      <c r="F4542" t="inlineStr">
        <is>
          <t>Övriga Aktiebolag</t>
        </is>
      </c>
      <c r="G4542" t="n">
        <v>3.2</v>
      </c>
      <c r="H4542" t="n">
        <v>0</v>
      </c>
      <c r="I4542" t="n">
        <v>0</v>
      </c>
      <c r="J4542" t="n">
        <v>0</v>
      </c>
      <c r="K4542" t="n">
        <v>0</v>
      </c>
      <c r="L4542" t="n">
        <v>0</v>
      </c>
      <c r="M4542" t="n">
        <v>0</v>
      </c>
      <c r="N4542" t="n">
        <v>0</v>
      </c>
      <c r="O4542" t="n">
        <v>0</v>
      </c>
      <c r="P4542" t="n">
        <v>0</v>
      </c>
      <c r="Q4542" t="n">
        <v>0</v>
      </c>
      <c r="R4542" s="2" t="inlineStr"/>
    </row>
    <row r="4543" ht="15" customHeight="1">
      <c r="A4543" t="inlineStr">
        <is>
          <t>A 47263-2023</t>
        </is>
      </c>
      <c r="B4543" s="1" t="n">
        <v>45202.4209837963</v>
      </c>
      <c r="C4543" s="1" t="n">
        <v>45884</v>
      </c>
      <c r="D4543" t="inlineStr">
        <is>
          <t>KALMAR LÄN</t>
        </is>
      </c>
      <c r="E4543" t="inlineStr">
        <is>
          <t>VIMMERBY</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18020-2025</t>
        </is>
      </c>
      <c r="B4544" s="1" t="n">
        <v>45761.4437962963</v>
      </c>
      <c r="C4544" s="1" t="n">
        <v>45884</v>
      </c>
      <c r="D4544" t="inlineStr">
        <is>
          <t>KALMAR LÄN</t>
        </is>
      </c>
      <c r="E4544" t="inlineStr">
        <is>
          <t>VIMMERBY</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62281-2023</t>
        </is>
      </c>
      <c r="B4545" s="1" t="n">
        <v>45267.64923611111</v>
      </c>
      <c r="C4545" s="1" t="n">
        <v>45884</v>
      </c>
      <c r="D4545" t="inlineStr">
        <is>
          <t>KALMAR LÄN</t>
        </is>
      </c>
      <c r="E4545" t="inlineStr">
        <is>
          <t>KALMAR</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52137-2021</t>
        </is>
      </c>
      <c r="B4546" s="1" t="n">
        <v>44463.49472222223</v>
      </c>
      <c r="C4546" s="1" t="n">
        <v>45884</v>
      </c>
      <c r="D4546" t="inlineStr">
        <is>
          <t>KALMAR LÄN</t>
        </is>
      </c>
      <c r="E4546" t="inlineStr">
        <is>
          <t>NYBRO</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36900-2024</t>
        </is>
      </c>
      <c r="B4547" s="1" t="n">
        <v>45538.62778935185</v>
      </c>
      <c r="C4547" s="1" t="n">
        <v>45884</v>
      </c>
      <c r="D4547" t="inlineStr">
        <is>
          <t>KALMAR LÄN</t>
        </is>
      </c>
      <c r="E4547" t="inlineStr">
        <is>
          <t>MÖNSTERÅS</t>
        </is>
      </c>
      <c r="G4547" t="n">
        <v>3.2</v>
      </c>
      <c r="H4547" t="n">
        <v>0</v>
      </c>
      <c r="I4547" t="n">
        <v>0</v>
      </c>
      <c r="J4547" t="n">
        <v>0</v>
      </c>
      <c r="K4547" t="n">
        <v>0</v>
      </c>
      <c r="L4547" t="n">
        <v>0</v>
      </c>
      <c r="M4547" t="n">
        <v>0</v>
      </c>
      <c r="N4547" t="n">
        <v>0</v>
      </c>
      <c r="O4547" t="n">
        <v>0</v>
      </c>
      <c r="P4547" t="n">
        <v>0</v>
      </c>
      <c r="Q4547" t="n">
        <v>0</v>
      </c>
      <c r="R4547" s="2" t="inlineStr"/>
    </row>
    <row r="4548" ht="15" customHeight="1">
      <c r="A4548" t="inlineStr">
        <is>
          <t>A 33424-2023</t>
        </is>
      </c>
      <c r="B4548" s="1" t="n">
        <v>45128.9325</v>
      </c>
      <c r="C4548" s="1" t="n">
        <v>45884</v>
      </c>
      <c r="D4548" t="inlineStr">
        <is>
          <t>KALMAR LÄN</t>
        </is>
      </c>
      <c r="E4548" t="inlineStr">
        <is>
          <t>VIMMERBY</t>
        </is>
      </c>
      <c r="G4548" t="n">
        <v>2.4</v>
      </c>
      <c r="H4548" t="n">
        <v>0</v>
      </c>
      <c r="I4548" t="n">
        <v>0</v>
      </c>
      <c r="J4548" t="n">
        <v>0</v>
      </c>
      <c r="K4548" t="n">
        <v>0</v>
      </c>
      <c r="L4548" t="n">
        <v>0</v>
      </c>
      <c r="M4548" t="n">
        <v>0</v>
      </c>
      <c r="N4548" t="n">
        <v>0</v>
      </c>
      <c r="O4548" t="n">
        <v>0</v>
      </c>
      <c r="P4548" t="n">
        <v>0</v>
      </c>
      <c r="Q4548" t="n">
        <v>0</v>
      </c>
      <c r="R4548" s="2" t="inlineStr"/>
    </row>
    <row r="4549" ht="15" customHeight="1">
      <c r="A4549" t="inlineStr">
        <is>
          <t>A 33425-2023</t>
        </is>
      </c>
      <c r="B4549" s="1" t="n">
        <v>45128.93540509259</v>
      </c>
      <c r="C4549" s="1" t="n">
        <v>45884</v>
      </c>
      <c r="D4549" t="inlineStr">
        <is>
          <t>KALMAR LÄN</t>
        </is>
      </c>
      <c r="E4549" t="inlineStr">
        <is>
          <t>VIMMERBY</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33441-2023</t>
        </is>
      </c>
      <c r="B4550" s="1" t="n">
        <v>45129.80059027778</v>
      </c>
      <c r="C4550" s="1" t="n">
        <v>45884</v>
      </c>
      <c r="D4550" t="inlineStr">
        <is>
          <t>KALMAR LÄN</t>
        </is>
      </c>
      <c r="E4550" t="inlineStr">
        <is>
          <t>HULTSFRED</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48926-2023</t>
        </is>
      </c>
      <c r="B4551" s="1" t="n">
        <v>45204</v>
      </c>
      <c r="C4551" s="1" t="n">
        <v>45884</v>
      </c>
      <c r="D4551" t="inlineStr">
        <is>
          <t>KALMAR LÄN</t>
        </is>
      </c>
      <c r="E4551" t="inlineStr">
        <is>
          <t>EMMABODA</t>
        </is>
      </c>
      <c r="F4551" t="inlineStr">
        <is>
          <t>Övriga Aktiebolag</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48933-2023</t>
        </is>
      </c>
      <c r="B4552" s="1" t="n">
        <v>45209.56659722222</v>
      </c>
      <c r="C4552" s="1" t="n">
        <v>45884</v>
      </c>
      <c r="D4552" t="inlineStr">
        <is>
          <t>KALMAR LÄN</t>
        </is>
      </c>
      <c r="E4552" t="inlineStr">
        <is>
          <t>KALMAR</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48943-2023</t>
        </is>
      </c>
      <c r="B4553" s="1" t="n">
        <v>45209.57653935185</v>
      </c>
      <c r="C4553" s="1" t="n">
        <v>45884</v>
      </c>
      <c r="D4553" t="inlineStr">
        <is>
          <t>KALMAR LÄN</t>
        </is>
      </c>
      <c r="E4553" t="inlineStr">
        <is>
          <t>KALMAR</t>
        </is>
      </c>
      <c r="G4553" t="n">
        <v>0.4</v>
      </c>
      <c r="H4553" t="n">
        <v>0</v>
      </c>
      <c r="I4553" t="n">
        <v>0</v>
      </c>
      <c r="J4553" t="n">
        <v>0</v>
      </c>
      <c r="K4553" t="n">
        <v>0</v>
      </c>
      <c r="L4553" t="n">
        <v>0</v>
      </c>
      <c r="M4553" t="n">
        <v>0</v>
      </c>
      <c r="N4553" t="n">
        <v>0</v>
      </c>
      <c r="O4553" t="n">
        <v>0</v>
      </c>
      <c r="P4553" t="n">
        <v>0</v>
      </c>
      <c r="Q4553" t="n">
        <v>0</v>
      </c>
      <c r="R4553" s="2" t="inlineStr"/>
    </row>
    <row r="4554" ht="15" customHeight="1">
      <c r="A4554" t="inlineStr">
        <is>
          <t>A 3916-2025</t>
        </is>
      </c>
      <c r="B4554" s="1" t="n">
        <v>45684</v>
      </c>
      <c r="C4554" s="1" t="n">
        <v>45884</v>
      </c>
      <c r="D4554" t="inlineStr">
        <is>
          <t>KALMAR LÄN</t>
        </is>
      </c>
      <c r="E4554" t="inlineStr">
        <is>
          <t>KALMAR</t>
        </is>
      </c>
      <c r="G4554" t="n">
        <v>19.7</v>
      </c>
      <c r="H4554" t="n">
        <v>0</v>
      </c>
      <c r="I4554" t="n">
        <v>0</v>
      </c>
      <c r="J4554" t="n">
        <v>0</v>
      </c>
      <c r="K4554" t="n">
        <v>0</v>
      </c>
      <c r="L4554" t="n">
        <v>0</v>
      </c>
      <c r="M4554" t="n">
        <v>0</v>
      </c>
      <c r="N4554" t="n">
        <v>0</v>
      </c>
      <c r="O4554" t="n">
        <v>0</v>
      </c>
      <c r="P4554" t="n">
        <v>0</v>
      </c>
      <c r="Q4554" t="n">
        <v>0</v>
      </c>
      <c r="R4554" s="2" t="inlineStr"/>
    </row>
    <row r="4555" ht="15" customHeight="1">
      <c r="A4555" t="inlineStr">
        <is>
          <t>A 12327-2023</t>
        </is>
      </c>
      <c r="B4555" s="1" t="n">
        <v>44999.36081018519</v>
      </c>
      <c r="C4555" s="1" t="n">
        <v>45884</v>
      </c>
      <c r="D4555" t="inlineStr">
        <is>
          <t>KALMAR LÄN</t>
        </is>
      </c>
      <c r="E4555" t="inlineStr">
        <is>
          <t>VIMMERBY</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43092-2024</t>
        </is>
      </c>
      <c r="B4556" s="1" t="n">
        <v>45567</v>
      </c>
      <c r="C4556" s="1" t="n">
        <v>45884</v>
      </c>
      <c r="D4556" t="inlineStr">
        <is>
          <t>KALMAR LÄN</t>
        </is>
      </c>
      <c r="E4556" t="inlineStr">
        <is>
          <t>VIMMERBY</t>
        </is>
      </c>
      <c r="G4556" t="n">
        <v>2.7</v>
      </c>
      <c r="H4556" t="n">
        <v>0</v>
      </c>
      <c r="I4556" t="n">
        <v>0</v>
      </c>
      <c r="J4556" t="n">
        <v>0</v>
      </c>
      <c r="K4556" t="n">
        <v>0</v>
      </c>
      <c r="L4556" t="n">
        <v>0</v>
      </c>
      <c r="M4556" t="n">
        <v>0</v>
      </c>
      <c r="N4556" t="n">
        <v>0</v>
      </c>
      <c r="O4556" t="n">
        <v>0</v>
      </c>
      <c r="P4556" t="n">
        <v>0</v>
      </c>
      <c r="Q4556" t="n">
        <v>0</v>
      </c>
      <c r="R4556" s="2" t="inlineStr"/>
    </row>
    <row r="4557" ht="15" customHeight="1">
      <c r="A4557" t="inlineStr">
        <is>
          <t>A 67883-2020</t>
        </is>
      </c>
      <c r="B4557" s="1" t="n">
        <v>44182</v>
      </c>
      <c r="C4557" s="1" t="n">
        <v>45884</v>
      </c>
      <c r="D4557" t="inlineStr">
        <is>
          <t>KALMAR LÄN</t>
        </is>
      </c>
      <c r="E4557" t="inlineStr">
        <is>
          <t>KALMAR</t>
        </is>
      </c>
      <c r="G4557" t="n">
        <v>8.699999999999999</v>
      </c>
      <c r="H4557" t="n">
        <v>0</v>
      </c>
      <c r="I4557" t="n">
        <v>0</v>
      </c>
      <c r="J4557" t="n">
        <v>0</v>
      </c>
      <c r="K4557" t="n">
        <v>0</v>
      </c>
      <c r="L4557" t="n">
        <v>0</v>
      </c>
      <c r="M4557" t="n">
        <v>0</v>
      </c>
      <c r="N4557" t="n">
        <v>0</v>
      </c>
      <c r="O4557" t="n">
        <v>0</v>
      </c>
      <c r="P4557" t="n">
        <v>0</v>
      </c>
      <c r="Q4557" t="n">
        <v>0</v>
      </c>
      <c r="R4557" s="2" t="inlineStr"/>
    </row>
    <row r="4558" ht="15" customHeight="1">
      <c r="A4558" t="inlineStr">
        <is>
          <t>A 21291-2023</t>
        </is>
      </c>
      <c r="B4558" s="1" t="n">
        <v>45062.65315972222</v>
      </c>
      <c r="C4558" s="1" t="n">
        <v>45884</v>
      </c>
      <c r="D4558" t="inlineStr">
        <is>
          <t>KALMAR LÄN</t>
        </is>
      </c>
      <c r="E4558" t="inlineStr">
        <is>
          <t>EMMABODA</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15953-2024</t>
        </is>
      </c>
      <c r="B4559" s="1" t="n">
        <v>45405.52</v>
      </c>
      <c r="C4559" s="1" t="n">
        <v>45884</v>
      </c>
      <c r="D4559" t="inlineStr">
        <is>
          <t>KALMAR LÄN</t>
        </is>
      </c>
      <c r="E4559" t="inlineStr">
        <is>
          <t>OSKARSHAMN</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15954-2024</t>
        </is>
      </c>
      <c r="B4560" s="1" t="n">
        <v>45405.52430555555</v>
      </c>
      <c r="C4560" s="1" t="n">
        <v>45884</v>
      </c>
      <c r="D4560" t="inlineStr">
        <is>
          <t>KALMAR LÄN</t>
        </is>
      </c>
      <c r="E4560" t="inlineStr">
        <is>
          <t>OSKARSHAMN</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59017-2023</t>
        </is>
      </c>
      <c r="B4561" s="1" t="n">
        <v>45252.66114583334</v>
      </c>
      <c r="C4561" s="1" t="n">
        <v>45884</v>
      </c>
      <c r="D4561" t="inlineStr">
        <is>
          <t>KALMAR LÄN</t>
        </is>
      </c>
      <c r="E4561" t="inlineStr">
        <is>
          <t>TORSÅS</t>
        </is>
      </c>
      <c r="G4561" t="n">
        <v>0.6</v>
      </c>
      <c r="H4561" t="n">
        <v>0</v>
      </c>
      <c r="I4561" t="n">
        <v>0</v>
      </c>
      <c r="J4561" t="n">
        <v>0</v>
      </c>
      <c r="K4561" t="n">
        <v>0</v>
      </c>
      <c r="L4561" t="n">
        <v>0</v>
      </c>
      <c r="M4561" t="n">
        <v>0</v>
      </c>
      <c r="N4561" t="n">
        <v>0</v>
      </c>
      <c r="O4561" t="n">
        <v>0</v>
      </c>
      <c r="P4561" t="n">
        <v>0</v>
      </c>
      <c r="Q4561" t="n">
        <v>0</v>
      </c>
      <c r="R4561" s="2" t="inlineStr"/>
    </row>
    <row r="4562" ht="15" customHeight="1">
      <c r="A4562" t="inlineStr">
        <is>
          <t>A 26078-2023</t>
        </is>
      </c>
      <c r="B4562" s="1" t="n">
        <v>45091</v>
      </c>
      <c r="C4562" s="1" t="n">
        <v>45884</v>
      </c>
      <c r="D4562" t="inlineStr">
        <is>
          <t>KALMAR LÄN</t>
        </is>
      </c>
      <c r="E4562" t="inlineStr">
        <is>
          <t>KALMAR</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19608-2025</t>
        </is>
      </c>
      <c r="B4563" s="1" t="n">
        <v>45770.60177083333</v>
      </c>
      <c r="C4563" s="1" t="n">
        <v>45884</v>
      </c>
      <c r="D4563" t="inlineStr">
        <is>
          <t>KALMAR LÄN</t>
        </is>
      </c>
      <c r="E4563" t="inlineStr">
        <is>
          <t>VÄSTERVIK</t>
        </is>
      </c>
      <c r="G4563" t="n">
        <v>3.5</v>
      </c>
      <c r="H4563" t="n">
        <v>0</v>
      </c>
      <c r="I4563" t="n">
        <v>0</v>
      </c>
      <c r="J4563" t="n">
        <v>0</v>
      </c>
      <c r="K4563" t="n">
        <v>0</v>
      </c>
      <c r="L4563" t="n">
        <v>0</v>
      </c>
      <c r="M4563" t="n">
        <v>0</v>
      </c>
      <c r="N4563" t="n">
        <v>0</v>
      </c>
      <c r="O4563" t="n">
        <v>0</v>
      </c>
      <c r="P4563" t="n">
        <v>0</v>
      </c>
      <c r="Q4563" t="n">
        <v>0</v>
      </c>
      <c r="R4563" s="2" t="inlineStr"/>
    </row>
    <row r="4564" ht="15" customHeight="1">
      <c r="A4564" t="inlineStr">
        <is>
          <t>A 19993-2025</t>
        </is>
      </c>
      <c r="B4564" s="1" t="n">
        <v>45771</v>
      </c>
      <c r="C4564" s="1" t="n">
        <v>45884</v>
      </c>
      <c r="D4564" t="inlineStr">
        <is>
          <t>KALMAR LÄN</t>
        </is>
      </c>
      <c r="E4564" t="inlineStr">
        <is>
          <t>KALMAR</t>
        </is>
      </c>
      <c r="G4564" t="n">
        <v>2.8</v>
      </c>
      <c r="H4564" t="n">
        <v>0</v>
      </c>
      <c r="I4564" t="n">
        <v>0</v>
      </c>
      <c r="J4564" t="n">
        <v>0</v>
      </c>
      <c r="K4564" t="n">
        <v>0</v>
      </c>
      <c r="L4564" t="n">
        <v>0</v>
      </c>
      <c r="M4564" t="n">
        <v>0</v>
      </c>
      <c r="N4564" t="n">
        <v>0</v>
      </c>
      <c r="O4564" t="n">
        <v>0</v>
      </c>
      <c r="P4564" t="n">
        <v>0</v>
      </c>
      <c r="Q4564" t="n">
        <v>0</v>
      </c>
      <c r="R4564" s="2" t="inlineStr"/>
    </row>
    <row r="4565" ht="15" customHeight="1">
      <c r="A4565" t="inlineStr">
        <is>
          <t>A 19997-2025</t>
        </is>
      </c>
      <c r="B4565" s="1" t="n">
        <v>45771.81793981481</v>
      </c>
      <c r="C4565" s="1" t="n">
        <v>45884</v>
      </c>
      <c r="D4565" t="inlineStr">
        <is>
          <t>KALMAR LÄN</t>
        </is>
      </c>
      <c r="E4565" t="inlineStr">
        <is>
          <t>OSKARSHAMN</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58100-2024</t>
        </is>
      </c>
      <c r="B4566" s="1" t="n">
        <v>45632.36706018518</v>
      </c>
      <c r="C4566" s="1" t="n">
        <v>45884</v>
      </c>
      <c r="D4566" t="inlineStr">
        <is>
          <t>KALMAR LÄN</t>
        </is>
      </c>
      <c r="E4566" t="inlineStr">
        <is>
          <t>VIMMERBY</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60446-2023</t>
        </is>
      </c>
      <c r="B4567" s="1" t="n">
        <v>45259.53137731482</v>
      </c>
      <c r="C4567" s="1" t="n">
        <v>45884</v>
      </c>
      <c r="D4567" t="inlineStr">
        <is>
          <t>KALMAR LÄN</t>
        </is>
      </c>
      <c r="E4567" t="inlineStr">
        <is>
          <t>HÖGSBY</t>
        </is>
      </c>
      <c r="G4567" t="n">
        <v>6.5</v>
      </c>
      <c r="H4567" t="n">
        <v>0</v>
      </c>
      <c r="I4567" t="n">
        <v>0</v>
      </c>
      <c r="J4567" t="n">
        <v>0</v>
      </c>
      <c r="K4567" t="n">
        <v>0</v>
      </c>
      <c r="L4567" t="n">
        <v>0</v>
      </c>
      <c r="M4567" t="n">
        <v>0</v>
      </c>
      <c r="N4567" t="n">
        <v>0</v>
      </c>
      <c r="O4567" t="n">
        <v>0</v>
      </c>
      <c r="P4567" t="n">
        <v>0</v>
      </c>
      <c r="Q4567" t="n">
        <v>0</v>
      </c>
      <c r="R4567" s="2" t="inlineStr"/>
    </row>
    <row r="4568" ht="15" customHeight="1">
      <c r="A4568" t="inlineStr">
        <is>
          <t>A 58159-2024</t>
        </is>
      </c>
      <c r="B4568" s="1" t="n">
        <v>45632.44886574074</v>
      </c>
      <c r="C4568" s="1" t="n">
        <v>45884</v>
      </c>
      <c r="D4568" t="inlineStr">
        <is>
          <t>KALMAR LÄN</t>
        </is>
      </c>
      <c r="E4568" t="inlineStr">
        <is>
          <t>VIMMERBY</t>
        </is>
      </c>
      <c r="G4568" t="n">
        <v>7.5</v>
      </c>
      <c r="H4568" t="n">
        <v>0</v>
      </c>
      <c r="I4568" t="n">
        <v>0</v>
      </c>
      <c r="J4568" t="n">
        <v>0</v>
      </c>
      <c r="K4568" t="n">
        <v>0</v>
      </c>
      <c r="L4568" t="n">
        <v>0</v>
      </c>
      <c r="M4568" t="n">
        <v>0</v>
      </c>
      <c r="N4568" t="n">
        <v>0</v>
      </c>
      <c r="O4568" t="n">
        <v>0</v>
      </c>
      <c r="P4568" t="n">
        <v>0</v>
      </c>
      <c r="Q4568" t="n">
        <v>0</v>
      </c>
      <c r="R4568" s="2" t="inlineStr"/>
    </row>
    <row r="4569" ht="15" customHeight="1">
      <c r="A4569" t="inlineStr">
        <is>
          <t>A 52435-2021</t>
        </is>
      </c>
      <c r="B4569" s="1" t="n">
        <v>44466.34962962963</v>
      </c>
      <c r="C4569" s="1" t="n">
        <v>45884</v>
      </c>
      <c r="D4569" t="inlineStr">
        <is>
          <t>KALMAR LÄN</t>
        </is>
      </c>
      <c r="E4569" t="inlineStr">
        <is>
          <t>VIMMERBY</t>
        </is>
      </c>
      <c r="G4569" t="n">
        <v>2.8</v>
      </c>
      <c r="H4569" t="n">
        <v>0</v>
      </c>
      <c r="I4569" t="n">
        <v>0</v>
      </c>
      <c r="J4569" t="n">
        <v>0</v>
      </c>
      <c r="K4569" t="n">
        <v>0</v>
      </c>
      <c r="L4569" t="n">
        <v>0</v>
      </c>
      <c r="M4569" t="n">
        <v>0</v>
      </c>
      <c r="N4569" t="n">
        <v>0</v>
      </c>
      <c r="O4569" t="n">
        <v>0</v>
      </c>
      <c r="P4569" t="n">
        <v>0</v>
      </c>
      <c r="Q4569" t="n">
        <v>0</v>
      </c>
      <c r="R4569" s="2" t="inlineStr"/>
    </row>
    <row r="4570" ht="15" customHeight="1">
      <c r="A4570" t="inlineStr">
        <is>
          <t>A 60638-2023</t>
        </is>
      </c>
      <c r="B4570" s="1" t="n">
        <v>45260</v>
      </c>
      <c r="C4570" s="1" t="n">
        <v>45884</v>
      </c>
      <c r="D4570" t="inlineStr">
        <is>
          <t>KALMAR LÄN</t>
        </is>
      </c>
      <c r="E4570" t="inlineStr">
        <is>
          <t>KALMAR</t>
        </is>
      </c>
      <c r="G4570" t="n">
        <v>0.4</v>
      </c>
      <c r="H4570" t="n">
        <v>0</v>
      </c>
      <c r="I4570" t="n">
        <v>0</v>
      </c>
      <c r="J4570" t="n">
        <v>0</v>
      </c>
      <c r="K4570" t="n">
        <v>0</v>
      </c>
      <c r="L4570" t="n">
        <v>0</v>
      </c>
      <c r="M4570" t="n">
        <v>0</v>
      </c>
      <c r="N4570" t="n">
        <v>0</v>
      </c>
      <c r="O4570" t="n">
        <v>0</v>
      </c>
      <c r="P4570" t="n">
        <v>0</v>
      </c>
      <c r="Q4570" t="n">
        <v>0</v>
      </c>
      <c r="R4570" s="2" t="inlineStr"/>
    </row>
    <row r="4571" ht="15" customHeight="1">
      <c r="A4571" t="inlineStr">
        <is>
          <t>A 61143-2024</t>
        </is>
      </c>
      <c r="B4571" s="1" t="n">
        <v>45645.58637731482</v>
      </c>
      <c r="C4571" s="1" t="n">
        <v>45884</v>
      </c>
      <c r="D4571" t="inlineStr">
        <is>
          <t>KALMAR LÄN</t>
        </is>
      </c>
      <c r="E4571" t="inlineStr">
        <is>
          <t>EMMABODA</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11941-2024</t>
        </is>
      </c>
      <c r="B4572" s="1" t="n">
        <v>45376.6791087963</v>
      </c>
      <c r="C4572" s="1" t="n">
        <v>45884</v>
      </c>
      <c r="D4572" t="inlineStr">
        <is>
          <t>KALMAR LÄN</t>
        </is>
      </c>
      <c r="E4572" t="inlineStr">
        <is>
          <t>EMMABODA</t>
        </is>
      </c>
      <c r="G4572" t="n">
        <v>2.1</v>
      </c>
      <c r="H4572" t="n">
        <v>0</v>
      </c>
      <c r="I4572" t="n">
        <v>0</v>
      </c>
      <c r="J4572" t="n">
        <v>0</v>
      </c>
      <c r="K4572" t="n">
        <v>0</v>
      </c>
      <c r="L4572" t="n">
        <v>0</v>
      </c>
      <c r="M4572" t="n">
        <v>0</v>
      </c>
      <c r="N4572" t="n">
        <v>0</v>
      </c>
      <c r="O4572" t="n">
        <v>0</v>
      </c>
      <c r="P4572" t="n">
        <v>0</v>
      </c>
      <c r="Q4572" t="n">
        <v>0</v>
      </c>
      <c r="R4572" s="2" t="inlineStr"/>
    </row>
    <row r="4573" ht="15" customHeight="1">
      <c r="A4573" t="inlineStr">
        <is>
          <t>A 37090-2021</t>
        </is>
      </c>
      <c r="B4573" s="1" t="n">
        <v>44395.72300925926</v>
      </c>
      <c r="C4573" s="1" t="n">
        <v>45884</v>
      </c>
      <c r="D4573" t="inlineStr">
        <is>
          <t>KALMAR LÄN</t>
        </is>
      </c>
      <c r="E4573" t="inlineStr">
        <is>
          <t>OSKARSHAMN</t>
        </is>
      </c>
      <c r="G4573" t="n">
        <v>2</v>
      </c>
      <c r="H4573" t="n">
        <v>0</v>
      </c>
      <c r="I4573" t="n">
        <v>0</v>
      </c>
      <c r="J4573" t="n">
        <v>0</v>
      </c>
      <c r="K4573" t="n">
        <v>0</v>
      </c>
      <c r="L4573" t="n">
        <v>0</v>
      </c>
      <c r="M4573" t="n">
        <v>0</v>
      </c>
      <c r="N4573" t="n">
        <v>0</v>
      </c>
      <c r="O4573" t="n">
        <v>0</v>
      </c>
      <c r="P4573" t="n">
        <v>0</v>
      </c>
      <c r="Q4573" t="n">
        <v>0</v>
      </c>
      <c r="R4573" s="2" t="inlineStr"/>
    </row>
    <row r="4574" ht="15" customHeight="1">
      <c r="A4574" t="inlineStr">
        <is>
          <t>A 46507-2021</t>
        </is>
      </c>
      <c r="B4574" s="1" t="n">
        <v>44445</v>
      </c>
      <c r="C4574" s="1" t="n">
        <v>45884</v>
      </c>
      <c r="D4574" t="inlineStr">
        <is>
          <t>KALMAR LÄN</t>
        </is>
      </c>
      <c r="E4574" t="inlineStr">
        <is>
          <t>EMMABODA</t>
        </is>
      </c>
      <c r="G4574" t="n">
        <v>2.1</v>
      </c>
      <c r="H4574" t="n">
        <v>0</v>
      </c>
      <c r="I4574" t="n">
        <v>0</v>
      </c>
      <c r="J4574" t="n">
        <v>0</v>
      </c>
      <c r="K4574" t="n">
        <v>0</v>
      </c>
      <c r="L4574" t="n">
        <v>0</v>
      </c>
      <c r="M4574" t="n">
        <v>0</v>
      </c>
      <c r="N4574" t="n">
        <v>0</v>
      </c>
      <c r="O4574" t="n">
        <v>0</v>
      </c>
      <c r="P4574" t="n">
        <v>0</v>
      </c>
      <c r="Q4574" t="n">
        <v>0</v>
      </c>
      <c r="R4574" s="2" t="inlineStr"/>
    </row>
    <row r="4575" ht="15" customHeight="1">
      <c r="A4575" t="inlineStr">
        <is>
          <t>A 49895-2023</t>
        </is>
      </c>
      <c r="B4575" s="1" t="n">
        <v>45213.83515046296</v>
      </c>
      <c r="C4575" s="1" t="n">
        <v>45884</v>
      </c>
      <c r="D4575" t="inlineStr">
        <is>
          <t>KALMAR LÄN</t>
        </is>
      </c>
      <c r="E4575" t="inlineStr">
        <is>
          <t>NYBRO</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51082-2022</t>
        </is>
      </c>
      <c r="B4576" s="1" t="n">
        <v>44868</v>
      </c>
      <c r="C4576" s="1" t="n">
        <v>45884</v>
      </c>
      <c r="D4576" t="inlineStr">
        <is>
          <t>KALMAR LÄN</t>
        </is>
      </c>
      <c r="E4576" t="inlineStr">
        <is>
          <t>NYBRO</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38048-2023</t>
        </is>
      </c>
      <c r="B4577" s="1" t="n">
        <v>45160.67677083334</v>
      </c>
      <c r="C4577" s="1" t="n">
        <v>45884</v>
      </c>
      <c r="D4577" t="inlineStr">
        <is>
          <t>KALMAR LÄN</t>
        </is>
      </c>
      <c r="E4577" t="inlineStr">
        <is>
          <t>VÄSTERVIK</t>
        </is>
      </c>
      <c r="F4577" t="inlineStr">
        <is>
          <t>Sveaskog</t>
        </is>
      </c>
      <c r="G4577" t="n">
        <v>3.3</v>
      </c>
      <c r="H4577" t="n">
        <v>0</v>
      </c>
      <c r="I4577" t="n">
        <v>0</v>
      </c>
      <c r="J4577" t="n">
        <v>0</v>
      </c>
      <c r="K4577" t="n">
        <v>0</v>
      </c>
      <c r="L4577" t="n">
        <v>0</v>
      </c>
      <c r="M4577" t="n">
        <v>0</v>
      </c>
      <c r="N4577" t="n">
        <v>0</v>
      </c>
      <c r="O4577" t="n">
        <v>0</v>
      </c>
      <c r="P4577" t="n">
        <v>0</v>
      </c>
      <c r="Q4577" t="n">
        <v>0</v>
      </c>
      <c r="R4577" s="2" t="inlineStr"/>
    </row>
    <row r="4578" ht="15" customHeight="1">
      <c r="A4578" t="inlineStr">
        <is>
          <t>A 58990-2024</t>
        </is>
      </c>
      <c r="B4578" s="1" t="n">
        <v>45636.63569444444</v>
      </c>
      <c r="C4578" s="1" t="n">
        <v>45884</v>
      </c>
      <c r="D4578" t="inlineStr">
        <is>
          <t>KALMAR LÄN</t>
        </is>
      </c>
      <c r="E4578" t="inlineStr">
        <is>
          <t>EMMABODA</t>
        </is>
      </c>
      <c r="G4578" t="n">
        <v>2</v>
      </c>
      <c r="H4578" t="n">
        <v>0</v>
      </c>
      <c r="I4578" t="n">
        <v>0</v>
      </c>
      <c r="J4578" t="n">
        <v>0</v>
      </c>
      <c r="K4578" t="n">
        <v>0</v>
      </c>
      <c r="L4578" t="n">
        <v>0</v>
      </c>
      <c r="M4578" t="n">
        <v>0</v>
      </c>
      <c r="N4578" t="n">
        <v>0</v>
      </c>
      <c r="O4578" t="n">
        <v>0</v>
      </c>
      <c r="P4578" t="n">
        <v>0</v>
      </c>
      <c r="Q4578" t="n">
        <v>0</v>
      </c>
      <c r="R4578" s="2" t="inlineStr"/>
    </row>
    <row r="4579" ht="15" customHeight="1">
      <c r="A4579" t="inlineStr">
        <is>
          <t>A 57114-2023</t>
        </is>
      </c>
      <c r="B4579" s="1" t="n">
        <v>45245.36174768519</v>
      </c>
      <c r="C4579" s="1" t="n">
        <v>45884</v>
      </c>
      <c r="D4579" t="inlineStr">
        <is>
          <t>KALMAR LÄN</t>
        </is>
      </c>
      <c r="E4579" t="inlineStr">
        <is>
          <t>VIMMERBY</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35541-2024</t>
        </is>
      </c>
      <c r="B4580" s="1" t="n">
        <v>45531</v>
      </c>
      <c r="C4580" s="1" t="n">
        <v>45884</v>
      </c>
      <c r="D4580" t="inlineStr">
        <is>
          <t>KALMAR LÄN</t>
        </is>
      </c>
      <c r="E4580" t="inlineStr">
        <is>
          <t>OSKARSHAMN</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40991-2024</t>
        </is>
      </c>
      <c r="B4581" s="1" t="n">
        <v>45558.7166087963</v>
      </c>
      <c r="C4581" s="1" t="n">
        <v>45884</v>
      </c>
      <c r="D4581" t="inlineStr">
        <is>
          <t>KALMAR LÄN</t>
        </is>
      </c>
      <c r="E4581" t="inlineStr">
        <is>
          <t>MÖNSTERÅS</t>
        </is>
      </c>
      <c r="G4581" t="n">
        <v>3.7</v>
      </c>
      <c r="H4581" t="n">
        <v>0</v>
      </c>
      <c r="I4581" t="n">
        <v>0</v>
      </c>
      <c r="J4581" t="n">
        <v>0</v>
      </c>
      <c r="K4581" t="n">
        <v>0</v>
      </c>
      <c r="L4581" t="n">
        <v>0</v>
      </c>
      <c r="M4581" t="n">
        <v>0</v>
      </c>
      <c r="N4581" t="n">
        <v>0</v>
      </c>
      <c r="O4581" t="n">
        <v>0</v>
      </c>
      <c r="P4581" t="n">
        <v>0</v>
      </c>
      <c r="Q4581" t="n">
        <v>0</v>
      </c>
      <c r="R4581" s="2" t="inlineStr"/>
    </row>
    <row r="4582" ht="15" customHeight="1">
      <c r="A4582" t="inlineStr">
        <is>
          <t>A 15584-2024</t>
        </is>
      </c>
      <c r="B4582" s="1" t="n">
        <v>45401.70074074074</v>
      </c>
      <c r="C4582" s="1" t="n">
        <v>45884</v>
      </c>
      <c r="D4582" t="inlineStr">
        <is>
          <t>KALMAR LÄN</t>
        </is>
      </c>
      <c r="E4582" t="inlineStr">
        <is>
          <t>NYBRO</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3423-2022</t>
        </is>
      </c>
      <c r="B4583" s="1" t="n">
        <v>44585.50431712963</v>
      </c>
      <c r="C4583" s="1" t="n">
        <v>45884</v>
      </c>
      <c r="D4583" t="inlineStr">
        <is>
          <t>KALMAR LÄN</t>
        </is>
      </c>
      <c r="E4583" t="inlineStr">
        <is>
          <t>VIMMERBY</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61925-2021</t>
        </is>
      </c>
      <c r="B4584" s="1" t="n">
        <v>44502</v>
      </c>
      <c r="C4584" s="1" t="n">
        <v>45884</v>
      </c>
      <c r="D4584" t="inlineStr">
        <is>
          <t>KALMAR LÄN</t>
        </is>
      </c>
      <c r="E4584" t="inlineStr">
        <is>
          <t>KALMAR</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17934-2022</t>
        </is>
      </c>
      <c r="B4585" s="1" t="n">
        <v>44683</v>
      </c>
      <c r="C4585" s="1" t="n">
        <v>45884</v>
      </c>
      <c r="D4585" t="inlineStr">
        <is>
          <t>KALMAR LÄN</t>
        </is>
      </c>
      <c r="E4585" t="inlineStr">
        <is>
          <t>EMMABODA</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57183-2024</t>
        </is>
      </c>
      <c r="B4586" s="1" t="n">
        <v>45629.44709490741</v>
      </c>
      <c r="C4586" s="1" t="n">
        <v>45884</v>
      </c>
      <c r="D4586" t="inlineStr">
        <is>
          <t>KALMAR LÄN</t>
        </is>
      </c>
      <c r="E4586" t="inlineStr">
        <is>
          <t>EMMABODA</t>
        </is>
      </c>
      <c r="G4586" t="n">
        <v>4.6</v>
      </c>
      <c r="H4586" t="n">
        <v>0</v>
      </c>
      <c r="I4586" t="n">
        <v>0</v>
      </c>
      <c r="J4586" t="n">
        <v>0</v>
      </c>
      <c r="K4586" t="n">
        <v>0</v>
      </c>
      <c r="L4586" t="n">
        <v>0</v>
      </c>
      <c r="M4586" t="n">
        <v>0</v>
      </c>
      <c r="N4586" t="n">
        <v>0</v>
      </c>
      <c r="O4586" t="n">
        <v>0</v>
      </c>
      <c r="P4586" t="n">
        <v>0</v>
      </c>
      <c r="Q4586" t="n">
        <v>0</v>
      </c>
      <c r="R4586" s="2" t="inlineStr"/>
    </row>
    <row r="4587" ht="15" customHeight="1">
      <c r="A4587" t="inlineStr">
        <is>
          <t>A 57224-2024</t>
        </is>
      </c>
      <c r="B4587" s="1" t="n">
        <v>45629.52961805555</v>
      </c>
      <c r="C4587" s="1" t="n">
        <v>45884</v>
      </c>
      <c r="D4587" t="inlineStr">
        <is>
          <t>KALMAR LÄN</t>
        </is>
      </c>
      <c r="E4587" t="inlineStr">
        <is>
          <t>NYBRO</t>
        </is>
      </c>
      <c r="G4587" t="n">
        <v>2.6</v>
      </c>
      <c r="H4587" t="n">
        <v>0</v>
      </c>
      <c r="I4587" t="n">
        <v>0</v>
      </c>
      <c r="J4587" t="n">
        <v>0</v>
      </c>
      <c r="K4587" t="n">
        <v>0</v>
      </c>
      <c r="L4587" t="n">
        <v>0</v>
      </c>
      <c r="M4587" t="n">
        <v>0</v>
      </c>
      <c r="N4587" t="n">
        <v>0</v>
      </c>
      <c r="O4587" t="n">
        <v>0</v>
      </c>
      <c r="P4587" t="n">
        <v>0</v>
      </c>
      <c r="Q4587" t="n">
        <v>0</v>
      </c>
      <c r="R4587" s="2" t="inlineStr"/>
    </row>
    <row r="4588" ht="15" customHeight="1">
      <c r="A4588" t="inlineStr">
        <is>
          <t>A 11584-2023</t>
        </is>
      </c>
      <c r="B4588" s="1" t="n">
        <v>44994.35707175926</v>
      </c>
      <c r="C4588" s="1" t="n">
        <v>45884</v>
      </c>
      <c r="D4588" t="inlineStr">
        <is>
          <t>KALMAR LÄN</t>
        </is>
      </c>
      <c r="E4588" t="inlineStr">
        <is>
          <t>VÄSTERVIK</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48000-2024</t>
        </is>
      </c>
      <c r="B4589" s="1" t="n">
        <v>45589.44753472223</v>
      </c>
      <c r="C4589" s="1" t="n">
        <v>45884</v>
      </c>
      <c r="D4589" t="inlineStr">
        <is>
          <t>KALMAR LÄN</t>
        </is>
      </c>
      <c r="E4589" t="inlineStr">
        <is>
          <t>OSKARSHAMN</t>
        </is>
      </c>
      <c r="G4589" t="n">
        <v>3.1</v>
      </c>
      <c r="H4589" t="n">
        <v>0</v>
      </c>
      <c r="I4589" t="n">
        <v>0</v>
      </c>
      <c r="J4589" t="n">
        <v>0</v>
      </c>
      <c r="K4589" t="n">
        <v>0</v>
      </c>
      <c r="L4589" t="n">
        <v>0</v>
      </c>
      <c r="M4589" t="n">
        <v>0</v>
      </c>
      <c r="N4589" t="n">
        <v>0</v>
      </c>
      <c r="O4589" t="n">
        <v>0</v>
      </c>
      <c r="P4589" t="n">
        <v>0</v>
      </c>
      <c r="Q4589" t="n">
        <v>0</v>
      </c>
      <c r="R4589" s="2" t="inlineStr"/>
    </row>
    <row r="4590" ht="15" customHeight="1">
      <c r="A4590" t="inlineStr">
        <is>
          <t>A 34021-2023</t>
        </is>
      </c>
      <c r="B4590" s="1" t="n">
        <v>45135</v>
      </c>
      <c r="C4590" s="1" t="n">
        <v>45884</v>
      </c>
      <c r="D4590" t="inlineStr">
        <is>
          <t>KALMAR LÄN</t>
        </is>
      </c>
      <c r="E4590" t="inlineStr">
        <is>
          <t>NYBRO</t>
        </is>
      </c>
      <c r="G4590" t="n">
        <v>2.1</v>
      </c>
      <c r="H4590" t="n">
        <v>0</v>
      </c>
      <c r="I4590" t="n">
        <v>0</v>
      </c>
      <c r="J4590" t="n">
        <v>0</v>
      </c>
      <c r="K4590" t="n">
        <v>0</v>
      </c>
      <c r="L4590" t="n">
        <v>0</v>
      </c>
      <c r="M4590" t="n">
        <v>0</v>
      </c>
      <c r="N4590" t="n">
        <v>0</v>
      </c>
      <c r="O4590" t="n">
        <v>0</v>
      </c>
      <c r="P4590" t="n">
        <v>0</v>
      </c>
      <c r="Q4590" t="n">
        <v>0</v>
      </c>
      <c r="R4590" s="2" t="inlineStr"/>
    </row>
    <row r="4591" ht="15" customHeight="1">
      <c r="A4591" t="inlineStr">
        <is>
          <t>A 40665-2023</t>
        </is>
      </c>
      <c r="B4591" s="1" t="n">
        <v>45170</v>
      </c>
      <c r="C4591" s="1" t="n">
        <v>45884</v>
      </c>
      <c r="D4591" t="inlineStr">
        <is>
          <t>KALMAR LÄN</t>
        </is>
      </c>
      <c r="E4591" t="inlineStr">
        <is>
          <t>VIMMERBY</t>
        </is>
      </c>
      <c r="G4591" t="n">
        <v>2.6</v>
      </c>
      <c r="H4591" t="n">
        <v>0</v>
      </c>
      <c r="I4591" t="n">
        <v>0</v>
      </c>
      <c r="J4591" t="n">
        <v>0</v>
      </c>
      <c r="K4591" t="n">
        <v>0</v>
      </c>
      <c r="L4591" t="n">
        <v>0</v>
      </c>
      <c r="M4591" t="n">
        <v>0</v>
      </c>
      <c r="N4591" t="n">
        <v>0</v>
      </c>
      <c r="O4591" t="n">
        <v>0</v>
      </c>
      <c r="P4591" t="n">
        <v>0</v>
      </c>
      <c r="Q4591" t="n">
        <v>0</v>
      </c>
      <c r="R4591" s="2" t="inlineStr"/>
    </row>
    <row r="4592" ht="15" customHeight="1">
      <c r="A4592" t="inlineStr">
        <is>
          <t>A 35048-2023</t>
        </is>
      </c>
      <c r="B4592" s="1" t="n">
        <v>45145.38269675926</v>
      </c>
      <c r="C4592" s="1" t="n">
        <v>45884</v>
      </c>
      <c r="D4592" t="inlineStr">
        <is>
          <t>KALMAR LÄN</t>
        </is>
      </c>
      <c r="E4592" t="inlineStr">
        <is>
          <t>TORSÅS</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2884-2023</t>
        </is>
      </c>
      <c r="B4593" s="1" t="n">
        <v>44945.47278935185</v>
      </c>
      <c r="C4593" s="1" t="n">
        <v>45884</v>
      </c>
      <c r="D4593" t="inlineStr">
        <is>
          <t>KALMAR LÄN</t>
        </is>
      </c>
      <c r="E4593" t="inlineStr">
        <is>
          <t>NYBRO</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24867-2024</t>
        </is>
      </c>
      <c r="B4594" s="1" t="n">
        <v>45461.49600694444</v>
      </c>
      <c r="C4594" s="1" t="n">
        <v>45884</v>
      </c>
      <c r="D4594" t="inlineStr">
        <is>
          <t>KALMAR LÄN</t>
        </is>
      </c>
      <c r="E4594" t="inlineStr">
        <is>
          <t>EMMABODA</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23420-2021</t>
        </is>
      </c>
      <c r="B4595" s="1" t="n">
        <v>44333.68109953704</v>
      </c>
      <c r="C4595" s="1" t="n">
        <v>45884</v>
      </c>
      <c r="D4595" t="inlineStr">
        <is>
          <t>KALMAR LÄN</t>
        </is>
      </c>
      <c r="E4595" t="inlineStr">
        <is>
          <t>NYBRO</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7842-2024</t>
        </is>
      </c>
      <c r="B4596" s="1" t="n">
        <v>45349.90940972222</v>
      </c>
      <c r="C4596" s="1" t="n">
        <v>45884</v>
      </c>
      <c r="D4596" t="inlineStr">
        <is>
          <t>KALMAR LÄN</t>
        </is>
      </c>
      <c r="E4596" t="inlineStr">
        <is>
          <t>EMMABODA</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6819-2025</t>
        </is>
      </c>
      <c r="B4597" s="1" t="n">
        <v>45700</v>
      </c>
      <c r="C4597" s="1" t="n">
        <v>45884</v>
      </c>
      <c r="D4597" t="inlineStr">
        <is>
          <t>KALMAR LÄN</t>
        </is>
      </c>
      <c r="E4597" t="inlineStr">
        <is>
          <t>HÖGSBY</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28974-2023</t>
        </is>
      </c>
      <c r="B4598" s="1" t="n">
        <v>45104.61077546296</v>
      </c>
      <c r="C4598" s="1" t="n">
        <v>45884</v>
      </c>
      <c r="D4598" t="inlineStr">
        <is>
          <t>KALMAR LÄN</t>
        </is>
      </c>
      <c r="E4598" t="inlineStr">
        <is>
          <t>KALMAR</t>
        </is>
      </c>
      <c r="G4598" t="n">
        <v>0.8</v>
      </c>
      <c r="H4598" t="n">
        <v>0</v>
      </c>
      <c r="I4598" t="n">
        <v>0</v>
      </c>
      <c r="J4598" t="n">
        <v>0</v>
      </c>
      <c r="K4598" t="n">
        <v>0</v>
      </c>
      <c r="L4598" t="n">
        <v>0</v>
      </c>
      <c r="M4598" t="n">
        <v>0</v>
      </c>
      <c r="N4598" t="n">
        <v>0</v>
      </c>
      <c r="O4598" t="n">
        <v>0</v>
      </c>
      <c r="P4598" t="n">
        <v>0</v>
      </c>
      <c r="Q4598" t="n">
        <v>0</v>
      </c>
      <c r="R4598" s="2" t="inlineStr"/>
    </row>
    <row r="4599" ht="15" customHeight="1">
      <c r="A4599" t="inlineStr">
        <is>
          <t>A 6828-2025</t>
        </is>
      </c>
      <c r="B4599" s="1" t="n">
        <v>45700</v>
      </c>
      <c r="C4599" s="1" t="n">
        <v>45884</v>
      </c>
      <c r="D4599" t="inlineStr">
        <is>
          <t>KALMAR LÄN</t>
        </is>
      </c>
      <c r="E4599" t="inlineStr">
        <is>
          <t>HÖGSBY</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4180-2025</t>
        </is>
      </c>
      <c r="B4600" s="1" t="n">
        <v>45685.44299768518</v>
      </c>
      <c r="C4600" s="1" t="n">
        <v>45884</v>
      </c>
      <c r="D4600" t="inlineStr">
        <is>
          <t>KALMAR LÄN</t>
        </is>
      </c>
      <c r="E4600" t="inlineStr">
        <is>
          <t>NYBRO</t>
        </is>
      </c>
      <c r="G4600" t="n">
        <v>5.9</v>
      </c>
      <c r="H4600" t="n">
        <v>0</v>
      </c>
      <c r="I4600" t="n">
        <v>0</v>
      </c>
      <c r="J4600" t="n">
        <v>0</v>
      </c>
      <c r="K4600" t="n">
        <v>0</v>
      </c>
      <c r="L4600" t="n">
        <v>0</v>
      </c>
      <c r="M4600" t="n">
        <v>0</v>
      </c>
      <c r="N4600" t="n">
        <v>0</v>
      </c>
      <c r="O4600" t="n">
        <v>0</v>
      </c>
      <c r="P4600" t="n">
        <v>0</v>
      </c>
      <c r="Q4600" t="n">
        <v>0</v>
      </c>
      <c r="R4600" s="2" t="inlineStr"/>
    </row>
    <row r="4601" ht="15" customHeight="1">
      <c r="A4601" t="inlineStr">
        <is>
          <t>A 60742-2023</t>
        </is>
      </c>
      <c r="B4601" s="1" t="n">
        <v>45260.57091435185</v>
      </c>
      <c r="C4601" s="1" t="n">
        <v>45884</v>
      </c>
      <c r="D4601" t="inlineStr">
        <is>
          <t>KALMAR LÄN</t>
        </is>
      </c>
      <c r="E4601" t="inlineStr">
        <is>
          <t>TORSÅS</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65156-2023</t>
        </is>
      </c>
      <c r="B4602" s="1" t="n">
        <v>45288.60931712963</v>
      </c>
      <c r="C4602" s="1" t="n">
        <v>45884</v>
      </c>
      <c r="D4602" t="inlineStr">
        <is>
          <t>KALMAR LÄN</t>
        </is>
      </c>
      <c r="E4602" t="inlineStr">
        <is>
          <t>TORSÅS</t>
        </is>
      </c>
      <c r="G4602" t="n">
        <v>3.7</v>
      </c>
      <c r="H4602" t="n">
        <v>0</v>
      </c>
      <c r="I4602" t="n">
        <v>0</v>
      </c>
      <c r="J4602" t="n">
        <v>0</v>
      </c>
      <c r="K4602" t="n">
        <v>0</v>
      </c>
      <c r="L4602" t="n">
        <v>0</v>
      </c>
      <c r="M4602" t="n">
        <v>0</v>
      </c>
      <c r="N4602" t="n">
        <v>0</v>
      </c>
      <c r="O4602" t="n">
        <v>0</v>
      </c>
      <c r="P4602" t="n">
        <v>0</v>
      </c>
      <c r="Q4602" t="n">
        <v>0</v>
      </c>
      <c r="R4602" s="2" t="inlineStr"/>
    </row>
    <row r="4603" ht="15" customHeight="1">
      <c r="A4603" t="inlineStr">
        <is>
          <t>A 46778-2023</t>
        </is>
      </c>
      <c r="B4603" s="1" t="n">
        <v>45198</v>
      </c>
      <c r="C4603" s="1" t="n">
        <v>45884</v>
      </c>
      <c r="D4603" t="inlineStr">
        <is>
          <t>KALMAR LÄN</t>
        </is>
      </c>
      <c r="E4603" t="inlineStr">
        <is>
          <t>KALMAR</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58640-2024</t>
        </is>
      </c>
      <c r="B4604" s="1" t="n">
        <v>45632</v>
      </c>
      <c r="C4604" s="1" t="n">
        <v>45884</v>
      </c>
      <c r="D4604" t="inlineStr">
        <is>
          <t>KALMAR LÄN</t>
        </is>
      </c>
      <c r="E4604" t="inlineStr">
        <is>
          <t>EMMABODA</t>
        </is>
      </c>
      <c r="G4604" t="n">
        <v>2.5</v>
      </c>
      <c r="H4604" t="n">
        <v>0</v>
      </c>
      <c r="I4604" t="n">
        <v>0</v>
      </c>
      <c r="J4604" t="n">
        <v>0</v>
      </c>
      <c r="K4604" t="n">
        <v>0</v>
      </c>
      <c r="L4604" t="n">
        <v>0</v>
      </c>
      <c r="M4604" t="n">
        <v>0</v>
      </c>
      <c r="N4604" t="n">
        <v>0</v>
      </c>
      <c r="O4604" t="n">
        <v>0</v>
      </c>
      <c r="P4604" t="n">
        <v>0</v>
      </c>
      <c r="Q4604" t="n">
        <v>0</v>
      </c>
      <c r="R4604" s="2" t="inlineStr"/>
    </row>
    <row r="4605" ht="15" customHeight="1">
      <c r="A4605" t="inlineStr">
        <is>
          <t>A 56705-2023</t>
        </is>
      </c>
      <c r="B4605" s="1" t="n">
        <v>45244</v>
      </c>
      <c r="C4605" s="1" t="n">
        <v>45884</v>
      </c>
      <c r="D4605" t="inlineStr">
        <is>
          <t>KALMAR LÄN</t>
        </is>
      </c>
      <c r="E4605" t="inlineStr">
        <is>
          <t>HÖGSBY</t>
        </is>
      </c>
      <c r="G4605" t="n">
        <v>0.3</v>
      </c>
      <c r="H4605" t="n">
        <v>0</v>
      </c>
      <c r="I4605" t="n">
        <v>0</v>
      </c>
      <c r="J4605" t="n">
        <v>0</v>
      </c>
      <c r="K4605" t="n">
        <v>0</v>
      </c>
      <c r="L4605" t="n">
        <v>0</v>
      </c>
      <c r="M4605" t="n">
        <v>0</v>
      </c>
      <c r="N4605" t="n">
        <v>0</v>
      </c>
      <c r="O4605" t="n">
        <v>0</v>
      </c>
      <c r="P4605" t="n">
        <v>0</v>
      </c>
      <c r="Q4605" t="n">
        <v>0</v>
      </c>
      <c r="R4605" s="2" t="inlineStr"/>
    </row>
    <row r="4606" ht="15" customHeight="1">
      <c r="A4606" t="inlineStr">
        <is>
          <t>A 49405-2023</t>
        </is>
      </c>
      <c r="B4606" s="1" t="n">
        <v>45211.43076388889</v>
      </c>
      <c r="C4606" s="1" t="n">
        <v>45884</v>
      </c>
      <c r="D4606" t="inlineStr">
        <is>
          <t>KALMAR LÄN</t>
        </is>
      </c>
      <c r="E4606" t="inlineStr">
        <is>
          <t>NYBRO</t>
        </is>
      </c>
      <c r="G4606" t="n">
        <v>2.3</v>
      </c>
      <c r="H4606" t="n">
        <v>0</v>
      </c>
      <c r="I4606" t="n">
        <v>0</v>
      </c>
      <c r="J4606" t="n">
        <v>0</v>
      </c>
      <c r="K4606" t="n">
        <v>0</v>
      </c>
      <c r="L4606" t="n">
        <v>0</v>
      </c>
      <c r="M4606" t="n">
        <v>0</v>
      </c>
      <c r="N4606" t="n">
        <v>0</v>
      </c>
      <c r="O4606" t="n">
        <v>0</v>
      </c>
      <c r="P4606" t="n">
        <v>0</v>
      </c>
      <c r="Q4606" t="n">
        <v>0</v>
      </c>
      <c r="R4606" s="2" t="inlineStr"/>
    </row>
    <row r="4607" ht="15" customHeight="1">
      <c r="A4607" t="inlineStr">
        <is>
          <t>A 28650-2023</t>
        </is>
      </c>
      <c r="B4607" s="1" t="n">
        <v>45103.64746527778</v>
      </c>
      <c r="C4607" s="1" t="n">
        <v>45884</v>
      </c>
      <c r="D4607" t="inlineStr">
        <is>
          <t>KALMAR LÄN</t>
        </is>
      </c>
      <c r="E4607" t="inlineStr">
        <is>
          <t>HÖGSBY</t>
        </is>
      </c>
      <c r="F4607" t="inlineStr">
        <is>
          <t>Sveaskog</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38597-2024</t>
        </is>
      </c>
      <c r="B4608" s="1" t="n">
        <v>45546.67172453704</v>
      </c>
      <c r="C4608" s="1" t="n">
        <v>45884</v>
      </c>
      <c r="D4608" t="inlineStr">
        <is>
          <t>KALMAR LÄN</t>
        </is>
      </c>
      <c r="E4608" t="inlineStr">
        <is>
          <t>HÖGSBY</t>
        </is>
      </c>
      <c r="F4608" t="inlineStr">
        <is>
          <t>Sveaskog</t>
        </is>
      </c>
      <c r="G4608" t="n">
        <v>2.4</v>
      </c>
      <c r="H4608" t="n">
        <v>0</v>
      </c>
      <c r="I4608" t="n">
        <v>0</v>
      </c>
      <c r="J4608" t="n">
        <v>0</v>
      </c>
      <c r="K4608" t="n">
        <v>0</v>
      </c>
      <c r="L4608" t="n">
        <v>0</v>
      </c>
      <c r="M4608" t="n">
        <v>0</v>
      </c>
      <c r="N4608" t="n">
        <v>0</v>
      </c>
      <c r="O4608" t="n">
        <v>0</v>
      </c>
      <c r="P4608" t="n">
        <v>0</v>
      </c>
      <c r="Q4608" t="n">
        <v>0</v>
      </c>
      <c r="R4608" s="2" t="inlineStr"/>
    </row>
    <row r="4609" ht="15" customHeight="1">
      <c r="A4609" t="inlineStr">
        <is>
          <t>A 43215-2024</t>
        </is>
      </c>
      <c r="B4609" s="1" t="n">
        <v>45567</v>
      </c>
      <c r="C4609" s="1" t="n">
        <v>45884</v>
      </c>
      <c r="D4609" t="inlineStr">
        <is>
          <t>KALMAR LÄN</t>
        </is>
      </c>
      <c r="E4609" t="inlineStr">
        <is>
          <t>NYBRO</t>
        </is>
      </c>
      <c r="F4609" t="inlineStr">
        <is>
          <t>Kyrkan</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43217-2024</t>
        </is>
      </c>
      <c r="B4610" s="1" t="n">
        <v>45567</v>
      </c>
      <c r="C4610" s="1" t="n">
        <v>45884</v>
      </c>
      <c r="D4610" t="inlineStr">
        <is>
          <t>KALMAR LÄN</t>
        </is>
      </c>
      <c r="E4610" t="inlineStr">
        <is>
          <t>KALMAR</t>
        </is>
      </c>
      <c r="F4610" t="inlineStr">
        <is>
          <t>Kyrkan</t>
        </is>
      </c>
      <c r="G4610" t="n">
        <v>5.7</v>
      </c>
      <c r="H4610" t="n">
        <v>0</v>
      </c>
      <c r="I4610" t="n">
        <v>0</v>
      </c>
      <c r="J4610" t="n">
        <v>0</v>
      </c>
      <c r="K4610" t="n">
        <v>0</v>
      </c>
      <c r="L4610" t="n">
        <v>0</v>
      </c>
      <c r="M4610" t="n">
        <v>0</v>
      </c>
      <c r="N4610" t="n">
        <v>0</v>
      </c>
      <c r="O4610" t="n">
        <v>0</v>
      </c>
      <c r="P4610" t="n">
        <v>0</v>
      </c>
      <c r="Q4610" t="n">
        <v>0</v>
      </c>
      <c r="R4610" s="2" t="inlineStr"/>
    </row>
    <row r="4611" ht="15" customHeight="1">
      <c r="A4611" t="inlineStr">
        <is>
          <t>A 55723-2023</t>
        </is>
      </c>
      <c r="B4611" s="1" t="n">
        <v>45239</v>
      </c>
      <c r="C4611" s="1" t="n">
        <v>45884</v>
      </c>
      <c r="D4611" t="inlineStr">
        <is>
          <t>KALMAR LÄN</t>
        </is>
      </c>
      <c r="E4611" t="inlineStr">
        <is>
          <t>NYBRO</t>
        </is>
      </c>
      <c r="G4611" t="n">
        <v>2.4</v>
      </c>
      <c r="H4611" t="n">
        <v>0</v>
      </c>
      <c r="I4611" t="n">
        <v>0</v>
      </c>
      <c r="J4611" t="n">
        <v>0</v>
      </c>
      <c r="K4611" t="n">
        <v>0</v>
      </c>
      <c r="L4611" t="n">
        <v>0</v>
      </c>
      <c r="M4611" t="n">
        <v>0</v>
      </c>
      <c r="N4611" t="n">
        <v>0</v>
      </c>
      <c r="O4611" t="n">
        <v>0</v>
      </c>
      <c r="P4611" t="n">
        <v>0</v>
      </c>
      <c r="Q4611" t="n">
        <v>0</v>
      </c>
      <c r="R4611" s="2" t="inlineStr"/>
    </row>
    <row r="4612" ht="15" customHeight="1">
      <c r="A4612" t="inlineStr">
        <is>
          <t>A 27546-2024</t>
        </is>
      </c>
      <c r="B4612" s="1" t="n">
        <v>45474.60385416666</v>
      </c>
      <c r="C4612" s="1" t="n">
        <v>45884</v>
      </c>
      <c r="D4612" t="inlineStr">
        <is>
          <t>KALMAR LÄN</t>
        </is>
      </c>
      <c r="E4612" t="inlineStr">
        <is>
          <t>TORSÅS</t>
        </is>
      </c>
      <c r="G4612" t="n">
        <v>3.6</v>
      </c>
      <c r="H4612" t="n">
        <v>0</v>
      </c>
      <c r="I4612" t="n">
        <v>0</v>
      </c>
      <c r="J4612" t="n">
        <v>0</v>
      </c>
      <c r="K4612" t="n">
        <v>0</v>
      </c>
      <c r="L4612" t="n">
        <v>0</v>
      </c>
      <c r="M4612" t="n">
        <v>0</v>
      </c>
      <c r="N4612" t="n">
        <v>0</v>
      </c>
      <c r="O4612" t="n">
        <v>0</v>
      </c>
      <c r="P4612" t="n">
        <v>0</v>
      </c>
      <c r="Q4612" t="n">
        <v>0</v>
      </c>
      <c r="R4612" s="2" t="inlineStr"/>
    </row>
    <row r="4613" ht="15" customHeight="1">
      <c r="A4613" t="inlineStr">
        <is>
          <t>A 9110-2023</t>
        </is>
      </c>
      <c r="B4613" s="1" t="n">
        <v>44979</v>
      </c>
      <c r="C4613" s="1" t="n">
        <v>45884</v>
      </c>
      <c r="D4613" t="inlineStr">
        <is>
          <t>KALMAR LÄN</t>
        </is>
      </c>
      <c r="E4613" t="inlineStr">
        <is>
          <t>VÄSTERVIK</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9112-2023</t>
        </is>
      </c>
      <c r="B4614" s="1" t="n">
        <v>44979</v>
      </c>
      <c r="C4614" s="1" t="n">
        <v>45884</v>
      </c>
      <c r="D4614" t="inlineStr">
        <is>
          <t>KALMAR LÄN</t>
        </is>
      </c>
      <c r="E4614" t="inlineStr">
        <is>
          <t>VÄSTERVIK</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25382-2023</t>
        </is>
      </c>
      <c r="B4615" s="1" t="n">
        <v>45089</v>
      </c>
      <c r="C4615" s="1" t="n">
        <v>45884</v>
      </c>
      <c r="D4615" t="inlineStr">
        <is>
          <t>KALMAR LÄN</t>
        </is>
      </c>
      <c r="E4615" t="inlineStr">
        <is>
          <t>NYBRO</t>
        </is>
      </c>
      <c r="F4615" t="inlineStr">
        <is>
          <t>Kommuner</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18081-2023</t>
        </is>
      </c>
      <c r="B4616" s="1" t="n">
        <v>45040</v>
      </c>
      <c r="C4616" s="1" t="n">
        <v>45884</v>
      </c>
      <c r="D4616" t="inlineStr">
        <is>
          <t>KALMAR LÄN</t>
        </is>
      </c>
      <c r="E4616" t="inlineStr">
        <is>
          <t>VÄSTERVIK</t>
        </is>
      </c>
      <c r="F4616" t="inlineStr">
        <is>
          <t>Sveaskog</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26437-2023</t>
        </is>
      </c>
      <c r="B4617" s="1" t="n">
        <v>45092</v>
      </c>
      <c r="C4617" s="1" t="n">
        <v>45884</v>
      </c>
      <c r="D4617" t="inlineStr">
        <is>
          <t>KALMAR LÄN</t>
        </is>
      </c>
      <c r="E4617" t="inlineStr">
        <is>
          <t>HULTSFRED</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56510-2023</t>
        </is>
      </c>
      <c r="B4618" s="1" t="n">
        <v>45243</v>
      </c>
      <c r="C4618" s="1" t="n">
        <v>45884</v>
      </c>
      <c r="D4618" t="inlineStr">
        <is>
          <t>KALMAR LÄN</t>
        </is>
      </c>
      <c r="E4618" t="inlineStr">
        <is>
          <t>KALMAR</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26776-2023</t>
        </is>
      </c>
      <c r="B4619" s="1" t="n">
        <v>45093</v>
      </c>
      <c r="C4619" s="1" t="n">
        <v>45884</v>
      </c>
      <c r="D4619" t="inlineStr">
        <is>
          <t>KALMAR LÄN</t>
        </is>
      </c>
      <c r="E4619" t="inlineStr">
        <is>
          <t>VÄSTERVIK</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25397-2021</t>
        </is>
      </c>
      <c r="B4620" s="1" t="n">
        <v>44342.63006944444</v>
      </c>
      <c r="C4620" s="1" t="n">
        <v>45884</v>
      </c>
      <c r="D4620" t="inlineStr">
        <is>
          <t>KALMAR LÄN</t>
        </is>
      </c>
      <c r="E4620" t="inlineStr">
        <is>
          <t>KALMAR</t>
        </is>
      </c>
      <c r="G4620" t="n">
        <v>2.7</v>
      </c>
      <c r="H4620" t="n">
        <v>0</v>
      </c>
      <c r="I4620" t="n">
        <v>0</v>
      </c>
      <c r="J4620" t="n">
        <v>0</v>
      </c>
      <c r="K4620" t="n">
        <v>0</v>
      </c>
      <c r="L4620" t="n">
        <v>0</v>
      </c>
      <c r="M4620" t="n">
        <v>0</v>
      </c>
      <c r="N4620" t="n">
        <v>0</v>
      </c>
      <c r="O4620" t="n">
        <v>0</v>
      </c>
      <c r="P4620" t="n">
        <v>0</v>
      </c>
      <c r="Q4620" t="n">
        <v>0</v>
      </c>
      <c r="R4620" s="2" t="inlineStr"/>
    </row>
    <row r="4621" ht="15" customHeight="1">
      <c r="A4621" t="inlineStr">
        <is>
          <t>A 62304-2022</t>
        </is>
      </c>
      <c r="B4621" s="1" t="n">
        <v>44923.46215277778</v>
      </c>
      <c r="C4621" s="1" t="n">
        <v>45884</v>
      </c>
      <c r="D4621" t="inlineStr">
        <is>
          <t>KALMAR LÄN</t>
        </is>
      </c>
      <c r="E4621" t="inlineStr">
        <is>
          <t>VÄSTERVIK</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62306-2022</t>
        </is>
      </c>
      <c r="B4622" s="1" t="n">
        <v>44923</v>
      </c>
      <c r="C4622" s="1" t="n">
        <v>45884</v>
      </c>
      <c r="D4622" t="inlineStr">
        <is>
          <t>KALMAR LÄN</t>
        </is>
      </c>
      <c r="E4622" t="inlineStr">
        <is>
          <t>VÄSTERVIK</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64475-2023</t>
        </is>
      </c>
      <c r="B4623" s="1" t="n">
        <v>45280.85986111111</v>
      </c>
      <c r="C4623" s="1" t="n">
        <v>45884</v>
      </c>
      <c r="D4623" t="inlineStr">
        <is>
          <t>KALMAR LÄN</t>
        </is>
      </c>
      <c r="E4623" t="inlineStr">
        <is>
          <t>OSKARSHAMN</t>
        </is>
      </c>
      <c r="G4623" t="n">
        <v>3.5</v>
      </c>
      <c r="H4623" t="n">
        <v>0</v>
      </c>
      <c r="I4623" t="n">
        <v>0</v>
      </c>
      <c r="J4623" t="n">
        <v>0</v>
      </c>
      <c r="K4623" t="n">
        <v>0</v>
      </c>
      <c r="L4623" t="n">
        <v>0</v>
      </c>
      <c r="M4623" t="n">
        <v>0</v>
      </c>
      <c r="N4623" t="n">
        <v>0</v>
      </c>
      <c r="O4623" t="n">
        <v>0</v>
      </c>
      <c r="P4623" t="n">
        <v>0</v>
      </c>
      <c r="Q4623" t="n">
        <v>0</v>
      </c>
      <c r="R4623" s="2" t="inlineStr"/>
    </row>
    <row r="4624" ht="15" customHeight="1">
      <c r="A4624" t="inlineStr">
        <is>
          <t>A 35127-2024</t>
        </is>
      </c>
      <c r="B4624" s="1" t="n">
        <v>45530.33202546297</v>
      </c>
      <c r="C4624" s="1" t="n">
        <v>45884</v>
      </c>
      <c r="D4624" t="inlineStr">
        <is>
          <t>KALMAR LÄN</t>
        </is>
      </c>
      <c r="E4624" t="inlineStr">
        <is>
          <t>VIMMERBY</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18276-2025</t>
        </is>
      </c>
      <c r="B4625" s="1" t="n">
        <v>45762.38353009259</v>
      </c>
      <c r="C4625" s="1" t="n">
        <v>45884</v>
      </c>
      <c r="D4625" t="inlineStr">
        <is>
          <t>KALMAR LÄN</t>
        </is>
      </c>
      <c r="E4625" t="inlineStr">
        <is>
          <t>NYBRO</t>
        </is>
      </c>
      <c r="F4625" t="inlineStr">
        <is>
          <t>Sveaskog</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18323-2025</t>
        </is>
      </c>
      <c r="B4626" s="1" t="n">
        <v>45762.47326388889</v>
      </c>
      <c r="C4626" s="1" t="n">
        <v>45884</v>
      </c>
      <c r="D4626" t="inlineStr">
        <is>
          <t>KALMAR LÄN</t>
        </is>
      </c>
      <c r="E4626" t="inlineStr">
        <is>
          <t>NYBRO</t>
        </is>
      </c>
      <c r="F4626" t="inlineStr">
        <is>
          <t>Sveaskog</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14295-2021</t>
        </is>
      </c>
      <c r="B4627" s="1" t="n">
        <v>44278</v>
      </c>
      <c r="C4627" s="1" t="n">
        <v>45884</v>
      </c>
      <c r="D4627" t="inlineStr">
        <is>
          <t>KALMAR LÄN</t>
        </is>
      </c>
      <c r="E4627" t="inlineStr">
        <is>
          <t>EMMABODA</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50922-2022</t>
        </is>
      </c>
      <c r="B4628" s="1" t="n">
        <v>44865</v>
      </c>
      <c r="C4628" s="1" t="n">
        <v>45884</v>
      </c>
      <c r="D4628" t="inlineStr">
        <is>
          <t>KALMAR LÄN</t>
        </is>
      </c>
      <c r="E4628" t="inlineStr">
        <is>
          <t>OSKARSHAMN</t>
        </is>
      </c>
      <c r="F4628" t="inlineStr">
        <is>
          <t>Övriga Aktiebolag</t>
        </is>
      </c>
      <c r="G4628" t="n">
        <v>2.3</v>
      </c>
      <c r="H4628" t="n">
        <v>0</v>
      </c>
      <c r="I4628" t="n">
        <v>0</v>
      </c>
      <c r="J4628" t="n">
        <v>0</v>
      </c>
      <c r="K4628" t="n">
        <v>0</v>
      </c>
      <c r="L4628" t="n">
        <v>0</v>
      </c>
      <c r="M4628" t="n">
        <v>0</v>
      </c>
      <c r="N4628" t="n">
        <v>0</v>
      </c>
      <c r="O4628" t="n">
        <v>0</v>
      </c>
      <c r="P4628" t="n">
        <v>0</v>
      </c>
      <c r="Q4628" t="n">
        <v>0</v>
      </c>
      <c r="R4628" s="2" t="inlineStr"/>
    </row>
    <row r="4629" ht="15" customHeight="1">
      <c r="A4629" t="inlineStr">
        <is>
          <t>A 25475-2022</t>
        </is>
      </c>
      <c r="B4629" s="1" t="n">
        <v>44732</v>
      </c>
      <c r="C4629" s="1" t="n">
        <v>45884</v>
      </c>
      <c r="D4629" t="inlineStr">
        <is>
          <t>KALMAR LÄN</t>
        </is>
      </c>
      <c r="E4629" t="inlineStr">
        <is>
          <t>HULTSFRED</t>
        </is>
      </c>
      <c r="F4629" t="inlineStr">
        <is>
          <t>Kyrkan</t>
        </is>
      </c>
      <c r="G4629" t="n">
        <v>6.3</v>
      </c>
      <c r="H4629" t="n">
        <v>0</v>
      </c>
      <c r="I4629" t="n">
        <v>0</v>
      </c>
      <c r="J4629" t="n">
        <v>0</v>
      </c>
      <c r="K4629" t="n">
        <v>0</v>
      </c>
      <c r="L4629" t="n">
        <v>0</v>
      </c>
      <c r="M4629" t="n">
        <v>0</v>
      </c>
      <c r="N4629" t="n">
        <v>0</v>
      </c>
      <c r="O4629" t="n">
        <v>0</v>
      </c>
      <c r="P4629" t="n">
        <v>0</v>
      </c>
      <c r="Q4629" t="n">
        <v>0</v>
      </c>
      <c r="R4629" s="2" t="inlineStr"/>
    </row>
    <row r="4630" ht="15" customHeight="1">
      <c r="A4630" t="inlineStr">
        <is>
          <t>A 17723-2025</t>
        </is>
      </c>
      <c r="B4630" s="1" t="n">
        <v>45758.45623842593</v>
      </c>
      <c r="C4630" s="1" t="n">
        <v>45884</v>
      </c>
      <c r="D4630" t="inlineStr">
        <is>
          <t>KALMAR LÄN</t>
        </is>
      </c>
      <c r="E4630" t="inlineStr">
        <is>
          <t>TORSÅS</t>
        </is>
      </c>
      <c r="G4630" t="n">
        <v>2.5</v>
      </c>
      <c r="H4630" t="n">
        <v>0</v>
      </c>
      <c r="I4630" t="n">
        <v>0</v>
      </c>
      <c r="J4630" t="n">
        <v>0</v>
      </c>
      <c r="K4630" t="n">
        <v>0</v>
      </c>
      <c r="L4630" t="n">
        <v>0</v>
      </c>
      <c r="M4630" t="n">
        <v>0</v>
      </c>
      <c r="N4630" t="n">
        <v>0</v>
      </c>
      <c r="O4630" t="n">
        <v>0</v>
      </c>
      <c r="P4630" t="n">
        <v>0</v>
      </c>
      <c r="Q4630" t="n">
        <v>0</v>
      </c>
      <c r="R4630" s="2" t="inlineStr"/>
    </row>
    <row r="4631" ht="15" customHeight="1">
      <c r="A4631" t="inlineStr">
        <is>
          <t>A 51804-2022</t>
        </is>
      </c>
      <c r="B4631" s="1" t="n">
        <v>44872</v>
      </c>
      <c r="C4631" s="1" t="n">
        <v>45884</v>
      </c>
      <c r="D4631" t="inlineStr">
        <is>
          <t>KALMAR LÄN</t>
        </is>
      </c>
      <c r="E4631" t="inlineStr">
        <is>
          <t>MÖNSTERÅS</t>
        </is>
      </c>
      <c r="G4631" t="n">
        <v>3.5</v>
      </c>
      <c r="H4631" t="n">
        <v>0</v>
      </c>
      <c r="I4631" t="n">
        <v>0</v>
      </c>
      <c r="J4631" t="n">
        <v>0</v>
      </c>
      <c r="K4631" t="n">
        <v>0</v>
      </c>
      <c r="L4631" t="n">
        <v>0</v>
      </c>
      <c r="M4631" t="n">
        <v>0</v>
      </c>
      <c r="N4631" t="n">
        <v>0</v>
      </c>
      <c r="O4631" t="n">
        <v>0</v>
      </c>
      <c r="P4631" t="n">
        <v>0</v>
      </c>
      <c r="Q4631" t="n">
        <v>0</v>
      </c>
      <c r="R4631" s="2" t="inlineStr"/>
    </row>
    <row r="4632" ht="15" customHeight="1">
      <c r="A4632" t="inlineStr">
        <is>
          <t>A 17660-2021</t>
        </is>
      </c>
      <c r="B4632" s="1" t="n">
        <v>44300</v>
      </c>
      <c r="C4632" s="1" t="n">
        <v>45884</v>
      </c>
      <c r="D4632" t="inlineStr">
        <is>
          <t>KALMAR LÄN</t>
        </is>
      </c>
      <c r="E4632" t="inlineStr">
        <is>
          <t>HULTSFRED</t>
        </is>
      </c>
      <c r="G4632" t="n">
        <v>2.1</v>
      </c>
      <c r="H4632" t="n">
        <v>0</v>
      </c>
      <c r="I4632" t="n">
        <v>0</v>
      </c>
      <c r="J4632" t="n">
        <v>0</v>
      </c>
      <c r="K4632" t="n">
        <v>0</v>
      </c>
      <c r="L4632" t="n">
        <v>0</v>
      </c>
      <c r="M4632" t="n">
        <v>0</v>
      </c>
      <c r="N4632" t="n">
        <v>0</v>
      </c>
      <c r="O4632" t="n">
        <v>0</v>
      </c>
      <c r="P4632" t="n">
        <v>0</v>
      </c>
      <c r="Q4632" t="n">
        <v>0</v>
      </c>
      <c r="R4632" s="2" t="inlineStr"/>
    </row>
    <row r="4633" ht="15" customHeight="1">
      <c r="A4633" t="inlineStr">
        <is>
          <t>A 50860-2022</t>
        </is>
      </c>
      <c r="B4633" s="1" t="n">
        <v>44867</v>
      </c>
      <c r="C4633" s="1" t="n">
        <v>45884</v>
      </c>
      <c r="D4633" t="inlineStr">
        <is>
          <t>KALMAR LÄN</t>
        </is>
      </c>
      <c r="E4633" t="inlineStr">
        <is>
          <t>VIMMERBY</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48876-2020</t>
        </is>
      </c>
      <c r="B4634" s="1" t="n">
        <v>44104</v>
      </c>
      <c r="C4634" s="1" t="n">
        <v>45884</v>
      </c>
      <c r="D4634" t="inlineStr">
        <is>
          <t>KALMAR LÄN</t>
        </is>
      </c>
      <c r="E4634" t="inlineStr">
        <is>
          <t>TORSÅS</t>
        </is>
      </c>
      <c r="G4634" t="n">
        <v>2.3</v>
      </c>
      <c r="H4634" t="n">
        <v>0</v>
      </c>
      <c r="I4634" t="n">
        <v>0</v>
      </c>
      <c r="J4634" t="n">
        <v>0</v>
      </c>
      <c r="K4634" t="n">
        <v>0</v>
      </c>
      <c r="L4634" t="n">
        <v>0</v>
      </c>
      <c r="M4634" t="n">
        <v>0</v>
      </c>
      <c r="N4634" t="n">
        <v>0</v>
      </c>
      <c r="O4634" t="n">
        <v>0</v>
      </c>
      <c r="P4634" t="n">
        <v>0</v>
      </c>
      <c r="Q4634" t="n">
        <v>0</v>
      </c>
      <c r="R4634" s="2" t="inlineStr"/>
    </row>
    <row r="4635" ht="15" customHeight="1">
      <c r="A4635" t="inlineStr">
        <is>
          <t>A 17307-2023</t>
        </is>
      </c>
      <c r="B4635" s="1" t="n">
        <v>45035.53497685185</v>
      </c>
      <c r="C4635" s="1" t="n">
        <v>45884</v>
      </c>
      <c r="D4635" t="inlineStr">
        <is>
          <t>KALMAR LÄN</t>
        </is>
      </c>
      <c r="E4635" t="inlineStr">
        <is>
          <t>VÄSTERVIK</t>
        </is>
      </c>
      <c r="G4635" t="n">
        <v>0</v>
      </c>
      <c r="H4635" t="n">
        <v>0</v>
      </c>
      <c r="I4635" t="n">
        <v>0</v>
      </c>
      <c r="J4635" t="n">
        <v>0</v>
      </c>
      <c r="K4635" t="n">
        <v>0</v>
      </c>
      <c r="L4635" t="n">
        <v>0</v>
      </c>
      <c r="M4635" t="n">
        <v>0</v>
      </c>
      <c r="N4635" t="n">
        <v>0</v>
      </c>
      <c r="O4635" t="n">
        <v>0</v>
      </c>
      <c r="P4635" t="n">
        <v>0</v>
      </c>
      <c r="Q4635" t="n">
        <v>0</v>
      </c>
      <c r="R4635" s="2" t="inlineStr"/>
    </row>
    <row r="4636" ht="15" customHeight="1">
      <c r="A4636" t="inlineStr">
        <is>
          <t>A 15021-2025</t>
        </is>
      </c>
      <c r="B4636" s="1" t="n">
        <v>45743.64482638889</v>
      </c>
      <c r="C4636" s="1" t="n">
        <v>45884</v>
      </c>
      <c r="D4636" t="inlineStr">
        <is>
          <t>KALMAR LÄN</t>
        </is>
      </c>
      <c r="E4636" t="inlineStr">
        <is>
          <t>VÄSTERVIK</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24183-2023</t>
        </is>
      </c>
      <c r="B4637" s="1" t="n">
        <v>45079</v>
      </c>
      <c r="C4637" s="1" t="n">
        <v>45884</v>
      </c>
      <c r="D4637" t="inlineStr">
        <is>
          <t>KALMAR LÄN</t>
        </is>
      </c>
      <c r="E4637" t="inlineStr">
        <is>
          <t>NYBRO</t>
        </is>
      </c>
      <c r="G4637" t="n">
        <v>3.9</v>
      </c>
      <c r="H4637" t="n">
        <v>0</v>
      </c>
      <c r="I4637" t="n">
        <v>0</v>
      </c>
      <c r="J4637" t="n">
        <v>0</v>
      </c>
      <c r="K4637" t="n">
        <v>0</v>
      </c>
      <c r="L4637" t="n">
        <v>0</v>
      </c>
      <c r="M4637" t="n">
        <v>0</v>
      </c>
      <c r="N4637" t="n">
        <v>0</v>
      </c>
      <c r="O4637" t="n">
        <v>0</v>
      </c>
      <c r="P4637" t="n">
        <v>0</v>
      </c>
      <c r="Q4637" t="n">
        <v>0</v>
      </c>
      <c r="R4637" s="2" t="inlineStr"/>
    </row>
    <row r="4638" ht="15" customHeight="1">
      <c r="A4638" t="inlineStr">
        <is>
          <t>A 25370-2022</t>
        </is>
      </c>
      <c r="B4638" s="1" t="n">
        <v>44732.3659837963</v>
      </c>
      <c r="C4638" s="1" t="n">
        <v>45884</v>
      </c>
      <c r="D4638" t="inlineStr">
        <is>
          <t>KALMAR LÄN</t>
        </is>
      </c>
      <c r="E4638" t="inlineStr">
        <is>
          <t>VIMMERBY</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58577-2024</t>
        </is>
      </c>
      <c r="B4639" s="1" t="n">
        <v>45635.4874537037</v>
      </c>
      <c r="C4639" s="1" t="n">
        <v>45884</v>
      </c>
      <c r="D4639" t="inlineStr">
        <is>
          <t>KALMAR LÄN</t>
        </is>
      </c>
      <c r="E4639" t="inlineStr">
        <is>
          <t>VIMMERBY</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42906-2020</t>
        </is>
      </c>
      <c r="B4640" s="1" t="n">
        <v>44078</v>
      </c>
      <c r="C4640" s="1" t="n">
        <v>45884</v>
      </c>
      <c r="D4640" t="inlineStr">
        <is>
          <t>KALMAR LÄN</t>
        </is>
      </c>
      <c r="E4640" t="inlineStr">
        <is>
          <t>EMMABODA</t>
        </is>
      </c>
      <c r="G4640" t="n">
        <v>2.2</v>
      </c>
      <c r="H4640" t="n">
        <v>0</v>
      </c>
      <c r="I4640" t="n">
        <v>0</v>
      </c>
      <c r="J4640" t="n">
        <v>0</v>
      </c>
      <c r="K4640" t="n">
        <v>0</v>
      </c>
      <c r="L4640" t="n">
        <v>0</v>
      </c>
      <c r="M4640" t="n">
        <v>0</v>
      </c>
      <c r="N4640" t="n">
        <v>0</v>
      </c>
      <c r="O4640" t="n">
        <v>0</v>
      </c>
      <c r="P4640" t="n">
        <v>0</v>
      </c>
      <c r="Q4640" t="n">
        <v>0</v>
      </c>
      <c r="R4640" s="2" t="inlineStr"/>
    </row>
    <row r="4641" ht="15" customHeight="1">
      <c r="A4641" t="inlineStr">
        <is>
          <t>A 58862-2023</t>
        </is>
      </c>
      <c r="B4641" s="1" t="n">
        <v>45247</v>
      </c>
      <c r="C4641" s="1" t="n">
        <v>45884</v>
      </c>
      <c r="D4641" t="inlineStr">
        <is>
          <t>KALMAR LÄN</t>
        </is>
      </c>
      <c r="E4641" t="inlineStr">
        <is>
          <t>HULTSFRED</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10644-2022</t>
        </is>
      </c>
      <c r="B4642" s="1" t="n">
        <v>44624</v>
      </c>
      <c r="C4642" s="1" t="n">
        <v>45884</v>
      </c>
      <c r="D4642" t="inlineStr">
        <is>
          <t>KALMAR LÄN</t>
        </is>
      </c>
      <c r="E4642" t="inlineStr">
        <is>
          <t>HULTSFRED</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13489-2022</t>
        </is>
      </c>
      <c r="B4643" s="1" t="n">
        <v>44646</v>
      </c>
      <c r="C4643" s="1" t="n">
        <v>45884</v>
      </c>
      <c r="D4643" t="inlineStr">
        <is>
          <t>KALMAR LÄN</t>
        </is>
      </c>
      <c r="E4643" t="inlineStr">
        <is>
          <t>VÄSTERVIK</t>
        </is>
      </c>
      <c r="G4643" t="n">
        <v>2.5</v>
      </c>
      <c r="H4643" t="n">
        <v>0</v>
      </c>
      <c r="I4643" t="n">
        <v>0</v>
      </c>
      <c r="J4643" t="n">
        <v>0</v>
      </c>
      <c r="K4643" t="n">
        <v>0</v>
      </c>
      <c r="L4643" t="n">
        <v>0</v>
      </c>
      <c r="M4643" t="n">
        <v>0</v>
      </c>
      <c r="N4643" t="n">
        <v>0</v>
      </c>
      <c r="O4643" t="n">
        <v>0</v>
      </c>
      <c r="P4643" t="n">
        <v>0</v>
      </c>
      <c r="Q4643" t="n">
        <v>0</v>
      </c>
      <c r="R4643" s="2" t="inlineStr"/>
    </row>
    <row r="4644" ht="15" customHeight="1">
      <c r="A4644" t="inlineStr">
        <is>
          <t>A 19461-2024</t>
        </is>
      </c>
      <c r="B4644" s="1" t="n">
        <v>45429.49690972222</v>
      </c>
      <c r="C4644" s="1" t="n">
        <v>45884</v>
      </c>
      <c r="D4644" t="inlineStr">
        <is>
          <t>KALMAR LÄN</t>
        </is>
      </c>
      <c r="E4644" t="inlineStr">
        <is>
          <t>NYBRO</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29440-2024</t>
        </is>
      </c>
      <c r="B4645" s="1" t="n">
        <v>45483.82479166667</v>
      </c>
      <c r="C4645" s="1" t="n">
        <v>45884</v>
      </c>
      <c r="D4645" t="inlineStr">
        <is>
          <t>KALMAR LÄN</t>
        </is>
      </c>
      <c r="E4645" t="inlineStr">
        <is>
          <t>VIMMERBY</t>
        </is>
      </c>
      <c r="G4645" t="n">
        <v>4.5</v>
      </c>
      <c r="H4645" t="n">
        <v>0</v>
      </c>
      <c r="I4645" t="n">
        <v>0</v>
      </c>
      <c r="J4645" t="n">
        <v>0</v>
      </c>
      <c r="K4645" t="n">
        <v>0</v>
      </c>
      <c r="L4645" t="n">
        <v>0</v>
      </c>
      <c r="M4645" t="n">
        <v>0</v>
      </c>
      <c r="N4645" t="n">
        <v>0</v>
      </c>
      <c r="O4645" t="n">
        <v>0</v>
      </c>
      <c r="P4645" t="n">
        <v>0</v>
      </c>
      <c r="Q4645" t="n">
        <v>0</v>
      </c>
      <c r="R4645" s="2" t="inlineStr"/>
    </row>
    <row r="4646" ht="15" customHeight="1">
      <c r="A4646" t="inlineStr">
        <is>
          <t>A 2824-2021</t>
        </is>
      </c>
      <c r="B4646" s="1" t="n">
        <v>44215</v>
      </c>
      <c r="C4646" s="1" t="n">
        <v>45884</v>
      </c>
      <c r="D4646" t="inlineStr">
        <is>
          <t>KALMAR LÄN</t>
        </is>
      </c>
      <c r="E4646" t="inlineStr">
        <is>
          <t>HULTSFRED</t>
        </is>
      </c>
      <c r="G4646" t="n">
        <v>1.9</v>
      </c>
      <c r="H4646" t="n">
        <v>0</v>
      </c>
      <c r="I4646" t="n">
        <v>0</v>
      </c>
      <c r="J4646" t="n">
        <v>0</v>
      </c>
      <c r="K4646" t="n">
        <v>0</v>
      </c>
      <c r="L4646" t="n">
        <v>0</v>
      </c>
      <c r="M4646" t="n">
        <v>0</v>
      </c>
      <c r="N4646" t="n">
        <v>0</v>
      </c>
      <c r="O4646" t="n">
        <v>0</v>
      </c>
      <c r="P4646" t="n">
        <v>0</v>
      </c>
      <c r="Q4646" t="n">
        <v>0</v>
      </c>
      <c r="R4646" s="2" t="inlineStr"/>
    </row>
    <row r="4647" ht="15" customHeight="1">
      <c r="A4647" t="inlineStr">
        <is>
          <t>A 61009-2024</t>
        </is>
      </c>
      <c r="B4647" s="1" t="n">
        <v>45645.44524305555</v>
      </c>
      <c r="C4647" s="1" t="n">
        <v>45884</v>
      </c>
      <c r="D4647" t="inlineStr">
        <is>
          <t>KALMAR LÄN</t>
        </is>
      </c>
      <c r="E4647" t="inlineStr">
        <is>
          <t>MÖNSTERÅS</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60232-2023</t>
        </is>
      </c>
      <c r="B4648" s="1" t="n">
        <v>45258.62900462963</v>
      </c>
      <c r="C4648" s="1" t="n">
        <v>45884</v>
      </c>
      <c r="D4648" t="inlineStr">
        <is>
          <t>KALMAR LÄN</t>
        </is>
      </c>
      <c r="E4648" t="inlineStr">
        <is>
          <t>OSKARSHAMN</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62143-2020</t>
        </is>
      </c>
      <c r="B4649" s="1" t="n">
        <v>44159</v>
      </c>
      <c r="C4649" s="1" t="n">
        <v>45884</v>
      </c>
      <c r="D4649" t="inlineStr">
        <is>
          <t>KALMAR LÄN</t>
        </is>
      </c>
      <c r="E4649" t="inlineStr">
        <is>
          <t>EMMABODA</t>
        </is>
      </c>
      <c r="G4649" t="n">
        <v>8.1</v>
      </c>
      <c r="H4649" t="n">
        <v>0</v>
      </c>
      <c r="I4649" t="n">
        <v>0</v>
      </c>
      <c r="J4649" t="n">
        <v>0</v>
      </c>
      <c r="K4649" t="n">
        <v>0</v>
      </c>
      <c r="L4649" t="n">
        <v>0</v>
      </c>
      <c r="M4649" t="n">
        <v>0</v>
      </c>
      <c r="N4649" t="n">
        <v>0</v>
      </c>
      <c r="O4649" t="n">
        <v>0</v>
      </c>
      <c r="P4649" t="n">
        <v>0</v>
      </c>
      <c r="Q4649" t="n">
        <v>0</v>
      </c>
      <c r="R4649" s="2" t="inlineStr"/>
    </row>
    <row r="4650" ht="15" customHeight="1">
      <c r="A4650" t="inlineStr">
        <is>
          <t>A 35388-2022</t>
        </is>
      </c>
      <c r="B4650" s="1" t="n">
        <v>44798</v>
      </c>
      <c r="C4650" s="1" t="n">
        <v>45884</v>
      </c>
      <c r="D4650" t="inlineStr">
        <is>
          <t>KALMAR LÄN</t>
        </is>
      </c>
      <c r="E4650" t="inlineStr">
        <is>
          <t>NYBRO</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36269-2023</t>
        </is>
      </c>
      <c r="B4651" s="1" t="n">
        <v>45151.96359953703</v>
      </c>
      <c r="C4651" s="1" t="n">
        <v>45884</v>
      </c>
      <c r="D4651" t="inlineStr">
        <is>
          <t>KALMAR LÄN</t>
        </is>
      </c>
      <c r="E4651" t="inlineStr">
        <is>
          <t>MÖNSTERÅS</t>
        </is>
      </c>
      <c r="G4651" t="n">
        <v>4.7</v>
      </c>
      <c r="H4651" t="n">
        <v>0</v>
      </c>
      <c r="I4651" t="n">
        <v>0</v>
      </c>
      <c r="J4651" t="n">
        <v>0</v>
      </c>
      <c r="K4651" t="n">
        <v>0</v>
      </c>
      <c r="L4651" t="n">
        <v>0</v>
      </c>
      <c r="M4651" t="n">
        <v>0</v>
      </c>
      <c r="N4651" t="n">
        <v>0</v>
      </c>
      <c r="O4651" t="n">
        <v>0</v>
      </c>
      <c r="P4651" t="n">
        <v>0</v>
      </c>
      <c r="Q4651" t="n">
        <v>0</v>
      </c>
      <c r="R4651" s="2" t="inlineStr"/>
    </row>
    <row r="4652" ht="15" customHeight="1">
      <c r="A4652" t="inlineStr">
        <is>
          <t>A 45868-2022</t>
        </is>
      </c>
      <c r="B4652" s="1" t="n">
        <v>44846.5583449074</v>
      </c>
      <c r="C4652" s="1" t="n">
        <v>45884</v>
      </c>
      <c r="D4652" t="inlineStr">
        <is>
          <t>KALMAR LÄN</t>
        </is>
      </c>
      <c r="E4652" t="inlineStr">
        <is>
          <t>KALMAR</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3622-2022</t>
        </is>
      </c>
      <c r="B4653" s="1" t="n">
        <v>44586</v>
      </c>
      <c r="C4653" s="1" t="n">
        <v>45884</v>
      </c>
      <c r="D4653" t="inlineStr">
        <is>
          <t>KALMAR LÄN</t>
        </is>
      </c>
      <c r="E4653" t="inlineStr">
        <is>
          <t>HÖGSBY</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8058-2025</t>
        </is>
      </c>
      <c r="B4654" s="1" t="n">
        <v>45707</v>
      </c>
      <c r="C4654" s="1" t="n">
        <v>45884</v>
      </c>
      <c r="D4654" t="inlineStr">
        <is>
          <t>KALMAR LÄN</t>
        </is>
      </c>
      <c r="E4654" t="inlineStr">
        <is>
          <t>EMMABODA</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67543-2021</t>
        </is>
      </c>
      <c r="B4655" s="1" t="n">
        <v>44524</v>
      </c>
      <c r="C4655" s="1" t="n">
        <v>45884</v>
      </c>
      <c r="D4655" t="inlineStr">
        <is>
          <t>KALMAR LÄN</t>
        </is>
      </c>
      <c r="E4655" t="inlineStr">
        <is>
          <t>EMMABODA</t>
        </is>
      </c>
      <c r="G4655" t="n">
        <v>4.7</v>
      </c>
      <c r="H4655" t="n">
        <v>0</v>
      </c>
      <c r="I4655" t="n">
        <v>0</v>
      </c>
      <c r="J4655" t="n">
        <v>0</v>
      </c>
      <c r="K4655" t="n">
        <v>0</v>
      </c>
      <c r="L4655" t="n">
        <v>0</v>
      </c>
      <c r="M4655" t="n">
        <v>0</v>
      </c>
      <c r="N4655" t="n">
        <v>0</v>
      </c>
      <c r="O4655" t="n">
        <v>0</v>
      </c>
      <c r="P4655" t="n">
        <v>0</v>
      </c>
      <c r="Q4655" t="n">
        <v>0</v>
      </c>
      <c r="R4655" s="2" t="inlineStr"/>
    </row>
    <row r="4656" ht="15" customHeight="1">
      <c r="A4656" t="inlineStr">
        <is>
          <t>A 5993-2025</t>
        </is>
      </c>
      <c r="B4656" s="1" t="n">
        <v>45695.56664351852</v>
      </c>
      <c r="C4656" s="1" t="n">
        <v>45884</v>
      </c>
      <c r="D4656" t="inlineStr">
        <is>
          <t>KALMAR LÄN</t>
        </is>
      </c>
      <c r="E4656" t="inlineStr">
        <is>
          <t>HULTSFRED</t>
        </is>
      </c>
      <c r="F4656" t="inlineStr">
        <is>
          <t>Sveaskog</t>
        </is>
      </c>
      <c r="G4656" t="n">
        <v>3.1</v>
      </c>
      <c r="H4656" t="n">
        <v>0</v>
      </c>
      <c r="I4656" t="n">
        <v>0</v>
      </c>
      <c r="J4656" t="n">
        <v>0</v>
      </c>
      <c r="K4656" t="n">
        <v>0</v>
      </c>
      <c r="L4656" t="n">
        <v>0</v>
      </c>
      <c r="M4656" t="n">
        <v>0</v>
      </c>
      <c r="N4656" t="n">
        <v>0</v>
      </c>
      <c r="O4656" t="n">
        <v>0</v>
      </c>
      <c r="P4656" t="n">
        <v>0</v>
      </c>
      <c r="Q4656" t="n">
        <v>0</v>
      </c>
      <c r="R4656" s="2" t="inlineStr"/>
    </row>
    <row r="4657" ht="15" customHeight="1">
      <c r="A4657" t="inlineStr">
        <is>
          <t>A 26254-2023</t>
        </is>
      </c>
      <c r="B4657" s="1" t="n">
        <v>45091.60043981481</v>
      </c>
      <c r="C4657" s="1" t="n">
        <v>45884</v>
      </c>
      <c r="D4657" t="inlineStr">
        <is>
          <t>KALMAR LÄN</t>
        </is>
      </c>
      <c r="E4657" t="inlineStr">
        <is>
          <t>EMMABODA</t>
        </is>
      </c>
      <c r="G4657" t="n">
        <v>2.7</v>
      </c>
      <c r="H4657" t="n">
        <v>0</v>
      </c>
      <c r="I4657" t="n">
        <v>0</v>
      </c>
      <c r="J4657" t="n">
        <v>0</v>
      </c>
      <c r="K4657" t="n">
        <v>0</v>
      </c>
      <c r="L4657" t="n">
        <v>0</v>
      </c>
      <c r="M4657" t="n">
        <v>0</v>
      </c>
      <c r="N4657" t="n">
        <v>0</v>
      </c>
      <c r="O4657" t="n">
        <v>0</v>
      </c>
      <c r="P4657" t="n">
        <v>0</v>
      </c>
      <c r="Q4657" t="n">
        <v>0</v>
      </c>
      <c r="R4657" s="2" t="inlineStr"/>
    </row>
    <row r="4658" ht="15" customHeight="1">
      <c r="A4658" t="inlineStr">
        <is>
          <t>A 6103-2025</t>
        </is>
      </c>
      <c r="B4658" s="1" t="n">
        <v>45697.94736111111</v>
      </c>
      <c r="C4658" s="1" t="n">
        <v>45884</v>
      </c>
      <c r="D4658" t="inlineStr">
        <is>
          <t>KALMAR LÄN</t>
        </is>
      </c>
      <c r="E4658" t="inlineStr">
        <is>
          <t>OSKARSHAMN</t>
        </is>
      </c>
      <c r="G4658" t="n">
        <v>2.4</v>
      </c>
      <c r="H4658" t="n">
        <v>0</v>
      </c>
      <c r="I4658" t="n">
        <v>0</v>
      </c>
      <c r="J4658" t="n">
        <v>0</v>
      </c>
      <c r="K4658" t="n">
        <v>0</v>
      </c>
      <c r="L4658" t="n">
        <v>0</v>
      </c>
      <c r="M4658" t="n">
        <v>0</v>
      </c>
      <c r="N4658" t="n">
        <v>0</v>
      </c>
      <c r="O4658" t="n">
        <v>0</v>
      </c>
      <c r="P4658" t="n">
        <v>0</v>
      </c>
      <c r="Q4658" t="n">
        <v>0</v>
      </c>
      <c r="R4658" s="2" t="inlineStr"/>
    </row>
    <row r="4659" ht="15" customHeight="1">
      <c r="A4659" t="inlineStr">
        <is>
          <t>A 59207-2024</t>
        </is>
      </c>
      <c r="B4659" s="1" t="n">
        <v>45637.55811342593</v>
      </c>
      <c r="C4659" s="1" t="n">
        <v>45884</v>
      </c>
      <c r="D4659" t="inlineStr">
        <is>
          <t>KALMAR LÄN</t>
        </is>
      </c>
      <c r="E4659" t="inlineStr">
        <is>
          <t>NYBRO</t>
        </is>
      </c>
      <c r="G4659" t="n">
        <v>3.3</v>
      </c>
      <c r="H4659" t="n">
        <v>0</v>
      </c>
      <c r="I4659" t="n">
        <v>0</v>
      </c>
      <c r="J4659" t="n">
        <v>0</v>
      </c>
      <c r="K4659" t="n">
        <v>0</v>
      </c>
      <c r="L4659" t="n">
        <v>0</v>
      </c>
      <c r="M4659" t="n">
        <v>0</v>
      </c>
      <c r="N4659" t="n">
        <v>0</v>
      </c>
      <c r="O4659" t="n">
        <v>0</v>
      </c>
      <c r="P4659" t="n">
        <v>0</v>
      </c>
      <c r="Q4659" t="n">
        <v>0</v>
      </c>
      <c r="R4659" s="2" t="inlineStr"/>
    </row>
    <row r="4660" ht="15" customHeight="1">
      <c r="A4660" t="inlineStr">
        <is>
          <t>A 37967-2022</t>
        </is>
      </c>
      <c r="B4660" s="1" t="n">
        <v>44811.50899305556</v>
      </c>
      <c r="C4660" s="1" t="n">
        <v>45884</v>
      </c>
      <c r="D4660" t="inlineStr">
        <is>
          <t>KALMAR LÄN</t>
        </is>
      </c>
      <c r="E4660" t="inlineStr">
        <is>
          <t>NYBRO</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12394-2023</t>
        </is>
      </c>
      <c r="B4661" s="1" t="n">
        <v>44999</v>
      </c>
      <c r="C4661" s="1" t="n">
        <v>45884</v>
      </c>
      <c r="D4661" t="inlineStr">
        <is>
          <t>KALMAR LÄN</t>
        </is>
      </c>
      <c r="E4661" t="inlineStr">
        <is>
          <t>HULTSFRED</t>
        </is>
      </c>
      <c r="G4661" t="n">
        <v>3.1</v>
      </c>
      <c r="H4661" t="n">
        <v>0</v>
      </c>
      <c r="I4661" t="n">
        <v>0</v>
      </c>
      <c r="J4661" t="n">
        <v>0</v>
      </c>
      <c r="K4661" t="n">
        <v>0</v>
      </c>
      <c r="L4661" t="n">
        <v>0</v>
      </c>
      <c r="M4661" t="n">
        <v>0</v>
      </c>
      <c r="N4661" t="n">
        <v>0</v>
      </c>
      <c r="O4661" t="n">
        <v>0</v>
      </c>
      <c r="P4661" t="n">
        <v>0</v>
      </c>
      <c r="Q4661" t="n">
        <v>0</v>
      </c>
      <c r="R4661" s="2" t="inlineStr"/>
    </row>
    <row r="4662" ht="15" customHeight="1">
      <c r="A4662" t="inlineStr">
        <is>
          <t>A 60713-2022</t>
        </is>
      </c>
      <c r="B4662" s="1" t="n">
        <v>44912</v>
      </c>
      <c r="C4662" s="1" t="n">
        <v>45884</v>
      </c>
      <c r="D4662" t="inlineStr">
        <is>
          <t>KALMAR LÄN</t>
        </is>
      </c>
      <c r="E4662" t="inlineStr">
        <is>
          <t>VÄSTERVIK</t>
        </is>
      </c>
      <c r="F4662" t="inlineStr">
        <is>
          <t>Övriga Aktiebolag</t>
        </is>
      </c>
      <c r="G4662" t="n">
        <v>2.6</v>
      </c>
      <c r="H4662" t="n">
        <v>0</v>
      </c>
      <c r="I4662" t="n">
        <v>0</v>
      </c>
      <c r="J4662" t="n">
        <v>0</v>
      </c>
      <c r="K4662" t="n">
        <v>0</v>
      </c>
      <c r="L4662" t="n">
        <v>0</v>
      </c>
      <c r="M4662" t="n">
        <v>0</v>
      </c>
      <c r="N4662" t="n">
        <v>0</v>
      </c>
      <c r="O4662" t="n">
        <v>0</v>
      </c>
      <c r="P4662" t="n">
        <v>0</v>
      </c>
      <c r="Q4662" t="n">
        <v>0</v>
      </c>
      <c r="R4662" s="2" t="inlineStr"/>
    </row>
    <row r="4663" ht="15" customHeight="1">
      <c r="A4663" t="inlineStr">
        <is>
          <t>A 60807-2022</t>
        </is>
      </c>
      <c r="B4663" s="1" t="n">
        <v>44914.45517361111</v>
      </c>
      <c r="C4663" s="1" t="n">
        <v>45884</v>
      </c>
      <c r="D4663" t="inlineStr">
        <is>
          <t>KALMAR LÄN</t>
        </is>
      </c>
      <c r="E4663" t="inlineStr">
        <is>
          <t>KALMAR</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60361-2023</t>
        </is>
      </c>
      <c r="B4664" s="1" t="n">
        <v>45259.37826388889</v>
      </c>
      <c r="C4664" s="1" t="n">
        <v>45884</v>
      </c>
      <c r="D4664" t="inlineStr">
        <is>
          <t>KALMAR LÄN</t>
        </is>
      </c>
      <c r="E4664" t="inlineStr">
        <is>
          <t>HULTSFRED</t>
        </is>
      </c>
      <c r="G4664" t="n">
        <v>3.4</v>
      </c>
      <c r="H4664" t="n">
        <v>0</v>
      </c>
      <c r="I4664" t="n">
        <v>0</v>
      </c>
      <c r="J4664" t="n">
        <v>0</v>
      </c>
      <c r="K4664" t="n">
        <v>0</v>
      </c>
      <c r="L4664" t="n">
        <v>0</v>
      </c>
      <c r="M4664" t="n">
        <v>0</v>
      </c>
      <c r="N4664" t="n">
        <v>0</v>
      </c>
      <c r="O4664" t="n">
        <v>0</v>
      </c>
      <c r="P4664" t="n">
        <v>0</v>
      </c>
      <c r="Q4664" t="n">
        <v>0</v>
      </c>
      <c r="R4664" s="2" t="inlineStr"/>
    </row>
    <row r="4665" ht="15" customHeight="1">
      <c r="A4665" t="inlineStr">
        <is>
          <t>A 9076-2025</t>
        </is>
      </c>
      <c r="B4665" s="1" t="n">
        <v>45713.6596875</v>
      </c>
      <c r="C4665" s="1" t="n">
        <v>45884</v>
      </c>
      <c r="D4665" t="inlineStr">
        <is>
          <t>KALMAR LÄN</t>
        </is>
      </c>
      <c r="E4665" t="inlineStr">
        <is>
          <t>BORGHOLM</t>
        </is>
      </c>
      <c r="F4665" t="inlineStr">
        <is>
          <t>Sveaskog</t>
        </is>
      </c>
      <c r="G4665" t="n">
        <v>4.2</v>
      </c>
      <c r="H4665" t="n">
        <v>0</v>
      </c>
      <c r="I4665" t="n">
        <v>0</v>
      </c>
      <c r="J4665" t="n">
        <v>0</v>
      </c>
      <c r="K4665" t="n">
        <v>0</v>
      </c>
      <c r="L4665" t="n">
        <v>0</v>
      </c>
      <c r="M4665" t="n">
        <v>0</v>
      </c>
      <c r="N4665" t="n">
        <v>0</v>
      </c>
      <c r="O4665" t="n">
        <v>0</v>
      </c>
      <c r="P4665" t="n">
        <v>0</v>
      </c>
      <c r="Q4665" t="n">
        <v>0</v>
      </c>
      <c r="R4665" s="2" t="inlineStr"/>
    </row>
    <row r="4666" ht="15" customHeight="1">
      <c r="A4666" t="inlineStr">
        <is>
          <t>A 52049-2023</t>
        </is>
      </c>
      <c r="B4666" s="1" t="n">
        <v>45216</v>
      </c>
      <c r="C4666" s="1" t="n">
        <v>45884</v>
      </c>
      <c r="D4666" t="inlineStr">
        <is>
          <t>KALMAR LÄN</t>
        </is>
      </c>
      <c r="E4666" t="inlineStr">
        <is>
          <t>VÄSTERVIK</t>
        </is>
      </c>
      <c r="G4666" t="n">
        <v>4.4</v>
      </c>
      <c r="H4666" t="n">
        <v>0</v>
      </c>
      <c r="I4666" t="n">
        <v>0</v>
      </c>
      <c r="J4666" t="n">
        <v>0</v>
      </c>
      <c r="K4666" t="n">
        <v>0</v>
      </c>
      <c r="L4666" t="n">
        <v>0</v>
      </c>
      <c r="M4666" t="n">
        <v>0</v>
      </c>
      <c r="N4666" t="n">
        <v>0</v>
      </c>
      <c r="O4666" t="n">
        <v>0</v>
      </c>
      <c r="P4666" t="n">
        <v>0</v>
      </c>
      <c r="Q4666" t="n">
        <v>0</v>
      </c>
      <c r="R4666" s="2" t="inlineStr"/>
    </row>
    <row r="4667" ht="15" customHeight="1">
      <c r="A4667" t="inlineStr">
        <is>
          <t>A 42194-2024</t>
        </is>
      </c>
      <c r="B4667" s="1" t="n">
        <v>45562.50462962963</v>
      </c>
      <c r="C4667" s="1" t="n">
        <v>45884</v>
      </c>
      <c r="D4667" t="inlineStr">
        <is>
          <t>KALMAR LÄN</t>
        </is>
      </c>
      <c r="E4667" t="inlineStr">
        <is>
          <t>EMMABODA</t>
        </is>
      </c>
      <c r="G4667" t="n">
        <v>2.6</v>
      </c>
      <c r="H4667" t="n">
        <v>0</v>
      </c>
      <c r="I4667" t="n">
        <v>0</v>
      </c>
      <c r="J4667" t="n">
        <v>0</v>
      </c>
      <c r="K4667" t="n">
        <v>0</v>
      </c>
      <c r="L4667" t="n">
        <v>0</v>
      </c>
      <c r="M4667" t="n">
        <v>0</v>
      </c>
      <c r="N4667" t="n">
        <v>0</v>
      </c>
      <c r="O4667" t="n">
        <v>0</v>
      </c>
      <c r="P4667" t="n">
        <v>0</v>
      </c>
      <c r="Q4667" t="n">
        <v>0</v>
      </c>
      <c r="R4667" s="2" t="inlineStr"/>
    </row>
    <row r="4668" ht="15" customHeight="1">
      <c r="A4668" t="inlineStr">
        <is>
          <t>A 9094-2025</t>
        </is>
      </c>
      <c r="B4668" s="1" t="n">
        <v>45713.67922453704</v>
      </c>
      <c r="C4668" s="1" t="n">
        <v>45884</v>
      </c>
      <c r="D4668" t="inlineStr">
        <is>
          <t>KALMAR LÄN</t>
        </is>
      </c>
      <c r="E4668" t="inlineStr">
        <is>
          <t>NYBRO</t>
        </is>
      </c>
      <c r="F4668" t="inlineStr">
        <is>
          <t>Sveaskog</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9129-2025</t>
        </is>
      </c>
      <c r="B4669" s="1" t="n">
        <v>45713.92412037037</v>
      </c>
      <c r="C4669" s="1" t="n">
        <v>45884</v>
      </c>
      <c r="D4669" t="inlineStr">
        <is>
          <t>KALMAR LÄN</t>
        </is>
      </c>
      <c r="E4669" t="inlineStr">
        <is>
          <t>VIMMERBY</t>
        </is>
      </c>
      <c r="G4669" t="n">
        <v>2.8</v>
      </c>
      <c r="H4669" t="n">
        <v>0</v>
      </c>
      <c r="I4669" t="n">
        <v>0</v>
      </c>
      <c r="J4669" t="n">
        <v>0</v>
      </c>
      <c r="K4669" t="n">
        <v>0</v>
      </c>
      <c r="L4669" t="n">
        <v>0</v>
      </c>
      <c r="M4669" t="n">
        <v>0</v>
      </c>
      <c r="N4669" t="n">
        <v>0</v>
      </c>
      <c r="O4669" t="n">
        <v>0</v>
      </c>
      <c r="P4669" t="n">
        <v>0</v>
      </c>
      <c r="Q4669" t="n">
        <v>0</v>
      </c>
      <c r="R4669" s="2" t="inlineStr"/>
    </row>
    <row r="4670" ht="15" customHeight="1">
      <c r="A4670" t="inlineStr">
        <is>
          <t>A 9132-2025</t>
        </is>
      </c>
      <c r="B4670" s="1" t="n">
        <v>45714.24815972222</v>
      </c>
      <c r="C4670" s="1" t="n">
        <v>45884</v>
      </c>
      <c r="D4670" t="inlineStr">
        <is>
          <t>KALMAR LÄN</t>
        </is>
      </c>
      <c r="E4670" t="inlineStr">
        <is>
          <t>NYBRO</t>
        </is>
      </c>
      <c r="G4670" t="n">
        <v>2</v>
      </c>
      <c r="H4670" t="n">
        <v>0</v>
      </c>
      <c r="I4670" t="n">
        <v>0</v>
      </c>
      <c r="J4670" t="n">
        <v>0</v>
      </c>
      <c r="K4670" t="n">
        <v>0</v>
      </c>
      <c r="L4670" t="n">
        <v>0</v>
      </c>
      <c r="M4670" t="n">
        <v>0</v>
      </c>
      <c r="N4670" t="n">
        <v>0</v>
      </c>
      <c r="O4670" t="n">
        <v>0</v>
      </c>
      <c r="P4670" t="n">
        <v>0</v>
      </c>
      <c r="Q4670" t="n">
        <v>0</v>
      </c>
      <c r="R4670" s="2" t="inlineStr"/>
    </row>
    <row r="4671" ht="15" customHeight="1">
      <c r="A4671" t="inlineStr">
        <is>
          <t>A 60215-2022</t>
        </is>
      </c>
      <c r="B4671" s="1" t="n">
        <v>44910.41346064815</v>
      </c>
      <c r="C4671" s="1" t="n">
        <v>45884</v>
      </c>
      <c r="D4671" t="inlineStr">
        <is>
          <t>KALMAR LÄN</t>
        </is>
      </c>
      <c r="E4671" t="inlineStr">
        <is>
          <t>VIMMERBY</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22197-2024</t>
        </is>
      </c>
      <c r="B4672" s="1" t="n">
        <v>45446.36774305555</v>
      </c>
      <c r="C4672" s="1" t="n">
        <v>45884</v>
      </c>
      <c r="D4672" t="inlineStr">
        <is>
          <t>KALMAR LÄN</t>
        </is>
      </c>
      <c r="E4672" t="inlineStr">
        <is>
          <t>VIMMERBY</t>
        </is>
      </c>
      <c r="F4672" t="inlineStr">
        <is>
          <t>Sveaskog</t>
        </is>
      </c>
      <c r="G4672" t="n">
        <v>3.2</v>
      </c>
      <c r="H4672" t="n">
        <v>0</v>
      </c>
      <c r="I4672" t="n">
        <v>0</v>
      </c>
      <c r="J4672" t="n">
        <v>0</v>
      </c>
      <c r="K4672" t="n">
        <v>0</v>
      </c>
      <c r="L4672" t="n">
        <v>0</v>
      </c>
      <c r="M4672" t="n">
        <v>0</v>
      </c>
      <c r="N4672" t="n">
        <v>0</v>
      </c>
      <c r="O4672" t="n">
        <v>0</v>
      </c>
      <c r="P4672" t="n">
        <v>0</v>
      </c>
      <c r="Q4672" t="n">
        <v>0</v>
      </c>
      <c r="R4672" s="2" t="inlineStr"/>
    </row>
    <row r="4673" ht="15" customHeight="1">
      <c r="A4673" t="inlineStr">
        <is>
          <t>A 34646-2023</t>
        </is>
      </c>
      <c r="B4673" s="1" t="n">
        <v>45140</v>
      </c>
      <c r="C4673" s="1" t="n">
        <v>45884</v>
      </c>
      <c r="D4673" t="inlineStr">
        <is>
          <t>KALMAR LÄN</t>
        </is>
      </c>
      <c r="E4673" t="inlineStr">
        <is>
          <t>VÄSTERVIK</t>
        </is>
      </c>
      <c r="G4673" t="n">
        <v>3.1</v>
      </c>
      <c r="H4673" t="n">
        <v>0</v>
      </c>
      <c r="I4673" t="n">
        <v>0</v>
      </c>
      <c r="J4673" t="n">
        <v>0</v>
      </c>
      <c r="K4673" t="n">
        <v>0</v>
      </c>
      <c r="L4673" t="n">
        <v>0</v>
      </c>
      <c r="M4673" t="n">
        <v>0</v>
      </c>
      <c r="N4673" t="n">
        <v>0</v>
      </c>
      <c r="O4673" t="n">
        <v>0</v>
      </c>
      <c r="P4673" t="n">
        <v>0</v>
      </c>
      <c r="Q4673" t="n">
        <v>0</v>
      </c>
      <c r="R4673" s="2" t="inlineStr"/>
    </row>
    <row r="4674" ht="15" customHeight="1">
      <c r="A4674" t="inlineStr">
        <is>
          <t>A 29441-2024</t>
        </is>
      </c>
      <c r="B4674" s="1" t="n">
        <v>45483.82834490741</v>
      </c>
      <c r="C4674" s="1" t="n">
        <v>45884</v>
      </c>
      <c r="D4674" t="inlineStr">
        <is>
          <t>KALMAR LÄN</t>
        </is>
      </c>
      <c r="E4674" t="inlineStr">
        <is>
          <t>VIMMERBY</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31423-2024</t>
        </is>
      </c>
      <c r="B4675" s="1" t="n">
        <v>45505</v>
      </c>
      <c r="C4675" s="1" t="n">
        <v>45884</v>
      </c>
      <c r="D4675" t="inlineStr">
        <is>
          <t>KALMAR LÄN</t>
        </is>
      </c>
      <c r="E4675" t="inlineStr">
        <is>
          <t>HULTSFRED</t>
        </is>
      </c>
      <c r="G4675" t="n">
        <v>4.3</v>
      </c>
      <c r="H4675" t="n">
        <v>0</v>
      </c>
      <c r="I4675" t="n">
        <v>0</v>
      </c>
      <c r="J4675" t="n">
        <v>0</v>
      </c>
      <c r="K4675" t="n">
        <v>0</v>
      </c>
      <c r="L4675" t="n">
        <v>0</v>
      </c>
      <c r="M4675" t="n">
        <v>0</v>
      </c>
      <c r="N4675" t="n">
        <v>0</v>
      </c>
      <c r="O4675" t="n">
        <v>0</v>
      </c>
      <c r="P4675" t="n">
        <v>0</v>
      </c>
      <c r="Q4675" t="n">
        <v>0</v>
      </c>
      <c r="R4675" s="2" t="inlineStr"/>
    </row>
    <row r="4676" ht="15" customHeight="1">
      <c r="A4676" t="inlineStr">
        <is>
          <t>A 53752-2024</t>
        </is>
      </c>
      <c r="B4676" s="1" t="n">
        <v>45615.48927083334</v>
      </c>
      <c r="C4676" s="1" t="n">
        <v>45884</v>
      </c>
      <c r="D4676" t="inlineStr">
        <is>
          <t>KALMAR LÄN</t>
        </is>
      </c>
      <c r="E4676" t="inlineStr">
        <is>
          <t>VIMMERBY</t>
        </is>
      </c>
      <c r="G4676" t="n">
        <v>2.4</v>
      </c>
      <c r="H4676" t="n">
        <v>0</v>
      </c>
      <c r="I4676" t="n">
        <v>0</v>
      </c>
      <c r="J4676" t="n">
        <v>0</v>
      </c>
      <c r="K4676" t="n">
        <v>0</v>
      </c>
      <c r="L4676" t="n">
        <v>0</v>
      </c>
      <c r="M4676" t="n">
        <v>0</v>
      </c>
      <c r="N4676" t="n">
        <v>0</v>
      </c>
      <c r="O4676" t="n">
        <v>0</v>
      </c>
      <c r="P4676" t="n">
        <v>0</v>
      </c>
      <c r="Q4676" t="n">
        <v>0</v>
      </c>
      <c r="R4676" s="2" t="inlineStr"/>
    </row>
    <row r="4677" ht="15" customHeight="1">
      <c r="A4677" t="inlineStr">
        <is>
          <t>A 14212-2022</t>
        </is>
      </c>
      <c r="B4677" s="1" t="n">
        <v>44651</v>
      </c>
      <c r="C4677" s="1" t="n">
        <v>45884</v>
      </c>
      <c r="D4677" t="inlineStr">
        <is>
          <t>KALMAR LÄN</t>
        </is>
      </c>
      <c r="E4677" t="inlineStr">
        <is>
          <t>VÄSTERVIK</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40095-2024</t>
        </is>
      </c>
      <c r="B4678" s="1" t="n">
        <v>45554.4112037037</v>
      </c>
      <c r="C4678" s="1" t="n">
        <v>45884</v>
      </c>
      <c r="D4678" t="inlineStr">
        <is>
          <t>KALMAR LÄN</t>
        </is>
      </c>
      <c r="E4678" t="inlineStr">
        <is>
          <t>HULTSFRED</t>
        </is>
      </c>
      <c r="G4678" t="n">
        <v>4.8</v>
      </c>
      <c r="H4678" t="n">
        <v>0</v>
      </c>
      <c r="I4678" t="n">
        <v>0</v>
      </c>
      <c r="J4678" t="n">
        <v>0</v>
      </c>
      <c r="K4678" t="n">
        <v>0</v>
      </c>
      <c r="L4678" t="n">
        <v>0</v>
      </c>
      <c r="M4678" t="n">
        <v>0</v>
      </c>
      <c r="N4678" t="n">
        <v>0</v>
      </c>
      <c r="O4678" t="n">
        <v>0</v>
      </c>
      <c r="P4678" t="n">
        <v>0</v>
      </c>
      <c r="Q4678" t="n">
        <v>0</v>
      </c>
      <c r="R4678" s="2" t="inlineStr"/>
    </row>
    <row r="4679" ht="15" customHeight="1">
      <c r="A4679" t="inlineStr">
        <is>
          <t>A 21752-2024</t>
        </is>
      </c>
      <c r="B4679" s="1" t="n">
        <v>45442.58048611111</v>
      </c>
      <c r="C4679" s="1" t="n">
        <v>45884</v>
      </c>
      <c r="D4679" t="inlineStr">
        <is>
          <t>KALMAR LÄN</t>
        </is>
      </c>
      <c r="E4679" t="inlineStr">
        <is>
          <t>VÄSTERVIK</t>
        </is>
      </c>
      <c r="F4679" t="inlineStr">
        <is>
          <t>Holmen skog AB</t>
        </is>
      </c>
      <c r="G4679" t="n">
        <v>2.3</v>
      </c>
      <c r="H4679" t="n">
        <v>0</v>
      </c>
      <c r="I4679" t="n">
        <v>0</v>
      </c>
      <c r="J4679" t="n">
        <v>0</v>
      </c>
      <c r="K4679" t="n">
        <v>0</v>
      </c>
      <c r="L4679" t="n">
        <v>0</v>
      </c>
      <c r="M4679" t="n">
        <v>0</v>
      </c>
      <c r="N4679" t="n">
        <v>0</v>
      </c>
      <c r="O4679" t="n">
        <v>0</v>
      </c>
      <c r="P4679" t="n">
        <v>0</v>
      </c>
      <c r="Q4679" t="n">
        <v>0</v>
      </c>
      <c r="R4679" s="2" t="inlineStr"/>
    </row>
    <row r="4680" ht="15" customHeight="1">
      <c r="A4680" t="inlineStr">
        <is>
          <t>A 28681-2023</t>
        </is>
      </c>
      <c r="B4680" s="1" t="n">
        <v>45103.68170138889</v>
      </c>
      <c r="C4680" s="1" t="n">
        <v>45884</v>
      </c>
      <c r="D4680" t="inlineStr">
        <is>
          <t>KALMAR LÄN</t>
        </is>
      </c>
      <c r="E4680" t="inlineStr">
        <is>
          <t>EMMABODA</t>
        </is>
      </c>
      <c r="G4680" t="n">
        <v>4.6</v>
      </c>
      <c r="H4680" t="n">
        <v>0</v>
      </c>
      <c r="I4680" t="n">
        <v>0</v>
      </c>
      <c r="J4680" t="n">
        <v>0</v>
      </c>
      <c r="K4680" t="n">
        <v>0</v>
      </c>
      <c r="L4680" t="n">
        <v>0</v>
      </c>
      <c r="M4680" t="n">
        <v>0</v>
      </c>
      <c r="N4680" t="n">
        <v>0</v>
      </c>
      <c r="O4680" t="n">
        <v>0</v>
      </c>
      <c r="P4680" t="n">
        <v>0</v>
      </c>
      <c r="Q4680" t="n">
        <v>0</v>
      </c>
      <c r="R4680" s="2" t="inlineStr"/>
    </row>
    <row r="4681" ht="15" customHeight="1">
      <c r="A4681" t="inlineStr">
        <is>
          <t>A 8735-2023</t>
        </is>
      </c>
      <c r="B4681" s="1" t="n">
        <v>44978.45912037037</v>
      </c>
      <c r="C4681" s="1" t="n">
        <v>45884</v>
      </c>
      <c r="D4681" t="inlineStr">
        <is>
          <t>KALMAR LÄN</t>
        </is>
      </c>
      <c r="E4681" t="inlineStr">
        <is>
          <t>KALMAR</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37126-2024</t>
        </is>
      </c>
      <c r="B4682" s="1" t="n">
        <v>45539.56</v>
      </c>
      <c r="C4682" s="1" t="n">
        <v>45884</v>
      </c>
      <c r="D4682" t="inlineStr">
        <is>
          <t>KALMAR LÄN</t>
        </is>
      </c>
      <c r="E4682" t="inlineStr">
        <is>
          <t>OSKARSHAMN</t>
        </is>
      </c>
      <c r="G4682" t="n">
        <v>4.5</v>
      </c>
      <c r="H4682" t="n">
        <v>0</v>
      </c>
      <c r="I4682" t="n">
        <v>0</v>
      </c>
      <c r="J4682" t="n">
        <v>0</v>
      </c>
      <c r="K4682" t="n">
        <v>0</v>
      </c>
      <c r="L4682" t="n">
        <v>0</v>
      </c>
      <c r="M4682" t="n">
        <v>0</v>
      </c>
      <c r="N4682" t="n">
        <v>0</v>
      </c>
      <c r="O4682" t="n">
        <v>0</v>
      </c>
      <c r="P4682" t="n">
        <v>0</v>
      </c>
      <c r="Q4682" t="n">
        <v>0</v>
      </c>
      <c r="R4682" s="2" t="inlineStr"/>
    </row>
    <row r="4683" ht="15" customHeight="1">
      <c r="A4683" t="inlineStr">
        <is>
          <t>A 5192-2025</t>
        </is>
      </c>
      <c r="B4683" s="1" t="n">
        <v>45688</v>
      </c>
      <c r="C4683" s="1" t="n">
        <v>45884</v>
      </c>
      <c r="D4683" t="inlineStr">
        <is>
          <t>KALMAR LÄN</t>
        </is>
      </c>
      <c r="E4683" t="inlineStr">
        <is>
          <t>EMMABODA</t>
        </is>
      </c>
      <c r="G4683" t="n">
        <v>3.6</v>
      </c>
      <c r="H4683" t="n">
        <v>0</v>
      </c>
      <c r="I4683" t="n">
        <v>0</v>
      </c>
      <c r="J4683" t="n">
        <v>0</v>
      </c>
      <c r="K4683" t="n">
        <v>0</v>
      </c>
      <c r="L4683" t="n">
        <v>0</v>
      </c>
      <c r="M4683" t="n">
        <v>0</v>
      </c>
      <c r="N4683" t="n">
        <v>0</v>
      </c>
      <c r="O4683" t="n">
        <v>0</v>
      </c>
      <c r="P4683" t="n">
        <v>0</v>
      </c>
      <c r="Q4683" t="n">
        <v>0</v>
      </c>
      <c r="R4683" s="2" t="inlineStr"/>
    </row>
    <row r="4684" ht="15" customHeight="1">
      <c r="A4684" t="inlineStr">
        <is>
          <t>A 27340-2023</t>
        </is>
      </c>
      <c r="B4684" s="1" t="n">
        <v>45096</v>
      </c>
      <c r="C4684" s="1" t="n">
        <v>45884</v>
      </c>
      <c r="D4684" t="inlineStr">
        <is>
          <t>KALMAR LÄN</t>
        </is>
      </c>
      <c r="E4684" t="inlineStr">
        <is>
          <t>NYBRO</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12323-2025</t>
        </is>
      </c>
      <c r="B4685" s="1" t="n">
        <v>45730.29663194445</v>
      </c>
      <c r="C4685" s="1" t="n">
        <v>45884</v>
      </c>
      <c r="D4685" t="inlineStr">
        <is>
          <t>KALMAR LÄN</t>
        </is>
      </c>
      <c r="E4685" t="inlineStr">
        <is>
          <t>NYBRO</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60678-2023</t>
        </is>
      </c>
      <c r="B4686" s="1" t="n">
        <v>45260.47619212963</v>
      </c>
      <c r="C4686" s="1" t="n">
        <v>45884</v>
      </c>
      <c r="D4686" t="inlineStr">
        <is>
          <t>KALMAR LÄN</t>
        </is>
      </c>
      <c r="E4686" t="inlineStr">
        <is>
          <t>HULTSFRED</t>
        </is>
      </c>
      <c r="F4686" t="inlineStr">
        <is>
          <t>Sveaskog</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60681-2023</t>
        </is>
      </c>
      <c r="B4687" s="1" t="n">
        <v>45260.47771990741</v>
      </c>
      <c r="C4687" s="1" t="n">
        <v>45884</v>
      </c>
      <c r="D4687" t="inlineStr">
        <is>
          <t>KALMAR LÄN</t>
        </is>
      </c>
      <c r="E4687" t="inlineStr">
        <is>
          <t>HULTSFRED</t>
        </is>
      </c>
      <c r="F4687" t="inlineStr">
        <is>
          <t>Sveaskog</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30289-2024</t>
        </is>
      </c>
      <c r="B4688" s="1" t="n">
        <v>45490.64616898148</v>
      </c>
      <c r="C4688" s="1" t="n">
        <v>45884</v>
      </c>
      <c r="D4688" t="inlineStr">
        <is>
          <t>KALMAR LÄN</t>
        </is>
      </c>
      <c r="E4688" t="inlineStr">
        <is>
          <t>OSKARSHAMN</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46467-2020</t>
        </is>
      </c>
      <c r="B4689" s="1" t="n">
        <v>44095</v>
      </c>
      <c r="C4689" s="1" t="n">
        <v>45884</v>
      </c>
      <c r="D4689" t="inlineStr">
        <is>
          <t>KALMAR LÄN</t>
        </is>
      </c>
      <c r="E4689" t="inlineStr">
        <is>
          <t>KALMAR</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35721-2023</t>
        </is>
      </c>
      <c r="B4690" s="1" t="n">
        <v>45147.70241898148</v>
      </c>
      <c r="C4690" s="1" t="n">
        <v>45884</v>
      </c>
      <c r="D4690" t="inlineStr">
        <is>
          <t>KALMAR LÄN</t>
        </is>
      </c>
      <c r="E4690" t="inlineStr">
        <is>
          <t>HULTSFRED</t>
        </is>
      </c>
      <c r="G4690" t="n">
        <v>2.4</v>
      </c>
      <c r="H4690" t="n">
        <v>0</v>
      </c>
      <c r="I4690" t="n">
        <v>0</v>
      </c>
      <c r="J4690" t="n">
        <v>0</v>
      </c>
      <c r="K4690" t="n">
        <v>0</v>
      </c>
      <c r="L4690" t="n">
        <v>0</v>
      </c>
      <c r="M4690" t="n">
        <v>0</v>
      </c>
      <c r="N4690" t="n">
        <v>0</v>
      </c>
      <c r="O4690" t="n">
        <v>0</v>
      </c>
      <c r="P4690" t="n">
        <v>0</v>
      </c>
      <c r="Q4690" t="n">
        <v>0</v>
      </c>
      <c r="R4690" s="2" t="inlineStr"/>
    </row>
    <row r="4691" ht="15" customHeight="1">
      <c r="A4691" t="inlineStr">
        <is>
          <t>A 2277-2023</t>
        </is>
      </c>
      <c r="B4691" s="1" t="n">
        <v>44942.51495370371</v>
      </c>
      <c r="C4691" s="1" t="n">
        <v>45884</v>
      </c>
      <c r="D4691" t="inlineStr">
        <is>
          <t>KALMAR LÄN</t>
        </is>
      </c>
      <c r="E4691" t="inlineStr">
        <is>
          <t>TORSÅS</t>
        </is>
      </c>
      <c r="G4691" t="n">
        <v>3.5</v>
      </c>
      <c r="H4691" t="n">
        <v>0</v>
      </c>
      <c r="I4691" t="n">
        <v>0</v>
      </c>
      <c r="J4691" t="n">
        <v>0</v>
      </c>
      <c r="K4691" t="n">
        <v>0</v>
      </c>
      <c r="L4691" t="n">
        <v>0</v>
      </c>
      <c r="M4691" t="n">
        <v>0</v>
      </c>
      <c r="N4691" t="n">
        <v>0</v>
      </c>
      <c r="O4691" t="n">
        <v>0</v>
      </c>
      <c r="P4691" t="n">
        <v>0</v>
      </c>
      <c r="Q4691" t="n">
        <v>0</v>
      </c>
      <c r="R4691" s="2" t="inlineStr"/>
    </row>
    <row r="4692" ht="15" customHeight="1">
      <c r="A4692" t="inlineStr">
        <is>
          <t>A 66992-2021</t>
        </is>
      </c>
      <c r="B4692" s="1" t="n">
        <v>44522</v>
      </c>
      <c r="C4692" s="1" t="n">
        <v>45884</v>
      </c>
      <c r="D4692" t="inlineStr">
        <is>
          <t>KALMAR LÄN</t>
        </is>
      </c>
      <c r="E4692" t="inlineStr">
        <is>
          <t>KALMAR</t>
        </is>
      </c>
      <c r="G4692" t="n">
        <v>2.8</v>
      </c>
      <c r="H4692" t="n">
        <v>0</v>
      </c>
      <c r="I4692" t="n">
        <v>0</v>
      </c>
      <c r="J4692" t="n">
        <v>0</v>
      </c>
      <c r="K4692" t="n">
        <v>0</v>
      </c>
      <c r="L4692" t="n">
        <v>0</v>
      </c>
      <c r="M4692" t="n">
        <v>0</v>
      </c>
      <c r="N4692" t="n">
        <v>0</v>
      </c>
      <c r="O4692" t="n">
        <v>0</v>
      </c>
      <c r="P4692" t="n">
        <v>0</v>
      </c>
      <c r="Q4692" t="n">
        <v>0</v>
      </c>
      <c r="R4692" s="2" t="inlineStr"/>
    </row>
    <row r="4693" ht="15" customHeight="1">
      <c r="A4693" t="inlineStr">
        <is>
          <t>A 59540-2024</t>
        </is>
      </c>
      <c r="B4693" s="1" t="n">
        <v>45638.61381944444</v>
      </c>
      <c r="C4693" s="1" t="n">
        <v>45884</v>
      </c>
      <c r="D4693" t="inlineStr">
        <is>
          <t>KALMAR LÄN</t>
        </is>
      </c>
      <c r="E4693" t="inlineStr">
        <is>
          <t>MÖNSTERÅS</t>
        </is>
      </c>
      <c r="G4693" t="n">
        <v>2</v>
      </c>
      <c r="H4693" t="n">
        <v>0</v>
      </c>
      <c r="I4693" t="n">
        <v>0</v>
      </c>
      <c r="J4693" t="n">
        <v>0</v>
      </c>
      <c r="K4693" t="n">
        <v>0</v>
      </c>
      <c r="L4693" t="n">
        <v>0</v>
      </c>
      <c r="M4693" t="n">
        <v>0</v>
      </c>
      <c r="N4693" t="n">
        <v>0</v>
      </c>
      <c r="O4693" t="n">
        <v>0</v>
      </c>
      <c r="P4693" t="n">
        <v>0</v>
      </c>
      <c r="Q4693" t="n">
        <v>0</v>
      </c>
      <c r="R4693" s="2" t="inlineStr"/>
    </row>
    <row r="4694" ht="15" customHeight="1">
      <c r="A4694" t="inlineStr">
        <is>
          <t>A 20878-2024</t>
        </is>
      </c>
      <c r="B4694" s="1" t="n">
        <v>45439.44748842593</v>
      </c>
      <c r="C4694" s="1" t="n">
        <v>45884</v>
      </c>
      <c r="D4694" t="inlineStr">
        <is>
          <t>KALMAR LÄN</t>
        </is>
      </c>
      <c r="E4694" t="inlineStr">
        <is>
          <t>BORGHOLM</t>
        </is>
      </c>
      <c r="G4694" t="n">
        <v>1.9</v>
      </c>
      <c r="H4694" t="n">
        <v>0</v>
      </c>
      <c r="I4694" t="n">
        <v>0</v>
      </c>
      <c r="J4694" t="n">
        <v>0</v>
      </c>
      <c r="K4694" t="n">
        <v>0</v>
      </c>
      <c r="L4694" t="n">
        <v>0</v>
      </c>
      <c r="M4694" t="n">
        <v>0</v>
      </c>
      <c r="N4694" t="n">
        <v>0</v>
      </c>
      <c r="O4694" t="n">
        <v>0</v>
      </c>
      <c r="P4694" t="n">
        <v>0</v>
      </c>
      <c r="Q4694" t="n">
        <v>0</v>
      </c>
      <c r="R4694" s="2" t="inlineStr"/>
    </row>
    <row r="4695" ht="15" customHeight="1">
      <c r="A4695" t="inlineStr">
        <is>
          <t>A 31084-2021</t>
        </is>
      </c>
      <c r="B4695" s="1" t="n">
        <v>44368.48951388889</v>
      </c>
      <c r="C4695" s="1" t="n">
        <v>45884</v>
      </c>
      <c r="D4695" t="inlineStr">
        <is>
          <t>KALMAR LÄN</t>
        </is>
      </c>
      <c r="E4695" t="inlineStr">
        <is>
          <t>NYBRO</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6216-2025</t>
        </is>
      </c>
      <c r="B4696" s="1" t="n">
        <v>45698.52806712963</v>
      </c>
      <c r="C4696" s="1" t="n">
        <v>45884</v>
      </c>
      <c r="D4696" t="inlineStr">
        <is>
          <t>KALMAR LÄN</t>
        </is>
      </c>
      <c r="E4696" t="inlineStr">
        <is>
          <t>VIMMERBY</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4387-2022</t>
        </is>
      </c>
      <c r="B4697" s="1" t="n">
        <v>44589.42831018518</v>
      </c>
      <c r="C4697" s="1" t="n">
        <v>45884</v>
      </c>
      <c r="D4697" t="inlineStr">
        <is>
          <t>KALMAR LÄN</t>
        </is>
      </c>
      <c r="E4697" t="inlineStr">
        <is>
          <t>EMMABODA</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16617-2023</t>
        </is>
      </c>
      <c r="B4698" s="1" t="n">
        <v>45030</v>
      </c>
      <c r="C4698" s="1" t="n">
        <v>45884</v>
      </c>
      <c r="D4698" t="inlineStr">
        <is>
          <t>KALMAR LÄN</t>
        </is>
      </c>
      <c r="E4698" t="inlineStr">
        <is>
          <t>VÄSTERVIK</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2076-2021</t>
        </is>
      </c>
      <c r="B4699" s="1" t="n">
        <v>44211</v>
      </c>
      <c r="C4699" s="1" t="n">
        <v>45884</v>
      </c>
      <c r="D4699" t="inlineStr">
        <is>
          <t>KALMAR LÄN</t>
        </is>
      </c>
      <c r="E4699" t="inlineStr">
        <is>
          <t>MÖNSTERÅS</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1757-2025</t>
        </is>
      </c>
      <c r="B4700" s="1" t="n">
        <v>45671.42195601852</v>
      </c>
      <c r="C4700" s="1" t="n">
        <v>45884</v>
      </c>
      <c r="D4700" t="inlineStr">
        <is>
          <t>KALMAR LÄN</t>
        </is>
      </c>
      <c r="E4700" t="inlineStr">
        <is>
          <t>BORGHOLM</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62779-2023</t>
        </is>
      </c>
      <c r="B4701" s="1" t="n">
        <v>45271.66576388889</v>
      </c>
      <c r="C4701" s="1" t="n">
        <v>45884</v>
      </c>
      <c r="D4701" t="inlineStr">
        <is>
          <t>KALMAR LÄN</t>
        </is>
      </c>
      <c r="E4701" t="inlineStr">
        <is>
          <t>VIMMERBY</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52294-2023</t>
        </is>
      </c>
      <c r="B4702" s="1" t="n">
        <v>45224.60075231481</v>
      </c>
      <c r="C4702" s="1" t="n">
        <v>45884</v>
      </c>
      <c r="D4702" t="inlineStr">
        <is>
          <t>KALMAR LÄN</t>
        </is>
      </c>
      <c r="E4702" t="inlineStr">
        <is>
          <t>VIMMERBY</t>
        </is>
      </c>
      <c r="F4702" t="inlineStr">
        <is>
          <t>Sveaskog</t>
        </is>
      </c>
      <c r="G4702" t="n">
        <v>2.5</v>
      </c>
      <c r="H4702" t="n">
        <v>0</v>
      </c>
      <c r="I4702" t="n">
        <v>0</v>
      </c>
      <c r="J4702" t="n">
        <v>0</v>
      </c>
      <c r="K4702" t="n">
        <v>0</v>
      </c>
      <c r="L4702" t="n">
        <v>0</v>
      </c>
      <c r="M4702" t="n">
        <v>0</v>
      </c>
      <c r="N4702" t="n">
        <v>0</v>
      </c>
      <c r="O4702" t="n">
        <v>0</v>
      </c>
      <c r="P4702" t="n">
        <v>0</v>
      </c>
      <c r="Q4702" t="n">
        <v>0</v>
      </c>
      <c r="R4702" s="2" t="inlineStr"/>
    </row>
    <row r="4703" ht="15" customHeight="1">
      <c r="A4703" t="inlineStr">
        <is>
          <t>A 55032-2024</t>
        </is>
      </c>
      <c r="B4703" s="1" t="n">
        <v>45621.38190972222</v>
      </c>
      <c r="C4703" s="1" t="n">
        <v>45884</v>
      </c>
      <c r="D4703" t="inlineStr">
        <is>
          <t>KALMAR LÄN</t>
        </is>
      </c>
      <c r="E4703" t="inlineStr">
        <is>
          <t>VÄSTERVIK</t>
        </is>
      </c>
      <c r="F4703" t="inlineStr">
        <is>
          <t>Sveaskog</t>
        </is>
      </c>
      <c r="G4703" t="n">
        <v>2.9</v>
      </c>
      <c r="H4703" t="n">
        <v>0</v>
      </c>
      <c r="I4703" t="n">
        <v>0</v>
      </c>
      <c r="J4703" t="n">
        <v>0</v>
      </c>
      <c r="K4703" t="n">
        <v>0</v>
      </c>
      <c r="L4703" t="n">
        <v>0</v>
      </c>
      <c r="M4703" t="n">
        <v>0</v>
      </c>
      <c r="N4703" t="n">
        <v>0</v>
      </c>
      <c r="O4703" t="n">
        <v>0</v>
      </c>
      <c r="P4703" t="n">
        <v>0</v>
      </c>
      <c r="Q4703" t="n">
        <v>0</v>
      </c>
      <c r="R4703" s="2" t="inlineStr"/>
    </row>
    <row r="4704" ht="15" customHeight="1">
      <c r="A4704" t="inlineStr">
        <is>
          <t>A 55037-2024</t>
        </is>
      </c>
      <c r="B4704" s="1" t="n">
        <v>45621.38459490741</v>
      </c>
      <c r="C4704" s="1" t="n">
        <v>45884</v>
      </c>
      <c r="D4704" t="inlineStr">
        <is>
          <t>KALMAR LÄN</t>
        </is>
      </c>
      <c r="E4704" t="inlineStr">
        <is>
          <t>VÄSTERVIK</t>
        </is>
      </c>
      <c r="F4704" t="inlineStr">
        <is>
          <t>Sveaskog</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57110-2023</t>
        </is>
      </c>
      <c r="B4705" s="1" t="n">
        <v>45245.35430555556</v>
      </c>
      <c r="C4705" s="1" t="n">
        <v>45884</v>
      </c>
      <c r="D4705" t="inlineStr">
        <is>
          <t>KALMAR LÄN</t>
        </is>
      </c>
      <c r="E4705" t="inlineStr">
        <is>
          <t>OSKARSHAMN</t>
        </is>
      </c>
      <c r="G4705" t="n">
        <v>4.1</v>
      </c>
      <c r="H4705" t="n">
        <v>0</v>
      </c>
      <c r="I4705" t="n">
        <v>0</v>
      </c>
      <c r="J4705" t="n">
        <v>0</v>
      </c>
      <c r="K4705" t="n">
        <v>0</v>
      </c>
      <c r="L4705" t="n">
        <v>0</v>
      </c>
      <c r="M4705" t="n">
        <v>0</v>
      </c>
      <c r="N4705" t="n">
        <v>0</v>
      </c>
      <c r="O4705" t="n">
        <v>0</v>
      </c>
      <c r="P4705" t="n">
        <v>0</v>
      </c>
      <c r="Q4705" t="n">
        <v>0</v>
      </c>
      <c r="R4705" s="2" t="inlineStr"/>
    </row>
    <row r="4706" ht="15" customHeight="1">
      <c r="A4706" t="inlineStr">
        <is>
          <t>A 60101-2024</t>
        </is>
      </c>
      <c r="B4706" s="1" t="n">
        <v>45642.5578125</v>
      </c>
      <c r="C4706" s="1" t="n">
        <v>45884</v>
      </c>
      <c r="D4706" t="inlineStr">
        <is>
          <t>KALMAR LÄN</t>
        </is>
      </c>
      <c r="E4706" t="inlineStr">
        <is>
          <t>HULTSFRED</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33204-2022</t>
        </is>
      </c>
      <c r="B4707" s="1" t="n">
        <v>44785</v>
      </c>
      <c r="C4707" s="1" t="n">
        <v>45884</v>
      </c>
      <c r="D4707" t="inlineStr">
        <is>
          <t>KALMAR LÄN</t>
        </is>
      </c>
      <c r="E4707" t="inlineStr">
        <is>
          <t>VÄSTERVIK</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18427-2025</t>
        </is>
      </c>
      <c r="B4708" s="1" t="n">
        <v>45762.62880787037</v>
      </c>
      <c r="C4708" s="1" t="n">
        <v>45884</v>
      </c>
      <c r="D4708" t="inlineStr">
        <is>
          <t>KALMAR LÄN</t>
        </is>
      </c>
      <c r="E4708" t="inlineStr">
        <is>
          <t>NYBRO</t>
        </is>
      </c>
      <c r="G4708" t="n">
        <v>3.6</v>
      </c>
      <c r="H4708" t="n">
        <v>0</v>
      </c>
      <c r="I4708" t="n">
        <v>0</v>
      </c>
      <c r="J4708" t="n">
        <v>0</v>
      </c>
      <c r="K4708" t="n">
        <v>0</v>
      </c>
      <c r="L4708" t="n">
        <v>0</v>
      </c>
      <c r="M4708" t="n">
        <v>0</v>
      </c>
      <c r="N4708" t="n">
        <v>0</v>
      </c>
      <c r="O4708" t="n">
        <v>0</v>
      </c>
      <c r="P4708" t="n">
        <v>0</v>
      </c>
      <c r="Q4708" t="n">
        <v>0</v>
      </c>
      <c r="R4708" s="2" t="inlineStr"/>
    </row>
    <row r="4709" ht="15" customHeight="1">
      <c r="A4709" t="inlineStr">
        <is>
          <t>A 57791-2022</t>
        </is>
      </c>
      <c r="B4709" s="1" t="n">
        <v>44897.65846064815</v>
      </c>
      <c r="C4709" s="1" t="n">
        <v>45884</v>
      </c>
      <c r="D4709" t="inlineStr">
        <is>
          <t>KALMAR LÄN</t>
        </is>
      </c>
      <c r="E4709" t="inlineStr">
        <is>
          <t>EMMABODA</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928-2024</t>
        </is>
      </c>
      <c r="B4710" s="1" t="n">
        <v>45301</v>
      </c>
      <c r="C4710" s="1" t="n">
        <v>45884</v>
      </c>
      <c r="D4710" t="inlineStr">
        <is>
          <t>KALMAR LÄN</t>
        </is>
      </c>
      <c r="E4710" t="inlineStr">
        <is>
          <t>VÄSTERVIK</t>
        </is>
      </c>
      <c r="G4710" t="n">
        <v>4.8</v>
      </c>
      <c r="H4710" t="n">
        <v>0</v>
      </c>
      <c r="I4710" t="n">
        <v>0</v>
      </c>
      <c r="J4710" t="n">
        <v>0</v>
      </c>
      <c r="K4710" t="n">
        <v>0</v>
      </c>
      <c r="L4710" t="n">
        <v>0</v>
      </c>
      <c r="M4710" t="n">
        <v>0</v>
      </c>
      <c r="N4710" t="n">
        <v>0</v>
      </c>
      <c r="O4710" t="n">
        <v>0</v>
      </c>
      <c r="P4710" t="n">
        <v>0</v>
      </c>
      <c r="Q4710" t="n">
        <v>0</v>
      </c>
      <c r="R4710" s="2" t="inlineStr"/>
    </row>
    <row r="4711" ht="15" customHeight="1">
      <c r="A4711" t="inlineStr">
        <is>
          <t>A 27351-2023</t>
        </is>
      </c>
      <c r="B4711" s="1" t="n">
        <v>45096.90421296296</v>
      </c>
      <c r="C4711" s="1" t="n">
        <v>45884</v>
      </c>
      <c r="D4711" t="inlineStr">
        <is>
          <t>KALMAR LÄN</t>
        </is>
      </c>
      <c r="E4711" t="inlineStr">
        <is>
          <t>HULTSFRED</t>
        </is>
      </c>
      <c r="G4711" t="n">
        <v>2.3</v>
      </c>
      <c r="H4711" t="n">
        <v>0</v>
      </c>
      <c r="I4711" t="n">
        <v>0</v>
      </c>
      <c r="J4711" t="n">
        <v>0</v>
      </c>
      <c r="K4711" t="n">
        <v>0</v>
      </c>
      <c r="L4711" t="n">
        <v>0</v>
      </c>
      <c r="M4711" t="n">
        <v>0</v>
      </c>
      <c r="N4711" t="n">
        <v>0</v>
      </c>
      <c r="O4711" t="n">
        <v>0</v>
      </c>
      <c r="P4711" t="n">
        <v>0</v>
      </c>
      <c r="Q4711" t="n">
        <v>0</v>
      </c>
      <c r="R4711" s="2" t="inlineStr"/>
    </row>
    <row r="4712" ht="15" customHeight="1">
      <c r="A4712" t="inlineStr">
        <is>
          <t>A 63212-2023</t>
        </is>
      </c>
      <c r="B4712" s="1" t="n">
        <v>45273</v>
      </c>
      <c r="C4712" s="1" t="n">
        <v>45884</v>
      </c>
      <c r="D4712" t="inlineStr">
        <is>
          <t>KALMAR LÄN</t>
        </is>
      </c>
      <c r="E4712" t="inlineStr">
        <is>
          <t>HULTSFRED</t>
        </is>
      </c>
      <c r="G4712" t="n">
        <v>2.5</v>
      </c>
      <c r="H4712" t="n">
        <v>0</v>
      </c>
      <c r="I4712" t="n">
        <v>0</v>
      </c>
      <c r="J4712" t="n">
        <v>0</v>
      </c>
      <c r="K4712" t="n">
        <v>0</v>
      </c>
      <c r="L4712" t="n">
        <v>0</v>
      </c>
      <c r="M4712" t="n">
        <v>0</v>
      </c>
      <c r="N4712" t="n">
        <v>0</v>
      </c>
      <c r="O4712" t="n">
        <v>0</v>
      </c>
      <c r="P4712" t="n">
        <v>0</v>
      </c>
      <c r="Q4712" t="n">
        <v>0</v>
      </c>
      <c r="R4712" s="2" t="inlineStr"/>
    </row>
    <row r="4713" ht="15" customHeight="1">
      <c r="A4713" t="inlineStr">
        <is>
          <t>A 63279-2023</t>
        </is>
      </c>
      <c r="B4713" s="1" t="n">
        <v>45273.86098379629</v>
      </c>
      <c r="C4713" s="1" t="n">
        <v>45884</v>
      </c>
      <c r="D4713" t="inlineStr">
        <is>
          <t>KALMAR LÄN</t>
        </is>
      </c>
      <c r="E4713" t="inlineStr">
        <is>
          <t>KALMAR</t>
        </is>
      </c>
      <c r="G4713" t="n">
        <v>2.8</v>
      </c>
      <c r="H4713" t="n">
        <v>0</v>
      </c>
      <c r="I4713" t="n">
        <v>0</v>
      </c>
      <c r="J4713" t="n">
        <v>0</v>
      </c>
      <c r="K4713" t="n">
        <v>0</v>
      </c>
      <c r="L4713" t="n">
        <v>0</v>
      </c>
      <c r="M4713" t="n">
        <v>0</v>
      </c>
      <c r="N4713" t="n">
        <v>0</v>
      </c>
      <c r="O4713" t="n">
        <v>0</v>
      </c>
      <c r="P4713" t="n">
        <v>0</v>
      </c>
      <c r="Q4713" t="n">
        <v>0</v>
      </c>
      <c r="R4713" s="2" t="inlineStr"/>
    </row>
    <row r="4714" ht="15" customHeight="1">
      <c r="A4714" t="inlineStr">
        <is>
          <t>A 39093-2024</t>
        </is>
      </c>
      <c r="B4714" s="1" t="n">
        <v>45548.55480324074</v>
      </c>
      <c r="C4714" s="1" t="n">
        <v>45884</v>
      </c>
      <c r="D4714" t="inlineStr">
        <is>
          <t>KALMAR LÄN</t>
        </is>
      </c>
      <c r="E4714" t="inlineStr">
        <is>
          <t>KALMAR</t>
        </is>
      </c>
      <c r="G4714" t="n">
        <v>2.7</v>
      </c>
      <c r="H4714" t="n">
        <v>0</v>
      </c>
      <c r="I4714" t="n">
        <v>0</v>
      </c>
      <c r="J4714" t="n">
        <v>0</v>
      </c>
      <c r="K4714" t="n">
        <v>0</v>
      </c>
      <c r="L4714" t="n">
        <v>0</v>
      </c>
      <c r="M4714" t="n">
        <v>0</v>
      </c>
      <c r="N4714" t="n">
        <v>0</v>
      </c>
      <c r="O4714" t="n">
        <v>0</v>
      </c>
      <c r="P4714" t="n">
        <v>0</v>
      </c>
      <c r="Q4714" t="n">
        <v>0</v>
      </c>
      <c r="R4714" s="2" t="inlineStr"/>
    </row>
    <row r="4715" ht="15" customHeight="1">
      <c r="A4715" t="inlineStr">
        <is>
          <t>A 14937-2022</t>
        </is>
      </c>
      <c r="B4715" s="1" t="n">
        <v>44657.41376157408</v>
      </c>
      <c r="C4715" s="1" t="n">
        <v>45884</v>
      </c>
      <c r="D4715" t="inlineStr">
        <is>
          <t>KALMAR LÄN</t>
        </is>
      </c>
      <c r="E4715" t="inlineStr">
        <is>
          <t>TORSÅS</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46068-2023</t>
        </is>
      </c>
      <c r="B4716" s="1" t="n">
        <v>45196</v>
      </c>
      <c r="C4716" s="1" t="n">
        <v>45884</v>
      </c>
      <c r="D4716" t="inlineStr">
        <is>
          <t>KALMAR LÄN</t>
        </is>
      </c>
      <c r="E4716" t="inlineStr">
        <is>
          <t>OSKARSHAMN</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51721-2024</t>
        </is>
      </c>
      <c r="B4717" s="1" t="n">
        <v>45604</v>
      </c>
      <c r="C4717" s="1" t="n">
        <v>45884</v>
      </c>
      <c r="D4717" t="inlineStr">
        <is>
          <t>KALMAR LÄN</t>
        </is>
      </c>
      <c r="E4717" t="inlineStr">
        <is>
          <t>OSKARSHAMN</t>
        </is>
      </c>
      <c r="G4717" t="n">
        <v>2</v>
      </c>
      <c r="H4717" t="n">
        <v>0</v>
      </c>
      <c r="I4717" t="n">
        <v>0</v>
      </c>
      <c r="J4717" t="n">
        <v>0</v>
      </c>
      <c r="K4717" t="n">
        <v>0</v>
      </c>
      <c r="L4717" t="n">
        <v>0</v>
      </c>
      <c r="M4717" t="n">
        <v>0</v>
      </c>
      <c r="N4717" t="n">
        <v>0</v>
      </c>
      <c r="O4717" t="n">
        <v>0</v>
      </c>
      <c r="P4717" t="n">
        <v>0</v>
      </c>
      <c r="Q4717" t="n">
        <v>0</v>
      </c>
      <c r="R4717" s="2" t="inlineStr"/>
    </row>
    <row r="4718" ht="15" customHeight="1">
      <c r="A4718" t="inlineStr">
        <is>
          <t>A 51025-2023</t>
        </is>
      </c>
      <c r="B4718" s="1" t="n">
        <v>45218.60378472223</v>
      </c>
      <c r="C4718" s="1" t="n">
        <v>45884</v>
      </c>
      <c r="D4718" t="inlineStr">
        <is>
          <t>KALMAR LÄN</t>
        </is>
      </c>
      <c r="E4718" t="inlineStr">
        <is>
          <t>OSKARSHAMN</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58401-2021</t>
        </is>
      </c>
      <c r="B4719" s="1" t="n">
        <v>44488</v>
      </c>
      <c r="C4719" s="1" t="n">
        <v>45884</v>
      </c>
      <c r="D4719" t="inlineStr">
        <is>
          <t>KALMAR LÄN</t>
        </is>
      </c>
      <c r="E4719" t="inlineStr">
        <is>
          <t>OSKARSHAMN</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13588-2025</t>
        </is>
      </c>
      <c r="B4720" s="1" t="n">
        <v>45736.59657407407</v>
      </c>
      <c r="C4720" s="1" t="n">
        <v>45884</v>
      </c>
      <c r="D4720" t="inlineStr">
        <is>
          <t>KALMAR LÄN</t>
        </is>
      </c>
      <c r="E4720" t="inlineStr">
        <is>
          <t>TORSÅS</t>
        </is>
      </c>
      <c r="G4720" t="n">
        <v>2.4</v>
      </c>
      <c r="H4720" t="n">
        <v>0</v>
      </c>
      <c r="I4720" t="n">
        <v>0</v>
      </c>
      <c r="J4720" t="n">
        <v>0</v>
      </c>
      <c r="K4720" t="n">
        <v>0</v>
      </c>
      <c r="L4720" t="n">
        <v>0</v>
      </c>
      <c r="M4720" t="n">
        <v>0</v>
      </c>
      <c r="N4720" t="n">
        <v>0</v>
      </c>
      <c r="O4720" t="n">
        <v>0</v>
      </c>
      <c r="P4720" t="n">
        <v>0</v>
      </c>
      <c r="Q4720" t="n">
        <v>0</v>
      </c>
      <c r="R4720" s="2" t="inlineStr"/>
    </row>
    <row r="4721" ht="15" customHeight="1">
      <c r="A4721" t="inlineStr">
        <is>
          <t>A 51908-2023</t>
        </is>
      </c>
      <c r="B4721" s="1" t="n">
        <v>45216</v>
      </c>
      <c r="C4721" s="1" t="n">
        <v>45884</v>
      </c>
      <c r="D4721" t="inlineStr">
        <is>
          <t>KALMAR LÄN</t>
        </is>
      </c>
      <c r="E4721" t="inlineStr">
        <is>
          <t>NYBRO</t>
        </is>
      </c>
      <c r="G4721" t="n">
        <v>2.7</v>
      </c>
      <c r="H4721" t="n">
        <v>0</v>
      </c>
      <c r="I4721" t="n">
        <v>0</v>
      </c>
      <c r="J4721" t="n">
        <v>0</v>
      </c>
      <c r="K4721" t="n">
        <v>0</v>
      </c>
      <c r="L4721" t="n">
        <v>0</v>
      </c>
      <c r="M4721" t="n">
        <v>0</v>
      </c>
      <c r="N4721" t="n">
        <v>0</v>
      </c>
      <c r="O4721" t="n">
        <v>0</v>
      </c>
      <c r="P4721" t="n">
        <v>0</v>
      </c>
      <c r="Q4721" t="n">
        <v>0</v>
      </c>
      <c r="R4721" s="2" t="inlineStr"/>
    </row>
    <row r="4722" ht="15" customHeight="1">
      <c r="A4722" t="inlineStr">
        <is>
          <t>A 33035-2022</t>
        </is>
      </c>
      <c r="B4722" s="1" t="n">
        <v>44785.36618055555</v>
      </c>
      <c r="C4722" s="1" t="n">
        <v>45884</v>
      </c>
      <c r="D4722" t="inlineStr">
        <is>
          <t>KALMAR LÄN</t>
        </is>
      </c>
      <c r="E4722" t="inlineStr">
        <is>
          <t>NYBRO</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60026-2022</t>
        </is>
      </c>
      <c r="B4723" s="1" t="n">
        <v>44909.49190972222</v>
      </c>
      <c r="C4723" s="1" t="n">
        <v>45884</v>
      </c>
      <c r="D4723" t="inlineStr">
        <is>
          <t>KALMAR LÄN</t>
        </is>
      </c>
      <c r="E4723" t="inlineStr">
        <is>
          <t>NYBRO</t>
        </is>
      </c>
      <c r="G4723" t="n">
        <v>7.6</v>
      </c>
      <c r="H4723" t="n">
        <v>0</v>
      </c>
      <c r="I4723" t="n">
        <v>0</v>
      </c>
      <c r="J4723" t="n">
        <v>0</v>
      </c>
      <c r="K4723" t="n">
        <v>0</v>
      </c>
      <c r="L4723" t="n">
        <v>0</v>
      </c>
      <c r="M4723" t="n">
        <v>0</v>
      </c>
      <c r="N4723" t="n">
        <v>0</v>
      </c>
      <c r="O4723" t="n">
        <v>0</v>
      </c>
      <c r="P4723" t="n">
        <v>0</v>
      </c>
      <c r="Q4723" t="n">
        <v>0</v>
      </c>
      <c r="R4723" s="2" t="inlineStr"/>
    </row>
    <row r="4724" ht="15" customHeight="1">
      <c r="A4724" t="inlineStr">
        <is>
          <t>A 31013-2023</t>
        </is>
      </c>
      <c r="B4724" s="1" t="n">
        <v>45113.56574074074</v>
      </c>
      <c r="C4724" s="1" t="n">
        <v>45884</v>
      </c>
      <c r="D4724" t="inlineStr">
        <is>
          <t>KALMAR LÄN</t>
        </is>
      </c>
      <c r="E4724" t="inlineStr">
        <is>
          <t>VIMMERBY</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10871-2023</t>
        </is>
      </c>
      <c r="B4725" s="1" t="n">
        <v>44991.41760416667</v>
      </c>
      <c r="C4725" s="1" t="n">
        <v>45884</v>
      </c>
      <c r="D4725" t="inlineStr">
        <is>
          <t>KALMAR LÄN</t>
        </is>
      </c>
      <c r="E4725" t="inlineStr">
        <is>
          <t>HÖGSBY</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10895-2023</t>
        </is>
      </c>
      <c r="B4726" s="1" t="n">
        <v>44991.4569212963</v>
      </c>
      <c r="C4726" s="1" t="n">
        <v>45884</v>
      </c>
      <c r="D4726" t="inlineStr">
        <is>
          <t>KALMAR LÄN</t>
        </is>
      </c>
      <c r="E4726" t="inlineStr">
        <is>
          <t>NYBRO</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31060-2023</t>
        </is>
      </c>
      <c r="B4727" s="1" t="n">
        <v>45113</v>
      </c>
      <c r="C4727" s="1" t="n">
        <v>45884</v>
      </c>
      <c r="D4727" t="inlineStr">
        <is>
          <t>KALMAR LÄN</t>
        </is>
      </c>
      <c r="E4727" t="inlineStr">
        <is>
          <t>NYBRO</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12121-2025</t>
        </is>
      </c>
      <c r="B4728" s="1" t="n">
        <v>45729.36868055556</v>
      </c>
      <c r="C4728" s="1" t="n">
        <v>45884</v>
      </c>
      <c r="D4728" t="inlineStr">
        <is>
          <t>KALMAR LÄN</t>
        </is>
      </c>
      <c r="E4728" t="inlineStr">
        <is>
          <t>VIMMERBY</t>
        </is>
      </c>
      <c r="G4728" t="n">
        <v>4.3</v>
      </c>
      <c r="H4728" t="n">
        <v>0</v>
      </c>
      <c r="I4728" t="n">
        <v>0</v>
      </c>
      <c r="J4728" t="n">
        <v>0</v>
      </c>
      <c r="K4728" t="n">
        <v>0</v>
      </c>
      <c r="L4728" t="n">
        <v>0</v>
      </c>
      <c r="M4728" t="n">
        <v>0</v>
      </c>
      <c r="N4728" t="n">
        <v>0</v>
      </c>
      <c r="O4728" t="n">
        <v>0</v>
      </c>
      <c r="P4728" t="n">
        <v>0</v>
      </c>
      <c r="Q4728" t="n">
        <v>0</v>
      </c>
      <c r="R4728" s="2" t="inlineStr"/>
    </row>
    <row r="4729" ht="15" customHeight="1">
      <c r="A4729" t="inlineStr">
        <is>
          <t>A 12192-2025</t>
        </is>
      </c>
      <c r="B4729" s="1" t="n">
        <v>45729.46997685185</v>
      </c>
      <c r="C4729" s="1" t="n">
        <v>45884</v>
      </c>
      <c r="D4729" t="inlineStr">
        <is>
          <t>KALMAR LÄN</t>
        </is>
      </c>
      <c r="E4729" t="inlineStr">
        <is>
          <t>HULTSFRED</t>
        </is>
      </c>
      <c r="F4729" t="inlineStr">
        <is>
          <t>Sveaskog</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31079-2023</t>
        </is>
      </c>
      <c r="B4730" s="1" t="n">
        <v>45113.64251157407</v>
      </c>
      <c r="C4730" s="1" t="n">
        <v>45884</v>
      </c>
      <c r="D4730" t="inlineStr">
        <is>
          <t>KALMAR LÄN</t>
        </is>
      </c>
      <c r="E4730" t="inlineStr">
        <is>
          <t>OSKARSHAMN</t>
        </is>
      </c>
      <c r="G4730" t="n">
        <v>5.4</v>
      </c>
      <c r="H4730" t="n">
        <v>0</v>
      </c>
      <c r="I4730" t="n">
        <v>0</v>
      </c>
      <c r="J4730" t="n">
        <v>0</v>
      </c>
      <c r="K4730" t="n">
        <v>0</v>
      </c>
      <c r="L4730" t="n">
        <v>0</v>
      </c>
      <c r="M4730" t="n">
        <v>0</v>
      </c>
      <c r="N4730" t="n">
        <v>0</v>
      </c>
      <c r="O4730" t="n">
        <v>0</v>
      </c>
      <c r="P4730" t="n">
        <v>0</v>
      </c>
      <c r="Q4730" t="n">
        <v>0</v>
      </c>
      <c r="R4730" s="2" t="inlineStr"/>
    </row>
    <row r="4731" ht="15" customHeight="1">
      <c r="A4731" t="inlineStr">
        <is>
          <t>A 31093-2023</t>
        </is>
      </c>
      <c r="B4731" s="1" t="n">
        <v>45113</v>
      </c>
      <c r="C4731" s="1" t="n">
        <v>45884</v>
      </c>
      <c r="D4731" t="inlineStr">
        <is>
          <t>KALMAR LÄN</t>
        </is>
      </c>
      <c r="E4731" t="inlineStr">
        <is>
          <t>EMMABODA</t>
        </is>
      </c>
      <c r="G4731" t="n">
        <v>0.4</v>
      </c>
      <c r="H4731" t="n">
        <v>0</v>
      </c>
      <c r="I4731" t="n">
        <v>0</v>
      </c>
      <c r="J4731" t="n">
        <v>0</v>
      </c>
      <c r="K4731" t="n">
        <v>0</v>
      </c>
      <c r="L4731" t="n">
        <v>0</v>
      </c>
      <c r="M4731" t="n">
        <v>0</v>
      </c>
      <c r="N4731" t="n">
        <v>0</v>
      </c>
      <c r="O4731" t="n">
        <v>0</v>
      </c>
      <c r="P4731" t="n">
        <v>0</v>
      </c>
      <c r="Q4731" t="n">
        <v>0</v>
      </c>
      <c r="R4731" s="2" t="inlineStr"/>
    </row>
    <row r="4732" ht="15" customHeight="1">
      <c r="A4732" t="inlineStr">
        <is>
          <t>A 63018-2023</t>
        </is>
      </c>
      <c r="B4732" s="1" t="n">
        <v>45272</v>
      </c>
      <c r="C4732" s="1" t="n">
        <v>45884</v>
      </c>
      <c r="D4732" t="inlineStr">
        <is>
          <t>KALMAR LÄN</t>
        </is>
      </c>
      <c r="E4732" t="inlineStr">
        <is>
          <t>VÄSTERVIK</t>
        </is>
      </c>
      <c r="G4732" t="n">
        <v>1.7</v>
      </c>
      <c r="H4732" t="n">
        <v>0</v>
      </c>
      <c r="I4732" t="n">
        <v>0</v>
      </c>
      <c r="J4732" t="n">
        <v>0</v>
      </c>
      <c r="K4732" t="n">
        <v>0</v>
      </c>
      <c r="L4732" t="n">
        <v>0</v>
      </c>
      <c r="M4732" t="n">
        <v>0</v>
      </c>
      <c r="N4732" t="n">
        <v>0</v>
      </c>
      <c r="O4732" t="n">
        <v>0</v>
      </c>
      <c r="P4732" t="n">
        <v>0</v>
      </c>
      <c r="Q4732" t="n">
        <v>0</v>
      </c>
      <c r="R4732" s="2" t="inlineStr"/>
    </row>
    <row r="4733" ht="15" customHeight="1">
      <c r="A4733" t="inlineStr">
        <is>
          <t>A 17699-2025</t>
        </is>
      </c>
      <c r="B4733" s="1" t="n">
        <v>45758.41846064815</v>
      </c>
      <c r="C4733" s="1" t="n">
        <v>45884</v>
      </c>
      <c r="D4733" t="inlineStr">
        <is>
          <t>KALMAR LÄN</t>
        </is>
      </c>
      <c r="E4733" t="inlineStr">
        <is>
          <t>BORGHOLM</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17710-2025</t>
        </is>
      </c>
      <c r="B4734" s="1" t="n">
        <v>45758.43954861111</v>
      </c>
      <c r="C4734" s="1" t="n">
        <v>45884</v>
      </c>
      <c r="D4734" t="inlineStr">
        <is>
          <t>KALMAR LÄN</t>
        </is>
      </c>
      <c r="E4734" t="inlineStr">
        <is>
          <t>KALMAR</t>
        </is>
      </c>
      <c r="F4734" t="inlineStr">
        <is>
          <t>Sveaskog</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9263-2025</t>
        </is>
      </c>
      <c r="B4735" s="1" t="n">
        <v>45714.60927083333</v>
      </c>
      <c r="C4735" s="1" t="n">
        <v>45884</v>
      </c>
      <c r="D4735" t="inlineStr">
        <is>
          <t>KALMAR LÄN</t>
        </is>
      </c>
      <c r="E4735" t="inlineStr">
        <is>
          <t>VÄSTERVIK</t>
        </is>
      </c>
      <c r="F4735" t="inlineStr">
        <is>
          <t>Sveaskog</t>
        </is>
      </c>
      <c r="G4735" t="n">
        <v>5.2</v>
      </c>
      <c r="H4735" t="n">
        <v>0</v>
      </c>
      <c r="I4735" t="n">
        <v>0</v>
      </c>
      <c r="J4735" t="n">
        <v>0</v>
      </c>
      <c r="K4735" t="n">
        <v>0</v>
      </c>
      <c r="L4735" t="n">
        <v>0</v>
      </c>
      <c r="M4735" t="n">
        <v>0</v>
      </c>
      <c r="N4735" t="n">
        <v>0</v>
      </c>
      <c r="O4735" t="n">
        <v>0</v>
      </c>
      <c r="P4735" t="n">
        <v>0</v>
      </c>
      <c r="Q4735" t="n">
        <v>0</v>
      </c>
      <c r="R4735" s="2" t="inlineStr"/>
    </row>
    <row r="4736" ht="15" customHeight="1">
      <c r="A4736" t="inlineStr">
        <is>
          <t>A 5575-2024</t>
        </is>
      </c>
      <c r="B4736" s="1" t="n">
        <v>45334.4872800926</v>
      </c>
      <c r="C4736" s="1" t="n">
        <v>45884</v>
      </c>
      <c r="D4736" t="inlineStr">
        <is>
          <t>KALMAR LÄN</t>
        </is>
      </c>
      <c r="E4736" t="inlineStr">
        <is>
          <t>KALMAR</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39939-2023</t>
        </is>
      </c>
      <c r="B4737" s="1" t="n">
        <v>45168</v>
      </c>
      <c r="C4737" s="1" t="n">
        <v>45884</v>
      </c>
      <c r="D4737" t="inlineStr">
        <is>
          <t>KALMAR LÄN</t>
        </is>
      </c>
      <c r="E4737" t="inlineStr">
        <is>
          <t>OSKARSHAMN</t>
        </is>
      </c>
      <c r="G4737" t="n">
        <v>1.9</v>
      </c>
      <c r="H4737" t="n">
        <v>0</v>
      </c>
      <c r="I4737" t="n">
        <v>0</v>
      </c>
      <c r="J4737" t="n">
        <v>0</v>
      </c>
      <c r="K4737" t="n">
        <v>0</v>
      </c>
      <c r="L4737" t="n">
        <v>0</v>
      </c>
      <c r="M4737" t="n">
        <v>0</v>
      </c>
      <c r="N4737" t="n">
        <v>0</v>
      </c>
      <c r="O4737" t="n">
        <v>0</v>
      </c>
      <c r="P4737" t="n">
        <v>0</v>
      </c>
      <c r="Q4737" t="n">
        <v>0</v>
      </c>
      <c r="R4737" s="2" t="inlineStr"/>
    </row>
    <row r="4738" ht="15" customHeight="1">
      <c r="A4738" t="inlineStr">
        <is>
          <t>A 39948-2023</t>
        </is>
      </c>
      <c r="B4738" s="1" t="n">
        <v>45168</v>
      </c>
      <c r="C4738" s="1" t="n">
        <v>45884</v>
      </c>
      <c r="D4738" t="inlineStr">
        <is>
          <t>KALMAR LÄN</t>
        </is>
      </c>
      <c r="E4738" t="inlineStr">
        <is>
          <t>HULTSFRED</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72067-2021</t>
        </is>
      </c>
      <c r="B4739" s="1" t="n">
        <v>44540</v>
      </c>
      <c r="C4739" s="1" t="n">
        <v>45884</v>
      </c>
      <c r="D4739" t="inlineStr">
        <is>
          <t>KALMAR LÄN</t>
        </is>
      </c>
      <c r="E4739" t="inlineStr">
        <is>
          <t>VIMMERBY</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24460-2022</t>
        </is>
      </c>
      <c r="B4740" s="1" t="n">
        <v>44726</v>
      </c>
      <c r="C4740" s="1" t="n">
        <v>45884</v>
      </c>
      <c r="D4740" t="inlineStr">
        <is>
          <t>KALMAR LÄN</t>
        </is>
      </c>
      <c r="E4740" t="inlineStr">
        <is>
          <t>EMMABODA</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2782-2024</t>
        </is>
      </c>
      <c r="B4741" s="1" t="n">
        <v>45314.63751157407</v>
      </c>
      <c r="C4741" s="1" t="n">
        <v>45884</v>
      </c>
      <c r="D4741" t="inlineStr">
        <is>
          <t>KALMAR LÄN</t>
        </is>
      </c>
      <c r="E4741" t="inlineStr">
        <is>
          <t>OSKARSHAMN</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56554-2022</t>
        </is>
      </c>
      <c r="B4742" s="1" t="n">
        <v>44893</v>
      </c>
      <c r="C4742" s="1" t="n">
        <v>45884</v>
      </c>
      <c r="D4742" t="inlineStr">
        <is>
          <t>KALMAR LÄN</t>
        </is>
      </c>
      <c r="E4742" t="inlineStr">
        <is>
          <t>HULTSFRED</t>
        </is>
      </c>
      <c r="F4742" t="inlineStr">
        <is>
          <t>Kyrkan</t>
        </is>
      </c>
      <c r="G4742" t="n">
        <v>1.6</v>
      </c>
      <c r="H4742" t="n">
        <v>0</v>
      </c>
      <c r="I4742" t="n">
        <v>0</v>
      </c>
      <c r="J4742" t="n">
        <v>0</v>
      </c>
      <c r="K4742" t="n">
        <v>0</v>
      </c>
      <c r="L4742" t="n">
        <v>0</v>
      </c>
      <c r="M4742" t="n">
        <v>0</v>
      </c>
      <c r="N4742" t="n">
        <v>0</v>
      </c>
      <c r="O4742" t="n">
        <v>0</v>
      </c>
      <c r="P4742" t="n">
        <v>0</v>
      </c>
      <c r="Q4742" t="n">
        <v>0</v>
      </c>
      <c r="R4742" s="2" t="inlineStr"/>
    </row>
    <row r="4743" ht="15" customHeight="1">
      <c r="A4743" t="inlineStr">
        <is>
          <t>A 48923-2023</t>
        </is>
      </c>
      <c r="B4743" s="1" t="n">
        <v>45209.5540625</v>
      </c>
      <c r="C4743" s="1" t="n">
        <v>45884</v>
      </c>
      <c r="D4743" t="inlineStr">
        <is>
          <t>KALMAR LÄN</t>
        </is>
      </c>
      <c r="E4743" t="inlineStr">
        <is>
          <t>OSKARSHAMN</t>
        </is>
      </c>
      <c r="G4743" t="n">
        <v>1.9</v>
      </c>
      <c r="H4743" t="n">
        <v>0</v>
      </c>
      <c r="I4743" t="n">
        <v>0</v>
      </c>
      <c r="J4743" t="n">
        <v>0</v>
      </c>
      <c r="K4743" t="n">
        <v>0</v>
      </c>
      <c r="L4743" t="n">
        <v>0</v>
      </c>
      <c r="M4743" t="n">
        <v>0</v>
      </c>
      <c r="N4743" t="n">
        <v>0</v>
      </c>
      <c r="O4743" t="n">
        <v>0</v>
      </c>
      <c r="P4743" t="n">
        <v>0</v>
      </c>
      <c r="Q4743" t="n">
        <v>0</v>
      </c>
      <c r="R4743" s="2" t="inlineStr"/>
    </row>
    <row r="4744" ht="15" customHeight="1">
      <c r="A4744" t="inlineStr">
        <is>
          <t>A 16367-2025</t>
        </is>
      </c>
      <c r="B4744" s="1" t="n">
        <v>45751.39824074074</v>
      </c>
      <c r="C4744" s="1" t="n">
        <v>45884</v>
      </c>
      <c r="D4744" t="inlineStr">
        <is>
          <t>KALMAR LÄN</t>
        </is>
      </c>
      <c r="E4744" t="inlineStr">
        <is>
          <t>TORSÅS</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22059-2023</t>
        </is>
      </c>
      <c r="B4745" s="1" t="n">
        <v>45069.42486111111</v>
      </c>
      <c r="C4745" s="1" t="n">
        <v>45884</v>
      </c>
      <c r="D4745" t="inlineStr">
        <is>
          <t>KALMAR LÄN</t>
        </is>
      </c>
      <c r="E4745" t="inlineStr">
        <is>
          <t>NYBRO</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14792-2025</t>
        </is>
      </c>
      <c r="B4746" s="1" t="n">
        <v>45742.80981481481</v>
      </c>
      <c r="C4746" s="1" t="n">
        <v>45884</v>
      </c>
      <c r="D4746" t="inlineStr">
        <is>
          <t>KALMAR LÄN</t>
        </is>
      </c>
      <c r="E4746" t="inlineStr">
        <is>
          <t>EMMABODA</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61538-2022</t>
        </is>
      </c>
      <c r="B4747" s="1" t="n">
        <v>44916.55414351852</v>
      </c>
      <c r="C4747" s="1" t="n">
        <v>45884</v>
      </c>
      <c r="D4747" t="inlineStr">
        <is>
          <t>KALMAR LÄN</t>
        </is>
      </c>
      <c r="E4747" t="inlineStr">
        <is>
          <t>VIMMERBY</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16395-2024</t>
        </is>
      </c>
      <c r="B4748" s="1" t="n">
        <v>45407.62733796296</v>
      </c>
      <c r="C4748" s="1" t="n">
        <v>45884</v>
      </c>
      <c r="D4748" t="inlineStr">
        <is>
          <t>KALMAR LÄN</t>
        </is>
      </c>
      <c r="E4748" t="inlineStr">
        <is>
          <t>VÄSTERVIK</t>
        </is>
      </c>
      <c r="G4748" t="n">
        <v>1.3</v>
      </c>
      <c r="H4748" t="n">
        <v>0</v>
      </c>
      <c r="I4748" t="n">
        <v>0</v>
      </c>
      <c r="J4748" t="n">
        <v>0</v>
      </c>
      <c r="K4748" t="n">
        <v>0</v>
      </c>
      <c r="L4748" t="n">
        <v>0</v>
      </c>
      <c r="M4748" t="n">
        <v>0</v>
      </c>
      <c r="N4748" t="n">
        <v>0</v>
      </c>
      <c r="O4748" t="n">
        <v>0</v>
      </c>
      <c r="P4748" t="n">
        <v>0</v>
      </c>
      <c r="Q4748" t="n">
        <v>0</v>
      </c>
      <c r="R4748" s="2" t="inlineStr"/>
      <c r="U4748">
        <f>HYPERLINK("https://klasma.github.io/Logging_0883/knärot/A 16395-2024 karta knärot.png", "A 16395-2024")</f>
        <v/>
      </c>
      <c r="V4748">
        <f>HYPERLINK("https://klasma.github.io/Logging_0883/klagomål/A 16395-2024 FSC-klagomål.docx", "A 16395-2024")</f>
        <v/>
      </c>
      <c r="W4748">
        <f>HYPERLINK("https://klasma.github.io/Logging_0883/klagomålsmail/A 16395-2024 FSC-klagomål mail.docx", "A 16395-2024")</f>
        <v/>
      </c>
      <c r="X4748">
        <f>HYPERLINK("https://klasma.github.io/Logging_0883/tillsyn/A 16395-2024 tillsynsbegäran.docx", "A 16395-2024")</f>
        <v/>
      </c>
      <c r="Y4748">
        <f>HYPERLINK("https://klasma.github.io/Logging_0883/tillsynsmail/A 16395-2024 tillsynsbegäran mail.docx", "A 16395-2024")</f>
        <v/>
      </c>
    </row>
    <row r="4749" ht="15" customHeight="1">
      <c r="A4749" t="inlineStr">
        <is>
          <t>A 20969-2024</t>
        </is>
      </c>
      <c r="B4749" s="1" t="n">
        <v>45439.58288194444</v>
      </c>
      <c r="C4749" s="1" t="n">
        <v>45884</v>
      </c>
      <c r="D4749" t="inlineStr">
        <is>
          <t>KALMAR LÄN</t>
        </is>
      </c>
      <c r="E4749" t="inlineStr">
        <is>
          <t>HULTSFRED</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14035-2025</t>
        </is>
      </c>
      <c r="B4750" s="1" t="n">
        <v>45740.36450231481</v>
      </c>
      <c r="C4750" s="1" t="n">
        <v>45884</v>
      </c>
      <c r="D4750" t="inlineStr">
        <is>
          <t>KALMAR LÄN</t>
        </is>
      </c>
      <c r="E4750" t="inlineStr">
        <is>
          <t>EMMABODA</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6759-2021</t>
        </is>
      </c>
      <c r="B4751" s="1" t="n">
        <v>44236</v>
      </c>
      <c r="C4751" s="1" t="n">
        <v>45884</v>
      </c>
      <c r="D4751" t="inlineStr">
        <is>
          <t>KALMAR LÄN</t>
        </is>
      </c>
      <c r="E4751" t="inlineStr">
        <is>
          <t>NYBRO</t>
        </is>
      </c>
      <c r="G4751" t="n">
        <v>1.9</v>
      </c>
      <c r="H4751" t="n">
        <v>0</v>
      </c>
      <c r="I4751" t="n">
        <v>0</v>
      </c>
      <c r="J4751" t="n">
        <v>0</v>
      </c>
      <c r="K4751" t="n">
        <v>0</v>
      </c>
      <c r="L4751" t="n">
        <v>0</v>
      </c>
      <c r="M4751" t="n">
        <v>0</v>
      </c>
      <c r="N4751" t="n">
        <v>0</v>
      </c>
      <c r="O4751" t="n">
        <v>0</v>
      </c>
      <c r="P4751" t="n">
        <v>0</v>
      </c>
      <c r="Q4751" t="n">
        <v>0</v>
      </c>
      <c r="R4751" s="2" t="inlineStr"/>
    </row>
    <row r="4752" ht="15" customHeight="1">
      <c r="A4752" t="inlineStr">
        <is>
          <t>A 6787-2021</t>
        </is>
      </c>
      <c r="B4752" s="1" t="n">
        <v>44236.8744212963</v>
      </c>
      <c r="C4752" s="1" t="n">
        <v>45884</v>
      </c>
      <c r="D4752" t="inlineStr">
        <is>
          <t>KALMAR LÄN</t>
        </is>
      </c>
      <c r="E4752" t="inlineStr">
        <is>
          <t>EMMABODA</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3349-2025</t>
        </is>
      </c>
      <c r="B4753" s="1" t="n">
        <v>45679</v>
      </c>
      <c r="C4753" s="1" t="n">
        <v>45884</v>
      </c>
      <c r="D4753" t="inlineStr">
        <is>
          <t>KALMAR LÄN</t>
        </is>
      </c>
      <c r="E4753" t="inlineStr">
        <is>
          <t>NYBRO</t>
        </is>
      </c>
      <c r="G4753" t="n">
        <v>0.4</v>
      </c>
      <c r="H4753" t="n">
        <v>0</v>
      </c>
      <c r="I4753" t="n">
        <v>0</v>
      </c>
      <c r="J4753" t="n">
        <v>0</v>
      </c>
      <c r="K4753" t="n">
        <v>0</v>
      </c>
      <c r="L4753" t="n">
        <v>0</v>
      </c>
      <c r="M4753" t="n">
        <v>0</v>
      </c>
      <c r="N4753" t="n">
        <v>0</v>
      </c>
      <c r="O4753" t="n">
        <v>0</v>
      </c>
      <c r="P4753" t="n">
        <v>0</v>
      </c>
      <c r="Q4753" t="n">
        <v>0</v>
      </c>
      <c r="R4753" s="2" t="inlineStr"/>
    </row>
    <row r="4754" ht="15" customHeight="1">
      <c r="A4754" t="inlineStr">
        <is>
          <t>A 53681-2022</t>
        </is>
      </c>
      <c r="B4754" s="1" t="n">
        <v>44880.27605324074</v>
      </c>
      <c r="C4754" s="1" t="n">
        <v>45884</v>
      </c>
      <c r="D4754" t="inlineStr">
        <is>
          <t>KALMAR LÄN</t>
        </is>
      </c>
      <c r="E4754" t="inlineStr">
        <is>
          <t>NYBRO</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33946-2021</t>
        </is>
      </c>
      <c r="B4755" s="1" t="n">
        <v>44378.82424768519</v>
      </c>
      <c r="C4755" s="1" t="n">
        <v>45884</v>
      </c>
      <c r="D4755" t="inlineStr">
        <is>
          <t>KALMAR LÄN</t>
        </is>
      </c>
      <c r="E4755" t="inlineStr">
        <is>
          <t>OSKARSHAMN</t>
        </is>
      </c>
      <c r="F4755" t="inlineStr">
        <is>
          <t>Sveaskog</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6126-2023</t>
        </is>
      </c>
      <c r="B4756" s="1" t="n">
        <v>44964.61592592593</v>
      </c>
      <c r="C4756" s="1" t="n">
        <v>45884</v>
      </c>
      <c r="D4756" t="inlineStr">
        <is>
          <t>KALMAR LÄN</t>
        </is>
      </c>
      <c r="E4756" t="inlineStr">
        <is>
          <t>VÄSTERVIK</t>
        </is>
      </c>
      <c r="F4756" t="inlineStr">
        <is>
          <t>Övriga Aktiebolag</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7958-2023</t>
        </is>
      </c>
      <c r="B4757" s="1" t="n">
        <v>44973.68408564815</v>
      </c>
      <c r="C4757" s="1" t="n">
        <v>45884</v>
      </c>
      <c r="D4757" t="inlineStr">
        <is>
          <t>KALMAR LÄN</t>
        </is>
      </c>
      <c r="E4757" t="inlineStr">
        <is>
          <t>NYBRO</t>
        </is>
      </c>
      <c r="G4757" t="n">
        <v>2.2</v>
      </c>
      <c r="H4757" t="n">
        <v>0</v>
      </c>
      <c r="I4757" t="n">
        <v>0</v>
      </c>
      <c r="J4757" t="n">
        <v>0</v>
      </c>
      <c r="K4757" t="n">
        <v>0</v>
      </c>
      <c r="L4757" t="n">
        <v>0</v>
      </c>
      <c r="M4757" t="n">
        <v>0</v>
      </c>
      <c r="N4757" t="n">
        <v>0</v>
      </c>
      <c r="O4757" t="n">
        <v>0</v>
      </c>
      <c r="P4757" t="n">
        <v>0</v>
      </c>
      <c r="Q4757" t="n">
        <v>0</v>
      </c>
      <c r="R4757" s="2" t="inlineStr"/>
    </row>
    <row r="4758" ht="15" customHeight="1">
      <c r="A4758" t="inlineStr">
        <is>
          <t>A 7960-2023</t>
        </is>
      </c>
      <c r="B4758" s="1" t="n">
        <v>44973</v>
      </c>
      <c r="C4758" s="1" t="n">
        <v>45884</v>
      </c>
      <c r="D4758" t="inlineStr">
        <is>
          <t>KALMAR LÄN</t>
        </is>
      </c>
      <c r="E4758" t="inlineStr">
        <is>
          <t>BORGHOLM</t>
        </is>
      </c>
      <c r="G4758" t="n">
        <v>2.1</v>
      </c>
      <c r="H4758" t="n">
        <v>0</v>
      </c>
      <c r="I4758" t="n">
        <v>0</v>
      </c>
      <c r="J4758" t="n">
        <v>0</v>
      </c>
      <c r="K4758" t="n">
        <v>0</v>
      </c>
      <c r="L4758" t="n">
        <v>0</v>
      </c>
      <c r="M4758" t="n">
        <v>0</v>
      </c>
      <c r="N4758" t="n">
        <v>0</v>
      </c>
      <c r="O4758" t="n">
        <v>0</v>
      </c>
      <c r="P4758" t="n">
        <v>0</v>
      </c>
      <c r="Q4758" t="n">
        <v>0</v>
      </c>
      <c r="R4758" s="2" t="inlineStr"/>
    </row>
    <row r="4759" ht="15" customHeight="1">
      <c r="A4759" t="inlineStr">
        <is>
          <t>A 6485-2021</t>
        </is>
      </c>
      <c r="B4759" s="1" t="n">
        <v>44235</v>
      </c>
      <c r="C4759" s="1" t="n">
        <v>45884</v>
      </c>
      <c r="D4759" t="inlineStr">
        <is>
          <t>KALMAR LÄN</t>
        </is>
      </c>
      <c r="E4759" t="inlineStr">
        <is>
          <t>EMMABODA</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10546-2021</t>
        </is>
      </c>
      <c r="B4760" s="1" t="n">
        <v>44258</v>
      </c>
      <c r="C4760" s="1" t="n">
        <v>45884</v>
      </c>
      <c r="D4760" t="inlineStr">
        <is>
          <t>KALMAR LÄN</t>
        </is>
      </c>
      <c r="E4760" t="inlineStr">
        <is>
          <t>HULTSFRED</t>
        </is>
      </c>
      <c r="G4760" t="n">
        <v>4.3</v>
      </c>
      <c r="H4760" t="n">
        <v>0</v>
      </c>
      <c r="I4760" t="n">
        <v>0</v>
      </c>
      <c r="J4760" t="n">
        <v>0</v>
      </c>
      <c r="K4760" t="n">
        <v>0</v>
      </c>
      <c r="L4760" t="n">
        <v>0</v>
      </c>
      <c r="M4760" t="n">
        <v>0</v>
      </c>
      <c r="N4760" t="n">
        <v>0</v>
      </c>
      <c r="O4760" t="n">
        <v>0</v>
      </c>
      <c r="P4760" t="n">
        <v>0</v>
      </c>
      <c r="Q4760" t="n">
        <v>0</v>
      </c>
      <c r="R4760" s="2" t="inlineStr"/>
    </row>
    <row r="4761" ht="15" customHeight="1">
      <c r="A4761" t="inlineStr">
        <is>
          <t>A 20287-2025</t>
        </is>
      </c>
      <c r="B4761" s="1" t="n">
        <v>45774.60741898148</v>
      </c>
      <c r="C4761" s="1" t="n">
        <v>45884</v>
      </c>
      <c r="D4761" t="inlineStr">
        <is>
          <t>KALMAR LÄN</t>
        </is>
      </c>
      <c r="E4761" t="inlineStr">
        <is>
          <t>BORGHOLM</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12334-2025</t>
        </is>
      </c>
      <c r="B4762" s="1" t="n">
        <v>45730.32915509259</v>
      </c>
      <c r="C4762" s="1" t="n">
        <v>45884</v>
      </c>
      <c r="D4762" t="inlineStr">
        <is>
          <t>KALMAR LÄN</t>
        </is>
      </c>
      <c r="E4762" t="inlineStr">
        <is>
          <t>HULTSFRED</t>
        </is>
      </c>
      <c r="F4762" t="inlineStr">
        <is>
          <t>Sveaskog</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12337-2025</t>
        </is>
      </c>
      <c r="B4763" s="1" t="n">
        <v>45730.33262731481</v>
      </c>
      <c r="C4763" s="1" t="n">
        <v>45884</v>
      </c>
      <c r="D4763" t="inlineStr">
        <is>
          <t>KALMAR LÄN</t>
        </is>
      </c>
      <c r="E4763" t="inlineStr">
        <is>
          <t>HULTSFRED</t>
        </is>
      </c>
      <c r="F4763" t="inlineStr">
        <is>
          <t>Sveaskog</t>
        </is>
      </c>
      <c r="G4763" t="n">
        <v>3</v>
      </c>
      <c r="H4763" t="n">
        <v>0</v>
      </c>
      <c r="I4763" t="n">
        <v>0</v>
      </c>
      <c r="J4763" t="n">
        <v>0</v>
      </c>
      <c r="K4763" t="n">
        <v>0</v>
      </c>
      <c r="L4763" t="n">
        <v>0</v>
      </c>
      <c r="M4763" t="n">
        <v>0</v>
      </c>
      <c r="N4763" t="n">
        <v>0</v>
      </c>
      <c r="O4763" t="n">
        <v>0</v>
      </c>
      <c r="P4763" t="n">
        <v>0</v>
      </c>
      <c r="Q4763" t="n">
        <v>0</v>
      </c>
      <c r="R4763" s="2" t="inlineStr"/>
    </row>
    <row r="4764" ht="15" customHeight="1">
      <c r="A4764" t="inlineStr">
        <is>
          <t>A 18072-2022</t>
        </is>
      </c>
      <c r="B4764" s="1" t="n">
        <v>44684.43402777778</v>
      </c>
      <c r="C4764" s="1" t="n">
        <v>45884</v>
      </c>
      <c r="D4764" t="inlineStr">
        <is>
          <t>KALMAR LÄN</t>
        </is>
      </c>
      <c r="E4764" t="inlineStr">
        <is>
          <t>NYBRO</t>
        </is>
      </c>
      <c r="G4764" t="n">
        <v>3</v>
      </c>
      <c r="H4764" t="n">
        <v>0</v>
      </c>
      <c r="I4764" t="n">
        <v>0</v>
      </c>
      <c r="J4764" t="n">
        <v>0</v>
      </c>
      <c r="K4764" t="n">
        <v>0</v>
      </c>
      <c r="L4764" t="n">
        <v>0</v>
      </c>
      <c r="M4764" t="n">
        <v>0</v>
      </c>
      <c r="N4764" t="n">
        <v>0</v>
      </c>
      <c r="O4764" t="n">
        <v>0</v>
      </c>
      <c r="P4764" t="n">
        <v>0</v>
      </c>
      <c r="Q4764" t="n">
        <v>0</v>
      </c>
      <c r="R4764" s="2" t="inlineStr"/>
    </row>
    <row r="4765" ht="15" customHeight="1">
      <c r="A4765" t="inlineStr">
        <is>
          <t>A 11938-2023</t>
        </is>
      </c>
      <c r="B4765" s="1" t="n">
        <v>44995</v>
      </c>
      <c r="C4765" s="1" t="n">
        <v>45884</v>
      </c>
      <c r="D4765" t="inlineStr">
        <is>
          <t>KALMAR LÄN</t>
        </is>
      </c>
      <c r="E4765" t="inlineStr">
        <is>
          <t>HULTSFRED</t>
        </is>
      </c>
      <c r="G4765" t="n">
        <v>4.5</v>
      </c>
      <c r="H4765" t="n">
        <v>0</v>
      </c>
      <c r="I4765" t="n">
        <v>0</v>
      </c>
      <c r="J4765" t="n">
        <v>0</v>
      </c>
      <c r="K4765" t="n">
        <v>0</v>
      </c>
      <c r="L4765" t="n">
        <v>0</v>
      </c>
      <c r="M4765" t="n">
        <v>0</v>
      </c>
      <c r="N4765" t="n">
        <v>0</v>
      </c>
      <c r="O4765" t="n">
        <v>0</v>
      </c>
      <c r="P4765" t="n">
        <v>0</v>
      </c>
      <c r="Q4765" t="n">
        <v>0</v>
      </c>
      <c r="R4765" s="2" t="inlineStr"/>
    </row>
    <row r="4766" ht="15" customHeight="1">
      <c r="A4766" t="inlineStr">
        <is>
          <t>A 22303-2023</t>
        </is>
      </c>
      <c r="B4766" s="1" t="n">
        <v>45070</v>
      </c>
      <c r="C4766" s="1" t="n">
        <v>45884</v>
      </c>
      <c r="D4766" t="inlineStr">
        <is>
          <t>KALMAR LÄN</t>
        </is>
      </c>
      <c r="E4766" t="inlineStr">
        <is>
          <t>KALMAR</t>
        </is>
      </c>
      <c r="F4766" t="inlineStr">
        <is>
          <t>Sveaskog</t>
        </is>
      </c>
      <c r="G4766" t="n">
        <v>0.1</v>
      </c>
      <c r="H4766" t="n">
        <v>0</v>
      </c>
      <c r="I4766" t="n">
        <v>0</v>
      </c>
      <c r="J4766" t="n">
        <v>0</v>
      </c>
      <c r="K4766" t="n">
        <v>0</v>
      </c>
      <c r="L4766" t="n">
        <v>0</v>
      </c>
      <c r="M4766" t="n">
        <v>0</v>
      </c>
      <c r="N4766" t="n">
        <v>0</v>
      </c>
      <c r="O4766" t="n">
        <v>0</v>
      </c>
      <c r="P4766" t="n">
        <v>0</v>
      </c>
      <c r="Q4766" t="n">
        <v>0</v>
      </c>
      <c r="R4766" s="2" t="inlineStr"/>
    </row>
    <row r="4767" ht="15" customHeight="1">
      <c r="A4767" t="inlineStr">
        <is>
          <t>A 9710-2023</t>
        </is>
      </c>
      <c r="B4767" s="1" t="n">
        <v>44984</v>
      </c>
      <c r="C4767" s="1" t="n">
        <v>45884</v>
      </c>
      <c r="D4767" t="inlineStr">
        <is>
          <t>KALMAR LÄN</t>
        </is>
      </c>
      <c r="E4767" t="inlineStr">
        <is>
          <t>VIMMERBY</t>
        </is>
      </c>
      <c r="G4767" t="n">
        <v>3.7</v>
      </c>
      <c r="H4767" t="n">
        <v>0</v>
      </c>
      <c r="I4767" t="n">
        <v>0</v>
      </c>
      <c r="J4767" t="n">
        <v>0</v>
      </c>
      <c r="K4767" t="n">
        <v>0</v>
      </c>
      <c r="L4767" t="n">
        <v>0</v>
      </c>
      <c r="M4767" t="n">
        <v>0</v>
      </c>
      <c r="N4767" t="n">
        <v>0</v>
      </c>
      <c r="O4767" t="n">
        <v>0</v>
      </c>
      <c r="P4767" t="n">
        <v>0</v>
      </c>
      <c r="Q4767" t="n">
        <v>0</v>
      </c>
      <c r="R4767" s="2" t="inlineStr"/>
    </row>
    <row r="4768" ht="15" customHeight="1">
      <c r="A4768" t="inlineStr">
        <is>
          <t>A 18947-2025</t>
        </is>
      </c>
      <c r="B4768" s="1" t="n">
        <v>45764</v>
      </c>
      <c r="C4768" s="1" t="n">
        <v>45884</v>
      </c>
      <c r="D4768" t="inlineStr">
        <is>
          <t>KALMAR LÄN</t>
        </is>
      </c>
      <c r="E4768" t="inlineStr">
        <is>
          <t>NYBRO</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18948-2025</t>
        </is>
      </c>
      <c r="B4769" s="1" t="n">
        <v>45764</v>
      </c>
      <c r="C4769" s="1" t="n">
        <v>45884</v>
      </c>
      <c r="D4769" t="inlineStr">
        <is>
          <t>KALMAR LÄN</t>
        </is>
      </c>
      <c r="E4769" t="inlineStr">
        <is>
          <t>NYBRO</t>
        </is>
      </c>
      <c r="G4769" t="n">
        <v>2.2</v>
      </c>
      <c r="H4769" t="n">
        <v>0</v>
      </c>
      <c r="I4769" t="n">
        <v>0</v>
      </c>
      <c r="J4769" t="n">
        <v>0</v>
      </c>
      <c r="K4769" t="n">
        <v>0</v>
      </c>
      <c r="L4769" t="n">
        <v>0</v>
      </c>
      <c r="M4769" t="n">
        <v>0</v>
      </c>
      <c r="N4769" t="n">
        <v>0</v>
      </c>
      <c r="O4769" t="n">
        <v>0</v>
      </c>
      <c r="P4769" t="n">
        <v>0</v>
      </c>
      <c r="Q4769" t="n">
        <v>0</v>
      </c>
      <c r="R4769" s="2" t="inlineStr"/>
    </row>
    <row r="4770" ht="15" customHeight="1">
      <c r="A4770" t="inlineStr">
        <is>
          <t>A 60199-2020</t>
        </is>
      </c>
      <c r="B4770" s="1" t="n">
        <v>44152</v>
      </c>
      <c r="C4770" s="1" t="n">
        <v>45884</v>
      </c>
      <c r="D4770" t="inlineStr">
        <is>
          <t>KALMAR LÄN</t>
        </is>
      </c>
      <c r="E4770" t="inlineStr">
        <is>
          <t>KALMAR</t>
        </is>
      </c>
      <c r="G4770" t="n">
        <v>3.1</v>
      </c>
      <c r="H4770" t="n">
        <v>0</v>
      </c>
      <c r="I4770" t="n">
        <v>0</v>
      </c>
      <c r="J4770" t="n">
        <v>0</v>
      </c>
      <c r="K4770" t="n">
        <v>0</v>
      </c>
      <c r="L4770" t="n">
        <v>0</v>
      </c>
      <c r="M4770" t="n">
        <v>0</v>
      </c>
      <c r="N4770" t="n">
        <v>0</v>
      </c>
      <c r="O4770" t="n">
        <v>0</v>
      </c>
      <c r="P4770" t="n">
        <v>0</v>
      </c>
      <c r="Q4770" t="n">
        <v>0</v>
      </c>
      <c r="R4770" s="2" t="inlineStr"/>
    </row>
    <row r="4771" ht="15" customHeight="1">
      <c r="A4771" t="inlineStr">
        <is>
          <t>A 9720-2023</t>
        </is>
      </c>
      <c r="B4771" s="1" t="n">
        <v>44984</v>
      </c>
      <c r="C4771" s="1" t="n">
        <v>45884</v>
      </c>
      <c r="D4771" t="inlineStr">
        <is>
          <t>KALMAR LÄN</t>
        </is>
      </c>
      <c r="E4771" t="inlineStr">
        <is>
          <t>VIMMERBY</t>
        </is>
      </c>
      <c r="G4771" t="n">
        <v>4.4</v>
      </c>
      <c r="H4771" t="n">
        <v>0</v>
      </c>
      <c r="I4771" t="n">
        <v>0</v>
      </c>
      <c r="J4771" t="n">
        <v>0</v>
      </c>
      <c r="K4771" t="n">
        <v>0</v>
      </c>
      <c r="L4771" t="n">
        <v>0</v>
      </c>
      <c r="M4771" t="n">
        <v>0</v>
      </c>
      <c r="N4771" t="n">
        <v>0</v>
      </c>
      <c r="O4771" t="n">
        <v>0</v>
      </c>
      <c r="P4771" t="n">
        <v>0</v>
      </c>
      <c r="Q4771" t="n">
        <v>0</v>
      </c>
      <c r="R4771" s="2" t="inlineStr"/>
    </row>
    <row r="4772" ht="15" customHeight="1">
      <c r="A4772" t="inlineStr">
        <is>
          <t>A 8100-2023</t>
        </is>
      </c>
      <c r="B4772" s="1" t="n">
        <v>44974.39552083334</v>
      </c>
      <c r="C4772" s="1" t="n">
        <v>45884</v>
      </c>
      <c r="D4772" t="inlineStr">
        <is>
          <t>KALMAR LÄN</t>
        </is>
      </c>
      <c r="E4772" t="inlineStr">
        <is>
          <t>NYBRO</t>
        </is>
      </c>
      <c r="G4772" t="n">
        <v>2</v>
      </c>
      <c r="H4772" t="n">
        <v>0</v>
      </c>
      <c r="I4772" t="n">
        <v>0</v>
      </c>
      <c r="J4772" t="n">
        <v>0</v>
      </c>
      <c r="K4772" t="n">
        <v>0</v>
      </c>
      <c r="L4772" t="n">
        <v>0</v>
      </c>
      <c r="M4772" t="n">
        <v>0</v>
      </c>
      <c r="N4772" t="n">
        <v>0</v>
      </c>
      <c r="O4772" t="n">
        <v>0</v>
      </c>
      <c r="P4772" t="n">
        <v>0</v>
      </c>
      <c r="Q4772" t="n">
        <v>0</v>
      </c>
      <c r="R4772" s="2" t="inlineStr"/>
    </row>
    <row r="4773" ht="15" customHeight="1">
      <c r="A4773" t="inlineStr">
        <is>
          <t>A 21175-2023</t>
        </is>
      </c>
      <c r="B4773" s="1" t="n">
        <v>45057</v>
      </c>
      <c r="C4773" s="1" t="n">
        <v>45884</v>
      </c>
      <c r="D4773" t="inlineStr">
        <is>
          <t>KALMAR LÄN</t>
        </is>
      </c>
      <c r="E4773" t="inlineStr">
        <is>
          <t>NYBRO</t>
        </is>
      </c>
      <c r="G4773" t="n">
        <v>4.7</v>
      </c>
      <c r="H4773" t="n">
        <v>0</v>
      </c>
      <c r="I4773" t="n">
        <v>0</v>
      </c>
      <c r="J4773" t="n">
        <v>0</v>
      </c>
      <c r="K4773" t="n">
        <v>0</v>
      </c>
      <c r="L4773" t="n">
        <v>0</v>
      </c>
      <c r="M4773" t="n">
        <v>0</v>
      </c>
      <c r="N4773" t="n">
        <v>0</v>
      </c>
      <c r="O4773" t="n">
        <v>0</v>
      </c>
      <c r="P4773" t="n">
        <v>0</v>
      </c>
      <c r="Q4773" t="n">
        <v>0</v>
      </c>
      <c r="R4773" s="2" t="inlineStr"/>
    </row>
    <row r="4774" ht="15" customHeight="1">
      <c r="A4774" t="inlineStr">
        <is>
          <t>A 21180-2023</t>
        </is>
      </c>
      <c r="B4774" s="1" t="n">
        <v>45057</v>
      </c>
      <c r="C4774" s="1" t="n">
        <v>45884</v>
      </c>
      <c r="D4774" t="inlineStr">
        <is>
          <t>KALMAR LÄN</t>
        </is>
      </c>
      <c r="E4774" t="inlineStr">
        <is>
          <t>NYBRO</t>
        </is>
      </c>
      <c r="G4774" t="n">
        <v>5</v>
      </c>
      <c r="H4774" t="n">
        <v>0</v>
      </c>
      <c r="I4774" t="n">
        <v>0</v>
      </c>
      <c r="J4774" t="n">
        <v>0</v>
      </c>
      <c r="K4774" t="n">
        <v>0</v>
      </c>
      <c r="L4774" t="n">
        <v>0</v>
      </c>
      <c r="M4774" t="n">
        <v>0</v>
      </c>
      <c r="N4774" t="n">
        <v>0</v>
      </c>
      <c r="O4774" t="n">
        <v>0</v>
      </c>
      <c r="P4774" t="n">
        <v>0</v>
      </c>
      <c r="Q4774" t="n">
        <v>0</v>
      </c>
      <c r="R4774" s="2" t="inlineStr"/>
    </row>
    <row r="4775" ht="15" customHeight="1">
      <c r="A4775" t="inlineStr">
        <is>
          <t>A 52613-2020</t>
        </is>
      </c>
      <c r="B4775" s="1" t="n">
        <v>44118</v>
      </c>
      <c r="C4775" s="1" t="n">
        <v>45884</v>
      </c>
      <c r="D4775" t="inlineStr">
        <is>
          <t>KALMAR LÄN</t>
        </is>
      </c>
      <c r="E4775" t="inlineStr">
        <is>
          <t>TORSÅS</t>
        </is>
      </c>
      <c r="G4775" t="n">
        <v>8.5</v>
      </c>
      <c r="H4775" t="n">
        <v>0</v>
      </c>
      <c r="I4775" t="n">
        <v>0</v>
      </c>
      <c r="J4775" t="n">
        <v>0</v>
      </c>
      <c r="K4775" t="n">
        <v>0</v>
      </c>
      <c r="L4775" t="n">
        <v>0</v>
      </c>
      <c r="M4775" t="n">
        <v>0</v>
      </c>
      <c r="N4775" t="n">
        <v>0</v>
      </c>
      <c r="O4775" t="n">
        <v>0</v>
      </c>
      <c r="P4775" t="n">
        <v>0</v>
      </c>
      <c r="Q4775" t="n">
        <v>0</v>
      </c>
      <c r="R4775" s="2" t="inlineStr"/>
    </row>
    <row r="4776" ht="15" customHeight="1">
      <c r="A4776" t="inlineStr">
        <is>
          <t>A 59957-2022</t>
        </is>
      </c>
      <c r="B4776" s="1" t="n">
        <v>44909.39930555555</v>
      </c>
      <c r="C4776" s="1" t="n">
        <v>45884</v>
      </c>
      <c r="D4776" t="inlineStr">
        <is>
          <t>KALMAR LÄN</t>
        </is>
      </c>
      <c r="E4776" t="inlineStr">
        <is>
          <t>KALMAR</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15493-2023</t>
        </is>
      </c>
      <c r="B4777" s="1" t="n">
        <v>45018</v>
      </c>
      <c r="C4777" s="1" t="n">
        <v>45884</v>
      </c>
      <c r="D4777" t="inlineStr">
        <is>
          <t>KALMAR LÄN</t>
        </is>
      </c>
      <c r="E4777" t="inlineStr">
        <is>
          <t>VIMMERBY</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6128-2023</t>
        </is>
      </c>
      <c r="B4778" s="1" t="n">
        <v>44964.61778935185</v>
      </c>
      <c r="C4778" s="1" t="n">
        <v>45884</v>
      </c>
      <c r="D4778" t="inlineStr">
        <is>
          <t>KALMAR LÄN</t>
        </is>
      </c>
      <c r="E4778" t="inlineStr">
        <is>
          <t>HULTSFRED</t>
        </is>
      </c>
      <c r="G4778" t="n">
        <v>0.4</v>
      </c>
      <c r="H4778" t="n">
        <v>0</v>
      </c>
      <c r="I4778" t="n">
        <v>0</v>
      </c>
      <c r="J4778" t="n">
        <v>0</v>
      </c>
      <c r="K4778" t="n">
        <v>0</v>
      </c>
      <c r="L4778" t="n">
        <v>0</v>
      </c>
      <c r="M4778" t="n">
        <v>0</v>
      </c>
      <c r="N4778" t="n">
        <v>0</v>
      </c>
      <c r="O4778" t="n">
        <v>0</v>
      </c>
      <c r="P4778" t="n">
        <v>0</v>
      </c>
      <c r="Q4778" t="n">
        <v>0</v>
      </c>
      <c r="R4778" s="2" t="inlineStr"/>
    </row>
    <row r="4779" ht="15" customHeight="1">
      <c r="A4779" t="inlineStr">
        <is>
          <t>A 67538-2021</t>
        </is>
      </c>
      <c r="B4779" s="1" t="n">
        <v>44524</v>
      </c>
      <c r="C4779" s="1" t="n">
        <v>45884</v>
      </c>
      <c r="D4779" t="inlineStr">
        <is>
          <t>KALMAR LÄN</t>
        </is>
      </c>
      <c r="E4779" t="inlineStr">
        <is>
          <t>EMMABODA</t>
        </is>
      </c>
      <c r="G4779" t="n">
        <v>11.6</v>
      </c>
      <c r="H4779" t="n">
        <v>0</v>
      </c>
      <c r="I4779" t="n">
        <v>0</v>
      </c>
      <c r="J4779" t="n">
        <v>0</v>
      </c>
      <c r="K4779" t="n">
        <v>0</v>
      </c>
      <c r="L4779" t="n">
        <v>0</v>
      </c>
      <c r="M4779" t="n">
        <v>0</v>
      </c>
      <c r="N4779" t="n">
        <v>0</v>
      </c>
      <c r="O4779" t="n">
        <v>0</v>
      </c>
      <c r="P4779" t="n">
        <v>0</v>
      </c>
      <c r="Q4779" t="n">
        <v>0</v>
      </c>
      <c r="R4779" s="2" t="inlineStr"/>
    </row>
    <row r="4780" ht="15" customHeight="1">
      <c r="A4780" t="inlineStr">
        <is>
          <t>A 17623-2023</t>
        </is>
      </c>
      <c r="B4780" s="1" t="n">
        <v>45036</v>
      </c>
      <c r="C4780" s="1" t="n">
        <v>45884</v>
      </c>
      <c r="D4780" t="inlineStr">
        <is>
          <t>KALMAR LÄN</t>
        </is>
      </c>
      <c r="E4780" t="inlineStr">
        <is>
          <t>OSKARSHAMN</t>
        </is>
      </c>
      <c r="G4780" t="n">
        <v>2.2</v>
      </c>
      <c r="H4780" t="n">
        <v>0</v>
      </c>
      <c r="I4780" t="n">
        <v>0</v>
      </c>
      <c r="J4780" t="n">
        <v>0</v>
      </c>
      <c r="K4780" t="n">
        <v>0</v>
      </c>
      <c r="L4780" t="n">
        <v>0</v>
      </c>
      <c r="M4780" t="n">
        <v>0</v>
      </c>
      <c r="N4780" t="n">
        <v>0</v>
      </c>
      <c r="O4780" t="n">
        <v>0</v>
      </c>
      <c r="P4780" t="n">
        <v>0</v>
      </c>
      <c r="Q4780" t="n">
        <v>0</v>
      </c>
      <c r="R4780" s="2" t="inlineStr"/>
    </row>
    <row r="4781" ht="15" customHeight="1">
      <c r="A4781" t="inlineStr">
        <is>
          <t>A 19283-2025</t>
        </is>
      </c>
      <c r="B4781" s="1" t="n">
        <v>45769.54327546297</v>
      </c>
      <c r="C4781" s="1" t="n">
        <v>45884</v>
      </c>
      <c r="D4781" t="inlineStr">
        <is>
          <t>KALMAR LÄN</t>
        </is>
      </c>
      <c r="E4781" t="inlineStr">
        <is>
          <t>OSKARSHAMN</t>
        </is>
      </c>
      <c r="G4781" t="n">
        <v>3.7</v>
      </c>
      <c r="H4781" t="n">
        <v>0</v>
      </c>
      <c r="I4781" t="n">
        <v>0</v>
      </c>
      <c r="J4781" t="n">
        <v>0</v>
      </c>
      <c r="K4781" t="n">
        <v>0</v>
      </c>
      <c r="L4781" t="n">
        <v>0</v>
      </c>
      <c r="M4781" t="n">
        <v>0</v>
      </c>
      <c r="N4781" t="n">
        <v>0</v>
      </c>
      <c r="O4781" t="n">
        <v>0</v>
      </c>
      <c r="P4781" t="n">
        <v>0</v>
      </c>
      <c r="Q4781" t="n">
        <v>0</v>
      </c>
      <c r="R4781" s="2" t="inlineStr"/>
    </row>
    <row r="4782" ht="15" customHeight="1">
      <c r="A4782" t="inlineStr">
        <is>
          <t>A 19285-2025</t>
        </is>
      </c>
      <c r="B4782" s="1" t="n">
        <v>45769.54868055556</v>
      </c>
      <c r="C4782" s="1" t="n">
        <v>45884</v>
      </c>
      <c r="D4782" t="inlineStr">
        <is>
          <t>KALMAR LÄN</t>
        </is>
      </c>
      <c r="E4782" t="inlineStr">
        <is>
          <t>OSKARSHAMN</t>
        </is>
      </c>
      <c r="G4782" t="n">
        <v>7.4</v>
      </c>
      <c r="H4782" t="n">
        <v>0</v>
      </c>
      <c r="I4782" t="n">
        <v>0</v>
      </c>
      <c r="J4782" t="n">
        <v>0</v>
      </c>
      <c r="K4782" t="n">
        <v>0</v>
      </c>
      <c r="L4782" t="n">
        <v>0</v>
      </c>
      <c r="M4782" t="n">
        <v>0</v>
      </c>
      <c r="N4782" t="n">
        <v>0</v>
      </c>
      <c r="O4782" t="n">
        <v>0</v>
      </c>
      <c r="P4782" t="n">
        <v>0</v>
      </c>
      <c r="Q4782" t="n">
        <v>0</v>
      </c>
      <c r="R4782" s="2" t="inlineStr"/>
    </row>
    <row r="4783" ht="15" customHeight="1">
      <c r="A4783" t="inlineStr">
        <is>
          <t>A 24983-2022</t>
        </is>
      </c>
      <c r="B4783" s="1" t="n">
        <v>44728.83686342592</v>
      </c>
      <c r="C4783" s="1" t="n">
        <v>45884</v>
      </c>
      <c r="D4783" t="inlineStr">
        <is>
          <t>KALMAR LÄN</t>
        </is>
      </c>
      <c r="E4783" t="inlineStr">
        <is>
          <t>EMMABODA</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45568-2023</t>
        </is>
      </c>
      <c r="B4784" s="1" t="n">
        <v>45194</v>
      </c>
      <c r="C4784" s="1" t="n">
        <v>45884</v>
      </c>
      <c r="D4784" t="inlineStr">
        <is>
          <t>KALMAR LÄN</t>
        </is>
      </c>
      <c r="E4784" t="inlineStr">
        <is>
          <t>TORSÅS</t>
        </is>
      </c>
      <c r="G4784" t="n">
        <v>4.3</v>
      </c>
      <c r="H4784" t="n">
        <v>0</v>
      </c>
      <c r="I4784" t="n">
        <v>0</v>
      </c>
      <c r="J4784" t="n">
        <v>0</v>
      </c>
      <c r="K4784" t="n">
        <v>0</v>
      </c>
      <c r="L4784" t="n">
        <v>0</v>
      </c>
      <c r="M4784" t="n">
        <v>0</v>
      </c>
      <c r="N4784" t="n">
        <v>0</v>
      </c>
      <c r="O4784" t="n">
        <v>0</v>
      </c>
      <c r="P4784" t="n">
        <v>0</v>
      </c>
      <c r="Q4784" t="n">
        <v>0</v>
      </c>
      <c r="R4784" s="2" t="inlineStr"/>
    </row>
    <row r="4785" ht="15" customHeight="1">
      <c r="A4785" t="inlineStr">
        <is>
          <t>A 3754-2025</t>
        </is>
      </c>
      <c r="B4785" s="1" t="n">
        <v>45681.58681712963</v>
      </c>
      <c r="C4785" s="1" t="n">
        <v>45884</v>
      </c>
      <c r="D4785" t="inlineStr">
        <is>
          <t>KALMAR LÄN</t>
        </is>
      </c>
      <c r="E4785" t="inlineStr">
        <is>
          <t>EMMABODA</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58455-2021</t>
        </is>
      </c>
      <c r="B4786" s="1" t="n">
        <v>44488</v>
      </c>
      <c r="C4786" s="1" t="n">
        <v>45884</v>
      </c>
      <c r="D4786" t="inlineStr">
        <is>
          <t>KALMAR LÄN</t>
        </is>
      </c>
      <c r="E4786" t="inlineStr">
        <is>
          <t>NYBRO</t>
        </is>
      </c>
      <c r="G4786" t="n">
        <v>2.4</v>
      </c>
      <c r="H4786" t="n">
        <v>0</v>
      </c>
      <c r="I4786" t="n">
        <v>0</v>
      </c>
      <c r="J4786" t="n">
        <v>0</v>
      </c>
      <c r="K4786" t="n">
        <v>0</v>
      </c>
      <c r="L4786" t="n">
        <v>0</v>
      </c>
      <c r="M4786" t="n">
        <v>0</v>
      </c>
      <c r="N4786" t="n">
        <v>0</v>
      </c>
      <c r="O4786" t="n">
        <v>0</v>
      </c>
      <c r="P4786" t="n">
        <v>0</v>
      </c>
      <c r="Q4786" t="n">
        <v>0</v>
      </c>
      <c r="R4786" s="2" t="inlineStr"/>
    </row>
    <row r="4787" ht="15" customHeight="1">
      <c r="A4787" t="inlineStr">
        <is>
          <t>A 50055-2023</t>
        </is>
      </c>
      <c r="B4787" s="1" t="n">
        <v>45215.52277777778</v>
      </c>
      <c r="C4787" s="1" t="n">
        <v>45884</v>
      </c>
      <c r="D4787" t="inlineStr">
        <is>
          <t>KALMAR LÄN</t>
        </is>
      </c>
      <c r="E4787" t="inlineStr">
        <is>
          <t>KALMAR</t>
        </is>
      </c>
      <c r="G4787" t="n">
        <v>2.6</v>
      </c>
      <c r="H4787" t="n">
        <v>0</v>
      </c>
      <c r="I4787" t="n">
        <v>0</v>
      </c>
      <c r="J4787" t="n">
        <v>0</v>
      </c>
      <c r="K4787" t="n">
        <v>0</v>
      </c>
      <c r="L4787" t="n">
        <v>0</v>
      </c>
      <c r="M4787" t="n">
        <v>0</v>
      </c>
      <c r="N4787" t="n">
        <v>0</v>
      </c>
      <c r="O4787" t="n">
        <v>0</v>
      </c>
      <c r="P4787" t="n">
        <v>0</v>
      </c>
      <c r="Q4787" t="n">
        <v>0</v>
      </c>
      <c r="R4787" s="2" t="inlineStr"/>
    </row>
    <row r="4788" ht="15" customHeight="1">
      <c r="A4788" t="inlineStr">
        <is>
          <t>A 31713-2023</t>
        </is>
      </c>
      <c r="B4788" s="1" t="n">
        <v>45117</v>
      </c>
      <c r="C4788" s="1" t="n">
        <v>45884</v>
      </c>
      <c r="D4788" t="inlineStr">
        <is>
          <t>KALMAR LÄN</t>
        </is>
      </c>
      <c r="E4788" t="inlineStr">
        <is>
          <t>EMMABODA</t>
        </is>
      </c>
      <c r="G4788" t="n">
        <v>1.8</v>
      </c>
      <c r="H4788" t="n">
        <v>0</v>
      </c>
      <c r="I4788" t="n">
        <v>0</v>
      </c>
      <c r="J4788" t="n">
        <v>0</v>
      </c>
      <c r="K4788" t="n">
        <v>0</v>
      </c>
      <c r="L4788" t="n">
        <v>0</v>
      </c>
      <c r="M4788" t="n">
        <v>0</v>
      </c>
      <c r="N4788" t="n">
        <v>0</v>
      </c>
      <c r="O4788" t="n">
        <v>0</v>
      </c>
      <c r="P4788" t="n">
        <v>0</v>
      </c>
      <c r="Q4788" t="n">
        <v>0</v>
      </c>
      <c r="R4788" s="2" t="inlineStr"/>
    </row>
    <row r="4789" ht="15" customHeight="1">
      <c r="A4789" t="inlineStr">
        <is>
          <t>A 36155-2023</t>
        </is>
      </c>
      <c r="B4789" s="1" t="n">
        <v>45149.60917824074</v>
      </c>
      <c r="C4789" s="1" t="n">
        <v>45884</v>
      </c>
      <c r="D4789" t="inlineStr">
        <is>
          <t>KALMAR LÄN</t>
        </is>
      </c>
      <c r="E4789" t="inlineStr">
        <is>
          <t>VIMMERBY</t>
        </is>
      </c>
      <c r="G4789" t="n">
        <v>5</v>
      </c>
      <c r="H4789" t="n">
        <v>0</v>
      </c>
      <c r="I4789" t="n">
        <v>0</v>
      </c>
      <c r="J4789" t="n">
        <v>0</v>
      </c>
      <c r="K4789" t="n">
        <v>0</v>
      </c>
      <c r="L4789" t="n">
        <v>0</v>
      </c>
      <c r="M4789" t="n">
        <v>0</v>
      </c>
      <c r="N4789" t="n">
        <v>0</v>
      </c>
      <c r="O4789" t="n">
        <v>0</v>
      </c>
      <c r="P4789" t="n">
        <v>0</v>
      </c>
      <c r="Q4789" t="n">
        <v>0</v>
      </c>
      <c r="R4789" s="2" t="inlineStr"/>
    </row>
    <row r="4790" ht="15" customHeight="1">
      <c r="A4790" t="inlineStr">
        <is>
          <t>A 55697-2023</t>
        </is>
      </c>
      <c r="B4790" s="1" t="n">
        <v>45239.37023148148</v>
      </c>
      <c r="C4790" s="1" t="n">
        <v>45884</v>
      </c>
      <c r="D4790" t="inlineStr">
        <is>
          <t>KALMAR LÄN</t>
        </is>
      </c>
      <c r="E4790" t="inlineStr">
        <is>
          <t>HÖGSBY</t>
        </is>
      </c>
      <c r="G4790" t="n">
        <v>3</v>
      </c>
      <c r="H4790" t="n">
        <v>0</v>
      </c>
      <c r="I4790" t="n">
        <v>0</v>
      </c>
      <c r="J4790" t="n">
        <v>0</v>
      </c>
      <c r="K4790" t="n">
        <v>0</v>
      </c>
      <c r="L4790" t="n">
        <v>0</v>
      </c>
      <c r="M4790" t="n">
        <v>0</v>
      </c>
      <c r="N4790" t="n">
        <v>0</v>
      </c>
      <c r="O4790" t="n">
        <v>0</v>
      </c>
      <c r="P4790" t="n">
        <v>0</v>
      </c>
      <c r="Q4790" t="n">
        <v>0</v>
      </c>
      <c r="R4790" s="2" t="inlineStr"/>
    </row>
    <row r="4791" ht="15" customHeight="1">
      <c r="A4791" t="inlineStr">
        <is>
          <t>A 42965-2021</t>
        </is>
      </c>
      <c r="B4791" s="1" t="n">
        <v>44431</v>
      </c>
      <c r="C4791" s="1" t="n">
        <v>45884</v>
      </c>
      <c r="D4791" t="inlineStr">
        <is>
          <t>KALMAR LÄN</t>
        </is>
      </c>
      <c r="E4791" t="inlineStr">
        <is>
          <t>NYBRO</t>
        </is>
      </c>
      <c r="G4791" t="n">
        <v>1.9</v>
      </c>
      <c r="H4791" t="n">
        <v>0</v>
      </c>
      <c r="I4791" t="n">
        <v>0</v>
      </c>
      <c r="J4791" t="n">
        <v>0</v>
      </c>
      <c r="K4791" t="n">
        <v>0</v>
      </c>
      <c r="L4791" t="n">
        <v>0</v>
      </c>
      <c r="M4791" t="n">
        <v>0</v>
      </c>
      <c r="N4791" t="n">
        <v>0</v>
      </c>
      <c r="O4791" t="n">
        <v>0</v>
      </c>
      <c r="P4791" t="n">
        <v>0</v>
      </c>
      <c r="Q4791" t="n">
        <v>0</v>
      </c>
      <c r="R4791" s="2" t="inlineStr"/>
    </row>
    <row r="4792" ht="15" customHeight="1">
      <c r="A4792" t="inlineStr">
        <is>
          <t>A 42917-2023</t>
        </is>
      </c>
      <c r="B4792" s="1" t="n">
        <v>45177</v>
      </c>
      <c r="C4792" s="1" t="n">
        <v>45884</v>
      </c>
      <c r="D4792" t="inlineStr">
        <is>
          <t>KALMAR LÄN</t>
        </is>
      </c>
      <c r="E4792" t="inlineStr">
        <is>
          <t>NYBRO</t>
        </is>
      </c>
      <c r="F4792" t="inlineStr">
        <is>
          <t>Kyrkan</t>
        </is>
      </c>
      <c r="G4792" t="n">
        <v>6.8</v>
      </c>
      <c r="H4792" t="n">
        <v>0</v>
      </c>
      <c r="I4792" t="n">
        <v>0</v>
      </c>
      <c r="J4792" t="n">
        <v>0</v>
      </c>
      <c r="K4792" t="n">
        <v>0</v>
      </c>
      <c r="L4792" t="n">
        <v>0</v>
      </c>
      <c r="M4792" t="n">
        <v>0</v>
      </c>
      <c r="N4792" t="n">
        <v>0</v>
      </c>
      <c r="O4792" t="n">
        <v>0</v>
      </c>
      <c r="P4792" t="n">
        <v>0</v>
      </c>
      <c r="Q4792" t="n">
        <v>0</v>
      </c>
      <c r="R4792" s="2" t="inlineStr"/>
    </row>
    <row r="4793" ht="15" customHeight="1">
      <c r="A4793" t="inlineStr">
        <is>
          <t>A 42943-2023</t>
        </is>
      </c>
      <c r="B4793" s="1" t="n">
        <v>45182.57702546296</v>
      </c>
      <c r="C4793" s="1" t="n">
        <v>45884</v>
      </c>
      <c r="D4793" t="inlineStr">
        <is>
          <t>KALMAR LÄN</t>
        </is>
      </c>
      <c r="E4793" t="inlineStr">
        <is>
          <t>EMMABODA</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29173-2024</t>
        </is>
      </c>
      <c r="B4794" s="1" t="n">
        <v>45482.52887731481</v>
      </c>
      <c r="C4794" s="1" t="n">
        <v>45884</v>
      </c>
      <c r="D4794" t="inlineStr">
        <is>
          <t>KALMAR LÄN</t>
        </is>
      </c>
      <c r="E4794" t="inlineStr">
        <is>
          <t>VIMMERBY</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38924-2022</t>
        </is>
      </c>
      <c r="B4795" s="1" t="n">
        <v>44816.64091435185</v>
      </c>
      <c r="C4795" s="1" t="n">
        <v>45884</v>
      </c>
      <c r="D4795" t="inlineStr">
        <is>
          <t>KALMAR LÄN</t>
        </is>
      </c>
      <c r="E4795" t="inlineStr">
        <is>
          <t>EMMABODA</t>
        </is>
      </c>
      <c r="G4795" t="n">
        <v>3.1</v>
      </c>
      <c r="H4795" t="n">
        <v>0</v>
      </c>
      <c r="I4795" t="n">
        <v>0</v>
      </c>
      <c r="J4795" t="n">
        <v>0</v>
      </c>
      <c r="K4795" t="n">
        <v>0</v>
      </c>
      <c r="L4795" t="n">
        <v>0</v>
      </c>
      <c r="M4795" t="n">
        <v>0</v>
      </c>
      <c r="N4795" t="n">
        <v>0</v>
      </c>
      <c r="O4795" t="n">
        <v>0</v>
      </c>
      <c r="P4795" t="n">
        <v>0</v>
      </c>
      <c r="Q4795" t="n">
        <v>0</v>
      </c>
      <c r="R4795" s="2" t="inlineStr"/>
    </row>
    <row r="4796" ht="15" customHeight="1">
      <c r="A4796" t="inlineStr">
        <is>
          <t>A 28871-2023</t>
        </is>
      </c>
      <c r="B4796" s="1" t="n">
        <v>45104</v>
      </c>
      <c r="C4796" s="1" t="n">
        <v>45884</v>
      </c>
      <c r="D4796" t="inlineStr">
        <is>
          <t>KALMAR LÄN</t>
        </is>
      </c>
      <c r="E4796" t="inlineStr">
        <is>
          <t>EMMABODA</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28894-2023</t>
        </is>
      </c>
      <c r="B4797" s="1" t="n">
        <v>45104.49659722222</v>
      </c>
      <c r="C4797" s="1" t="n">
        <v>45884</v>
      </c>
      <c r="D4797" t="inlineStr">
        <is>
          <t>KALMAR LÄN</t>
        </is>
      </c>
      <c r="E4797" t="inlineStr">
        <is>
          <t>VÄSTERVIK</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5788-2024</t>
        </is>
      </c>
      <c r="B4798" s="1" t="n">
        <v>45335</v>
      </c>
      <c r="C4798" s="1" t="n">
        <v>45884</v>
      </c>
      <c r="D4798" t="inlineStr">
        <is>
          <t>KALMAR LÄN</t>
        </is>
      </c>
      <c r="E4798" t="inlineStr">
        <is>
          <t>HULTSFRED</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5845-2024</t>
        </is>
      </c>
      <c r="B4799" s="1" t="n">
        <v>45335.60993055555</v>
      </c>
      <c r="C4799" s="1" t="n">
        <v>45884</v>
      </c>
      <c r="D4799" t="inlineStr">
        <is>
          <t>KALMAR LÄN</t>
        </is>
      </c>
      <c r="E4799" t="inlineStr">
        <is>
          <t>TORSÅS</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5846-2024</t>
        </is>
      </c>
      <c r="B4800" s="1" t="n">
        <v>45335</v>
      </c>
      <c r="C4800" s="1" t="n">
        <v>45884</v>
      </c>
      <c r="D4800" t="inlineStr">
        <is>
          <t>KALMAR LÄN</t>
        </is>
      </c>
      <c r="E4800" t="inlineStr">
        <is>
          <t>EMMABODA</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5880-2024</t>
        </is>
      </c>
      <c r="B4801" s="1" t="n">
        <v>45335.67450231482</v>
      </c>
      <c r="C4801" s="1" t="n">
        <v>45884</v>
      </c>
      <c r="D4801" t="inlineStr">
        <is>
          <t>KALMAR LÄN</t>
        </is>
      </c>
      <c r="E4801" t="inlineStr">
        <is>
          <t>EMMABODA</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31144-2023</t>
        </is>
      </c>
      <c r="B4802" s="1" t="n">
        <v>45113.73296296296</v>
      </c>
      <c r="C4802" s="1" t="n">
        <v>45884</v>
      </c>
      <c r="D4802" t="inlineStr">
        <is>
          <t>KALMAR LÄN</t>
        </is>
      </c>
      <c r="E4802" t="inlineStr">
        <is>
          <t>OSKARSHAMN</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53542-2022</t>
        </is>
      </c>
      <c r="B4803" s="1" t="n">
        <v>44879.62173611111</v>
      </c>
      <c r="C4803" s="1" t="n">
        <v>45884</v>
      </c>
      <c r="D4803" t="inlineStr">
        <is>
          <t>KALMAR LÄN</t>
        </is>
      </c>
      <c r="E4803" t="inlineStr">
        <is>
          <t>VIMMERBY</t>
        </is>
      </c>
      <c r="G4803" t="n">
        <v>2.6</v>
      </c>
      <c r="H4803" t="n">
        <v>0</v>
      </c>
      <c r="I4803" t="n">
        <v>0</v>
      </c>
      <c r="J4803" t="n">
        <v>0</v>
      </c>
      <c r="K4803" t="n">
        <v>0</v>
      </c>
      <c r="L4803" t="n">
        <v>0</v>
      </c>
      <c r="M4803" t="n">
        <v>0</v>
      </c>
      <c r="N4803" t="n">
        <v>0</v>
      </c>
      <c r="O4803" t="n">
        <v>0</v>
      </c>
      <c r="P4803" t="n">
        <v>0</v>
      </c>
      <c r="Q4803" t="n">
        <v>0</v>
      </c>
      <c r="R4803" s="2" t="inlineStr"/>
    </row>
    <row r="4804" ht="15" customHeight="1">
      <c r="A4804" t="inlineStr">
        <is>
          <t>A 33210-2022</t>
        </is>
      </c>
      <c r="B4804" s="1" t="n">
        <v>44785.74811342593</v>
      </c>
      <c r="C4804" s="1" t="n">
        <v>45884</v>
      </c>
      <c r="D4804" t="inlineStr">
        <is>
          <t>KALMAR LÄN</t>
        </is>
      </c>
      <c r="E4804" t="inlineStr">
        <is>
          <t>VÄSTERVIK</t>
        </is>
      </c>
      <c r="G4804" t="n">
        <v>3.2</v>
      </c>
      <c r="H4804" t="n">
        <v>0</v>
      </c>
      <c r="I4804" t="n">
        <v>0</v>
      </c>
      <c r="J4804" t="n">
        <v>0</v>
      </c>
      <c r="K4804" t="n">
        <v>0</v>
      </c>
      <c r="L4804" t="n">
        <v>0</v>
      </c>
      <c r="M4804" t="n">
        <v>0</v>
      </c>
      <c r="N4804" t="n">
        <v>0</v>
      </c>
      <c r="O4804" t="n">
        <v>0</v>
      </c>
      <c r="P4804" t="n">
        <v>0</v>
      </c>
      <c r="Q4804" t="n">
        <v>0</v>
      </c>
      <c r="R4804" s="2" t="inlineStr"/>
    </row>
    <row r="4805" ht="15" customHeight="1">
      <c r="A4805" t="inlineStr">
        <is>
          <t>A 46862-2023</t>
        </is>
      </c>
      <c r="B4805" s="1" t="n">
        <v>45200.41958333334</v>
      </c>
      <c r="C4805" s="1" t="n">
        <v>45884</v>
      </c>
      <c r="D4805" t="inlineStr">
        <is>
          <t>KALMAR LÄN</t>
        </is>
      </c>
      <c r="E4805" t="inlineStr">
        <is>
          <t>EMMABODA</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31422-2024</t>
        </is>
      </c>
      <c r="B4806" s="1" t="n">
        <v>45505</v>
      </c>
      <c r="C4806" s="1" t="n">
        <v>45884</v>
      </c>
      <c r="D4806" t="inlineStr">
        <is>
          <t>KALMAR LÄN</t>
        </is>
      </c>
      <c r="E4806" t="inlineStr">
        <is>
          <t>HULTSFRED</t>
        </is>
      </c>
      <c r="G4806" t="n">
        <v>5.5</v>
      </c>
      <c r="H4806" t="n">
        <v>0</v>
      </c>
      <c r="I4806" t="n">
        <v>0</v>
      </c>
      <c r="J4806" t="n">
        <v>0</v>
      </c>
      <c r="K4806" t="n">
        <v>0</v>
      </c>
      <c r="L4806" t="n">
        <v>0</v>
      </c>
      <c r="M4806" t="n">
        <v>0</v>
      </c>
      <c r="N4806" t="n">
        <v>0</v>
      </c>
      <c r="O4806" t="n">
        <v>0</v>
      </c>
      <c r="P4806" t="n">
        <v>0</v>
      </c>
      <c r="Q4806" t="n">
        <v>0</v>
      </c>
      <c r="R4806" s="2" t="inlineStr"/>
    </row>
    <row r="4807" ht="15" customHeight="1">
      <c r="A4807" t="inlineStr">
        <is>
          <t>A 20573-2025</t>
        </is>
      </c>
      <c r="B4807" s="1" t="n">
        <v>45775.67554398148</v>
      </c>
      <c r="C4807" s="1" t="n">
        <v>45884</v>
      </c>
      <c r="D4807" t="inlineStr">
        <is>
          <t>KALMAR LÄN</t>
        </is>
      </c>
      <c r="E4807" t="inlineStr">
        <is>
          <t>HÖGSBY</t>
        </is>
      </c>
      <c r="G4807" t="n">
        <v>5.7</v>
      </c>
      <c r="H4807" t="n">
        <v>0</v>
      </c>
      <c r="I4807" t="n">
        <v>0</v>
      </c>
      <c r="J4807" t="n">
        <v>0</v>
      </c>
      <c r="K4807" t="n">
        <v>0</v>
      </c>
      <c r="L4807" t="n">
        <v>0</v>
      </c>
      <c r="M4807" t="n">
        <v>0</v>
      </c>
      <c r="N4807" t="n">
        <v>0</v>
      </c>
      <c r="O4807" t="n">
        <v>0</v>
      </c>
      <c r="P4807" t="n">
        <v>0</v>
      </c>
      <c r="Q4807" t="n">
        <v>0</v>
      </c>
      <c r="R4807" s="2" t="inlineStr"/>
    </row>
    <row r="4808" ht="15" customHeight="1">
      <c r="A4808" t="inlineStr">
        <is>
          <t>A 17001-2025</t>
        </is>
      </c>
      <c r="B4808" s="1" t="n">
        <v>45755.52962962963</v>
      </c>
      <c r="C4808" s="1" t="n">
        <v>45884</v>
      </c>
      <c r="D4808" t="inlineStr">
        <is>
          <t>KALMAR LÄN</t>
        </is>
      </c>
      <c r="E4808" t="inlineStr">
        <is>
          <t>EMMABODA</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12333-2025</t>
        </is>
      </c>
      <c r="B4809" s="1" t="n">
        <v>45730</v>
      </c>
      <c r="C4809" s="1" t="n">
        <v>45884</v>
      </c>
      <c r="D4809" t="inlineStr">
        <is>
          <t>KALMAR LÄN</t>
        </is>
      </c>
      <c r="E4809" t="inlineStr">
        <is>
          <t>VÄSTERVIK</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2226-2021</t>
        </is>
      </c>
      <c r="B4810" s="1" t="n">
        <v>44211</v>
      </c>
      <c r="C4810" s="1" t="n">
        <v>45884</v>
      </c>
      <c r="D4810" t="inlineStr">
        <is>
          <t>KALMAR LÄN</t>
        </is>
      </c>
      <c r="E4810" t="inlineStr">
        <is>
          <t>TORSÅS</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22645-2023</t>
        </is>
      </c>
      <c r="B4811" s="1" t="n">
        <v>45071</v>
      </c>
      <c r="C4811" s="1" t="n">
        <v>45884</v>
      </c>
      <c r="D4811" t="inlineStr">
        <is>
          <t>KALMAR LÄN</t>
        </is>
      </c>
      <c r="E4811" t="inlineStr">
        <is>
          <t>HULTSFRED</t>
        </is>
      </c>
      <c r="G4811" t="n">
        <v>7.8</v>
      </c>
      <c r="H4811" t="n">
        <v>0</v>
      </c>
      <c r="I4811" t="n">
        <v>0</v>
      </c>
      <c r="J4811" t="n">
        <v>0</v>
      </c>
      <c r="K4811" t="n">
        <v>0</v>
      </c>
      <c r="L4811" t="n">
        <v>0</v>
      </c>
      <c r="M4811" t="n">
        <v>0</v>
      </c>
      <c r="N4811" t="n">
        <v>0</v>
      </c>
      <c r="O4811" t="n">
        <v>0</v>
      </c>
      <c r="P4811" t="n">
        <v>0</v>
      </c>
      <c r="Q4811" t="n">
        <v>0</v>
      </c>
      <c r="R4811" s="2" t="inlineStr"/>
    </row>
    <row r="4812" ht="15" customHeight="1">
      <c r="A4812" t="inlineStr">
        <is>
          <t>A 25472-2023</t>
        </is>
      </c>
      <c r="B4812" s="1" t="n">
        <v>45089.45716435185</v>
      </c>
      <c r="C4812" s="1" t="n">
        <v>45884</v>
      </c>
      <c r="D4812" t="inlineStr">
        <is>
          <t>KALMAR LÄN</t>
        </is>
      </c>
      <c r="E4812" t="inlineStr">
        <is>
          <t>NYBRO</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55990-2024</t>
        </is>
      </c>
      <c r="B4813" s="1" t="n">
        <v>45623.68827546296</v>
      </c>
      <c r="C4813" s="1" t="n">
        <v>45884</v>
      </c>
      <c r="D4813" t="inlineStr">
        <is>
          <t>KALMAR LÄN</t>
        </is>
      </c>
      <c r="E4813" t="inlineStr">
        <is>
          <t>KALMAR</t>
        </is>
      </c>
      <c r="G4813" t="n">
        <v>4.1</v>
      </c>
      <c r="H4813" t="n">
        <v>0</v>
      </c>
      <c r="I4813" t="n">
        <v>0</v>
      </c>
      <c r="J4813" t="n">
        <v>0</v>
      </c>
      <c r="K4813" t="n">
        <v>0</v>
      </c>
      <c r="L4813" t="n">
        <v>0</v>
      </c>
      <c r="M4813" t="n">
        <v>0</v>
      </c>
      <c r="N4813" t="n">
        <v>0</v>
      </c>
      <c r="O4813" t="n">
        <v>0</v>
      </c>
      <c r="P4813" t="n">
        <v>0</v>
      </c>
      <c r="Q4813" t="n">
        <v>0</v>
      </c>
      <c r="R4813" s="2" t="inlineStr"/>
    </row>
    <row r="4814" ht="15" customHeight="1">
      <c r="A4814" t="inlineStr">
        <is>
          <t>A 55992-2024</t>
        </is>
      </c>
      <c r="B4814" s="1" t="n">
        <v>45623.68888888889</v>
      </c>
      <c r="C4814" s="1" t="n">
        <v>45884</v>
      </c>
      <c r="D4814" t="inlineStr">
        <is>
          <t>KALMAR LÄN</t>
        </is>
      </c>
      <c r="E4814" t="inlineStr">
        <is>
          <t>KALMAR</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22390-2023</t>
        </is>
      </c>
      <c r="B4815" s="1" t="n">
        <v>45070.62878472222</v>
      </c>
      <c r="C4815" s="1" t="n">
        <v>45884</v>
      </c>
      <c r="D4815" t="inlineStr">
        <is>
          <t>KALMAR LÄN</t>
        </is>
      </c>
      <c r="E4815" t="inlineStr">
        <is>
          <t>EMMABODA</t>
        </is>
      </c>
      <c r="G4815" t="n">
        <v>2.3</v>
      </c>
      <c r="H4815" t="n">
        <v>0</v>
      </c>
      <c r="I4815" t="n">
        <v>0</v>
      </c>
      <c r="J4815" t="n">
        <v>0</v>
      </c>
      <c r="K4815" t="n">
        <v>0</v>
      </c>
      <c r="L4815" t="n">
        <v>0</v>
      </c>
      <c r="M4815" t="n">
        <v>0</v>
      </c>
      <c r="N4815" t="n">
        <v>0</v>
      </c>
      <c r="O4815" t="n">
        <v>0</v>
      </c>
      <c r="P4815" t="n">
        <v>0</v>
      </c>
      <c r="Q4815" t="n">
        <v>0</v>
      </c>
      <c r="R4815" s="2" t="inlineStr"/>
    </row>
    <row r="4816" ht="15" customHeight="1">
      <c r="A4816" t="inlineStr">
        <is>
          <t>A 44547-2023</t>
        </is>
      </c>
      <c r="B4816" s="1" t="n">
        <v>45189</v>
      </c>
      <c r="C4816" s="1" t="n">
        <v>45884</v>
      </c>
      <c r="D4816" t="inlineStr">
        <is>
          <t>KALMAR LÄN</t>
        </is>
      </c>
      <c r="E4816" t="inlineStr">
        <is>
          <t>KALMAR</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7637-2023</t>
        </is>
      </c>
      <c r="B4817" s="1" t="n">
        <v>44972.57466435185</v>
      </c>
      <c r="C4817" s="1" t="n">
        <v>45884</v>
      </c>
      <c r="D4817" t="inlineStr">
        <is>
          <t>KALMAR LÄN</t>
        </is>
      </c>
      <c r="E4817" t="inlineStr">
        <is>
          <t>MÖNSTERÅS</t>
        </is>
      </c>
      <c r="G4817" t="n">
        <v>2.3</v>
      </c>
      <c r="H4817" t="n">
        <v>0</v>
      </c>
      <c r="I4817" t="n">
        <v>0</v>
      </c>
      <c r="J4817" t="n">
        <v>0</v>
      </c>
      <c r="K4817" t="n">
        <v>0</v>
      </c>
      <c r="L4817" t="n">
        <v>0</v>
      </c>
      <c r="M4817" t="n">
        <v>0</v>
      </c>
      <c r="N4817" t="n">
        <v>0</v>
      </c>
      <c r="O4817" t="n">
        <v>0</v>
      </c>
      <c r="P4817" t="n">
        <v>0</v>
      </c>
      <c r="Q4817" t="n">
        <v>0</v>
      </c>
      <c r="R4817" s="2" t="inlineStr"/>
    </row>
    <row r="4818" ht="15" customHeight="1">
      <c r="A4818" t="inlineStr">
        <is>
          <t>A 7650-2023</t>
        </is>
      </c>
      <c r="B4818" s="1" t="n">
        <v>44972</v>
      </c>
      <c r="C4818" s="1" t="n">
        <v>45884</v>
      </c>
      <c r="D4818" t="inlineStr">
        <is>
          <t>KALMAR LÄN</t>
        </is>
      </c>
      <c r="E4818" t="inlineStr">
        <is>
          <t>NYBRO</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39911-2024</t>
        </is>
      </c>
      <c r="B4819" s="1" t="n">
        <v>45553.51680555556</v>
      </c>
      <c r="C4819" s="1" t="n">
        <v>45884</v>
      </c>
      <c r="D4819" t="inlineStr">
        <is>
          <t>KALMAR LÄN</t>
        </is>
      </c>
      <c r="E4819" t="inlineStr">
        <is>
          <t>OSKARSHAMN</t>
        </is>
      </c>
      <c r="G4819" t="n">
        <v>3.1</v>
      </c>
      <c r="H4819" t="n">
        <v>0</v>
      </c>
      <c r="I4819" t="n">
        <v>0</v>
      </c>
      <c r="J4819" t="n">
        <v>0</v>
      </c>
      <c r="K4819" t="n">
        <v>0</v>
      </c>
      <c r="L4819" t="n">
        <v>0</v>
      </c>
      <c r="M4819" t="n">
        <v>0</v>
      </c>
      <c r="N4819" t="n">
        <v>0</v>
      </c>
      <c r="O4819" t="n">
        <v>0</v>
      </c>
      <c r="P4819" t="n">
        <v>0</v>
      </c>
      <c r="Q4819" t="n">
        <v>0</v>
      </c>
      <c r="R4819" s="2" t="inlineStr"/>
    </row>
    <row r="4820" ht="15" customHeight="1">
      <c r="A4820" t="inlineStr">
        <is>
          <t>A 67633-2020</t>
        </is>
      </c>
      <c r="B4820" s="1" t="n">
        <v>44182</v>
      </c>
      <c r="C4820" s="1" t="n">
        <v>45884</v>
      </c>
      <c r="D4820" t="inlineStr">
        <is>
          <t>KALMAR LÄN</t>
        </is>
      </c>
      <c r="E4820" t="inlineStr">
        <is>
          <t>TORSÅS</t>
        </is>
      </c>
      <c r="G4820" t="n">
        <v>2.8</v>
      </c>
      <c r="H4820" t="n">
        <v>0</v>
      </c>
      <c r="I4820" t="n">
        <v>0</v>
      </c>
      <c r="J4820" t="n">
        <v>0</v>
      </c>
      <c r="K4820" t="n">
        <v>0</v>
      </c>
      <c r="L4820" t="n">
        <v>0</v>
      </c>
      <c r="M4820" t="n">
        <v>0</v>
      </c>
      <c r="N4820" t="n">
        <v>0</v>
      </c>
      <c r="O4820" t="n">
        <v>0</v>
      </c>
      <c r="P4820" t="n">
        <v>0</v>
      </c>
      <c r="Q4820" t="n">
        <v>0</v>
      </c>
      <c r="R4820" s="2" t="inlineStr"/>
    </row>
    <row r="4821" ht="15" customHeight="1">
      <c r="A4821" t="inlineStr">
        <is>
          <t>A 5020-2025</t>
        </is>
      </c>
      <c r="B4821" s="1" t="n">
        <v>45691.394375</v>
      </c>
      <c r="C4821" s="1" t="n">
        <v>45884</v>
      </c>
      <c r="D4821" t="inlineStr">
        <is>
          <t>KALMAR LÄN</t>
        </is>
      </c>
      <c r="E4821" t="inlineStr">
        <is>
          <t>EMMABODA</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24341-2023</t>
        </is>
      </c>
      <c r="B4822" s="1" t="n">
        <v>45081.91804398148</v>
      </c>
      <c r="C4822" s="1" t="n">
        <v>45884</v>
      </c>
      <c r="D4822" t="inlineStr">
        <is>
          <t>KALMAR LÄN</t>
        </is>
      </c>
      <c r="E4822" t="inlineStr">
        <is>
          <t>HULTSFRED</t>
        </is>
      </c>
      <c r="G4822" t="n">
        <v>2.5</v>
      </c>
      <c r="H4822" t="n">
        <v>0</v>
      </c>
      <c r="I4822" t="n">
        <v>0</v>
      </c>
      <c r="J4822" t="n">
        <v>0</v>
      </c>
      <c r="K4822" t="n">
        <v>0</v>
      </c>
      <c r="L4822" t="n">
        <v>0</v>
      </c>
      <c r="M4822" t="n">
        <v>0</v>
      </c>
      <c r="N4822" t="n">
        <v>0</v>
      </c>
      <c r="O4822" t="n">
        <v>0</v>
      </c>
      <c r="P4822" t="n">
        <v>0</v>
      </c>
      <c r="Q4822" t="n">
        <v>0</v>
      </c>
      <c r="R4822" s="2" t="inlineStr"/>
    </row>
    <row r="4823" ht="15" customHeight="1">
      <c r="A4823" t="inlineStr">
        <is>
          <t>A 48732-2023</t>
        </is>
      </c>
      <c r="B4823" s="1" t="n">
        <v>45208</v>
      </c>
      <c r="C4823" s="1" t="n">
        <v>45884</v>
      </c>
      <c r="D4823" t="inlineStr">
        <is>
          <t>KALMAR LÄN</t>
        </is>
      </c>
      <c r="E4823" t="inlineStr">
        <is>
          <t>NYBRO</t>
        </is>
      </c>
      <c r="G4823" t="n">
        <v>2.8</v>
      </c>
      <c r="H4823" t="n">
        <v>0</v>
      </c>
      <c r="I4823" t="n">
        <v>0</v>
      </c>
      <c r="J4823" t="n">
        <v>0</v>
      </c>
      <c r="K4823" t="n">
        <v>0</v>
      </c>
      <c r="L4823" t="n">
        <v>0</v>
      </c>
      <c r="M4823" t="n">
        <v>0</v>
      </c>
      <c r="N4823" t="n">
        <v>0</v>
      </c>
      <c r="O4823" t="n">
        <v>0</v>
      </c>
      <c r="P4823" t="n">
        <v>0</v>
      </c>
      <c r="Q4823" t="n">
        <v>0</v>
      </c>
      <c r="R4823" s="2" t="inlineStr"/>
    </row>
    <row r="4824" ht="15" customHeight="1">
      <c r="A4824" t="inlineStr">
        <is>
          <t>A 40865-2022</t>
        </is>
      </c>
      <c r="B4824" s="1" t="n">
        <v>44825.32336805556</v>
      </c>
      <c r="C4824" s="1" t="n">
        <v>45884</v>
      </c>
      <c r="D4824" t="inlineStr">
        <is>
          <t>KALMAR LÄN</t>
        </is>
      </c>
      <c r="E4824" t="inlineStr">
        <is>
          <t>HULTSFRED</t>
        </is>
      </c>
      <c r="G4824" t="n">
        <v>2.3</v>
      </c>
      <c r="H4824" t="n">
        <v>0</v>
      </c>
      <c r="I4824" t="n">
        <v>0</v>
      </c>
      <c r="J4824" t="n">
        <v>0</v>
      </c>
      <c r="K4824" t="n">
        <v>0</v>
      </c>
      <c r="L4824" t="n">
        <v>0</v>
      </c>
      <c r="M4824" t="n">
        <v>0</v>
      </c>
      <c r="N4824" t="n">
        <v>0</v>
      </c>
      <c r="O4824" t="n">
        <v>0</v>
      </c>
      <c r="P4824" t="n">
        <v>0</v>
      </c>
      <c r="Q4824" t="n">
        <v>0</v>
      </c>
      <c r="R4824" s="2" t="inlineStr"/>
    </row>
    <row r="4825" ht="15" customHeight="1">
      <c r="A4825" t="inlineStr">
        <is>
          <t>A 23317-2023</t>
        </is>
      </c>
      <c r="B4825" s="1" t="n">
        <v>45076</v>
      </c>
      <c r="C4825" s="1" t="n">
        <v>45884</v>
      </c>
      <c r="D4825" t="inlineStr">
        <is>
          <t>KALMAR LÄN</t>
        </is>
      </c>
      <c r="E4825" t="inlineStr">
        <is>
          <t>VÄSTERVIK</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8719-2021</t>
        </is>
      </c>
      <c r="B4826" s="1" t="n">
        <v>44246.44319444444</v>
      </c>
      <c r="C4826" s="1" t="n">
        <v>45884</v>
      </c>
      <c r="D4826" t="inlineStr">
        <is>
          <t>KALMAR LÄN</t>
        </is>
      </c>
      <c r="E4826" t="inlineStr">
        <is>
          <t>TORSÅS</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59408-2022</t>
        </is>
      </c>
      <c r="B4827" s="1" t="n">
        <v>44907</v>
      </c>
      <c r="C4827" s="1" t="n">
        <v>45884</v>
      </c>
      <c r="D4827" t="inlineStr">
        <is>
          <t>KALMAR LÄN</t>
        </is>
      </c>
      <c r="E4827" t="inlineStr">
        <is>
          <t>HÖGSBY</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352-2023</t>
        </is>
      </c>
      <c r="B4828" s="1" t="n">
        <v>44929.51619212963</v>
      </c>
      <c r="C4828" s="1" t="n">
        <v>45884</v>
      </c>
      <c r="D4828" t="inlineStr">
        <is>
          <t>KALMAR LÄN</t>
        </is>
      </c>
      <c r="E4828" t="inlineStr">
        <is>
          <t>VÄSTERVIK</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57630-2023</t>
        </is>
      </c>
      <c r="B4829" s="1" t="n">
        <v>45246</v>
      </c>
      <c r="C4829" s="1" t="n">
        <v>45884</v>
      </c>
      <c r="D4829" t="inlineStr">
        <is>
          <t>KALMAR LÄN</t>
        </is>
      </c>
      <c r="E4829" t="inlineStr">
        <is>
          <t>KALMAR</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52116-2024</t>
        </is>
      </c>
      <c r="B4830" s="1" t="n">
        <v>45608.44344907408</v>
      </c>
      <c r="C4830" s="1" t="n">
        <v>45884</v>
      </c>
      <c r="D4830" t="inlineStr">
        <is>
          <t>KALMAR LÄN</t>
        </is>
      </c>
      <c r="E4830" t="inlineStr">
        <is>
          <t>HÖGSBY</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44924-2022</t>
        </is>
      </c>
      <c r="B4831" s="1" t="n">
        <v>44840</v>
      </c>
      <c r="C4831" s="1" t="n">
        <v>45884</v>
      </c>
      <c r="D4831" t="inlineStr">
        <is>
          <t>KALMAR LÄN</t>
        </is>
      </c>
      <c r="E4831" t="inlineStr">
        <is>
          <t>EMMABODA</t>
        </is>
      </c>
      <c r="F4831" t="inlineStr">
        <is>
          <t>Övriga Aktiebolag</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5639-2022</t>
        </is>
      </c>
      <c r="B4832" s="1" t="n">
        <v>44595</v>
      </c>
      <c r="C4832" s="1" t="n">
        <v>45884</v>
      </c>
      <c r="D4832" t="inlineStr">
        <is>
          <t>KALMAR LÄN</t>
        </is>
      </c>
      <c r="E4832" t="inlineStr">
        <is>
          <t>MÖNSTERÅS</t>
        </is>
      </c>
      <c r="G4832" t="n">
        <v>10.2</v>
      </c>
      <c r="H4832" t="n">
        <v>0</v>
      </c>
      <c r="I4832" t="n">
        <v>0</v>
      </c>
      <c r="J4832" t="n">
        <v>0</v>
      </c>
      <c r="K4832" t="n">
        <v>0</v>
      </c>
      <c r="L4832" t="n">
        <v>0</v>
      </c>
      <c r="M4832" t="n">
        <v>0</v>
      </c>
      <c r="N4832" t="n">
        <v>0</v>
      </c>
      <c r="O4832" t="n">
        <v>0</v>
      </c>
      <c r="P4832" t="n">
        <v>0</v>
      </c>
      <c r="Q4832" t="n">
        <v>0</v>
      </c>
      <c r="R4832" s="2" t="inlineStr"/>
    </row>
    <row r="4833" ht="15" customHeight="1">
      <c r="A4833" t="inlineStr">
        <is>
          <t>A 8700-2024</t>
        </is>
      </c>
      <c r="B4833" s="1" t="n">
        <v>45356.37644675926</v>
      </c>
      <c r="C4833" s="1" t="n">
        <v>45884</v>
      </c>
      <c r="D4833" t="inlineStr">
        <is>
          <t>KALMAR LÄN</t>
        </is>
      </c>
      <c r="E4833" t="inlineStr">
        <is>
          <t>KALMAR</t>
        </is>
      </c>
      <c r="G4833" t="n">
        <v>2.5</v>
      </c>
      <c r="H4833" t="n">
        <v>0</v>
      </c>
      <c r="I4833" t="n">
        <v>0</v>
      </c>
      <c r="J4833" t="n">
        <v>0</v>
      </c>
      <c r="K4833" t="n">
        <v>0</v>
      </c>
      <c r="L4833" t="n">
        <v>0</v>
      </c>
      <c r="M4833" t="n">
        <v>0</v>
      </c>
      <c r="N4833" t="n">
        <v>0</v>
      </c>
      <c r="O4833" t="n">
        <v>0</v>
      </c>
      <c r="P4833" t="n">
        <v>0</v>
      </c>
      <c r="Q4833" t="n">
        <v>0</v>
      </c>
      <c r="R4833" s="2" t="inlineStr"/>
    </row>
    <row r="4834" ht="15" customHeight="1">
      <c r="A4834" t="inlineStr">
        <is>
          <t>A 51652-2024</t>
        </is>
      </c>
      <c r="B4834" s="1" t="n">
        <v>45606.57791666667</v>
      </c>
      <c r="C4834" s="1" t="n">
        <v>45884</v>
      </c>
      <c r="D4834" t="inlineStr">
        <is>
          <t>KALMAR LÄN</t>
        </is>
      </c>
      <c r="E4834" t="inlineStr">
        <is>
          <t>NYBRO</t>
        </is>
      </c>
      <c r="G4834" t="n">
        <v>2.1</v>
      </c>
      <c r="H4834" t="n">
        <v>0</v>
      </c>
      <c r="I4834" t="n">
        <v>0</v>
      </c>
      <c r="J4834" t="n">
        <v>0</v>
      </c>
      <c r="K4834" t="n">
        <v>0</v>
      </c>
      <c r="L4834" t="n">
        <v>0</v>
      </c>
      <c r="M4834" t="n">
        <v>0</v>
      </c>
      <c r="N4834" t="n">
        <v>0</v>
      </c>
      <c r="O4834" t="n">
        <v>0</v>
      </c>
      <c r="P4834" t="n">
        <v>0</v>
      </c>
      <c r="Q4834" t="n">
        <v>0</v>
      </c>
      <c r="R4834" s="2" t="inlineStr"/>
    </row>
    <row r="4835" ht="15" customHeight="1">
      <c r="A4835" t="inlineStr">
        <is>
          <t>A 2212-2024</t>
        </is>
      </c>
      <c r="B4835" s="1" t="n">
        <v>45309.80746527778</v>
      </c>
      <c r="C4835" s="1" t="n">
        <v>45884</v>
      </c>
      <c r="D4835" t="inlineStr">
        <is>
          <t>KALMAR LÄN</t>
        </is>
      </c>
      <c r="E4835" t="inlineStr">
        <is>
          <t>HULTSFRED</t>
        </is>
      </c>
      <c r="G4835" t="n">
        <v>2.9</v>
      </c>
      <c r="H4835" t="n">
        <v>0</v>
      </c>
      <c r="I4835" t="n">
        <v>0</v>
      </c>
      <c r="J4835" t="n">
        <v>0</v>
      </c>
      <c r="K4835" t="n">
        <v>0</v>
      </c>
      <c r="L4835" t="n">
        <v>0</v>
      </c>
      <c r="M4835" t="n">
        <v>0</v>
      </c>
      <c r="N4835" t="n">
        <v>0</v>
      </c>
      <c r="O4835" t="n">
        <v>0</v>
      </c>
      <c r="P4835" t="n">
        <v>0</v>
      </c>
      <c r="Q4835" t="n">
        <v>0</v>
      </c>
      <c r="R4835" s="2" t="inlineStr"/>
    </row>
    <row r="4836" ht="15" customHeight="1">
      <c r="A4836" t="inlineStr">
        <is>
          <t>A 29093-2023</t>
        </is>
      </c>
      <c r="B4836" s="1" t="n">
        <v>45105</v>
      </c>
      <c r="C4836" s="1" t="n">
        <v>45884</v>
      </c>
      <c r="D4836" t="inlineStr">
        <is>
          <t>KALMAR LÄN</t>
        </is>
      </c>
      <c r="E4836" t="inlineStr">
        <is>
          <t>VIMMERBY</t>
        </is>
      </c>
      <c r="G4836" t="n">
        <v>2.9</v>
      </c>
      <c r="H4836" t="n">
        <v>0</v>
      </c>
      <c r="I4836" t="n">
        <v>0</v>
      </c>
      <c r="J4836" t="n">
        <v>0</v>
      </c>
      <c r="K4836" t="n">
        <v>0</v>
      </c>
      <c r="L4836" t="n">
        <v>0</v>
      </c>
      <c r="M4836" t="n">
        <v>0</v>
      </c>
      <c r="N4836" t="n">
        <v>0</v>
      </c>
      <c r="O4836" t="n">
        <v>0</v>
      </c>
      <c r="P4836" t="n">
        <v>0</v>
      </c>
      <c r="Q4836" t="n">
        <v>0</v>
      </c>
      <c r="R4836" s="2" t="inlineStr"/>
    </row>
    <row r="4837" ht="15" customHeight="1">
      <c r="A4837" t="inlineStr">
        <is>
          <t>A 42897-2023</t>
        </is>
      </c>
      <c r="B4837" s="1" t="n">
        <v>45182.48377314815</v>
      </c>
      <c r="C4837" s="1" t="n">
        <v>45884</v>
      </c>
      <c r="D4837" t="inlineStr">
        <is>
          <t>KALMAR LÄN</t>
        </is>
      </c>
      <c r="E4837" t="inlineStr">
        <is>
          <t>TORSÅS</t>
        </is>
      </c>
      <c r="G4837" t="n">
        <v>0.3</v>
      </c>
      <c r="H4837" t="n">
        <v>0</v>
      </c>
      <c r="I4837" t="n">
        <v>0</v>
      </c>
      <c r="J4837" t="n">
        <v>0</v>
      </c>
      <c r="K4837" t="n">
        <v>0</v>
      </c>
      <c r="L4837" t="n">
        <v>0</v>
      </c>
      <c r="M4837" t="n">
        <v>0</v>
      </c>
      <c r="N4837" t="n">
        <v>0</v>
      </c>
      <c r="O4837" t="n">
        <v>0</v>
      </c>
      <c r="P4837" t="n">
        <v>0</v>
      </c>
      <c r="Q4837" t="n">
        <v>0</v>
      </c>
      <c r="R4837" s="2" t="inlineStr"/>
    </row>
    <row r="4838" ht="15" customHeight="1">
      <c r="A4838" t="inlineStr">
        <is>
          <t>A 38414-2024</t>
        </is>
      </c>
      <c r="B4838" s="1" t="n">
        <v>45546.35145833333</v>
      </c>
      <c r="C4838" s="1" t="n">
        <v>45884</v>
      </c>
      <c r="D4838" t="inlineStr">
        <is>
          <t>KALMAR LÄN</t>
        </is>
      </c>
      <c r="E4838" t="inlineStr">
        <is>
          <t>HULTSFRED</t>
        </is>
      </c>
      <c r="F4838" t="inlineStr">
        <is>
          <t>Sveaskog</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30057-2023</t>
        </is>
      </c>
      <c r="B4839" s="1" t="n">
        <v>45110</v>
      </c>
      <c r="C4839" s="1" t="n">
        <v>45884</v>
      </c>
      <c r="D4839" t="inlineStr">
        <is>
          <t>KALMAR LÄN</t>
        </is>
      </c>
      <c r="E4839" t="inlineStr">
        <is>
          <t>OSKARSHAMN</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33352-2022</t>
        </is>
      </c>
      <c r="B4840" s="1" t="n">
        <v>44788</v>
      </c>
      <c r="C4840" s="1" t="n">
        <v>45884</v>
      </c>
      <c r="D4840" t="inlineStr">
        <is>
          <t>KALMAR LÄN</t>
        </is>
      </c>
      <c r="E4840" t="inlineStr">
        <is>
          <t>VIMMERBY</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6790-2021</t>
        </is>
      </c>
      <c r="B4841" s="1" t="n">
        <v>44236.88402777778</v>
      </c>
      <c r="C4841" s="1" t="n">
        <v>45884</v>
      </c>
      <c r="D4841" t="inlineStr">
        <is>
          <t>KALMAR LÄN</t>
        </is>
      </c>
      <c r="E4841" t="inlineStr">
        <is>
          <t>EMMABODA</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3679-2025</t>
        </is>
      </c>
      <c r="B4842" s="1" t="n">
        <v>45681.44637731482</v>
      </c>
      <c r="C4842" s="1" t="n">
        <v>45884</v>
      </c>
      <c r="D4842" t="inlineStr">
        <is>
          <t>KALMAR LÄN</t>
        </is>
      </c>
      <c r="E4842" t="inlineStr">
        <is>
          <t>VÄSTERVIK</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9337-2023</t>
        </is>
      </c>
      <c r="B4843" s="1" t="n">
        <v>44980.8393287037</v>
      </c>
      <c r="C4843" s="1" t="n">
        <v>45884</v>
      </c>
      <c r="D4843" t="inlineStr">
        <is>
          <t>KALMAR LÄN</t>
        </is>
      </c>
      <c r="E4843" t="inlineStr">
        <is>
          <t>OSKARSHAMN</t>
        </is>
      </c>
      <c r="G4843" t="n">
        <v>3.3</v>
      </c>
      <c r="H4843" t="n">
        <v>0</v>
      </c>
      <c r="I4843" t="n">
        <v>0</v>
      </c>
      <c r="J4843" t="n">
        <v>0</v>
      </c>
      <c r="K4843" t="n">
        <v>0</v>
      </c>
      <c r="L4843" t="n">
        <v>0</v>
      </c>
      <c r="M4843" t="n">
        <v>0</v>
      </c>
      <c r="N4843" t="n">
        <v>0</v>
      </c>
      <c r="O4843" t="n">
        <v>0</v>
      </c>
      <c r="P4843" t="n">
        <v>0</v>
      </c>
      <c r="Q4843" t="n">
        <v>0</v>
      </c>
      <c r="R4843" s="2" t="inlineStr"/>
    </row>
    <row r="4844" ht="15" customHeight="1">
      <c r="A4844" t="inlineStr">
        <is>
          <t>A 10674-2021</t>
        </is>
      </c>
      <c r="B4844" s="1" t="n">
        <v>44258</v>
      </c>
      <c r="C4844" s="1" t="n">
        <v>45884</v>
      </c>
      <c r="D4844" t="inlineStr">
        <is>
          <t>KALMAR LÄN</t>
        </is>
      </c>
      <c r="E4844" t="inlineStr">
        <is>
          <t>VIMMERBY</t>
        </is>
      </c>
      <c r="G4844" t="n">
        <v>8.4</v>
      </c>
      <c r="H4844" t="n">
        <v>0</v>
      </c>
      <c r="I4844" t="n">
        <v>0</v>
      </c>
      <c r="J4844" t="n">
        <v>0</v>
      </c>
      <c r="K4844" t="n">
        <v>0</v>
      </c>
      <c r="L4844" t="n">
        <v>0</v>
      </c>
      <c r="M4844" t="n">
        <v>0</v>
      </c>
      <c r="N4844" t="n">
        <v>0</v>
      </c>
      <c r="O4844" t="n">
        <v>0</v>
      </c>
      <c r="P4844" t="n">
        <v>0</v>
      </c>
      <c r="Q4844" t="n">
        <v>0</v>
      </c>
      <c r="R4844" s="2" t="inlineStr"/>
    </row>
    <row r="4845" ht="15" customHeight="1">
      <c r="A4845" t="inlineStr">
        <is>
          <t>A 10934-2023</t>
        </is>
      </c>
      <c r="B4845" s="1" t="n">
        <v>44991.52763888889</v>
      </c>
      <c r="C4845" s="1" t="n">
        <v>45884</v>
      </c>
      <c r="D4845" t="inlineStr">
        <is>
          <t>KALMAR LÄN</t>
        </is>
      </c>
      <c r="E4845" t="inlineStr">
        <is>
          <t>MÖNSTERÅS</t>
        </is>
      </c>
      <c r="G4845" t="n">
        <v>2.3</v>
      </c>
      <c r="H4845" t="n">
        <v>0</v>
      </c>
      <c r="I4845" t="n">
        <v>0</v>
      </c>
      <c r="J4845" t="n">
        <v>0</v>
      </c>
      <c r="K4845" t="n">
        <v>0</v>
      </c>
      <c r="L4845" t="n">
        <v>0</v>
      </c>
      <c r="M4845" t="n">
        <v>0</v>
      </c>
      <c r="N4845" t="n">
        <v>0</v>
      </c>
      <c r="O4845" t="n">
        <v>0</v>
      </c>
      <c r="P4845" t="n">
        <v>0</v>
      </c>
      <c r="Q4845" t="n">
        <v>0</v>
      </c>
      <c r="R4845" s="2" t="inlineStr"/>
    </row>
    <row r="4846" ht="15" customHeight="1">
      <c r="A4846" t="inlineStr">
        <is>
          <t>A 64994-2023</t>
        </is>
      </c>
      <c r="B4846" s="1" t="n">
        <v>45286.66233796296</v>
      </c>
      <c r="C4846" s="1" t="n">
        <v>45884</v>
      </c>
      <c r="D4846" t="inlineStr">
        <is>
          <t>KALMAR LÄN</t>
        </is>
      </c>
      <c r="E4846" t="inlineStr">
        <is>
          <t>KALMAR</t>
        </is>
      </c>
      <c r="G4846" t="n">
        <v>2.8</v>
      </c>
      <c r="H4846" t="n">
        <v>0</v>
      </c>
      <c r="I4846" t="n">
        <v>0</v>
      </c>
      <c r="J4846" t="n">
        <v>0</v>
      </c>
      <c r="K4846" t="n">
        <v>0</v>
      </c>
      <c r="L4846" t="n">
        <v>0</v>
      </c>
      <c r="M4846" t="n">
        <v>0</v>
      </c>
      <c r="N4846" t="n">
        <v>0</v>
      </c>
      <c r="O4846" t="n">
        <v>0</v>
      </c>
      <c r="P4846" t="n">
        <v>0</v>
      </c>
      <c r="Q4846" t="n">
        <v>0</v>
      </c>
      <c r="R4846" s="2" t="inlineStr"/>
    </row>
    <row r="4847" ht="15" customHeight="1">
      <c r="A4847" t="inlineStr">
        <is>
          <t>A 22264-2023</t>
        </is>
      </c>
      <c r="B4847" s="1" t="n">
        <v>45070.3665625</v>
      </c>
      <c r="C4847" s="1" t="n">
        <v>45884</v>
      </c>
      <c r="D4847" t="inlineStr">
        <is>
          <t>KALMAR LÄN</t>
        </is>
      </c>
      <c r="E4847" t="inlineStr">
        <is>
          <t>VIMMERBY</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12749-2025</t>
        </is>
      </c>
      <c r="B4848" s="1" t="n">
        <v>45733.55538194445</v>
      </c>
      <c r="C4848" s="1" t="n">
        <v>45884</v>
      </c>
      <c r="D4848" t="inlineStr">
        <is>
          <t>KALMAR LÄN</t>
        </is>
      </c>
      <c r="E4848" t="inlineStr">
        <is>
          <t>HULTSFRED</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7627-2025</t>
        </is>
      </c>
      <c r="B4849" s="1" t="n">
        <v>45705.73300925926</v>
      </c>
      <c r="C4849" s="1" t="n">
        <v>45884</v>
      </c>
      <c r="D4849" t="inlineStr">
        <is>
          <t>KALMAR LÄN</t>
        </is>
      </c>
      <c r="E4849" t="inlineStr">
        <is>
          <t>VIMMERBY</t>
        </is>
      </c>
      <c r="G4849" t="n">
        <v>2.1</v>
      </c>
      <c r="H4849" t="n">
        <v>0</v>
      </c>
      <c r="I4849" t="n">
        <v>0</v>
      </c>
      <c r="J4849" t="n">
        <v>0</v>
      </c>
      <c r="K4849" t="n">
        <v>0</v>
      </c>
      <c r="L4849" t="n">
        <v>0</v>
      </c>
      <c r="M4849" t="n">
        <v>0</v>
      </c>
      <c r="N4849" t="n">
        <v>0</v>
      </c>
      <c r="O4849" t="n">
        <v>0</v>
      </c>
      <c r="P4849" t="n">
        <v>0</v>
      </c>
      <c r="Q4849" t="n">
        <v>0</v>
      </c>
      <c r="R4849" s="2" t="inlineStr"/>
    </row>
    <row r="4850" ht="15" customHeight="1">
      <c r="A4850" t="inlineStr">
        <is>
          <t>A 49284-2024</t>
        </is>
      </c>
      <c r="B4850" s="1" t="n">
        <v>45595.51280092593</v>
      </c>
      <c r="C4850" s="1" t="n">
        <v>45884</v>
      </c>
      <c r="D4850" t="inlineStr">
        <is>
          <t>KALMAR LÄN</t>
        </is>
      </c>
      <c r="E4850" t="inlineStr">
        <is>
          <t>EMMABODA</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750-2023</t>
        </is>
      </c>
      <c r="B4851" s="1" t="n">
        <v>44931.35797453704</v>
      </c>
      <c r="C4851" s="1" t="n">
        <v>45884</v>
      </c>
      <c r="D4851" t="inlineStr">
        <is>
          <t>KALMAR LÄN</t>
        </is>
      </c>
      <c r="E4851" t="inlineStr">
        <is>
          <t>KALMAR</t>
        </is>
      </c>
      <c r="G4851" t="n">
        <v>2.3</v>
      </c>
      <c r="H4851" t="n">
        <v>0</v>
      </c>
      <c r="I4851" t="n">
        <v>0</v>
      </c>
      <c r="J4851" t="n">
        <v>0</v>
      </c>
      <c r="K4851" t="n">
        <v>0</v>
      </c>
      <c r="L4851" t="n">
        <v>0</v>
      </c>
      <c r="M4851" t="n">
        <v>0</v>
      </c>
      <c r="N4851" t="n">
        <v>0</v>
      </c>
      <c r="O4851" t="n">
        <v>0</v>
      </c>
      <c r="P4851" t="n">
        <v>0</v>
      </c>
      <c r="Q4851" t="n">
        <v>0</v>
      </c>
      <c r="R4851" s="2" t="inlineStr"/>
    </row>
    <row r="4852" ht="15" customHeight="1">
      <c r="A4852" t="inlineStr">
        <is>
          <t>A 9676-2024</t>
        </is>
      </c>
      <c r="B4852" s="1" t="n">
        <v>45362.46388888889</v>
      </c>
      <c r="C4852" s="1" t="n">
        <v>45884</v>
      </c>
      <c r="D4852" t="inlineStr">
        <is>
          <t>KALMAR LÄN</t>
        </is>
      </c>
      <c r="E4852" t="inlineStr">
        <is>
          <t>TORSÅS</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46082-2023</t>
        </is>
      </c>
      <c r="B4853" s="1" t="n">
        <v>45196</v>
      </c>
      <c r="C4853" s="1" t="n">
        <v>45884</v>
      </c>
      <c r="D4853" t="inlineStr">
        <is>
          <t>KALMAR LÄN</t>
        </is>
      </c>
      <c r="E4853" t="inlineStr">
        <is>
          <t>TORSÅS</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26160-2024</t>
        </is>
      </c>
      <c r="B4854" s="1" t="n">
        <v>45468</v>
      </c>
      <c r="C4854" s="1" t="n">
        <v>45884</v>
      </c>
      <c r="D4854" t="inlineStr">
        <is>
          <t>KALMAR LÄN</t>
        </is>
      </c>
      <c r="E4854" t="inlineStr">
        <is>
          <t>BORGHOLM</t>
        </is>
      </c>
      <c r="G4854" t="n">
        <v>0.4</v>
      </c>
      <c r="H4854" t="n">
        <v>0</v>
      </c>
      <c r="I4854" t="n">
        <v>0</v>
      </c>
      <c r="J4854" t="n">
        <v>0</v>
      </c>
      <c r="K4854" t="n">
        <v>0</v>
      </c>
      <c r="L4854" t="n">
        <v>0</v>
      </c>
      <c r="M4854" t="n">
        <v>0</v>
      </c>
      <c r="N4854" t="n">
        <v>0</v>
      </c>
      <c r="O4854" t="n">
        <v>0</v>
      </c>
      <c r="P4854" t="n">
        <v>0</v>
      </c>
      <c r="Q4854" t="n">
        <v>0</v>
      </c>
      <c r="R4854" s="2" t="inlineStr"/>
      <c r="T4854">
        <f>HYPERLINK("https://klasma.github.io/Logging_0885/kartor/A 26160-2024 karta.png", "A 26160-2024")</f>
        <v/>
      </c>
      <c r="V4854">
        <f>HYPERLINK("https://klasma.github.io/Logging_0885/klagomål/A 26160-2024 FSC-klagomål.docx", "A 26160-2024")</f>
        <v/>
      </c>
      <c r="W4854">
        <f>HYPERLINK("https://klasma.github.io/Logging_0885/klagomålsmail/A 26160-2024 FSC-klagomål mail.docx", "A 26160-2024")</f>
        <v/>
      </c>
      <c r="X4854">
        <f>HYPERLINK("https://klasma.github.io/Logging_0885/tillsyn/A 26160-2024 tillsynsbegäran.docx", "A 26160-2024")</f>
        <v/>
      </c>
      <c r="Y4854">
        <f>HYPERLINK("https://klasma.github.io/Logging_0885/tillsynsmail/A 26160-2024 tillsynsbegäran mail.docx", "A 26160-2024")</f>
        <v/>
      </c>
    </row>
    <row r="4855" ht="15" customHeight="1">
      <c r="A4855" t="inlineStr">
        <is>
          <t>A 25238-2021</t>
        </is>
      </c>
      <c r="B4855" s="1" t="n">
        <v>44342</v>
      </c>
      <c r="C4855" s="1" t="n">
        <v>45884</v>
      </c>
      <c r="D4855" t="inlineStr">
        <is>
          <t>KALMAR LÄN</t>
        </is>
      </c>
      <c r="E4855" t="inlineStr">
        <is>
          <t>VÄSTERVIK</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36366-2024</t>
        </is>
      </c>
      <c r="B4856" s="1" t="n">
        <v>45534.65803240741</v>
      </c>
      <c r="C4856" s="1" t="n">
        <v>45884</v>
      </c>
      <c r="D4856" t="inlineStr">
        <is>
          <t>KALMAR LÄN</t>
        </is>
      </c>
      <c r="E4856" t="inlineStr">
        <is>
          <t>NYBRO</t>
        </is>
      </c>
      <c r="G4856" t="n">
        <v>2</v>
      </c>
      <c r="H4856" t="n">
        <v>0</v>
      </c>
      <c r="I4856" t="n">
        <v>0</v>
      </c>
      <c r="J4856" t="n">
        <v>0</v>
      </c>
      <c r="K4856" t="n">
        <v>0</v>
      </c>
      <c r="L4856" t="n">
        <v>0</v>
      </c>
      <c r="M4856" t="n">
        <v>0</v>
      </c>
      <c r="N4856" t="n">
        <v>0</v>
      </c>
      <c r="O4856" t="n">
        <v>0</v>
      </c>
      <c r="P4856" t="n">
        <v>0</v>
      </c>
      <c r="Q4856" t="n">
        <v>0</v>
      </c>
      <c r="R4856" s="2" t="inlineStr"/>
    </row>
    <row r="4857" ht="15" customHeight="1">
      <c r="A4857" t="inlineStr">
        <is>
          <t>A 11665-2023</t>
        </is>
      </c>
      <c r="B4857" s="1" t="n">
        <v>44994.47293981481</v>
      </c>
      <c r="C4857" s="1" t="n">
        <v>45884</v>
      </c>
      <c r="D4857" t="inlineStr">
        <is>
          <t>KALMAR LÄN</t>
        </is>
      </c>
      <c r="E4857" t="inlineStr">
        <is>
          <t>OSKARSHAMN</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53077-2024</t>
        </is>
      </c>
      <c r="B4858" s="1" t="n">
        <v>45611.49178240741</v>
      </c>
      <c r="C4858" s="1" t="n">
        <v>45884</v>
      </c>
      <c r="D4858" t="inlineStr">
        <is>
          <t>KALMAR LÄN</t>
        </is>
      </c>
      <c r="E4858" t="inlineStr">
        <is>
          <t>VÄSTERVIK</t>
        </is>
      </c>
      <c r="F4858" t="inlineStr">
        <is>
          <t>Holmen skog AB</t>
        </is>
      </c>
      <c r="G4858" t="n">
        <v>3</v>
      </c>
      <c r="H4858" t="n">
        <v>0</v>
      </c>
      <c r="I4858" t="n">
        <v>0</v>
      </c>
      <c r="J4858" t="n">
        <v>0</v>
      </c>
      <c r="K4858" t="n">
        <v>0</v>
      </c>
      <c r="L4858" t="n">
        <v>0</v>
      </c>
      <c r="M4858" t="n">
        <v>0</v>
      </c>
      <c r="N4858" t="n">
        <v>0</v>
      </c>
      <c r="O4858" t="n">
        <v>0</v>
      </c>
      <c r="P4858" t="n">
        <v>0</v>
      </c>
      <c r="Q4858" t="n">
        <v>0</v>
      </c>
      <c r="R4858" s="2" t="inlineStr"/>
    </row>
    <row r="4859" ht="15" customHeight="1">
      <c r="A4859" t="inlineStr">
        <is>
          <t>A 2343-2025</t>
        </is>
      </c>
      <c r="B4859" s="1" t="n">
        <v>45673.67064814815</v>
      </c>
      <c r="C4859" s="1" t="n">
        <v>45884</v>
      </c>
      <c r="D4859" t="inlineStr">
        <is>
          <t>KALMAR LÄN</t>
        </is>
      </c>
      <c r="E4859" t="inlineStr">
        <is>
          <t>EMMABODA</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16676-2023</t>
        </is>
      </c>
      <c r="B4860" s="1" t="n">
        <v>45028</v>
      </c>
      <c r="C4860" s="1" t="n">
        <v>45884</v>
      </c>
      <c r="D4860" t="inlineStr">
        <is>
          <t>KALMAR LÄN</t>
        </is>
      </c>
      <c r="E4860" t="inlineStr">
        <is>
          <t>VIMMERBY</t>
        </is>
      </c>
      <c r="G4860" t="n">
        <v>9.699999999999999</v>
      </c>
      <c r="H4860" t="n">
        <v>0</v>
      </c>
      <c r="I4860" t="n">
        <v>0</v>
      </c>
      <c r="J4860" t="n">
        <v>0</v>
      </c>
      <c r="K4860" t="n">
        <v>0</v>
      </c>
      <c r="L4860" t="n">
        <v>0</v>
      </c>
      <c r="M4860" t="n">
        <v>0</v>
      </c>
      <c r="N4860" t="n">
        <v>0</v>
      </c>
      <c r="O4860" t="n">
        <v>0</v>
      </c>
      <c r="P4860" t="n">
        <v>0</v>
      </c>
      <c r="Q4860" t="n">
        <v>0</v>
      </c>
      <c r="R4860" s="2" t="inlineStr"/>
    </row>
    <row r="4861" ht="15" customHeight="1">
      <c r="A4861" t="inlineStr">
        <is>
          <t>A 57173-2024</t>
        </is>
      </c>
      <c r="B4861" s="1" t="n">
        <v>45629.43613425926</v>
      </c>
      <c r="C4861" s="1" t="n">
        <v>45884</v>
      </c>
      <c r="D4861" t="inlineStr">
        <is>
          <t>KALMAR LÄN</t>
        </is>
      </c>
      <c r="E4861" t="inlineStr">
        <is>
          <t>HULTSFRED</t>
        </is>
      </c>
      <c r="G4861" t="n">
        <v>3.4</v>
      </c>
      <c r="H4861" t="n">
        <v>0</v>
      </c>
      <c r="I4861" t="n">
        <v>0</v>
      </c>
      <c r="J4861" t="n">
        <v>0</v>
      </c>
      <c r="K4861" t="n">
        <v>0</v>
      </c>
      <c r="L4861" t="n">
        <v>0</v>
      </c>
      <c r="M4861" t="n">
        <v>0</v>
      </c>
      <c r="N4861" t="n">
        <v>0</v>
      </c>
      <c r="O4861" t="n">
        <v>0</v>
      </c>
      <c r="P4861" t="n">
        <v>0</v>
      </c>
      <c r="Q4861" t="n">
        <v>0</v>
      </c>
      <c r="R4861" s="2" t="inlineStr"/>
    </row>
    <row r="4862" ht="15" customHeight="1">
      <c r="A4862" t="inlineStr">
        <is>
          <t>A 51488-2023</t>
        </is>
      </c>
      <c r="B4862" s="1" t="n">
        <v>45222</v>
      </c>
      <c r="C4862" s="1" t="n">
        <v>45884</v>
      </c>
      <c r="D4862" t="inlineStr">
        <is>
          <t>KALMAR LÄN</t>
        </is>
      </c>
      <c r="E4862" t="inlineStr">
        <is>
          <t>EMMABODA</t>
        </is>
      </c>
      <c r="G4862" t="n">
        <v>0</v>
      </c>
      <c r="H4862" t="n">
        <v>0</v>
      </c>
      <c r="I4862" t="n">
        <v>0</v>
      </c>
      <c r="J4862" t="n">
        <v>0</v>
      </c>
      <c r="K4862" t="n">
        <v>0</v>
      </c>
      <c r="L4862" t="n">
        <v>0</v>
      </c>
      <c r="M4862" t="n">
        <v>0</v>
      </c>
      <c r="N4862" t="n">
        <v>0</v>
      </c>
      <c r="O4862" t="n">
        <v>0</v>
      </c>
      <c r="P4862" t="n">
        <v>0</v>
      </c>
      <c r="Q4862" t="n">
        <v>0</v>
      </c>
      <c r="R4862" s="2" t="inlineStr"/>
    </row>
    <row r="4863" ht="15" customHeight="1">
      <c r="A4863" t="inlineStr">
        <is>
          <t>A 69098-2020</t>
        </is>
      </c>
      <c r="B4863" s="1" t="n">
        <v>44187</v>
      </c>
      <c r="C4863" s="1" t="n">
        <v>45884</v>
      </c>
      <c r="D4863" t="inlineStr">
        <is>
          <t>KALMAR LÄN</t>
        </is>
      </c>
      <c r="E4863" t="inlineStr">
        <is>
          <t>VÄSTERVIK</t>
        </is>
      </c>
      <c r="G4863" t="n">
        <v>1.9</v>
      </c>
      <c r="H4863" t="n">
        <v>0</v>
      </c>
      <c r="I4863" t="n">
        <v>0</v>
      </c>
      <c r="J4863" t="n">
        <v>0</v>
      </c>
      <c r="K4863" t="n">
        <v>0</v>
      </c>
      <c r="L4863" t="n">
        <v>0</v>
      </c>
      <c r="M4863" t="n">
        <v>0</v>
      </c>
      <c r="N4863" t="n">
        <v>0</v>
      </c>
      <c r="O4863" t="n">
        <v>0</v>
      </c>
      <c r="P4863" t="n">
        <v>0</v>
      </c>
      <c r="Q4863" t="n">
        <v>0</v>
      </c>
      <c r="R4863" s="2" t="inlineStr"/>
    </row>
    <row r="4864" ht="15" customHeight="1">
      <c r="A4864" t="inlineStr">
        <is>
          <t>A 2643-2023</t>
        </is>
      </c>
      <c r="B4864" s="1" t="n">
        <v>44944</v>
      </c>
      <c r="C4864" s="1" t="n">
        <v>45884</v>
      </c>
      <c r="D4864" t="inlineStr">
        <is>
          <t>KALMAR LÄN</t>
        </is>
      </c>
      <c r="E4864" t="inlineStr">
        <is>
          <t>EMMABODA</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6102-2025</t>
        </is>
      </c>
      <c r="B4865" s="1" t="n">
        <v>45697.94650462963</v>
      </c>
      <c r="C4865" s="1" t="n">
        <v>45884</v>
      </c>
      <c r="D4865" t="inlineStr">
        <is>
          <t>KALMAR LÄN</t>
        </is>
      </c>
      <c r="E4865" t="inlineStr">
        <is>
          <t>OSKARSHAMN</t>
        </is>
      </c>
      <c r="G4865" t="n">
        <v>2</v>
      </c>
      <c r="H4865" t="n">
        <v>0</v>
      </c>
      <c r="I4865" t="n">
        <v>0</v>
      </c>
      <c r="J4865" t="n">
        <v>0</v>
      </c>
      <c r="K4865" t="n">
        <v>0</v>
      </c>
      <c r="L4865" t="n">
        <v>0</v>
      </c>
      <c r="M4865" t="n">
        <v>0</v>
      </c>
      <c r="N4865" t="n">
        <v>0</v>
      </c>
      <c r="O4865" t="n">
        <v>0</v>
      </c>
      <c r="P4865" t="n">
        <v>0</v>
      </c>
      <c r="Q4865" t="n">
        <v>0</v>
      </c>
      <c r="R4865" s="2" t="inlineStr"/>
    </row>
    <row r="4866" ht="15" customHeight="1">
      <c r="A4866" t="inlineStr">
        <is>
          <t>A 6220-2025</t>
        </is>
      </c>
      <c r="B4866" s="1" t="n">
        <v>45698.53725694444</v>
      </c>
      <c r="C4866" s="1" t="n">
        <v>45884</v>
      </c>
      <c r="D4866" t="inlineStr">
        <is>
          <t>KALMAR LÄN</t>
        </is>
      </c>
      <c r="E4866" t="inlineStr">
        <is>
          <t>VIMMERBY</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11297-2024</t>
        </is>
      </c>
      <c r="B4867" s="1" t="n">
        <v>45371.85089120371</v>
      </c>
      <c r="C4867" s="1" t="n">
        <v>45884</v>
      </c>
      <c r="D4867" t="inlineStr">
        <is>
          <t>KALMAR LÄN</t>
        </is>
      </c>
      <c r="E4867" t="inlineStr">
        <is>
          <t>OSKARSHAMN</t>
        </is>
      </c>
      <c r="F4867" t="inlineStr">
        <is>
          <t>Sveaskog</t>
        </is>
      </c>
      <c r="G4867" t="n">
        <v>8.199999999999999</v>
      </c>
      <c r="H4867" t="n">
        <v>0</v>
      </c>
      <c r="I4867" t="n">
        <v>0</v>
      </c>
      <c r="J4867" t="n">
        <v>0</v>
      </c>
      <c r="K4867" t="n">
        <v>0</v>
      </c>
      <c r="L4867" t="n">
        <v>0</v>
      </c>
      <c r="M4867" t="n">
        <v>0</v>
      </c>
      <c r="N4867" t="n">
        <v>0</v>
      </c>
      <c r="O4867" t="n">
        <v>0</v>
      </c>
      <c r="P4867" t="n">
        <v>0</v>
      </c>
      <c r="Q4867" t="n">
        <v>0</v>
      </c>
      <c r="R4867" s="2" t="inlineStr"/>
    </row>
    <row r="4868" ht="15" customHeight="1">
      <c r="A4868" t="inlineStr">
        <is>
          <t>A 11298-2024</t>
        </is>
      </c>
      <c r="B4868" s="1" t="n">
        <v>45371.85148148148</v>
      </c>
      <c r="C4868" s="1" t="n">
        <v>45884</v>
      </c>
      <c r="D4868" t="inlineStr">
        <is>
          <t>KALMAR LÄN</t>
        </is>
      </c>
      <c r="E4868" t="inlineStr">
        <is>
          <t>OSKARSHAMN</t>
        </is>
      </c>
      <c r="F4868" t="inlineStr">
        <is>
          <t>Sveaskog</t>
        </is>
      </c>
      <c r="G4868" t="n">
        <v>4.3</v>
      </c>
      <c r="H4868" t="n">
        <v>0</v>
      </c>
      <c r="I4868" t="n">
        <v>0</v>
      </c>
      <c r="J4868" t="n">
        <v>0</v>
      </c>
      <c r="K4868" t="n">
        <v>0</v>
      </c>
      <c r="L4868" t="n">
        <v>0</v>
      </c>
      <c r="M4868" t="n">
        <v>0</v>
      </c>
      <c r="N4868" t="n">
        <v>0</v>
      </c>
      <c r="O4868" t="n">
        <v>0</v>
      </c>
      <c r="P4868" t="n">
        <v>0</v>
      </c>
      <c r="Q4868" t="n">
        <v>0</v>
      </c>
      <c r="R4868" s="2" t="inlineStr"/>
    </row>
    <row r="4869" ht="15" customHeight="1">
      <c r="A4869" t="inlineStr">
        <is>
          <t>A 11301-2024</t>
        </is>
      </c>
      <c r="B4869" s="1" t="n">
        <v>45371.85366898148</v>
      </c>
      <c r="C4869" s="1" t="n">
        <v>45884</v>
      </c>
      <c r="D4869" t="inlineStr">
        <is>
          <t>KALMAR LÄN</t>
        </is>
      </c>
      <c r="E4869" t="inlineStr">
        <is>
          <t>OSKARSHAMN</t>
        </is>
      </c>
      <c r="F4869" t="inlineStr">
        <is>
          <t>Sveaskog</t>
        </is>
      </c>
      <c r="G4869" t="n">
        <v>1.6</v>
      </c>
      <c r="H4869" t="n">
        <v>0</v>
      </c>
      <c r="I4869" t="n">
        <v>0</v>
      </c>
      <c r="J4869" t="n">
        <v>0</v>
      </c>
      <c r="K4869" t="n">
        <v>0</v>
      </c>
      <c r="L4869" t="n">
        <v>0</v>
      </c>
      <c r="M4869" t="n">
        <v>0</v>
      </c>
      <c r="N4869" t="n">
        <v>0</v>
      </c>
      <c r="O4869" t="n">
        <v>0</v>
      </c>
      <c r="P4869" t="n">
        <v>0</v>
      </c>
      <c r="Q4869" t="n">
        <v>0</v>
      </c>
      <c r="R4869" s="2" t="inlineStr"/>
    </row>
    <row r="4870" ht="15" customHeight="1">
      <c r="A4870" t="inlineStr">
        <is>
          <t>A 7285-2025</t>
        </is>
      </c>
      <c r="B4870" s="1" t="n">
        <v>45702.63752314815</v>
      </c>
      <c r="C4870" s="1" t="n">
        <v>45884</v>
      </c>
      <c r="D4870" t="inlineStr">
        <is>
          <t>KALMAR LÄN</t>
        </is>
      </c>
      <c r="E4870" t="inlineStr">
        <is>
          <t>NYBRO</t>
        </is>
      </c>
      <c r="F4870" t="inlineStr">
        <is>
          <t>Sveaskog</t>
        </is>
      </c>
      <c r="G4870" t="n">
        <v>4.4</v>
      </c>
      <c r="H4870" t="n">
        <v>0</v>
      </c>
      <c r="I4870" t="n">
        <v>0</v>
      </c>
      <c r="J4870" t="n">
        <v>0</v>
      </c>
      <c r="K4870" t="n">
        <v>0</v>
      </c>
      <c r="L4870" t="n">
        <v>0</v>
      </c>
      <c r="M4870" t="n">
        <v>0</v>
      </c>
      <c r="N4870" t="n">
        <v>0</v>
      </c>
      <c r="O4870" t="n">
        <v>0</v>
      </c>
      <c r="P4870" t="n">
        <v>0</v>
      </c>
      <c r="Q4870" t="n">
        <v>0</v>
      </c>
      <c r="R4870" s="2" t="inlineStr"/>
    </row>
    <row r="4871" ht="15" customHeight="1">
      <c r="A4871" t="inlineStr">
        <is>
          <t>A 61260-2024</t>
        </is>
      </c>
      <c r="B4871" s="1" t="n">
        <v>45645.71836805555</v>
      </c>
      <c r="C4871" s="1" t="n">
        <v>45884</v>
      </c>
      <c r="D4871" t="inlineStr">
        <is>
          <t>KALMAR LÄN</t>
        </is>
      </c>
      <c r="E4871" t="inlineStr">
        <is>
          <t>TORSÅS</t>
        </is>
      </c>
      <c r="G4871" t="n">
        <v>3.3</v>
      </c>
      <c r="H4871" t="n">
        <v>0</v>
      </c>
      <c r="I4871" t="n">
        <v>0</v>
      </c>
      <c r="J4871" t="n">
        <v>0</v>
      </c>
      <c r="K4871" t="n">
        <v>0</v>
      </c>
      <c r="L4871" t="n">
        <v>0</v>
      </c>
      <c r="M4871" t="n">
        <v>0</v>
      </c>
      <c r="N4871" t="n">
        <v>0</v>
      </c>
      <c r="O4871" t="n">
        <v>0</v>
      </c>
      <c r="P4871" t="n">
        <v>0</v>
      </c>
      <c r="Q4871" t="n">
        <v>0</v>
      </c>
      <c r="R4871" s="2" t="inlineStr"/>
    </row>
    <row r="4872" ht="15" customHeight="1">
      <c r="A4872" t="inlineStr">
        <is>
          <t>A 25434-2023</t>
        </is>
      </c>
      <c r="B4872" s="1" t="n">
        <v>45089.41912037037</v>
      </c>
      <c r="C4872" s="1" t="n">
        <v>45884</v>
      </c>
      <c r="D4872" t="inlineStr">
        <is>
          <t>KALMAR LÄN</t>
        </is>
      </c>
      <c r="E4872" t="inlineStr">
        <is>
          <t>VÄSTERVIK</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6810-2024</t>
        </is>
      </c>
      <c r="B4873" s="1" t="n">
        <v>45342.58545138889</v>
      </c>
      <c r="C4873" s="1" t="n">
        <v>45884</v>
      </c>
      <c r="D4873" t="inlineStr">
        <is>
          <t>KALMAR LÄN</t>
        </is>
      </c>
      <c r="E4873" t="inlineStr">
        <is>
          <t>NYBRO</t>
        </is>
      </c>
      <c r="G4873" t="n">
        <v>1.9</v>
      </c>
      <c r="H4873" t="n">
        <v>0</v>
      </c>
      <c r="I4873" t="n">
        <v>0</v>
      </c>
      <c r="J4873" t="n">
        <v>0</v>
      </c>
      <c r="K4873" t="n">
        <v>0</v>
      </c>
      <c r="L4873" t="n">
        <v>0</v>
      </c>
      <c r="M4873" t="n">
        <v>0</v>
      </c>
      <c r="N4873" t="n">
        <v>0</v>
      </c>
      <c r="O4873" t="n">
        <v>0</v>
      </c>
      <c r="P4873" t="n">
        <v>0</v>
      </c>
      <c r="Q4873" t="n">
        <v>0</v>
      </c>
      <c r="R4873" s="2" t="inlineStr"/>
    </row>
    <row r="4874" ht="15" customHeight="1">
      <c r="A4874" t="inlineStr">
        <is>
          <t>A 19072-2023</t>
        </is>
      </c>
      <c r="B4874" s="1" t="n">
        <v>45048.37384259259</v>
      </c>
      <c r="C4874" s="1" t="n">
        <v>45884</v>
      </c>
      <c r="D4874" t="inlineStr">
        <is>
          <t>KALMAR LÄN</t>
        </is>
      </c>
      <c r="E4874" t="inlineStr">
        <is>
          <t>HULTSFRED</t>
        </is>
      </c>
      <c r="G4874" t="n">
        <v>23.7</v>
      </c>
      <c r="H4874" t="n">
        <v>0</v>
      </c>
      <c r="I4874" t="n">
        <v>0</v>
      </c>
      <c r="J4874" t="n">
        <v>0</v>
      </c>
      <c r="K4874" t="n">
        <v>0</v>
      </c>
      <c r="L4874" t="n">
        <v>0</v>
      </c>
      <c r="M4874" t="n">
        <v>0</v>
      </c>
      <c r="N4874" t="n">
        <v>0</v>
      </c>
      <c r="O4874" t="n">
        <v>0</v>
      </c>
      <c r="P4874" t="n">
        <v>0</v>
      </c>
      <c r="Q4874" t="n">
        <v>0</v>
      </c>
      <c r="R4874" s="2" t="inlineStr"/>
    </row>
    <row r="4875" ht="15" customHeight="1">
      <c r="A4875" t="inlineStr">
        <is>
          <t>A 5002-2025</t>
        </is>
      </c>
      <c r="B4875" s="1" t="n">
        <v>45691.36478009259</v>
      </c>
      <c r="C4875" s="1" t="n">
        <v>45884</v>
      </c>
      <c r="D4875" t="inlineStr">
        <is>
          <t>KALMAR LÄN</t>
        </is>
      </c>
      <c r="E4875" t="inlineStr">
        <is>
          <t>HULTSFRED</t>
        </is>
      </c>
      <c r="G4875" t="n">
        <v>2.1</v>
      </c>
      <c r="H4875" t="n">
        <v>0</v>
      </c>
      <c r="I4875" t="n">
        <v>0</v>
      </c>
      <c r="J4875" t="n">
        <v>0</v>
      </c>
      <c r="K4875" t="n">
        <v>0</v>
      </c>
      <c r="L4875" t="n">
        <v>0</v>
      </c>
      <c r="M4875" t="n">
        <v>0</v>
      </c>
      <c r="N4875" t="n">
        <v>0</v>
      </c>
      <c r="O4875" t="n">
        <v>0</v>
      </c>
      <c r="P4875" t="n">
        <v>0</v>
      </c>
      <c r="Q4875" t="n">
        <v>0</v>
      </c>
      <c r="R4875" s="2" t="inlineStr"/>
    </row>
    <row r="4876" ht="15" customHeight="1">
      <c r="A4876" t="inlineStr">
        <is>
          <t>A 31754-2023</t>
        </is>
      </c>
      <c r="B4876" s="1" t="n">
        <v>45106</v>
      </c>
      <c r="C4876" s="1" t="n">
        <v>45884</v>
      </c>
      <c r="D4876" t="inlineStr">
        <is>
          <t>KALMAR LÄN</t>
        </is>
      </c>
      <c r="E4876" t="inlineStr">
        <is>
          <t>MÖNSTERÅS</t>
        </is>
      </c>
      <c r="F4876" t="inlineStr">
        <is>
          <t>Kyrkan</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62101-2021</t>
        </is>
      </c>
      <c r="B4877" s="1" t="n">
        <v>44502</v>
      </c>
      <c r="C4877" s="1" t="n">
        <v>45884</v>
      </c>
      <c r="D4877" t="inlineStr">
        <is>
          <t>KALMAR LÄN</t>
        </is>
      </c>
      <c r="E4877" t="inlineStr">
        <is>
          <t>TORSÅS</t>
        </is>
      </c>
      <c r="G4877" t="n">
        <v>3.8</v>
      </c>
      <c r="H4877" t="n">
        <v>0</v>
      </c>
      <c r="I4877" t="n">
        <v>0</v>
      </c>
      <c r="J4877" t="n">
        <v>0</v>
      </c>
      <c r="K4877" t="n">
        <v>0</v>
      </c>
      <c r="L4877" t="n">
        <v>0</v>
      </c>
      <c r="M4877" t="n">
        <v>0</v>
      </c>
      <c r="N4877" t="n">
        <v>0</v>
      </c>
      <c r="O4877" t="n">
        <v>0</v>
      </c>
      <c r="P4877" t="n">
        <v>0</v>
      </c>
      <c r="Q4877" t="n">
        <v>0</v>
      </c>
      <c r="R4877" s="2" t="inlineStr"/>
    </row>
    <row r="4878" ht="15" customHeight="1">
      <c r="A4878" t="inlineStr">
        <is>
          <t>A 9275-2025</t>
        </is>
      </c>
      <c r="B4878" s="1" t="n">
        <v>45714.62857638889</v>
      </c>
      <c r="C4878" s="1" t="n">
        <v>45884</v>
      </c>
      <c r="D4878" t="inlineStr">
        <is>
          <t>KALMAR LÄN</t>
        </is>
      </c>
      <c r="E4878" t="inlineStr">
        <is>
          <t>EMMABODA</t>
        </is>
      </c>
      <c r="G4878" t="n">
        <v>2.7</v>
      </c>
      <c r="H4878" t="n">
        <v>0</v>
      </c>
      <c r="I4878" t="n">
        <v>0</v>
      </c>
      <c r="J4878" t="n">
        <v>0</v>
      </c>
      <c r="K4878" t="n">
        <v>0</v>
      </c>
      <c r="L4878" t="n">
        <v>0</v>
      </c>
      <c r="M4878" t="n">
        <v>0</v>
      </c>
      <c r="N4878" t="n">
        <v>0</v>
      </c>
      <c r="O4878" t="n">
        <v>0</v>
      </c>
      <c r="P4878" t="n">
        <v>0</v>
      </c>
      <c r="Q4878" t="n">
        <v>0</v>
      </c>
      <c r="R4878" s="2" t="inlineStr"/>
    </row>
    <row r="4879" ht="15" customHeight="1">
      <c r="A4879" t="inlineStr">
        <is>
          <t>A 6807-2025</t>
        </is>
      </c>
      <c r="B4879" s="1" t="n">
        <v>45700.68672453704</v>
      </c>
      <c r="C4879" s="1" t="n">
        <v>45884</v>
      </c>
      <c r="D4879" t="inlineStr">
        <is>
          <t>KALMAR LÄN</t>
        </is>
      </c>
      <c r="E4879" t="inlineStr">
        <is>
          <t>VIMMERBY</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9369-2021</t>
        </is>
      </c>
      <c r="B4880" s="1" t="n">
        <v>44250</v>
      </c>
      <c r="C4880" s="1" t="n">
        <v>45884</v>
      </c>
      <c r="D4880" t="inlineStr">
        <is>
          <t>KALMAR LÄN</t>
        </is>
      </c>
      <c r="E4880" t="inlineStr">
        <is>
          <t>TORSÅS</t>
        </is>
      </c>
      <c r="G4880" t="n">
        <v>5.7</v>
      </c>
      <c r="H4880" t="n">
        <v>0</v>
      </c>
      <c r="I4880" t="n">
        <v>0</v>
      </c>
      <c r="J4880" t="n">
        <v>0</v>
      </c>
      <c r="K4880" t="n">
        <v>0</v>
      </c>
      <c r="L4880" t="n">
        <v>0</v>
      </c>
      <c r="M4880" t="n">
        <v>0</v>
      </c>
      <c r="N4880" t="n">
        <v>0</v>
      </c>
      <c r="O4880" t="n">
        <v>0</v>
      </c>
      <c r="P4880" t="n">
        <v>0</v>
      </c>
      <c r="Q4880" t="n">
        <v>0</v>
      </c>
      <c r="R4880" s="2" t="inlineStr"/>
    </row>
    <row r="4881" ht="15" customHeight="1">
      <c r="A4881" t="inlineStr">
        <is>
          <t>A 63812-2021</t>
        </is>
      </c>
      <c r="B4881" s="1" t="n">
        <v>44509.56346064815</v>
      </c>
      <c r="C4881" s="1" t="n">
        <v>45884</v>
      </c>
      <c r="D4881" t="inlineStr">
        <is>
          <t>KALMAR LÄN</t>
        </is>
      </c>
      <c r="E4881" t="inlineStr">
        <is>
          <t>VÄSTERVIK</t>
        </is>
      </c>
      <c r="G4881" t="n">
        <v>2.1</v>
      </c>
      <c r="H4881" t="n">
        <v>0</v>
      </c>
      <c r="I4881" t="n">
        <v>0</v>
      </c>
      <c r="J4881" t="n">
        <v>0</v>
      </c>
      <c r="K4881" t="n">
        <v>0</v>
      </c>
      <c r="L4881" t="n">
        <v>0</v>
      </c>
      <c r="M4881" t="n">
        <v>0</v>
      </c>
      <c r="N4881" t="n">
        <v>0</v>
      </c>
      <c r="O4881" t="n">
        <v>0</v>
      </c>
      <c r="P4881" t="n">
        <v>0</v>
      </c>
      <c r="Q4881" t="n">
        <v>0</v>
      </c>
      <c r="R4881" s="2" t="inlineStr"/>
    </row>
    <row r="4882" ht="15" customHeight="1">
      <c r="A4882" t="inlineStr">
        <is>
          <t>A 40990-2023</t>
        </is>
      </c>
      <c r="B4882" s="1" t="n">
        <v>45173</v>
      </c>
      <c r="C4882" s="1" t="n">
        <v>45884</v>
      </c>
      <c r="D4882" t="inlineStr">
        <is>
          <t>KALMAR LÄN</t>
        </is>
      </c>
      <c r="E4882" t="inlineStr">
        <is>
          <t>HÖGSBY</t>
        </is>
      </c>
      <c r="G4882" t="n">
        <v>5.3</v>
      </c>
      <c r="H4882" t="n">
        <v>0</v>
      </c>
      <c r="I4882" t="n">
        <v>0</v>
      </c>
      <c r="J4882" t="n">
        <v>0</v>
      </c>
      <c r="K4882" t="n">
        <v>0</v>
      </c>
      <c r="L4882" t="n">
        <v>0</v>
      </c>
      <c r="M4882" t="n">
        <v>0</v>
      </c>
      <c r="N4882" t="n">
        <v>0</v>
      </c>
      <c r="O4882" t="n">
        <v>0</v>
      </c>
      <c r="P4882" t="n">
        <v>0</v>
      </c>
      <c r="Q4882" t="n">
        <v>0</v>
      </c>
      <c r="R4882" s="2" t="inlineStr"/>
    </row>
    <row r="4883" ht="15" customHeight="1">
      <c r="A4883" t="inlineStr">
        <is>
          <t>A 16149-2023</t>
        </is>
      </c>
      <c r="B4883" s="1" t="n">
        <v>45027</v>
      </c>
      <c r="C4883" s="1" t="n">
        <v>45884</v>
      </c>
      <c r="D4883" t="inlineStr">
        <is>
          <t>KALMAR LÄN</t>
        </is>
      </c>
      <c r="E4883" t="inlineStr">
        <is>
          <t>KALMAR</t>
        </is>
      </c>
      <c r="G4883" t="n">
        <v>3.7</v>
      </c>
      <c r="H4883" t="n">
        <v>0</v>
      </c>
      <c r="I4883" t="n">
        <v>0</v>
      </c>
      <c r="J4883" t="n">
        <v>0</v>
      </c>
      <c r="K4883" t="n">
        <v>0</v>
      </c>
      <c r="L4883" t="n">
        <v>0</v>
      </c>
      <c r="M4883" t="n">
        <v>0</v>
      </c>
      <c r="N4883" t="n">
        <v>0</v>
      </c>
      <c r="O4883" t="n">
        <v>0</v>
      </c>
      <c r="P4883" t="n">
        <v>0</v>
      </c>
      <c r="Q4883" t="n">
        <v>0</v>
      </c>
      <c r="R4883" s="2" t="inlineStr"/>
    </row>
    <row r="4884" ht="15" customHeight="1">
      <c r="A4884" t="inlineStr">
        <is>
          <t>A 16152-2023</t>
        </is>
      </c>
      <c r="B4884" s="1" t="n">
        <v>45027.65821759259</v>
      </c>
      <c r="C4884" s="1" t="n">
        <v>45884</v>
      </c>
      <c r="D4884" t="inlineStr">
        <is>
          <t>KALMAR LÄN</t>
        </is>
      </c>
      <c r="E4884" t="inlineStr">
        <is>
          <t>TORSÅS</t>
        </is>
      </c>
      <c r="G4884" t="n">
        <v>2.3</v>
      </c>
      <c r="H4884" t="n">
        <v>0</v>
      </c>
      <c r="I4884" t="n">
        <v>0</v>
      </c>
      <c r="J4884" t="n">
        <v>0</v>
      </c>
      <c r="K4884" t="n">
        <v>0</v>
      </c>
      <c r="L4884" t="n">
        <v>0</v>
      </c>
      <c r="M4884" t="n">
        <v>0</v>
      </c>
      <c r="N4884" t="n">
        <v>0</v>
      </c>
      <c r="O4884" t="n">
        <v>0</v>
      </c>
      <c r="P4884" t="n">
        <v>0</v>
      </c>
      <c r="Q4884" t="n">
        <v>0</v>
      </c>
      <c r="R4884" s="2" t="inlineStr"/>
    </row>
    <row r="4885" ht="15" customHeight="1">
      <c r="A4885" t="inlineStr">
        <is>
          <t>A 24096-2024</t>
        </is>
      </c>
      <c r="B4885" s="1" t="n">
        <v>45456.59289351852</v>
      </c>
      <c r="C4885" s="1" t="n">
        <v>45884</v>
      </c>
      <c r="D4885" t="inlineStr">
        <is>
          <t>KALMAR LÄN</t>
        </is>
      </c>
      <c r="E4885" t="inlineStr">
        <is>
          <t>VIMMERBY</t>
        </is>
      </c>
      <c r="G4885" t="n">
        <v>2.3</v>
      </c>
      <c r="H4885" t="n">
        <v>0</v>
      </c>
      <c r="I4885" t="n">
        <v>0</v>
      </c>
      <c r="J4885" t="n">
        <v>0</v>
      </c>
      <c r="K4885" t="n">
        <v>0</v>
      </c>
      <c r="L4885" t="n">
        <v>0</v>
      </c>
      <c r="M4885" t="n">
        <v>0</v>
      </c>
      <c r="N4885" t="n">
        <v>0</v>
      </c>
      <c r="O4885" t="n">
        <v>0</v>
      </c>
      <c r="P4885" t="n">
        <v>0</v>
      </c>
      <c r="Q4885" t="n">
        <v>0</v>
      </c>
      <c r="R4885" s="2" t="inlineStr"/>
    </row>
    <row r="4886" ht="15" customHeight="1">
      <c r="A4886" t="inlineStr">
        <is>
          <t>A 9328-2025</t>
        </is>
      </c>
      <c r="B4886" s="1" t="n">
        <v>45714.74952546296</v>
      </c>
      <c r="C4886" s="1" t="n">
        <v>45884</v>
      </c>
      <c r="D4886" t="inlineStr">
        <is>
          <t>KALMAR LÄN</t>
        </is>
      </c>
      <c r="E4886" t="inlineStr">
        <is>
          <t>HULTSFRED</t>
        </is>
      </c>
      <c r="F4886" t="inlineStr">
        <is>
          <t>Sveaskog</t>
        </is>
      </c>
      <c r="G4886" t="n">
        <v>1.8</v>
      </c>
      <c r="H4886" t="n">
        <v>0</v>
      </c>
      <c r="I4886" t="n">
        <v>0</v>
      </c>
      <c r="J4886" t="n">
        <v>0</v>
      </c>
      <c r="K4886" t="n">
        <v>0</v>
      </c>
      <c r="L4886" t="n">
        <v>0</v>
      </c>
      <c r="M4886" t="n">
        <v>0</v>
      </c>
      <c r="N4886" t="n">
        <v>0</v>
      </c>
      <c r="O4886" t="n">
        <v>0</v>
      </c>
      <c r="P4886" t="n">
        <v>0</v>
      </c>
      <c r="Q4886" t="n">
        <v>0</v>
      </c>
      <c r="R4886" s="2" t="inlineStr"/>
    </row>
    <row r="4887" ht="15" customHeight="1">
      <c r="A4887" t="inlineStr">
        <is>
          <t>A 71635-2021</t>
        </is>
      </c>
      <c r="B4887" s="1" t="n">
        <v>44543.30291666667</v>
      </c>
      <c r="C4887" s="1" t="n">
        <v>45884</v>
      </c>
      <c r="D4887" t="inlineStr">
        <is>
          <t>KALMAR LÄN</t>
        </is>
      </c>
      <c r="E4887" t="inlineStr">
        <is>
          <t>HÖGSBY</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7047-2022</t>
        </is>
      </c>
      <c r="B4888" s="1" t="n">
        <v>44603</v>
      </c>
      <c r="C4888" s="1" t="n">
        <v>45884</v>
      </c>
      <c r="D4888" t="inlineStr">
        <is>
          <t>KALMAR LÄN</t>
        </is>
      </c>
      <c r="E4888" t="inlineStr">
        <is>
          <t>VIMMERBY</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50256-2023</t>
        </is>
      </c>
      <c r="B4889" s="1" t="n">
        <v>45209</v>
      </c>
      <c r="C4889" s="1" t="n">
        <v>45884</v>
      </c>
      <c r="D4889" t="inlineStr">
        <is>
          <t>KALMAR LÄN</t>
        </is>
      </c>
      <c r="E4889" t="inlineStr">
        <is>
          <t>OSKARSHAMN</t>
        </is>
      </c>
      <c r="G4889" t="n">
        <v>3.1</v>
      </c>
      <c r="H4889" t="n">
        <v>0</v>
      </c>
      <c r="I4889" t="n">
        <v>0</v>
      </c>
      <c r="J4889" t="n">
        <v>0</v>
      </c>
      <c r="K4889" t="n">
        <v>0</v>
      </c>
      <c r="L4889" t="n">
        <v>0</v>
      </c>
      <c r="M4889" t="n">
        <v>0</v>
      </c>
      <c r="N4889" t="n">
        <v>0</v>
      </c>
      <c r="O4889" t="n">
        <v>0</v>
      </c>
      <c r="P4889" t="n">
        <v>0</v>
      </c>
      <c r="Q4889" t="n">
        <v>0</v>
      </c>
      <c r="R4889" s="2" t="inlineStr"/>
    </row>
    <row r="4890" ht="15" customHeight="1">
      <c r="A4890" t="inlineStr">
        <is>
          <t>A 29013-2024</t>
        </is>
      </c>
      <c r="B4890" s="1" t="n">
        <v>45481.55984953704</v>
      </c>
      <c r="C4890" s="1" t="n">
        <v>45884</v>
      </c>
      <c r="D4890" t="inlineStr">
        <is>
          <t>KALMAR LÄN</t>
        </is>
      </c>
      <c r="E4890" t="inlineStr">
        <is>
          <t>VIMMERBY</t>
        </is>
      </c>
      <c r="G4890" t="n">
        <v>3.4</v>
      </c>
      <c r="H4890" t="n">
        <v>0</v>
      </c>
      <c r="I4890" t="n">
        <v>0</v>
      </c>
      <c r="J4890" t="n">
        <v>0</v>
      </c>
      <c r="K4890" t="n">
        <v>0</v>
      </c>
      <c r="L4890" t="n">
        <v>0</v>
      </c>
      <c r="M4890" t="n">
        <v>0</v>
      </c>
      <c r="N4890" t="n">
        <v>0</v>
      </c>
      <c r="O4890" t="n">
        <v>0</v>
      </c>
      <c r="P4890" t="n">
        <v>0</v>
      </c>
      <c r="Q4890" t="n">
        <v>0</v>
      </c>
      <c r="R4890" s="2" t="inlineStr"/>
    </row>
    <row r="4891" ht="15" customHeight="1">
      <c r="A4891" t="inlineStr">
        <is>
          <t>A 40171-2021</t>
        </is>
      </c>
      <c r="B4891" s="1" t="n">
        <v>44418.68163194445</v>
      </c>
      <c r="C4891" s="1" t="n">
        <v>45884</v>
      </c>
      <c r="D4891" t="inlineStr">
        <is>
          <t>KALMAR LÄN</t>
        </is>
      </c>
      <c r="E4891" t="inlineStr">
        <is>
          <t>KALMAR</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6066-2023</t>
        </is>
      </c>
      <c r="B4892" s="1" t="n">
        <v>44964.50894675926</v>
      </c>
      <c r="C4892" s="1" t="n">
        <v>45884</v>
      </c>
      <c r="D4892" t="inlineStr">
        <is>
          <t>KALMAR LÄN</t>
        </is>
      </c>
      <c r="E4892" t="inlineStr">
        <is>
          <t>VIMMERBY</t>
        </is>
      </c>
      <c r="G4892" t="n">
        <v>2.8</v>
      </c>
      <c r="H4892" t="n">
        <v>0</v>
      </c>
      <c r="I4892" t="n">
        <v>0</v>
      </c>
      <c r="J4892" t="n">
        <v>0</v>
      </c>
      <c r="K4892" t="n">
        <v>0</v>
      </c>
      <c r="L4892" t="n">
        <v>0</v>
      </c>
      <c r="M4892" t="n">
        <v>0</v>
      </c>
      <c r="N4892" t="n">
        <v>0</v>
      </c>
      <c r="O4892" t="n">
        <v>0</v>
      </c>
      <c r="P4892" t="n">
        <v>0</v>
      </c>
      <c r="Q4892" t="n">
        <v>0</v>
      </c>
      <c r="R4892" s="2" t="inlineStr"/>
    </row>
    <row r="4893" ht="15" customHeight="1">
      <c r="A4893" t="inlineStr">
        <is>
          <t>A 59955-2023</t>
        </is>
      </c>
      <c r="B4893" s="1" t="n">
        <v>45257.70313657408</v>
      </c>
      <c r="C4893" s="1" t="n">
        <v>45884</v>
      </c>
      <c r="D4893" t="inlineStr">
        <is>
          <t>KALMAR LÄN</t>
        </is>
      </c>
      <c r="E4893" t="inlineStr">
        <is>
          <t>VIMMERBY</t>
        </is>
      </c>
      <c r="G4893" t="n">
        <v>13.8</v>
      </c>
      <c r="H4893" t="n">
        <v>0</v>
      </c>
      <c r="I4893" t="n">
        <v>0</v>
      </c>
      <c r="J4893" t="n">
        <v>0</v>
      </c>
      <c r="K4893" t="n">
        <v>0</v>
      </c>
      <c r="L4893" t="n">
        <v>0</v>
      </c>
      <c r="M4893" t="n">
        <v>0</v>
      </c>
      <c r="N4893" t="n">
        <v>0</v>
      </c>
      <c r="O4893" t="n">
        <v>0</v>
      </c>
      <c r="P4893" t="n">
        <v>0</v>
      </c>
      <c r="Q4893" t="n">
        <v>0</v>
      </c>
      <c r="R4893" s="2" t="inlineStr"/>
    </row>
    <row r="4894" ht="15" customHeight="1">
      <c r="A4894" t="inlineStr">
        <is>
          <t>A 35711-2023</t>
        </is>
      </c>
      <c r="B4894" s="1" t="n">
        <v>45147.67172453704</v>
      </c>
      <c r="C4894" s="1" t="n">
        <v>45884</v>
      </c>
      <c r="D4894" t="inlineStr">
        <is>
          <t>KALMAR LÄN</t>
        </is>
      </c>
      <c r="E4894" t="inlineStr">
        <is>
          <t>VIMMERBY</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5382-2023</t>
        </is>
      </c>
      <c r="B4895" s="1" t="n">
        <v>44959.66407407408</v>
      </c>
      <c r="C4895" s="1" t="n">
        <v>45884</v>
      </c>
      <c r="D4895" t="inlineStr">
        <is>
          <t>KALMAR LÄN</t>
        </is>
      </c>
      <c r="E4895" t="inlineStr">
        <is>
          <t>VIMMERBY</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34855-2022</t>
        </is>
      </c>
      <c r="B4896" s="1" t="n">
        <v>44796</v>
      </c>
      <c r="C4896" s="1" t="n">
        <v>45884</v>
      </c>
      <c r="D4896" t="inlineStr">
        <is>
          <t>KALMAR LÄN</t>
        </is>
      </c>
      <c r="E4896" t="inlineStr">
        <is>
          <t>KALMAR</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30148-2024</t>
        </is>
      </c>
      <c r="B4897" s="1" t="n">
        <v>45489.60528935185</v>
      </c>
      <c r="C4897" s="1" t="n">
        <v>45884</v>
      </c>
      <c r="D4897" t="inlineStr">
        <is>
          <t>KALMAR LÄN</t>
        </is>
      </c>
      <c r="E4897" t="inlineStr">
        <is>
          <t>VÄSTERVIK</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2992-2022</t>
        </is>
      </c>
      <c r="B4898" s="1" t="n">
        <v>44581.86262731482</v>
      </c>
      <c r="C4898" s="1" t="n">
        <v>45884</v>
      </c>
      <c r="D4898" t="inlineStr">
        <is>
          <t>KALMAR LÄN</t>
        </is>
      </c>
      <c r="E4898" t="inlineStr">
        <is>
          <t>KALMAR</t>
        </is>
      </c>
      <c r="G4898" t="n">
        <v>2.2</v>
      </c>
      <c r="H4898" t="n">
        <v>0</v>
      </c>
      <c r="I4898" t="n">
        <v>0</v>
      </c>
      <c r="J4898" t="n">
        <v>0</v>
      </c>
      <c r="K4898" t="n">
        <v>0</v>
      </c>
      <c r="L4898" t="n">
        <v>0</v>
      </c>
      <c r="M4898" t="n">
        <v>0</v>
      </c>
      <c r="N4898" t="n">
        <v>0</v>
      </c>
      <c r="O4898" t="n">
        <v>0</v>
      </c>
      <c r="P4898" t="n">
        <v>0</v>
      </c>
      <c r="Q4898" t="n">
        <v>0</v>
      </c>
      <c r="R4898" s="2" t="inlineStr"/>
    </row>
    <row r="4899" ht="15" customHeight="1">
      <c r="A4899" t="inlineStr">
        <is>
          <t>A 16495-2023</t>
        </is>
      </c>
      <c r="B4899" s="1" t="n">
        <v>45026</v>
      </c>
      <c r="C4899" s="1" t="n">
        <v>45884</v>
      </c>
      <c r="D4899" t="inlineStr">
        <is>
          <t>KALMAR LÄN</t>
        </is>
      </c>
      <c r="E4899" t="inlineStr">
        <is>
          <t>HULTSFRED</t>
        </is>
      </c>
      <c r="G4899" t="n">
        <v>12.6</v>
      </c>
      <c r="H4899" t="n">
        <v>0</v>
      </c>
      <c r="I4899" t="n">
        <v>0</v>
      </c>
      <c r="J4899" t="n">
        <v>0</v>
      </c>
      <c r="K4899" t="n">
        <v>0</v>
      </c>
      <c r="L4899" t="n">
        <v>0</v>
      </c>
      <c r="M4899" t="n">
        <v>0</v>
      </c>
      <c r="N4899" t="n">
        <v>0</v>
      </c>
      <c r="O4899" t="n">
        <v>0</v>
      </c>
      <c r="P4899" t="n">
        <v>0</v>
      </c>
      <c r="Q4899" t="n">
        <v>0</v>
      </c>
      <c r="R4899" s="2" t="inlineStr"/>
    </row>
    <row r="4900" ht="15" customHeight="1">
      <c r="A4900" t="inlineStr">
        <is>
          <t>A 36040-2024</t>
        </is>
      </c>
      <c r="B4900" s="1" t="n">
        <v>45533.60232638889</v>
      </c>
      <c r="C4900" s="1" t="n">
        <v>45884</v>
      </c>
      <c r="D4900" t="inlineStr">
        <is>
          <t>KALMAR LÄN</t>
        </is>
      </c>
      <c r="E4900" t="inlineStr">
        <is>
          <t>VIMMERBY</t>
        </is>
      </c>
      <c r="F4900" t="inlineStr">
        <is>
          <t>Kommuner</t>
        </is>
      </c>
      <c r="G4900" t="n">
        <v>3.6</v>
      </c>
      <c r="H4900" t="n">
        <v>0</v>
      </c>
      <c r="I4900" t="n">
        <v>0</v>
      </c>
      <c r="J4900" t="n">
        <v>0</v>
      </c>
      <c r="K4900" t="n">
        <v>0</v>
      </c>
      <c r="L4900" t="n">
        <v>0</v>
      </c>
      <c r="M4900" t="n">
        <v>0</v>
      </c>
      <c r="N4900" t="n">
        <v>0</v>
      </c>
      <c r="O4900" t="n">
        <v>0</v>
      </c>
      <c r="P4900" t="n">
        <v>0</v>
      </c>
      <c r="Q4900" t="n">
        <v>0</v>
      </c>
      <c r="R4900" s="2" t="inlineStr"/>
    </row>
    <row r="4901" ht="15" customHeight="1">
      <c r="A4901" t="inlineStr">
        <is>
          <t>A 36043-2024</t>
        </is>
      </c>
      <c r="B4901" s="1" t="n">
        <v>45533.60770833334</v>
      </c>
      <c r="C4901" s="1" t="n">
        <v>45884</v>
      </c>
      <c r="D4901" t="inlineStr">
        <is>
          <t>KALMAR LÄN</t>
        </is>
      </c>
      <c r="E4901" t="inlineStr">
        <is>
          <t>VIMMERBY</t>
        </is>
      </c>
      <c r="F4901" t="inlineStr">
        <is>
          <t>Kommuner</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57794-2022</t>
        </is>
      </c>
      <c r="B4902" s="1" t="n">
        <v>44897.66574074074</v>
      </c>
      <c r="C4902" s="1" t="n">
        <v>45884</v>
      </c>
      <c r="D4902" t="inlineStr">
        <is>
          <t>KALMAR LÄN</t>
        </is>
      </c>
      <c r="E4902" t="inlineStr">
        <is>
          <t>EMMABODA</t>
        </is>
      </c>
      <c r="G4902" t="n">
        <v>6.1</v>
      </c>
      <c r="H4902" t="n">
        <v>0</v>
      </c>
      <c r="I4902" t="n">
        <v>0</v>
      </c>
      <c r="J4902" t="n">
        <v>0</v>
      </c>
      <c r="K4902" t="n">
        <v>0</v>
      </c>
      <c r="L4902" t="n">
        <v>0</v>
      </c>
      <c r="M4902" t="n">
        <v>0</v>
      </c>
      <c r="N4902" t="n">
        <v>0</v>
      </c>
      <c r="O4902" t="n">
        <v>0</v>
      </c>
      <c r="P4902" t="n">
        <v>0</v>
      </c>
      <c r="Q4902" t="n">
        <v>0</v>
      </c>
      <c r="R4902" s="2" t="inlineStr"/>
    </row>
    <row r="4903" ht="15" customHeight="1">
      <c r="A4903" t="inlineStr">
        <is>
          <t>A 52691-2023</t>
        </is>
      </c>
      <c r="B4903" s="1" t="n">
        <v>45225.76035879629</v>
      </c>
      <c r="C4903" s="1" t="n">
        <v>45884</v>
      </c>
      <c r="D4903" t="inlineStr">
        <is>
          <t>KALMAR LÄN</t>
        </is>
      </c>
      <c r="E4903" t="inlineStr">
        <is>
          <t>HULTSFRED</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11061-2024</t>
        </is>
      </c>
      <c r="B4904" s="1" t="n">
        <v>45370.74839120371</v>
      </c>
      <c r="C4904" s="1" t="n">
        <v>45884</v>
      </c>
      <c r="D4904" t="inlineStr">
        <is>
          <t>KALMAR LÄN</t>
        </is>
      </c>
      <c r="E4904" t="inlineStr">
        <is>
          <t>EMMABODA</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12890-2023</t>
        </is>
      </c>
      <c r="B4905" s="1" t="n">
        <v>45001.59209490741</v>
      </c>
      <c r="C4905" s="1" t="n">
        <v>45884</v>
      </c>
      <c r="D4905" t="inlineStr">
        <is>
          <t>KALMAR LÄN</t>
        </is>
      </c>
      <c r="E4905" t="inlineStr">
        <is>
          <t>VIMMERBY</t>
        </is>
      </c>
      <c r="G4905" t="n">
        <v>2.8</v>
      </c>
      <c r="H4905" t="n">
        <v>0</v>
      </c>
      <c r="I4905" t="n">
        <v>0</v>
      </c>
      <c r="J4905" t="n">
        <v>0</v>
      </c>
      <c r="K4905" t="n">
        <v>0</v>
      </c>
      <c r="L4905" t="n">
        <v>0</v>
      </c>
      <c r="M4905" t="n">
        <v>0</v>
      </c>
      <c r="N4905" t="n">
        <v>0</v>
      </c>
      <c r="O4905" t="n">
        <v>0</v>
      </c>
      <c r="P4905" t="n">
        <v>0</v>
      </c>
      <c r="Q4905" t="n">
        <v>0</v>
      </c>
      <c r="R4905" s="2" t="inlineStr"/>
    </row>
    <row r="4906" ht="15" customHeight="1">
      <c r="A4906" t="inlineStr">
        <is>
          <t>A 15329-2024</t>
        </is>
      </c>
      <c r="B4906" s="1" t="n">
        <v>45400.68645833333</v>
      </c>
      <c r="C4906" s="1" t="n">
        <v>45884</v>
      </c>
      <c r="D4906" t="inlineStr">
        <is>
          <t>KALMAR LÄN</t>
        </is>
      </c>
      <c r="E4906" t="inlineStr">
        <is>
          <t>EMMABODA</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43594-2024</t>
        </is>
      </c>
      <c r="B4907" s="1" t="n">
        <v>45569.44295138889</v>
      </c>
      <c r="C4907" s="1" t="n">
        <v>45884</v>
      </c>
      <c r="D4907" t="inlineStr">
        <is>
          <t>KALMAR LÄN</t>
        </is>
      </c>
      <c r="E4907" t="inlineStr">
        <is>
          <t>VIMMERBY</t>
        </is>
      </c>
      <c r="G4907" t="n">
        <v>3.9</v>
      </c>
      <c r="H4907" t="n">
        <v>0</v>
      </c>
      <c r="I4907" t="n">
        <v>0</v>
      </c>
      <c r="J4907" t="n">
        <v>0</v>
      </c>
      <c r="K4907" t="n">
        <v>0</v>
      </c>
      <c r="L4907" t="n">
        <v>0</v>
      </c>
      <c r="M4907" t="n">
        <v>0</v>
      </c>
      <c r="N4907" t="n">
        <v>0</v>
      </c>
      <c r="O4907" t="n">
        <v>0</v>
      </c>
      <c r="P4907" t="n">
        <v>0</v>
      </c>
      <c r="Q4907" t="n">
        <v>0</v>
      </c>
      <c r="R4907" s="2" t="inlineStr"/>
    </row>
    <row r="4908" ht="15" customHeight="1">
      <c r="A4908" t="inlineStr">
        <is>
          <t>A 29544-2024</t>
        </is>
      </c>
      <c r="B4908" s="1" t="n">
        <v>45484.50256944444</v>
      </c>
      <c r="C4908" s="1" t="n">
        <v>45884</v>
      </c>
      <c r="D4908" t="inlineStr">
        <is>
          <t>KALMAR LÄN</t>
        </is>
      </c>
      <c r="E4908" t="inlineStr">
        <is>
          <t>NYBRO</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31881-2023</t>
        </is>
      </c>
      <c r="B4909" s="1" t="n">
        <v>45106</v>
      </c>
      <c r="C4909" s="1" t="n">
        <v>45884</v>
      </c>
      <c r="D4909" t="inlineStr">
        <is>
          <t>KALMAR LÄN</t>
        </is>
      </c>
      <c r="E4909" t="inlineStr">
        <is>
          <t>MÖNSTERÅS</t>
        </is>
      </c>
      <c r="G4909" t="n">
        <v>5.9</v>
      </c>
      <c r="H4909" t="n">
        <v>0</v>
      </c>
      <c r="I4909" t="n">
        <v>0</v>
      </c>
      <c r="J4909" t="n">
        <v>0</v>
      </c>
      <c r="K4909" t="n">
        <v>0</v>
      </c>
      <c r="L4909" t="n">
        <v>0</v>
      </c>
      <c r="M4909" t="n">
        <v>0</v>
      </c>
      <c r="N4909" t="n">
        <v>0</v>
      </c>
      <c r="O4909" t="n">
        <v>0</v>
      </c>
      <c r="P4909" t="n">
        <v>0</v>
      </c>
      <c r="Q4909" t="n">
        <v>0</v>
      </c>
      <c r="R4909" s="2" t="inlineStr"/>
    </row>
    <row r="4910" ht="15" customHeight="1">
      <c r="A4910" t="inlineStr">
        <is>
          <t>A 51624-2023</t>
        </is>
      </c>
      <c r="B4910" s="1" t="n">
        <v>45222</v>
      </c>
      <c r="C4910" s="1" t="n">
        <v>45884</v>
      </c>
      <c r="D4910" t="inlineStr">
        <is>
          <t>KALMAR LÄN</t>
        </is>
      </c>
      <c r="E4910" t="inlineStr">
        <is>
          <t>HÖGSBY</t>
        </is>
      </c>
      <c r="F4910" t="inlineStr">
        <is>
          <t>Sveaskog</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53108-2023</t>
        </is>
      </c>
      <c r="B4911" s="1" t="n">
        <v>45228.69381944444</v>
      </c>
      <c r="C4911" s="1" t="n">
        <v>45884</v>
      </c>
      <c r="D4911" t="inlineStr">
        <is>
          <t>KALMAR LÄN</t>
        </is>
      </c>
      <c r="E4911" t="inlineStr">
        <is>
          <t>HÖGSBY</t>
        </is>
      </c>
      <c r="G4911" t="n">
        <v>3.5</v>
      </c>
      <c r="H4911" t="n">
        <v>0</v>
      </c>
      <c r="I4911" t="n">
        <v>0</v>
      </c>
      <c r="J4911" t="n">
        <v>0</v>
      </c>
      <c r="K4911" t="n">
        <v>0</v>
      </c>
      <c r="L4911" t="n">
        <v>0</v>
      </c>
      <c r="M4911" t="n">
        <v>0</v>
      </c>
      <c r="N4911" t="n">
        <v>0</v>
      </c>
      <c r="O4911" t="n">
        <v>0</v>
      </c>
      <c r="P4911" t="n">
        <v>0</v>
      </c>
      <c r="Q4911" t="n">
        <v>0</v>
      </c>
      <c r="R4911" s="2" t="inlineStr"/>
    </row>
    <row r="4912" ht="15" customHeight="1">
      <c r="A4912" t="inlineStr">
        <is>
          <t>A 49703-2022</t>
        </is>
      </c>
      <c r="B4912" s="1" t="n">
        <v>44862</v>
      </c>
      <c r="C4912" s="1" t="n">
        <v>45884</v>
      </c>
      <c r="D4912" t="inlineStr">
        <is>
          <t>KALMAR LÄN</t>
        </is>
      </c>
      <c r="E4912" t="inlineStr">
        <is>
          <t>HULTSFRED</t>
        </is>
      </c>
      <c r="F4912" t="inlineStr">
        <is>
          <t>Kyrkan</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25447-2024</t>
        </is>
      </c>
      <c r="B4913" s="1" t="n">
        <v>45463.40362268518</v>
      </c>
      <c r="C4913" s="1" t="n">
        <v>45884</v>
      </c>
      <c r="D4913" t="inlineStr">
        <is>
          <t>KALMAR LÄN</t>
        </is>
      </c>
      <c r="E4913" t="inlineStr">
        <is>
          <t>OSKARSHAMN</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56339-2024</t>
        </is>
      </c>
      <c r="B4914" s="1" t="n">
        <v>45624.8238425926</v>
      </c>
      <c r="C4914" s="1" t="n">
        <v>45884</v>
      </c>
      <c r="D4914" t="inlineStr">
        <is>
          <t>KALMAR LÄN</t>
        </is>
      </c>
      <c r="E4914" t="inlineStr">
        <is>
          <t>HÖGSBY</t>
        </is>
      </c>
      <c r="G4914" t="n">
        <v>3.4</v>
      </c>
      <c r="H4914" t="n">
        <v>0</v>
      </c>
      <c r="I4914" t="n">
        <v>0</v>
      </c>
      <c r="J4914" t="n">
        <v>0</v>
      </c>
      <c r="K4914" t="n">
        <v>0</v>
      </c>
      <c r="L4914" t="n">
        <v>0</v>
      </c>
      <c r="M4914" t="n">
        <v>0</v>
      </c>
      <c r="N4914" t="n">
        <v>0</v>
      </c>
      <c r="O4914" t="n">
        <v>0</v>
      </c>
      <c r="P4914" t="n">
        <v>0</v>
      </c>
      <c r="Q4914" t="n">
        <v>0</v>
      </c>
      <c r="R4914" s="2" t="inlineStr"/>
    </row>
    <row r="4915" ht="15" customHeight="1">
      <c r="A4915" t="inlineStr">
        <is>
          <t>A 38193-2023</t>
        </is>
      </c>
      <c r="B4915" s="1" t="n">
        <v>45161.48927083334</v>
      </c>
      <c r="C4915" s="1" t="n">
        <v>45884</v>
      </c>
      <c r="D4915" t="inlineStr">
        <is>
          <t>KALMAR LÄN</t>
        </is>
      </c>
      <c r="E4915" t="inlineStr">
        <is>
          <t>HULTSFRED</t>
        </is>
      </c>
      <c r="G4915" t="n">
        <v>2</v>
      </c>
      <c r="H4915" t="n">
        <v>0</v>
      </c>
      <c r="I4915" t="n">
        <v>0</v>
      </c>
      <c r="J4915" t="n">
        <v>0</v>
      </c>
      <c r="K4915" t="n">
        <v>0</v>
      </c>
      <c r="L4915" t="n">
        <v>0</v>
      </c>
      <c r="M4915" t="n">
        <v>0</v>
      </c>
      <c r="N4915" t="n">
        <v>0</v>
      </c>
      <c r="O4915" t="n">
        <v>0</v>
      </c>
      <c r="P4915" t="n">
        <v>0</v>
      </c>
      <c r="Q4915" t="n">
        <v>0</v>
      </c>
      <c r="R4915" s="2" t="inlineStr"/>
    </row>
    <row r="4916" ht="15" customHeight="1">
      <c r="A4916" t="inlineStr">
        <is>
          <t>A 53482-2022</t>
        </is>
      </c>
      <c r="B4916" s="1" t="n">
        <v>44879</v>
      </c>
      <c r="C4916" s="1" t="n">
        <v>45884</v>
      </c>
      <c r="D4916" t="inlineStr">
        <is>
          <t>KALMAR LÄN</t>
        </is>
      </c>
      <c r="E4916" t="inlineStr">
        <is>
          <t>VIMMERBY</t>
        </is>
      </c>
      <c r="G4916" t="n">
        <v>10.1</v>
      </c>
      <c r="H4916" t="n">
        <v>0</v>
      </c>
      <c r="I4916" t="n">
        <v>0</v>
      </c>
      <c r="J4916" t="n">
        <v>0</v>
      </c>
      <c r="K4916" t="n">
        <v>0</v>
      </c>
      <c r="L4916" t="n">
        <v>0</v>
      </c>
      <c r="M4916" t="n">
        <v>0</v>
      </c>
      <c r="N4916" t="n">
        <v>0</v>
      </c>
      <c r="O4916" t="n">
        <v>0</v>
      </c>
      <c r="P4916" t="n">
        <v>0</v>
      </c>
      <c r="Q4916" t="n">
        <v>0</v>
      </c>
      <c r="R4916" s="2" t="inlineStr"/>
    </row>
    <row r="4917" ht="15" customHeight="1">
      <c r="A4917" t="inlineStr">
        <is>
          <t>A 10771-2025</t>
        </is>
      </c>
      <c r="B4917" s="1" t="n">
        <v>45722.46953703704</v>
      </c>
      <c r="C4917" s="1" t="n">
        <v>45884</v>
      </c>
      <c r="D4917" t="inlineStr">
        <is>
          <t>KALMAR LÄN</t>
        </is>
      </c>
      <c r="E4917" t="inlineStr">
        <is>
          <t>VÄSTERVIK</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25732-2023</t>
        </is>
      </c>
      <c r="B4918" s="1" t="n">
        <v>45090</v>
      </c>
      <c r="C4918" s="1" t="n">
        <v>45884</v>
      </c>
      <c r="D4918" t="inlineStr">
        <is>
          <t>KALMAR LÄN</t>
        </is>
      </c>
      <c r="E4918" t="inlineStr">
        <is>
          <t>KALMAR</t>
        </is>
      </c>
      <c r="G4918" t="n">
        <v>3.2</v>
      </c>
      <c r="H4918" t="n">
        <v>0</v>
      </c>
      <c r="I4918" t="n">
        <v>0</v>
      </c>
      <c r="J4918" t="n">
        <v>0</v>
      </c>
      <c r="K4918" t="n">
        <v>0</v>
      </c>
      <c r="L4918" t="n">
        <v>0</v>
      </c>
      <c r="M4918" t="n">
        <v>0</v>
      </c>
      <c r="N4918" t="n">
        <v>0</v>
      </c>
      <c r="O4918" t="n">
        <v>0</v>
      </c>
      <c r="P4918" t="n">
        <v>0</v>
      </c>
      <c r="Q4918" t="n">
        <v>0</v>
      </c>
      <c r="R4918" s="2" t="inlineStr"/>
    </row>
    <row r="4919" ht="15" customHeight="1">
      <c r="A4919" t="inlineStr">
        <is>
          <t>A 10835-2025</t>
        </is>
      </c>
      <c r="B4919" s="1" t="n">
        <v>45722.56731481481</v>
      </c>
      <c r="C4919" s="1" t="n">
        <v>45884</v>
      </c>
      <c r="D4919" t="inlineStr">
        <is>
          <t>KALMAR LÄN</t>
        </is>
      </c>
      <c r="E4919" t="inlineStr">
        <is>
          <t>VIMMERBY</t>
        </is>
      </c>
      <c r="G4919" t="n">
        <v>3.6</v>
      </c>
      <c r="H4919" t="n">
        <v>0</v>
      </c>
      <c r="I4919" t="n">
        <v>0</v>
      </c>
      <c r="J4919" t="n">
        <v>0</v>
      </c>
      <c r="K4919" t="n">
        <v>0</v>
      </c>
      <c r="L4919" t="n">
        <v>0</v>
      </c>
      <c r="M4919" t="n">
        <v>0</v>
      </c>
      <c r="N4919" t="n">
        <v>0</v>
      </c>
      <c r="O4919" t="n">
        <v>0</v>
      </c>
      <c r="P4919" t="n">
        <v>0</v>
      </c>
      <c r="Q4919" t="n">
        <v>0</v>
      </c>
      <c r="R4919" s="2" t="inlineStr"/>
    </row>
    <row r="4920" ht="15" customHeight="1">
      <c r="A4920" t="inlineStr">
        <is>
          <t>A 15699-2023</t>
        </is>
      </c>
      <c r="B4920" s="1" t="n">
        <v>45021.50722222222</v>
      </c>
      <c r="C4920" s="1" t="n">
        <v>45884</v>
      </c>
      <c r="D4920" t="inlineStr">
        <is>
          <t>KALMAR LÄN</t>
        </is>
      </c>
      <c r="E4920" t="inlineStr">
        <is>
          <t>EMMABODA</t>
        </is>
      </c>
      <c r="G4920" t="n">
        <v>5.3</v>
      </c>
      <c r="H4920" t="n">
        <v>0</v>
      </c>
      <c r="I4920" t="n">
        <v>0</v>
      </c>
      <c r="J4920" t="n">
        <v>0</v>
      </c>
      <c r="K4920" t="n">
        <v>0</v>
      </c>
      <c r="L4920" t="n">
        <v>0</v>
      </c>
      <c r="M4920" t="n">
        <v>0</v>
      </c>
      <c r="N4920" t="n">
        <v>0</v>
      </c>
      <c r="O4920" t="n">
        <v>0</v>
      </c>
      <c r="P4920" t="n">
        <v>0</v>
      </c>
      <c r="Q4920" t="n">
        <v>0</v>
      </c>
      <c r="R4920" s="2" t="inlineStr"/>
    </row>
    <row r="4921" ht="15" customHeight="1">
      <c r="A4921" t="inlineStr">
        <is>
          <t>A 64106-2023</t>
        </is>
      </c>
      <c r="B4921" s="1" t="n">
        <v>45279</v>
      </c>
      <c r="C4921" s="1" t="n">
        <v>45884</v>
      </c>
      <c r="D4921" t="inlineStr">
        <is>
          <t>KALMAR LÄN</t>
        </is>
      </c>
      <c r="E4921" t="inlineStr">
        <is>
          <t>MÖNSTERÅS</t>
        </is>
      </c>
      <c r="G4921" t="n">
        <v>3.7</v>
      </c>
      <c r="H4921" t="n">
        <v>0</v>
      </c>
      <c r="I4921" t="n">
        <v>0</v>
      </c>
      <c r="J4921" t="n">
        <v>0</v>
      </c>
      <c r="K4921" t="n">
        <v>0</v>
      </c>
      <c r="L4921" t="n">
        <v>0</v>
      </c>
      <c r="M4921" t="n">
        <v>0</v>
      </c>
      <c r="N4921" t="n">
        <v>0</v>
      </c>
      <c r="O4921" t="n">
        <v>0</v>
      </c>
      <c r="P4921" t="n">
        <v>0</v>
      </c>
      <c r="Q4921" t="n">
        <v>0</v>
      </c>
      <c r="R4921" s="2" t="inlineStr"/>
    </row>
    <row r="4922" ht="15" customHeight="1">
      <c r="A4922" t="inlineStr">
        <is>
          <t>A 62457-2023</t>
        </is>
      </c>
      <c r="B4922" s="1" t="n">
        <v>45268.50543981481</v>
      </c>
      <c r="C4922" s="1" t="n">
        <v>45884</v>
      </c>
      <c r="D4922" t="inlineStr">
        <is>
          <t>KALMAR LÄN</t>
        </is>
      </c>
      <c r="E4922" t="inlineStr">
        <is>
          <t>KALMAR</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11648-2023</t>
        </is>
      </c>
      <c r="B4923" s="1" t="n">
        <v>44994.45459490741</v>
      </c>
      <c r="C4923" s="1" t="n">
        <v>45884</v>
      </c>
      <c r="D4923" t="inlineStr">
        <is>
          <t>KALMAR LÄN</t>
        </is>
      </c>
      <c r="E4923" t="inlineStr">
        <is>
          <t>HULTSFRED</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40823-2023</t>
        </is>
      </c>
      <c r="B4924" s="1" t="n">
        <v>45171.77335648148</v>
      </c>
      <c r="C4924" s="1" t="n">
        <v>45884</v>
      </c>
      <c r="D4924" t="inlineStr">
        <is>
          <t>KALMAR LÄN</t>
        </is>
      </c>
      <c r="E4924" t="inlineStr">
        <is>
          <t>VIMMERBY</t>
        </is>
      </c>
      <c r="G4924" t="n">
        <v>2.7</v>
      </c>
      <c r="H4924" t="n">
        <v>0</v>
      </c>
      <c r="I4924" t="n">
        <v>0</v>
      </c>
      <c r="J4924" t="n">
        <v>0</v>
      </c>
      <c r="K4924" t="n">
        <v>0</v>
      </c>
      <c r="L4924" t="n">
        <v>0</v>
      </c>
      <c r="M4924" t="n">
        <v>0</v>
      </c>
      <c r="N4924" t="n">
        <v>0</v>
      </c>
      <c r="O4924" t="n">
        <v>0</v>
      </c>
      <c r="P4924" t="n">
        <v>0</v>
      </c>
      <c r="Q4924" t="n">
        <v>0</v>
      </c>
      <c r="R4924" s="2" t="inlineStr"/>
    </row>
    <row r="4925" ht="15" customHeight="1">
      <c r="A4925" t="inlineStr">
        <is>
          <t>A 19307-2025</t>
        </is>
      </c>
      <c r="B4925" s="1" t="n">
        <v>45769.56856481481</v>
      </c>
      <c r="C4925" s="1" t="n">
        <v>45884</v>
      </c>
      <c r="D4925" t="inlineStr">
        <is>
          <t>KALMAR LÄN</t>
        </is>
      </c>
      <c r="E4925" t="inlineStr">
        <is>
          <t>OSKARSHAMN</t>
        </is>
      </c>
      <c r="G4925" t="n">
        <v>19.5</v>
      </c>
      <c r="H4925" t="n">
        <v>0</v>
      </c>
      <c r="I4925" t="n">
        <v>0</v>
      </c>
      <c r="J4925" t="n">
        <v>0</v>
      </c>
      <c r="K4925" t="n">
        <v>0</v>
      </c>
      <c r="L4925" t="n">
        <v>0</v>
      </c>
      <c r="M4925" t="n">
        <v>0</v>
      </c>
      <c r="N4925" t="n">
        <v>0</v>
      </c>
      <c r="O4925" t="n">
        <v>0</v>
      </c>
      <c r="P4925" t="n">
        <v>0</v>
      </c>
      <c r="Q4925" t="n">
        <v>0</v>
      </c>
      <c r="R4925" s="2" t="inlineStr"/>
    </row>
    <row r="4926" ht="15" customHeight="1">
      <c r="A4926" t="inlineStr">
        <is>
          <t>A 14072-2025</t>
        </is>
      </c>
      <c r="B4926" s="1" t="n">
        <v>45740.42978009259</v>
      </c>
      <c r="C4926" s="1" t="n">
        <v>45884</v>
      </c>
      <c r="D4926" t="inlineStr">
        <is>
          <t>KALMAR LÄN</t>
        </is>
      </c>
      <c r="E4926" t="inlineStr">
        <is>
          <t>VÄSTERVIK</t>
        </is>
      </c>
      <c r="F4926" t="inlineStr">
        <is>
          <t>Sveaskog</t>
        </is>
      </c>
      <c r="G4926" t="n">
        <v>1.9</v>
      </c>
      <c r="H4926" t="n">
        <v>0</v>
      </c>
      <c r="I4926" t="n">
        <v>0</v>
      </c>
      <c r="J4926" t="n">
        <v>0</v>
      </c>
      <c r="K4926" t="n">
        <v>0</v>
      </c>
      <c r="L4926" t="n">
        <v>0</v>
      </c>
      <c r="M4926" t="n">
        <v>0</v>
      </c>
      <c r="N4926" t="n">
        <v>0</v>
      </c>
      <c r="O4926" t="n">
        <v>0</v>
      </c>
      <c r="P4926" t="n">
        <v>0</v>
      </c>
      <c r="Q4926" t="n">
        <v>0</v>
      </c>
      <c r="R4926" s="2" t="inlineStr"/>
    </row>
    <row r="4927" ht="15" customHeight="1">
      <c r="A4927" t="inlineStr">
        <is>
          <t>A 14075-2025</t>
        </is>
      </c>
      <c r="B4927" s="1" t="n">
        <v>45740.43222222223</v>
      </c>
      <c r="C4927" s="1" t="n">
        <v>45884</v>
      </c>
      <c r="D4927" t="inlineStr">
        <is>
          <t>KALMAR LÄN</t>
        </is>
      </c>
      <c r="E4927" t="inlineStr">
        <is>
          <t>VÄSTERVIK</t>
        </is>
      </c>
      <c r="F4927" t="inlineStr">
        <is>
          <t>Sveaskog</t>
        </is>
      </c>
      <c r="G4927" t="n">
        <v>4.6</v>
      </c>
      <c r="H4927" t="n">
        <v>0</v>
      </c>
      <c r="I4927" t="n">
        <v>0</v>
      </c>
      <c r="J4927" t="n">
        <v>0</v>
      </c>
      <c r="K4927" t="n">
        <v>0</v>
      </c>
      <c r="L4927" t="n">
        <v>0</v>
      </c>
      <c r="M4927" t="n">
        <v>0</v>
      </c>
      <c r="N4927" t="n">
        <v>0</v>
      </c>
      <c r="O4927" t="n">
        <v>0</v>
      </c>
      <c r="P4927" t="n">
        <v>0</v>
      </c>
      <c r="Q4927" t="n">
        <v>0</v>
      </c>
      <c r="R4927" s="2" t="inlineStr"/>
    </row>
    <row r="4928" ht="15" customHeight="1">
      <c r="A4928" t="inlineStr">
        <is>
          <t>A 6218-2025</t>
        </is>
      </c>
      <c r="B4928" s="1" t="n">
        <v>45698.53336805556</v>
      </c>
      <c r="C4928" s="1" t="n">
        <v>45884</v>
      </c>
      <c r="D4928" t="inlineStr">
        <is>
          <t>KALMAR LÄN</t>
        </is>
      </c>
      <c r="E4928" t="inlineStr">
        <is>
          <t>VIMMERBY</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63074-2023</t>
        </is>
      </c>
      <c r="B4929" s="1" t="n">
        <v>45273.28496527778</v>
      </c>
      <c r="C4929" s="1" t="n">
        <v>45884</v>
      </c>
      <c r="D4929" t="inlineStr">
        <is>
          <t>KALMAR LÄN</t>
        </is>
      </c>
      <c r="E4929" t="inlineStr">
        <is>
          <t>HULTSFRED</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63215-2023</t>
        </is>
      </c>
      <c r="B4930" s="1" t="n">
        <v>45273.62567129629</v>
      </c>
      <c r="C4930" s="1" t="n">
        <v>45884</v>
      </c>
      <c r="D4930" t="inlineStr">
        <is>
          <t>KALMAR LÄN</t>
        </is>
      </c>
      <c r="E4930" t="inlineStr">
        <is>
          <t>EMMABODA</t>
        </is>
      </c>
      <c r="F4930" t="inlineStr">
        <is>
          <t>Kommuner</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7839-2024</t>
        </is>
      </c>
      <c r="B4931" s="1" t="n">
        <v>45349.85878472222</v>
      </c>
      <c r="C4931" s="1" t="n">
        <v>45884</v>
      </c>
      <c r="D4931" t="inlineStr">
        <is>
          <t>KALMAR LÄN</t>
        </is>
      </c>
      <c r="E4931" t="inlineStr">
        <is>
          <t>EMMABODA</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41545-2022</t>
        </is>
      </c>
      <c r="B4932" s="1" t="n">
        <v>44827</v>
      </c>
      <c r="C4932" s="1" t="n">
        <v>45884</v>
      </c>
      <c r="D4932" t="inlineStr">
        <is>
          <t>KALMAR LÄN</t>
        </is>
      </c>
      <c r="E4932" t="inlineStr">
        <is>
          <t>EMMABODA</t>
        </is>
      </c>
      <c r="G4932" t="n">
        <v>3.8</v>
      </c>
      <c r="H4932" t="n">
        <v>0</v>
      </c>
      <c r="I4932" t="n">
        <v>0</v>
      </c>
      <c r="J4932" t="n">
        <v>0</v>
      </c>
      <c r="K4932" t="n">
        <v>0</v>
      </c>
      <c r="L4932" t="n">
        <v>0</v>
      </c>
      <c r="M4932" t="n">
        <v>0</v>
      </c>
      <c r="N4932" t="n">
        <v>0</v>
      </c>
      <c r="O4932" t="n">
        <v>0</v>
      </c>
      <c r="P4932" t="n">
        <v>0</v>
      </c>
      <c r="Q4932" t="n">
        <v>0</v>
      </c>
      <c r="R4932" s="2" t="inlineStr"/>
    </row>
    <row r="4933" ht="15" customHeight="1">
      <c r="A4933" t="inlineStr">
        <is>
          <t>A 39253-2021</t>
        </is>
      </c>
      <c r="B4933" s="1" t="n">
        <v>44413</v>
      </c>
      <c r="C4933" s="1" t="n">
        <v>45884</v>
      </c>
      <c r="D4933" t="inlineStr">
        <is>
          <t>KALMAR LÄN</t>
        </is>
      </c>
      <c r="E4933" t="inlineStr">
        <is>
          <t>KALMAR</t>
        </is>
      </c>
      <c r="G4933" t="n">
        <v>4.4</v>
      </c>
      <c r="H4933" t="n">
        <v>0</v>
      </c>
      <c r="I4933" t="n">
        <v>0</v>
      </c>
      <c r="J4933" t="n">
        <v>0</v>
      </c>
      <c r="K4933" t="n">
        <v>0</v>
      </c>
      <c r="L4933" t="n">
        <v>0</v>
      </c>
      <c r="M4933" t="n">
        <v>0</v>
      </c>
      <c r="N4933" t="n">
        <v>0</v>
      </c>
      <c r="O4933" t="n">
        <v>0</v>
      </c>
      <c r="P4933" t="n">
        <v>0</v>
      </c>
      <c r="Q4933" t="n">
        <v>0</v>
      </c>
      <c r="R4933" s="2" t="inlineStr"/>
    </row>
    <row r="4934" ht="15" customHeight="1">
      <c r="A4934" t="inlineStr">
        <is>
          <t>A 57808-2023</t>
        </is>
      </c>
      <c r="B4934" s="1" t="n">
        <v>45247</v>
      </c>
      <c r="C4934" s="1" t="n">
        <v>45884</v>
      </c>
      <c r="D4934" t="inlineStr">
        <is>
          <t>KALMAR LÄN</t>
        </is>
      </c>
      <c r="E4934" t="inlineStr">
        <is>
          <t>HULTSFRED</t>
        </is>
      </c>
      <c r="G4934" t="n">
        <v>3.8</v>
      </c>
      <c r="H4934" t="n">
        <v>0</v>
      </c>
      <c r="I4934" t="n">
        <v>0</v>
      </c>
      <c r="J4934" t="n">
        <v>0</v>
      </c>
      <c r="K4934" t="n">
        <v>0</v>
      </c>
      <c r="L4934" t="n">
        <v>0</v>
      </c>
      <c r="M4934" t="n">
        <v>0</v>
      </c>
      <c r="N4934" t="n">
        <v>0</v>
      </c>
      <c r="O4934" t="n">
        <v>0</v>
      </c>
      <c r="P4934" t="n">
        <v>0</v>
      </c>
      <c r="Q4934" t="n">
        <v>0</v>
      </c>
      <c r="R4934" s="2" t="inlineStr"/>
    </row>
    <row r="4935" ht="15" customHeight="1">
      <c r="A4935" t="inlineStr">
        <is>
          <t>A 44977-2021</t>
        </is>
      </c>
      <c r="B4935" s="1" t="n">
        <v>44438</v>
      </c>
      <c r="C4935" s="1" t="n">
        <v>45884</v>
      </c>
      <c r="D4935" t="inlineStr">
        <is>
          <t>KALMAR LÄN</t>
        </is>
      </c>
      <c r="E4935" t="inlineStr">
        <is>
          <t>HULTSFRED</t>
        </is>
      </c>
      <c r="G4935" t="n">
        <v>2.7</v>
      </c>
      <c r="H4935" t="n">
        <v>0</v>
      </c>
      <c r="I4935" t="n">
        <v>0</v>
      </c>
      <c r="J4935" t="n">
        <v>0</v>
      </c>
      <c r="K4935" t="n">
        <v>0</v>
      </c>
      <c r="L4935" t="n">
        <v>0</v>
      </c>
      <c r="M4935" t="n">
        <v>0</v>
      </c>
      <c r="N4935" t="n">
        <v>0</v>
      </c>
      <c r="O4935" t="n">
        <v>0</v>
      </c>
      <c r="P4935" t="n">
        <v>0</v>
      </c>
      <c r="Q4935" t="n">
        <v>0</v>
      </c>
      <c r="R4935" s="2" t="inlineStr"/>
    </row>
    <row r="4936" ht="15" customHeight="1">
      <c r="A4936" t="inlineStr">
        <is>
          <t>A 8499-2023</t>
        </is>
      </c>
      <c r="B4936" s="1" t="n">
        <v>44977</v>
      </c>
      <c r="C4936" s="1" t="n">
        <v>45884</v>
      </c>
      <c r="D4936" t="inlineStr">
        <is>
          <t>KALMAR LÄN</t>
        </is>
      </c>
      <c r="E4936" t="inlineStr">
        <is>
          <t>OSKARSHAMN</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6690-2025</t>
        </is>
      </c>
      <c r="B4937" s="1" t="n">
        <v>45700</v>
      </c>
      <c r="C4937" s="1" t="n">
        <v>45884</v>
      </c>
      <c r="D4937" t="inlineStr">
        <is>
          <t>KALMAR LÄN</t>
        </is>
      </c>
      <c r="E4937" t="inlineStr">
        <is>
          <t>EMMABODA</t>
        </is>
      </c>
      <c r="G4937" t="n">
        <v>5.3</v>
      </c>
      <c r="H4937" t="n">
        <v>0</v>
      </c>
      <c r="I4937" t="n">
        <v>0</v>
      </c>
      <c r="J4937" t="n">
        <v>0</v>
      </c>
      <c r="K4937" t="n">
        <v>0</v>
      </c>
      <c r="L4937" t="n">
        <v>0</v>
      </c>
      <c r="M4937" t="n">
        <v>0</v>
      </c>
      <c r="N4937" t="n">
        <v>0</v>
      </c>
      <c r="O4937" t="n">
        <v>0</v>
      </c>
      <c r="P4937" t="n">
        <v>0</v>
      </c>
      <c r="Q4937" t="n">
        <v>0</v>
      </c>
      <c r="R4937" s="2" t="inlineStr"/>
    </row>
    <row r="4938" ht="15" customHeight="1">
      <c r="A4938" t="inlineStr">
        <is>
          <t>A 7789-2025</t>
        </is>
      </c>
      <c r="B4938" s="1" t="n">
        <v>45706.59305555555</v>
      </c>
      <c r="C4938" s="1" t="n">
        <v>45884</v>
      </c>
      <c r="D4938" t="inlineStr">
        <is>
          <t>KALMAR LÄN</t>
        </is>
      </c>
      <c r="E4938" t="inlineStr">
        <is>
          <t>NYBRO</t>
        </is>
      </c>
      <c r="G4938" t="n">
        <v>3.6</v>
      </c>
      <c r="H4938" t="n">
        <v>0</v>
      </c>
      <c r="I4938" t="n">
        <v>0</v>
      </c>
      <c r="J4938" t="n">
        <v>0</v>
      </c>
      <c r="K4938" t="n">
        <v>0</v>
      </c>
      <c r="L4938" t="n">
        <v>0</v>
      </c>
      <c r="M4938" t="n">
        <v>0</v>
      </c>
      <c r="N4938" t="n">
        <v>0</v>
      </c>
      <c r="O4938" t="n">
        <v>0</v>
      </c>
      <c r="P4938" t="n">
        <v>0</v>
      </c>
      <c r="Q4938" t="n">
        <v>0</v>
      </c>
      <c r="R4938" s="2" t="inlineStr"/>
    </row>
    <row r="4939" ht="15" customHeight="1">
      <c r="A4939" t="inlineStr">
        <is>
          <t>A 27761-2024</t>
        </is>
      </c>
      <c r="B4939" s="1" t="n">
        <v>45475.49018518518</v>
      </c>
      <c r="C4939" s="1" t="n">
        <v>45884</v>
      </c>
      <c r="D4939" t="inlineStr">
        <is>
          <t>KALMAR LÄN</t>
        </is>
      </c>
      <c r="E4939" t="inlineStr">
        <is>
          <t>VIMMERBY</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52252-2023</t>
        </is>
      </c>
      <c r="B4940" s="1" t="n">
        <v>45224.50876157408</v>
      </c>
      <c r="C4940" s="1" t="n">
        <v>45884</v>
      </c>
      <c r="D4940" t="inlineStr">
        <is>
          <t>KALMAR LÄN</t>
        </is>
      </c>
      <c r="E4940" t="inlineStr">
        <is>
          <t>TORSÅS</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64203-2021</t>
        </is>
      </c>
      <c r="B4941" s="1" t="n">
        <v>44510.60921296296</v>
      </c>
      <c r="C4941" s="1" t="n">
        <v>45884</v>
      </c>
      <c r="D4941" t="inlineStr">
        <is>
          <t>KALMAR LÄN</t>
        </is>
      </c>
      <c r="E4941" t="inlineStr">
        <is>
          <t>VIMMERBY</t>
        </is>
      </c>
      <c r="F4941" t="inlineStr">
        <is>
          <t>Övriga Aktiebolag</t>
        </is>
      </c>
      <c r="G4941" t="n">
        <v>5.4</v>
      </c>
      <c r="H4941" t="n">
        <v>0</v>
      </c>
      <c r="I4941" t="n">
        <v>0</v>
      </c>
      <c r="J4941" t="n">
        <v>0</v>
      </c>
      <c r="K4941" t="n">
        <v>0</v>
      </c>
      <c r="L4941" t="n">
        <v>0</v>
      </c>
      <c r="M4941" t="n">
        <v>0</v>
      </c>
      <c r="N4941" t="n">
        <v>0</v>
      </c>
      <c r="O4941" t="n">
        <v>0</v>
      </c>
      <c r="P4941" t="n">
        <v>0</v>
      </c>
      <c r="Q4941" t="n">
        <v>0</v>
      </c>
      <c r="R4941" s="2" t="inlineStr"/>
    </row>
    <row r="4942" ht="15" customHeight="1">
      <c r="A4942" t="inlineStr">
        <is>
          <t>A 27414-2023</t>
        </is>
      </c>
      <c r="B4942" s="1" t="n">
        <v>45092</v>
      </c>
      <c r="C4942" s="1" t="n">
        <v>45884</v>
      </c>
      <c r="D4942" t="inlineStr">
        <is>
          <t>KALMAR LÄN</t>
        </is>
      </c>
      <c r="E4942" t="inlineStr">
        <is>
          <t>EMMABODA</t>
        </is>
      </c>
      <c r="G4942" t="n">
        <v>2.1</v>
      </c>
      <c r="H4942" t="n">
        <v>0</v>
      </c>
      <c r="I4942" t="n">
        <v>0</v>
      </c>
      <c r="J4942" t="n">
        <v>0</v>
      </c>
      <c r="K4942" t="n">
        <v>0</v>
      </c>
      <c r="L4942" t="n">
        <v>0</v>
      </c>
      <c r="M4942" t="n">
        <v>0</v>
      </c>
      <c r="N4942" t="n">
        <v>0</v>
      </c>
      <c r="O4942" t="n">
        <v>0</v>
      </c>
      <c r="P4942" t="n">
        <v>0</v>
      </c>
      <c r="Q4942" t="n">
        <v>0</v>
      </c>
      <c r="R4942" s="2" t="inlineStr"/>
    </row>
    <row r="4943" ht="15" customHeight="1">
      <c r="A4943" t="inlineStr">
        <is>
          <t>A 27416-2023</t>
        </is>
      </c>
      <c r="B4943" s="1" t="n">
        <v>45092</v>
      </c>
      <c r="C4943" s="1" t="n">
        <v>45884</v>
      </c>
      <c r="D4943" t="inlineStr">
        <is>
          <t>KALMAR LÄN</t>
        </is>
      </c>
      <c r="E4943" t="inlineStr">
        <is>
          <t>EMMABODA</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30920-2023</t>
        </is>
      </c>
      <c r="B4944" s="1" t="n">
        <v>45113.43921296296</v>
      </c>
      <c r="C4944" s="1" t="n">
        <v>45884</v>
      </c>
      <c r="D4944" t="inlineStr">
        <is>
          <t>KALMAR LÄN</t>
        </is>
      </c>
      <c r="E4944" t="inlineStr">
        <is>
          <t>VIMMERBY</t>
        </is>
      </c>
      <c r="G4944" t="n">
        <v>3.1</v>
      </c>
      <c r="H4944" t="n">
        <v>0</v>
      </c>
      <c r="I4944" t="n">
        <v>0</v>
      </c>
      <c r="J4944" t="n">
        <v>0</v>
      </c>
      <c r="K4944" t="n">
        <v>0</v>
      </c>
      <c r="L4944" t="n">
        <v>0</v>
      </c>
      <c r="M4944" t="n">
        <v>0</v>
      </c>
      <c r="N4944" t="n">
        <v>0</v>
      </c>
      <c r="O4944" t="n">
        <v>0</v>
      </c>
      <c r="P4944" t="n">
        <v>0</v>
      </c>
      <c r="Q4944" t="n">
        <v>0</v>
      </c>
      <c r="R4944" s="2" t="inlineStr"/>
    </row>
    <row r="4945" ht="15" customHeight="1">
      <c r="A4945" t="inlineStr">
        <is>
          <t>A 4016-2024</t>
        </is>
      </c>
      <c r="B4945" s="1" t="n">
        <v>45323</v>
      </c>
      <c r="C4945" s="1" t="n">
        <v>45884</v>
      </c>
      <c r="D4945" t="inlineStr">
        <is>
          <t>KALMAR LÄN</t>
        </is>
      </c>
      <c r="E4945" t="inlineStr">
        <is>
          <t>TORSÅS</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50662-2023</t>
        </is>
      </c>
      <c r="B4946" s="1" t="n">
        <v>45217.49613425926</v>
      </c>
      <c r="C4946" s="1" t="n">
        <v>45884</v>
      </c>
      <c r="D4946" t="inlineStr">
        <is>
          <t>KALMAR LÄN</t>
        </is>
      </c>
      <c r="E4946" t="inlineStr">
        <is>
          <t>NYBRO</t>
        </is>
      </c>
      <c r="G4946" t="n">
        <v>7.4</v>
      </c>
      <c r="H4946" t="n">
        <v>0</v>
      </c>
      <c r="I4946" t="n">
        <v>0</v>
      </c>
      <c r="J4946" t="n">
        <v>0</v>
      </c>
      <c r="K4946" t="n">
        <v>0</v>
      </c>
      <c r="L4946" t="n">
        <v>0</v>
      </c>
      <c r="M4946" t="n">
        <v>0</v>
      </c>
      <c r="N4946" t="n">
        <v>0</v>
      </c>
      <c r="O4946" t="n">
        <v>0</v>
      </c>
      <c r="P4946" t="n">
        <v>0</v>
      </c>
      <c r="Q4946" t="n">
        <v>0</v>
      </c>
      <c r="R4946" s="2" t="inlineStr"/>
    </row>
    <row r="4947" ht="15" customHeight="1">
      <c r="A4947" t="inlineStr">
        <is>
          <t>A 15097-2023</t>
        </is>
      </c>
      <c r="B4947" s="1" t="n">
        <v>45016</v>
      </c>
      <c r="C4947" s="1" t="n">
        <v>45884</v>
      </c>
      <c r="D4947" t="inlineStr">
        <is>
          <t>KALMAR LÄN</t>
        </is>
      </c>
      <c r="E4947" t="inlineStr">
        <is>
          <t>VÄSTERVIK</t>
        </is>
      </c>
      <c r="G4947" t="n">
        <v>5.9</v>
      </c>
      <c r="H4947" t="n">
        <v>0</v>
      </c>
      <c r="I4947" t="n">
        <v>0</v>
      </c>
      <c r="J4947" t="n">
        <v>0</v>
      </c>
      <c r="K4947" t="n">
        <v>0</v>
      </c>
      <c r="L4947" t="n">
        <v>0</v>
      </c>
      <c r="M4947" t="n">
        <v>0</v>
      </c>
      <c r="N4947" t="n">
        <v>0</v>
      </c>
      <c r="O4947" t="n">
        <v>0</v>
      </c>
      <c r="P4947" t="n">
        <v>0</v>
      </c>
      <c r="Q4947" t="n">
        <v>0</v>
      </c>
      <c r="R4947" s="2" t="inlineStr"/>
    </row>
    <row r="4948" ht="15" customHeight="1">
      <c r="A4948" t="inlineStr">
        <is>
          <t>A 17131-2024</t>
        </is>
      </c>
      <c r="B4948" s="1" t="n">
        <v>45412.60458333333</v>
      </c>
      <c r="C4948" s="1" t="n">
        <v>45884</v>
      </c>
      <c r="D4948" t="inlineStr">
        <is>
          <t>KALMAR LÄN</t>
        </is>
      </c>
      <c r="E4948" t="inlineStr">
        <is>
          <t>HULTSFRED</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15244-2023</t>
        </is>
      </c>
      <c r="B4949" s="1" t="n">
        <v>45019.37908564815</v>
      </c>
      <c r="C4949" s="1" t="n">
        <v>45884</v>
      </c>
      <c r="D4949" t="inlineStr">
        <is>
          <t>KALMAR LÄN</t>
        </is>
      </c>
      <c r="E4949" t="inlineStr">
        <is>
          <t>HULTSFRED</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53389-2023</t>
        </is>
      </c>
      <c r="B4950" s="1" t="n">
        <v>45229.71185185185</v>
      </c>
      <c r="C4950" s="1" t="n">
        <v>45884</v>
      </c>
      <c r="D4950" t="inlineStr">
        <is>
          <t>KALMAR LÄN</t>
        </is>
      </c>
      <c r="E4950" t="inlineStr">
        <is>
          <t>KALMAR</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10926-2025</t>
        </is>
      </c>
      <c r="B4951" s="1" t="n">
        <v>45722.85125</v>
      </c>
      <c r="C4951" s="1" t="n">
        <v>45884</v>
      </c>
      <c r="D4951" t="inlineStr">
        <is>
          <t>KALMAR LÄN</t>
        </is>
      </c>
      <c r="E4951" t="inlineStr">
        <is>
          <t>KALMAR</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59309-2022</t>
        </is>
      </c>
      <c r="B4952" s="1" t="n">
        <v>44904</v>
      </c>
      <c r="C4952" s="1" t="n">
        <v>45884</v>
      </c>
      <c r="D4952" t="inlineStr">
        <is>
          <t>KALMAR LÄN</t>
        </is>
      </c>
      <c r="E4952" t="inlineStr">
        <is>
          <t>MÖNSTERÅS</t>
        </is>
      </c>
      <c r="G4952" t="n">
        <v>2.3</v>
      </c>
      <c r="H4952" t="n">
        <v>0</v>
      </c>
      <c r="I4952" t="n">
        <v>0</v>
      </c>
      <c r="J4952" t="n">
        <v>0</v>
      </c>
      <c r="K4952" t="n">
        <v>0</v>
      </c>
      <c r="L4952" t="n">
        <v>0</v>
      </c>
      <c r="M4952" t="n">
        <v>0</v>
      </c>
      <c r="N4952" t="n">
        <v>0</v>
      </c>
      <c r="O4952" t="n">
        <v>0</v>
      </c>
      <c r="P4952" t="n">
        <v>0</v>
      </c>
      <c r="Q4952" t="n">
        <v>0</v>
      </c>
      <c r="R4952" s="2" t="inlineStr"/>
    </row>
    <row r="4953" ht="15" customHeight="1">
      <c r="A4953" t="inlineStr">
        <is>
          <t>A 5720-2023</t>
        </is>
      </c>
      <c r="B4953" s="1" t="n">
        <v>44961</v>
      </c>
      <c r="C4953" s="1" t="n">
        <v>45884</v>
      </c>
      <c r="D4953" t="inlineStr">
        <is>
          <t>KALMAR LÄN</t>
        </is>
      </c>
      <c r="E4953" t="inlineStr">
        <is>
          <t>VIMMERBY</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21799-2023</t>
        </is>
      </c>
      <c r="B4954" s="1" t="n">
        <v>45067</v>
      </c>
      <c r="C4954" s="1" t="n">
        <v>45884</v>
      </c>
      <c r="D4954" t="inlineStr">
        <is>
          <t>KALMAR LÄN</t>
        </is>
      </c>
      <c r="E4954" t="inlineStr">
        <is>
          <t>KALMAR</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18141-2025</t>
        </is>
      </c>
      <c r="B4955" s="1" t="n">
        <v>45761.60565972222</v>
      </c>
      <c r="C4955" s="1" t="n">
        <v>45884</v>
      </c>
      <c r="D4955" t="inlineStr">
        <is>
          <t>KALMAR LÄN</t>
        </is>
      </c>
      <c r="E4955" t="inlineStr">
        <is>
          <t>NYBRO</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68803-2021</t>
        </is>
      </c>
      <c r="B4956" s="1" t="n">
        <v>44530</v>
      </c>
      <c r="C4956" s="1" t="n">
        <v>45884</v>
      </c>
      <c r="D4956" t="inlineStr">
        <is>
          <t>KALMAR LÄN</t>
        </is>
      </c>
      <c r="E4956" t="inlineStr">
        <is>
          <t>HULTSFRED</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1396-2023</t>
        </is>
      </c>
      <c r="B4957" s="1" t="n">
        <v>44936.7375925926</v>
      </c>
      <c r="C4957" s="1" t="n">
        <v>45884</v>
      </c>
      <c r="D4957" t="inlineStr">
        <is>
          <t>KALMAR LÄN</t>
        </is>
      </c>
      <c r="E4957" t="inlineStr">
        <is>
          <t>NYBRO</t>
        </is>
      </c>
      <c r="G4957" t="n">
        <v>4.3</v>
      </c>
      <c r="H4957" t="n">
        <v>0</v>
      </c>
      <c r="I4957" t="n">
        <v>0</v>
      </c>
      <c r="J4957" t="n">
        <v>0</v>
      </c>
      <c r="K4957" t="n">
        <v>0</v>
      </c>
      <c r="L4957" t="n">
        <v>0</v>
      </c>
      <c r="M4957" t="n">
        <v>0</v>
      </c>
      <c r="N4957" t="n">
        <v>0</v>
      </c>
      <c r="O4957" t="n">
        <v>0</v>
      </c>
      <c r="P4957" t="n">
        <v>0</v>
      </c>
      <c r="Q4957" t="n">
        <v>0</v>
      </c>
      <c r="R4957" s="2" t="inlineStr"/>
    </row>
    <row r="4958" ht="15" customHeight="1">
      <c r="A4958" t="inlineStr">
        <is>
          <t>A 43982-2024</t>
        </is>
      </c>
      <c r="B4958" s="1" t="n">
        <v>45572.49996527778</v>
      </c>
      <c r="C4958" s="1" t="n">
        <v>45884</v>
      </c>
      <c r="D4958" t="inlineStr">
        <is>
          <t>KALMAR LÄN</t>
        </is>
      </c>
      <c r="E4958" t="inlineStr">
        <is>
          <t>NYBRO</t>
        </is>
      </c>
      <c r="G4958" t="n">
        <v>4.7</v>
      </c>
      <c r="H4958" t="n">
        <v>0</v>
      </c>
      <c r="I4958" t="n">
        <v>0</v>
      </c>
      <c r="J4958" t="n">
        <v>0</v>
      </c>
      <c r="K4958" t="n">
        <v>0</v>
      </c>
      <c r="L4958" t="n">
        <v>0</v>
      </c>
      <c r="M4958" t="n">
        <v>0</v>
      </c>
      <c r="N4958" t="n">
        <v>0</v>
      </c>
      <c r="O4958" t="n">
        <v>0</v>
      </c>
      <c r="P4958" t="n">
        <v>0</v>
      </c>
      <c r="Q4958" t="n">
        <v>0</v>
      </c>
      <c r="R4958" s="2" t="inlineStr"/>
    </row>
    <row r="4959" ht="15" customHeight="1">
      <c r="A4959" t="inlineStr">
        <is>
          <t>A 40449-2022</t>
        </is>
      </c>
      <c r="B4959" s="1" t="n">
        <v>44823.49798611111</v>
      </c>
      <c r="C4959" s="1" t="n">
        <v>45884</v>
      </c>
      <c r="D4959" t="inlineStr">
        <is>
          <t>KALMAR LÄN</t>
        </is>
      </c>
      <c r="E4959" t="inlineStr">
        <is>
          <t>KALMAR</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40457-2022</t>
        </is>
      </c>
      <c r="B4960" s="1" t="n">
        <v>44823.51177083333</v>
      </c>
      <c r="C4960" s="1" t="n">
        <v>45884</v>
      </c>
      <c r="D4960" t="inlineStr">
        <is>
          <t>KALMAR LÄN</t>
        </is>
      </c>
      <c r="E4960" t="inlineStr">
        <is>
          <t>KALMAR</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9643-2023</t>
        </is>
      </c>
      <c r="B4961" s="1" t="n">
        <v>44984</v>
      </c>
      <c r="C4961" s="1" t="n">
        <v>45884</v>
      </c>
      <c r="D4961" t="inlineStr">
        <is>
          <t>KALMAR LÄN</t>
        </is>
      </c>
      <c r="E4961" t="inlineStr">
        <is>
          <t>VIMMERBY</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56077-2024</t>
        </is>
      </c>
      <c r="B4962" s="1" t="n">
        <v>45624.38690972222</v>
      </c>
      <c r="C4962" s="1" t="n">
        <v>45884</v>
      </c>
      <c r="D4962" t="inlineStr">
        <is>
          <t>KALMAR LÄN</t>
        </is>
      </c>
      <c r="E4962" t="inlineStr">
        <is>
          <t>VÄSTERVIK</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26700-2023</t>
        </is>
      </c>
      <c r="B4963" s="1" t="n">
        <v>45093</v>
      </c>
      <c r="C4963" s="1" t="n">
        <v>45884</v>
      </c>
      <c r="D4963" t="inlineStr">
        <is>
          <t>KALMAR LÄN</t>
        </is>
      </c>
      <c r="E4963" t="inlineStr">
        <is>
          <t>TORSÅS</t>
        </is>
      </c>
      <c r="G4963" t="n">
        <v>4.3</v>
      </c>
      <c r="H4963" t="n">
        <v>0</v>
      </c>
      <c r="I4963" t="n">
        <v>0</v>
      </c>
      <c r="J4963" t="n">
        <v>0</v>
      </c>
      <c r="K4963" t="n">
        <v>0</v>
      </c>
      <c r="L4963" t="n">
        <v>0</v>
      </c>
      <c r="M4963" t="n">
        <v>0</v>
      </c>
      <c r="N4963" t="n">
        <v>0</v>
      </c>
      <c r="O4963" t="n">
        <v>0</v>
      </c>
      <c r="P4963" t="n">
        <v>0</v>
      </c>
      <c r="Q4963" t="n">
        <v>0</v>
      </c>
      <c r="R4963" s="2" t="inlineStr"/>
    </row>
    <row r="4964" ht="15" customHeight="1">
      <c r="A4964" t="inlineStr">
        <is>
          <t>A 25728-2023</t>
        </is>
      </c>
      <c r="B4964" s="1" t="n">
        <v>45090.38012731481</v>
      </c>
      <c r="C4964" s="1" t="n">
        <v>45884</v>
      </c>
      <c r="D4964" t="inlineStr">
        <is>
          <t>KALMAR LÄN</t>
        </is>
      </c>
      <c r="E4964" t="inlineStr">
        <is>
          <t>VIMMERBY</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41161-2023</t>
        </is>
      </c>
      <c r="B4965" s="1" t="n">
        <v>45174.32129629629</v>
      </c>
      <c r="C4965" s="1" t="n">
        <v>45884</v>
      </c>
      <c r="D4965" t="inlineStr">
        <is>
          <t>KALMAR LÄN</t>
        </is>
      </c>
      <c r="E4965" t="inlineStr">
        <is>
          <t>NYBRO</t>
        </is>
      </c>
      <c r="G4965" t="n">
        <v>3.9</v>
      </c>
      <c r="H4965" t="n">
        <v>0</v>
      </c>
      <c r="I4965" t="n">
        <v>0</v>
      </c>
      <c r="J4965" t="n">
        <v>0</v>
      </c>
      <c r="K4965" t="n">
        <v>0</v>
      </c>
      <c r="L4965" t="n">
        <v>0</v>
      </c>
      <c r="M4965" t="n">
        <v>0</v>
      </c>
      <c r="N4965" t="n">
        <v>0</v>
      </c>
      <c r="O4965" t="n">
        <v>0</v>
      </c>
      <c r="P4965" t="n">
        <v>0</v>
      </c>
      <c r="Q4965" t="n">
        <v>0</v>
      </c>
      <c r="R4965" s="2" t="inlineStr"/>
    </row>
    <row r="4966" ht="15" customHeight="1">
      <c r="A4966" t="inlineStr">
        <is>
          <t>A 37954-2024</t>
        </is>
      </c>
      <c r="B4966" s="1" t="n">
        <v>45544.52295138889</v>
      </c>
      <c r="C4966" s="1" t="n">
        <v>45884</v>
      </c>
      <c r="D4966" t="inlineStr">
        <is>
          <t>KALMAR LÄN</t>
        </is>
      </c>
      <c r="E4966" t="inlineStr">
        <is>
          <t>HÖGSBY</t>
        </is>
      </c>
      <c r="G4966" t="n">
        <v>5.4</v>
      </c>
      <c r="H4966" t="n">
        <v>0</v>
      </c>
      <c r="I4966" t="n">
        <v>0</v>
      </c>
      <c r="J4966" t="n">
        <v>0</v>
      </c>
      <c r="K4966" t="n">
        <v>0</v>
      </c>
      <c r="L4966" t="n">
        <v>0</v>
      </c>
      <c r="M4966" t="n">
        <v>0</v>
      </c>
      <c r="N4966" t="n">
        <v>0</v>
      </c>
      <c r="O4966" t="n">
        <v>0</v>
      </c>
      <c r="P4966" t="n">
        <v>0</v>
      </c>
      <c r="Q4966" t="n">
        <v>0</v>
      </c>
      <c r="R4966" s="2" t="inlineStr"/>
    </row>
    <row r="4967" ht="15" customHeight="1">
      <c r="A4967" t="inlineStr">
        <is>
          <t>A 25515-2022</t>
        </is>
      </c>
      <c r="B4967" s="1" t="n">
        <v>44732.58428240741</v>
      </c>
      <c r="C4967" s="1" t="n">
        <v>45884</v>
      </c>
      <c r="D4967" t="inlineStr">
        <is>
          <t>KALMAR LÄN</t>
        </is>
      </c>
      <c r="E4967" t="inlineStr">
        <is>
          <t>KALMAR</t>
        </is>
      </c>
      <c r="G4967" t="n">
        <v>4.3</v>
      </c>
      <c r="H4967" t="n">
        <v>0</v>
      </c>
      <c r="I4967" t="n">
        <v>0</v>
      </c>
      <c r="J4967" t="n">
        <v>0</v>
      </c>
      <c r="K4967" t="n">
        <v>0</v>
      </c>
      <c r="L4967" t="n">
        <v>0</v>
      </c>
      <c r="M4967" t="n">
        <v>0</v>
      </c>
      <c r="N4967" t="n">
        <v>0</v>
      </c>
      <c r="O4967" t="n">
        <v>0</v>
      </c>
      <c r="P4967" t="n">
        <v>0</v>
      </c>
      <c r="Q4967" t="n">
        <v>0</v>
      </c>
      <c r="R4967" s="2" t="inlineStr"/>
    </row>
    <row r="4968" ht="15" customHeight="1">
      <c r="A4968" t="inlineStr">
        <is>
          <t>A 6857-2023</t>
        </is>
      </c>
      <c r="B4968" s="1" t="n">
        <v>44967.45122685185</v>
      </c>
      <c r="C4968" s="1" t="n">
        <v>45884</v>
      </c>
      <c r="D4968" t="inlineStr">
        <is>
          <t>KALMAR LÄN</t>
        </is>
      </c>
      <c r="E4968" t="inlineStr">
        <is>
          <t>VIMMERBY</t>
        </is>
      </c>
      <c r="G4968" t="n">
        <v>2.1</v>
      </c>
      <c r="H4968" t="n">
        <v>0</v>
      </c>
      <c r="I4968" t="n">
        <v>0</v>
      </c>
      <c r="J4968" t="n">
        <v>0</v>
      </c>
      <c r="K4968" t="n">
        <v>0</v>
      </c>
      <c r="L4968" t="n">
        <v>0</v>
      </c>
      <c r="M4968" t="n">
        <v>0</v>
      </c>
      <c r="N4968" t="n">
        <v>0</v>
      </c>
      <c r="O4968" t="n">
        <v>0</v>
      </c>
      <c r="P4968" t="n">
        <v>0</v>
      </c>
      <c r="Q4968" t="n">
        <v>0</v>
      </c>
      <c r="R4968" s="2" t="inlineStr"/>
    </row>
    <row r="4969" ht="15" customHeight="1">
      <c r="A4969" t="inlineStr">
        <is>
          <t>A 17229-2025</t>
        </is>
      </c>
      <c r="B4969" s="1" t="n">
        <v>45756.46728009259</v>
      </c>
      <c r="C4969" s="1" t="n">
        <v>45884</v>
      </c>
      <c r="D4969" t="inlineStr">
        <is>
          <t>KALMAR LÄN</t>
        </is>
      </c>
      <c r="E4969" t="inlineStr">
        <is>
          <t>NYBRO</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4252-2023</t>
        </is>
      </c>
      <c r="B4970" s="1" t="n">
        <v>44953</v>
      </c>
      <c r="C4970" s="1" t="n">
        <v>45884</v>
      </c>
      <c r="D4970" t="inlineStr">
        <is>
          <t>KALMAR LÄN</t>
        </is>
      </c>
      <c r="E4970" t="inlineStr">
        <is>
          <t>HÖGSBY</t>
        </is>
      </c>
      <c r="F4970" t="inlineStr">
        <is>
          <t>Övriga Aktiebolag</t>
        </is>
      </c>
      <c r="G4970" t="n">
        <v>15.2</v>
      </c>
      <c r="H4970" t="n">
        <v>0</v>
      </c>
      <c r="I4970" t="n">
        <v>0</v>
      </c>
      <c r="J4970" t="n">
        <v>0</v>
      </c>
      <c r="K4970" t="n">
        <v>0</v>
      </c>
      <c r="L4970" t="n">
        <v>0</v>
      </c>
      <c r="M4970" t="n">
        <v>0</v>
      </c>
      <c r="N4970" t="n">
        <v>0</v>
      </c>
      <c r="O4970" t="n">
        <v>0</v>
      </c>
      <c r="P4970" t="n">
        <v>0</v>
      </c>
      <c r="Q4970" t="n">
        <v>0</v>
      </c>
      <c r="R4970" s="2" t="inlineStr"/>
    </row>
    <row r="4971" ht="15" customHeight="1">
      <c r="A4971" t="inlineStr">
        <is>
          <t>A 12943-2024</t>
        </is>
      </c>
      <c r="B4971" s="1" t="n">
        <v>45385.47306712963</v>
      </c>
      <c r="C4971" s="1" t="n">
        <v>45884</v>
      </c>
      <c r="D4971" t="inlineStr">
        <is>
          <t>KALMAR LÄN</t>
        </is>
      </c>
      <c r="E4971" t="inlineStr">
        <is>
          <t>NYBRO</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59243-2022</t>
        </is>
      </c>
      <c r="B4972" s="1" t="n">
        <v>44904</v>
      </c>
      <c r="C4972" s="1" t="n">
        <v>45884</v>
      </c>
      <c r="D4972" t="inlineStr">
        <is>
          <t>KALMAR LÄN</t>
        </is>
      </c>
      <c r="E4972" t="inlineStr">
        <is>
          <t>MÖNSTERÅS</t>
        </is>
      </c>
      <c r="G4972" t="n">
        <v>6</v>
      </c>
      <c r="H4972" t="n">
        <v>0</v>
      </c>
      <c r="I4972" t="n">
        <v>0</v>
      </c>
      <c r="J4972" t="n">
        <v>0</v>
      </c>
      <c r="K4972" t="n">
        <v>0</v>
      </c>
      <c r="L4972" t="n">
        <v>0</v>
      </c>
      <c r="M4972" t="n">
        <v>0</v>
      </c>
      <c r="N4972" t="n">
        <v>0</v>
      </c>
      <c r="O4972" t="n">
        <v>0</v>
      </c>
      <c r="P4972" t="n">
        <v>0</v>
      </c>
      <c r="Q4972" t="n">
        <v>0</v>
      </c>
      <c r="R4972" s="2" t="inlineStr"/>
    </row>
    <row r="4973" ht="15" customHeight="1">
      <c r="A4973" t="inlineStr">
        <is>
          <t>A 20621-2022</t>
        </is>
      </c>
      <c r="B4973" s="1" t="n">
        <v>44700.52403935185</v>
      </c>
      <c r="C4973" s="1" t="n">
        <v>45884</v>
      </c>
      <c r="D4973" t="inlineStr">
        <is>
          <t>KALMAR LÄN</t>
        </is>
      </c>
      <c r="E4973" t="inlineStr">
        <is>
          <t>NYBRO</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59764-2022</t>
        </is>
      </c>
      <c r="B4974" s="1" t="n">
        <v>44900</v>
      </c>
      <c r="C4974" s="1" t="n">
        <v>45884</v>
      </c>
      <c r="D4974" t="inlineStr">
        <is>
          <t>KALMAR LÄN</t>
        </is>
      </c>
      <c r="E4974" t="inlineStr">
        <is>
          <t>EMMABODA</t>
        </is>
      </c>
      <c r="G4974" t="n">
        <v>2.8</v>
      </c>
      <c r="H4974" t="n">
        <v>0</v>
      </c>
      <c r="I4974" t="n">
        <v>0</v>
      </c>
      <c r="J4974" t="n">
        <v>0</v>
      </c>
      <c r="K4974" t="n">
        <v>0</v>
      </c>
      <c r="L4974" t="n">
        <v>0</v>
      </c>
      <c r="M4974" t="n">
        <v>0</v>
      </c>
      <c r="N4974" t="n">
        <v>0</v>
      </c>
      <c r="O4974" t="n">
        <v>0</v>
      </c>
      <c r="P4974" t="n">
        <v>0</v>
      </c>
      <c r="Q4974" t="n">
        <v>0</v>
      </c>
      <c r="R4974" s="2" t="inlineStr"/>
    </row>
    <row r="4975" ht="15" customHeight="1">
      <c r="A4975" t="inlineStr">
        <is>
          <t>A 33308-2021</t>
        </is>
      </c>
      <c r="B4975" s="1" t="n">
        <v>44376</v>
      </c>
      <c r="C4975" s="1" t="n">
        <v>45884</v>
      </c>
      <c r="D4975" t="inlineStr">
        <is>
          <t>KALMAR LÄN</t>
        </is>
      </c>
      <c r="E4975" t="inlineStr">
        <is>
          <t>NYBRO</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20396-2025</t>
        </is>
      </c>
      <c r="B4976" s="1" t="n">
        <v>45775</v>
      </c>
      <c r="C4976" s="1" t="n">
        <v>45884</v>
      </c>
      <c r="D4976" t="inlineStr">
        <is>
          <t>KALMAR LÄN</t>
        </is>
      </c>
      <c r="E4976" t="inlineStr">
        <is>
          <t>HÖGSBY</t>
        </is>
      </c>
      <c r="F4976" t="inlineStr">
        <is>
          <t>Sveaskog</t>
        </is>
      </c>
      <c r="G4976" t="n">
        <v>0.2</v>
      </c>
      <c r="H4976" t="n">
        <v>0</v>
      </c>
      <c r="I4976" t="n">
        <v>0</v>
      </c>
      <c r="J4976" t="n">
        <v>0</v>
      </c>
      <c r="K4976" t="n">
        <v>0</v>
      </c>
      <c r="L4976" t="n">
        <v>0</v>
      </c>
      <c r="M4976" t="n">
        <v>0</v>
      </c>
      <c r="N4976" t="n">
        <v>0</v>
      </c>
      <c r="O4976" t="n">
        <v>0</v>
      </c>
      <c r="P4976" t="n">
        <v>0</v>
      </c>
      <c r="Q4976" t="n">
        <v>0</v>
      </c>
      <c r="R4976" s="2" t="inlineStr"/>
    </row>
    <row r="4977" ht="15" customHeight="1">
      <c r="A4977" t="inlineStr">
        <is>
          <t>A 29952-2022</t>
        </is>
      </c>
      <c r="B4977" s="1" t="n">
        <v>44756.62649305556</v>
      </c>
      <c r="C4977" s="1" t="n">
        <v>45884</v>
      </c>
      <c r="D4977" t="inlineStr">
        <is>
          <t>KALMAR LÄN</t>
        </is>
      </c>
      <c r="E4977" t="inlineStr">
        <is>
          <t>VÄSTERVIK</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29957-2022</t>
        </is>
      </c>
      <c r="B4978" s="1" t="n">
        <v>44756.64633101852</v>
      </c>
      <c r="C4978" s="1" t="n">
        <v>45884</v>
      </c>
      <c r="D4978" t="inlineStr">
        <is>
          <t>KALMAR LÄN</t>
        </is>
      </c>
      <c r="E4978" t="inlineStr">
        <is>
          <t>MÖNSTERÅS</t>
        </is>
      </c>
      <c r="G4978" t="n">
        <v>2.5</v>
      </c>
      <c r="H4978" t="n">
        <v>0</v>
      </c>
      <c r="I4978" t="n">
        <v>0</v>
      </c>
      <c r="J4978" t="n">
        <v>0</v>
      </c>
      <c r="K4978" t="n">
        <v>0</v>
      </c>
      <c r="L4978" t="n">
        <v>0</v>
      </c>
      <c r="M4978" t="n">
        <v>0</v>
      </c>
      <c r="N4978" t="n">
        <v>0</v>
      </c>
      <c r="O4978" t="n">
        <v>0</v>
      </c>
      <c r="P4978" t="n">
        <v>0</v>
      </c>
      <c r="Q4978" t="n">
        <v>0</v>
      </c>
      <c r="R4978" s="2" t="inlineStr"/>
    </row>
    <row r="4979" ht="15" customHeight="1">
      <c r="A4979" t="inlineStr">
        <is>
          <t>A 19023-2025</t>
        </is>
      </c>
      <c r="B4979" s="1" t="n">
        <v>45764.62177083334</v>
      </c>
      <c r="C4979" s="1" t="n">
        <v>45884</v>
      </c>
      <c r="D4979" t="inlineStr">
        <is>
          <t>KALMAR LÄN</t>
        </is>
      </c>
      <c r="E4979" t="inlineStr">
        <is>
          <t>MÖNSTERÅS</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19042-2025</t>
        </is>
      </c>
      <c r="B4980" s="1" t="n">
        <v>45764</v>
      </c>
      <c r="C4980" s="1" t="n">
        <v>45884</v>
      </c>
      <c r="D4980" t="inlineStr">
        <is>
          <t>KALMAR LÄN</t>
        </is>
      </c>
      <c r="E4980" t="inlineStr">
        <is>
          <t>KALMAR</t>
        </is>
      </c>
      <c r="G4980" t="n">
        <v>2.1</v>
      </c>
      <c r="H4980" t="n">
        <v>0</v>
      </c>
      <c r="I4980" t="n">
        <v>0</v>
      </c>
      <c r="J4980" t="n">
        <v>0</v>
      </c>
      <c r="K4980" t="n">
        <v>0</v>
      </c>
      <c r="L4980" t="n">
        <v>0</v>
      </c>
      <c r="M4980" t="n">
        <v>0</v>
      </c>
      <c r="N4980" t="n">
        <v>0</v>
      </c>
      <c r="O4980" t="n">
        <v>0</v>
      </c>
      <c r="P4980" t="n">
        <v>0</v>
      </c>
      <c r="Q4980" t="n">
        <v>0</v>
      </c>
      <c r="R4980" s="2" t="inlineStr"/>
    </row>
    <row r="4981" ht="15" customHeight="1">
      <c r="A4981" t="inlineStr">
        <is>
          <t>A 14299-2023</t>
        </is>
      </c>
      <c r="B4981" s="1" t="n">
        <v>45011</v>
      </c>
      <c r="C4981" s="1" t="n">
        <v>45884</v>
      </c>
      <c r="D4981" t="inlineStr">
        <is>
          <t>KALMAR LÄN</t>
        </is>
      </c>
      <c r="E4981" t="inlineStr">
        <is>
          <t>NYBRO</t>
        </is>
      </c>
      <c r="G4981" t="n">
        <v>2.2</v>
      </c>
      <c r="H4981" t="n">
        <v>0</v>
      </c>
      <c r="I4981" t="n">
        <v>0</v>
      </c>
      <c r="J4981" t="n">
        <v>0</v>
      </c>
      <c r="K4981" t="n">
        <v>0</v>
      </c>
      <c r="L4981" t="n">
        <v>0</v>
      </c>
      <c r="M4981" t="n">
        <v>0</v>
      </c>
      <c r="N4981" t="n">
        <v>0</v>
      </c>
      <c r="O4981" t="n">
        <v>0</v>
      </c>
      <c r="P4981" t="n">
        <v>0</v>
      </c>
      <c r="Q4981" t="n">
        <v>0</v>
      </c>
      <c r="R4981" s="2" t="inlineStr"/>
    </row>
    <row r="4982" ht="15" customHeight="1">
      <c r="A4982" t="inlineStr">
        <is>
          <t>A 49415-2024</t>
        </is>
      </c>
      <c r="B4982" s="1" t="n">
        <v>45595.70145833334</v>
      </c>
      <c r="C4982" s="1" t="n">
        <v>45884</v>
      </c>
      <c r="D4982" t="inlineStr">
        <is>
          <t>KALMAR LÄN</t>
        </is>
      </c>
      <c r="E4982" t="inlineStr">
        <is>
          <t>KALMAR</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62197-2022</t>
        </is>
      </c>
      <c r="B4983" s="1" t="n">
        <v>44922.58392361111</v>
      </c>
      <c r="C4983" s="1" t="n">
        <v>45884</v>
      </c>
      <c r="D4983" t="inlineStr">
        <is>
          <t>KALMAR LÄN</t>
        </is>
      </c>
      <c r="E4983" t="inlineStr">
        <is>
          <t>EMMABODA</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54245-2024</t>
        </is>
      </c>
      <c r="B4984" s="1" t="n">
        <v>45616.68453703704</v>
      </c>
      <c r="C4984" s="1" t="n">
        <v>45884</v>
      </c>
      <c r="D4984" t="inlineStr">
        <is>
          <t>KALMAR LÄN</t>
        </is>
      </c>
      <c r="E4984" t="inlineStr">
        <is>
          <t>NYBRO</t>
        </is>
      </c>
      <c r="G4984" t="n">
        <v>10.1</v>
      </c>
      <c r="H4984" t="n">
        <v>0</v>
      </c>
      <c r="I4984" t="n">
        <v>0</v>
      </c>
      <c r="J4984" t="n">
        <v>0</v>
      </c>
      <c r="K4984" t="n">
        <v>0</v>
      </c>
      <c r="L4984" t="n">
        <v>0</v>
      </c>
      <c r="M4984" t="n">
        <v>0</v>
      </c>
      <c r="N4984" t="n">
        <v>0</v>
      </c>
      <c r="O4984" t="n">
        <v>0</v>
      </c>
      <c r="P4984" t="n">
        <v>0</v>
      </c>
      <c r="Q4984" t="n">
        <v>0</v>
      </c>
      <c r="R4984" s="2" t="inlineStr"/>
    </row>
    <row r="4985" ht="15" customHeight="1">
      <c r="A4985" t="inlineStr">
        <is>
          <t>A 55902-2024</t>
        </is>
      </c>
      <c r="B4985" s="1" t="n">
        <v>45622</v>
      </c>
      <c r="C4985" s="1" t="n">
        <v>45884</v>
      </c>
      <c r="D4985" t="inlineStr">
        <is>
          <t>KALMAR LÄN</t>
        </is>
      </c>
      <c r="E4985" t="inlineStr">
        <is>
          <t>HÖGSBY</t>
        </is>
      </c>
      <c r="G4985" t="n">
        <v>8.9</v>
      </c>
      <c r="H4985" t="n">
        <v>0</v>
      </c>
      <c r="I4985" t="n">
        <v>0</v>
      </c>
      <c r="J4985" t="n">
        <v>0</v>
      </c>
      <c r="K4985" t="n">
        <v>0</v>
      </c>
      <c r="L4985" t="n">
        <v>0</v>
      </c>
      <c r="M4985" t="n">
        <v>0</v>
      </c>
      <c r="N4985" t="n">
        <v>0</v>
      </c>
      <c r="O4985" t="n">
        <v>0</v>
      </c>
      <c r="P4985" t="n">
        <v>0</v>
      </c>
      <c r="Q4985" t="n">
        <v>0</v>
      </c>
      <c r="R4985" s="2" t="inlineStr"/>
    </row>
    <row r="4986" ht="15" customHeight="1">
      <c r="A4986" t="inlineStr">
        <is>
          <t>A 5930-2023</t>
        </is>
      </c>
      <c r="B4986" s="1" t="n">
        <v>44963</v>
      </c>
      <c r="C4986" s="1" t="n">
        <v>45884</v>
      </c>
      <c r="D4986" t="inlineStr">
        <is>
          <t>KALMAR LÄN</t>
        </is>
      </c>
      <c r="E4986" t="inlineStr">
        <is>
          <t>KALMAR</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5941-2023</t>
        </is>
      </c>
      <c r="B4987" s="1" t="n">
        <v>44963.84150462963</v>
      </c>
      <c r="C4987" s="1" t="n">
        <v>45884</v>
      </c>
      <c r="D4987" t="inlineStr">
        <is>
          <t>KALMAR LÄN</t>
        </is>
      </c>
      <c r="E4987" t="inlineStr">
        <is>
          <t>KALMAR</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13445-2022</t>
        </is>
      </c>
      <c r="B4988" s="1" t="n">
        <v>44645.61398148148</v>
      </c>
      <c r="C4988" s="1" t="n">
        <v>45884</v>
      </c>
      <c r="D4988" t="inlineStr">
        <is>
          <t>KALMAR LÄN</t>
        </is>
      </c>
      <c r="E4988" t="inlineStr">
        <is>
          <t>NYBRO</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56839-2024</t>
        </is>
      </c>
      <c r="B4989" s="1" t="n">
        <v>45628.51412037037</v>
      </c>
      <c r="C4989" s="1" t="n">
        <v>45884</v>
      </c>
      <c r="D4989" t="inlineStr">
        <is>
          <t>KALMAR LÄN</t>
        </is>
      </c>
      <c r="E4989" t="inlineStr">
        <is>
          <t>MÖNSTERÅS</t>
        </is>
      </c>
      <c r="G4989" t="n">
        <v>5.8</v>
      </c>
      <c r="H4989" t="n">
        <v>0</v>
      </c>
      <c r="I4989" t="n">
        <v>0</v>
      </c>
      <c r="J4989" t="n">
        <v>0</v>
      </c>
      <c r="K4989" t="n">
        <v>0</v>
      </c>
      <c r="L4989" t="n">
        <v>0</v>
      </c>
      <c r="M4989" t="n">
        <v>0</v>
      </c>
      <c r="N4989" t="n">
        <v>0</v>
      </c>
      <c r="O4989" t="n">
        <v>0</v>
      </c>
      <c r="P4989" t="n">
        <v>0</v>
      </c>
      <c r="Q4989" t="n">
        <v>0</v>
      </c>
      <c r="R4989" s="2" t="inlineStr"/>
    </row>
    <row r="4990" ht="15" customHeight="1">
      <c r="A4990" t="inlineStr">
        <is>
          <t>A 56905-2024</t>
        </is>
      </c>
      <c r="B4990" s="1" t="n">
        <v>45628.58701388889</v>
      </c>
      <c r="C4990" s="1" t="n">
        <v>45884</v>
      </c>
      <c r="D4990" t="inlineStr">
        <is>
          <t>KALMAR LÄN</t>
        </is>
      </c>
      <c r="E4990" t="inlineStr">
        <is>
          <t>KALMAR</t>
        </is>
      </c>
      <c r="G4990" t="n">
        <v>1.5</v>
      </c>
      <c r="H4990" t="n">
        <v>0</v>
      </c>
      <c r="I4990" t="n">
        <v>0</v>
      </c>
      <c r="J4990" t="n">
        <v>0</v>
      </c>
      <c r="K4990" t="n">
        <v>0</v>
      </c>
      <c r="L4990" t="n">
        <v>0</v>
      </c>
      <c r="M4990" t="n">
        <v>0</v>
      </c>
      <c r="N4990" t="n">
        <v>0</v>
      </c>
      <c r="O4990" t="n">
        <v>0</v>
      </c>
      <c r="P4990" t="n">
        <v>0</v>
      </c>
      <c r="Q4990" t="n">
        <v>0</v>
      </c>
      <c r="R4990" s="2" t="inlineStr"/>
    </row>
    <row r="4991" ht="15" customHeight="1">
      <c r="A4991" t="inlineStr">
        <is>
          <t>A 56949-2024</t>
        </is>
      </c>
      <c r="B4991" s="1" t="n">
        <v>45625</v>
      </c>
      <c r="C4991" s="1" t="n">
        <v>45884</v>
      </c>
      <c r="D4991" t="inlineStr">
        <is>
          <t>KALMAR LÄN</t>
        </is>
      </c>
      <c r="E4991" t="inlineStr">
        <is>
          <t>EMMABODA</t>
        </is>
      </c>
      <c r="F4991" t="inlineStr">
        <is>
          <t>Kyrkan</t>
        </is>
      </c>
      <c r="G4991" t="n">
        <v>3.1</v>
      </c>
      <c r="H4991" t="n">
        <v>0</v>
      </c>
      <c r="I4991" t="n">
        <v>0</v>
      </c>
      <c r="J4991" t="n">
        <v>0</v>
      </c>
      <c r="K4991" t="n">
        <v>0</v>
      </c>
      <c r="L4991" t="n">
        <v>0</v>
      </c>
      <c r="M4991" t="n">
        <v>0</v>
      </c>
      <c r="N4991" t="n">
        <v>0</v>
      </c>
      <c r="O4991" t="n">
        <v>0</v>
      </c>
      <c r="P4991" t="n">
        <v>0</v>
      </c>
      <c r="Q4991" t="n">
        <v>0</v>
      </c>
      <c r="R4991" s="2" t="inlineStr"/>
    </row>
    <row r="4992" ht="15" customHeight="1">
      <c r="A4992" t="inlineStr">
        <is>
          <t>A 14114-2025</t>
        </is>
      </c>
      <c r="B4992" s="1" t="n">
        <v>45740.45964120371</v>
      </c>
      <c r="C4992" s="1" t="n">
        <v>45884</v>
      </c>
      <c r="D4992" t="inlineStr">
        <is>
          <t>KALMAR LÄN</t>
        </is>
      </c>
      <c r="E4992" t="inlineStr">
        <is>
          <t>VÄSTERVIK</t>
        </is>
      </c>
      <c r="F4992" t="inlineStr">
        <is>
          <t>Sveaskog</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58094-2023</t>
        </is>
      </c>
      <c r="B4993" s="1" t="n">
        <v>45248</v>
      </c>
      <c r="C4993" s="1" t="n">
        <v>45884</v>
      </c>
      <c r="D4993" t="inlineStr">
        <is>
          <t>KALMAR LÄN</t>
        </is>
      </c>
      <c r="E4993" t="inlineStr">
        <is>
          <t>HULTSFRED</t>
        </is>
      </c>
      <c r="G4993" t="n">
        <v>8</v>
      </c>
      <c r="H4993" t="n">
        <v>0</v>
      </c>
      <c r="I4993" t="n">
        <v>0</v>
      </c>
      <c r="J4993" t="n">
        <v>0</v>
      </c>
      <c r="K4993" t="n">
        <v>0</v>
      </c>
      <c r="L4993" t="n">
        <v>0</v>
      </c>
      <c r="M4993" t="n">
        <v>0</v>
      </c>
      <c r="N4993" t="n">
        <v>0</v>
      </c>
      <c r="O4993" t="n">
        <v>0</v>
      </c>
      <c r="P4993" t="n">
        <v>0</v>
      </c>
      <c r="Q4993" t="n">
        <v>0</v>
      </c>
      <c r="R4993" s="2" t="inlineStr"/>
    </row>
    <row r="4994" ht="15" customHeight="1">
      <c r="A4994" t="inlineStr">
        <is>
          <t>A 22740-2024</t>
        </is>
      </c>
      <c r="B4994" s="1" t="n">
        <v>45448.39869212963</v>
      </c>
      <c r="C4994" s="1" t="n">
        <v>45884</v>
      </c>
      <c r="D4994" t="inlineStr">
        <is>
          <t>KALMAR LÄN</t>
        </is>
      </c>
      <c r="E4994" t="inlineStr">
        <is>
          <t>VÄSTERVIK</t>
        </is>
      </c>
      <c r="F4994" t="inlineStr">
        <is>
          <t>Holmen skog AB</t>
        </is>
      </c>
      <c r="G4994" t="n">
        <v>2.5</v>
      </c>
      <c r="H4994" t="n">
        <v>0</v>
      </c>
      <c r="I4994" t="n">
        <v>0</v>
      </c>
      <c r="J4994" t="n">
        <v>0</v>
      </c>
      <c r="K4994" t="n">
        <v>0</v>
      </c>
      <c r="L4994" t="n">
        <v>0</v>
      </c>
      <c r="M4994" t="n">
        <v>0</v>
      </c>
      <c r="N4994" t="n">
        <v>0</v>
      </c>
      <c r="O4994" t="n">
        <v>0</v>
      </c>
      <c r="P4994" t="n">
        <v>0</v>
      </c>
      <c r="Q4994" t="n">
        <v>0</v>
      </c>
      <c r="R4994" s="2" t="inlineStr"/>
    </row>
    <row r="4995" ht="15" customHeight="1">
      <c r="A4995" t="inlineStr">
        <is>
          <t>A 35135-2023</t>
        </is>
      </c>
      <c r="B4995" s="1" t="n">
        <v>45145.52805555556</v>
      </c>
      <c r="C4995" s="1" t="n">
        <v>45884</v>
      </c>
      <c r="D4995" t="inlineStr">
        <is>
          <t>KALMAR LÄN</t>
        </is>
      </c>
      <c r="E4995" t="inlineStr">
        <is>
          <t>MÖNSTERÅS</t>
        </is>
      </c>
      <c r="G4995" t="n">
        <v>5.3</v>
      </c>
      <c r="H4995" t="n">
        <v>0</v>
      </c>
      <c r="I4995" t="n">
        <v>0</v>
      </c>
      <c r="J4995" t="n">
        <v>0</v>
      </c>
      <c r="K4995" t="n">
        <v>0</v>
      </c>
      <c r="L4995" t="n">
        <v>0</v>
      </c>
      <c r="M4995" t="n">
        <v>0</v>
      </c>
      <c r="N4995" t="n">
        <v>0</v>
      </c>
      <c r="O4995" t="n">
        <v>0</v>
      </c>
      <c r="P4995" t="n">
        <v>0</v>
      </c>
      <c r="Q4995" t="n">
        <v>0</v>
      </c>
      <c r="R4995" s="2" t="inlineStr"/>
    </row>
    <row r="4996" ht="15" customHeight="1">
      <c r="A4996" t="inlineStr">
        <is>
          <t>A 58208-2023</t>
        </is>
      </c>
      <c r="B4996" s="1" t="n">
        <v>45250.44482638889</v>
      </c>
      <c r="C4996" s="1" t="n">
        <v>45884</v>
      </c>
      <c r="D4996" t="inlineStr">
        <is>
          <t>KALMAR LÄN</t>
        </is>
      </c>
      <c r="E4996" t="inlineStr">
        <is>
          <t>HULTSFRED</t>
        </is>
      </c>
      <c r="G4996" t="n">
        <v>3.1</v>
      </c>
      <c r="H4996" t="n">
        <v>0</v>
      </c>
      <c r="I4996" t="n">
        <v>0</v>
      </c>
      <c r="J4996" t="n">
        <v>0</v>
      </c>
      <c r="K4996" t="n">
        <v>0</v>
      </c>
      <c r="L4996" t="n">
        <v>0</v>
      </c>
      <c r="M4996" t="n">
        <v>0</v>
      </c>
      <c r="N4996" t="n">
        <v>0</v>
      </c>
      <c r="O4996" t="n">
        <v>0</v>
      </c>
      <c r="P4996" t="n">
        <v>0</v>
      </c>
      <c r="Q4996" t="n">
        <v>0</v>
      </c>
      <c r="R4996" s="2" t="inlineStr"/>
    </row>
    <row r="4997" ht="15" customHeight="1">
      <c r="A4997" t="inlineStr">
        <is>
          <t>A 392-2024</t>
        </is>
      </c>
      <c r="B4997" s="1" t="n">
        <v>45296</v>
      </c>
      <c r="C4997" s="1" t="n">
        <v>45884</v>
      </c>
      <c r="D4997" t="inlineStr">
        <is>
          <t>KALMAR LÄN</t>
        </is>
      </c>
      <c r="E4997" t="inlineStr">
        <is>
          <t>EMMABODA</t>
        </is>
      </c>
      <c r="G4997" t="n">
        <v>1.6</v>
      </c>
      <c r="H4997" t="n">
        <v>0</v>
      </c>
      <c r="I4997" t="n">
        <v>0</v>
      </c>
      <c r="J4997" t="n">
        <v>0</v>
      </c>
      <c r="K4997" t="n">
        <v>0</v>
      </c>
      <c r="L4997" t="n">
        <v>0</v>
      </c>
      <c r="M4997" t="n">
        <v>0</v>
      </c>
      <c r="N4997" t="n">
        <v>0</v>
      </c>
      <c r="O4997" t="n">
        <v>0</v>
      </c>
      <c r="P4997" t="n">
        <v>0</v>
      </c>
      <c r="Q4997" t="n">
        <v>0</v>
      </c>
      <c r="R4997" s="2" t="inlineStr"/>
    </row>
    <row r="4998" ht="15" customHeight="1">
      <c r="A4998" t="inlineStr">
        <is>
          <t>A 7516-2021</t>
        </is>
      </c>
      <c r="B4998" s="1" t="n">
        <v>44239</v>
      </c>
      <c r="C4998" s="1" t="n">
        <v>45884</v>
      </c>
      <c r="D4998" t="inlineStr">
        <is>
          <t>KALMAR LÄN</t>
        </is>
      </c>
      <c r="E4998" t="inlineStr">
        <is>
          <t>EMMABODA</t>
        </is>
      </c>
      <c r="G4998" t="n">
        <v>4.3</v>
      </c>
      <c r="H4998" t="n">
        <v>0</v>
      </c>
      <c r="I4998" t="n">
        <v>0</v>
      </c>
      <c r="J4998" t="n">
        <v>0</v>
      </c>
      <c r="K4998" t="n">
        <v>0</v>
      </c>
      <c r="L4998" t="n">
        <v>0</v>
      </c>
      <c r="M4998" t="n">
        <v>0</v>
      </c>
      <c r="N4998" t="n">
        <v>0</v>
      </c>
      <c r="O4998" t="n">
        <v>0</v>
      </c>
      <c r="P4998" t="n">
        <v>0</v>
      </c>
      <c r="Q4998" t="n">
        <v>0</v>
      </c>
      <c r="R4998" s="2" t="inlineStr"/>
    </row>
    <row r="4999" ht="15" customHeight="1">
      <c r="A4999" t="inlineStr">
        <is>
          <t>A 15162-2023</t>
        </is>
      </c>
      <c r="B4999" s="1" t="n">
        <v>45016.59216435185</v>
      </c>
      <c r="C4999" s="1" t="n">
        <v>45884</v>
      </c>
      <c r="D4999" t="inlineStr">
        <is>
          <t>KALMAR LÄN</t>
        </is>
      </c>
      <c r="E4999" t="inlineStr">
        <is>
          <t>TORSÅS</t>
        </is>
      </c>
      <c r="G4999" t="n">
        <v>1.6</v>
      </c>
      <c r="H4999" t="n">
        <v>0</v>
      </c>
      <c r="I4999" t="n">
        <v>0</v>
      </c>
      <c r="J4999" t="n">
        <v>0</v>
      </c>
      <c r="K4999" t="n">
        <v>0</v>
      </c>
      <c r="L4999" t="n">
        <v>0</v>
      </c>
      <c r="M4999" t="n">
        <v>0</v>
      </c>
      <c r="N4999" t="n">
        <v>0</v>
      </c>
      <c r="O4999" t="n">
        <v>0</v>
      </c>
      <c r="P4999" t="n">
        <v>0</v>
      </c>
      <c r="Q4999" t="n">
        <v>0</v>
      </c>
      <c r="R4999" s="2" t="inlineStr"/>
    </row>
    <row r="5000" ht="15" customHeight="1">
      <c r="A5000" t="inlineStr">
        <is>
          <t>A 33185-2021</t>
        </is>
      </c>
      <c r="B5000" s="1" t="n">
        <v>44376.82413194444</v>
      </c>
      <c r="C5000" s="1" t="n">
        <v>45884</v>
      </c>
      <c r="D5000" t="inlineStr">
        <is>
          <t>KALMAR LÄN</t>
        </is>
      </c>
      <c r="E5000" t="inlineStr">
        <is>
          <t>EMMABODA</t>
        </is>
      </c>
      <c r="G5000" t="n">
        <v>1.9</v>
      </c>
      <c r="H5000" t="n">
        <v>0</v>
      </c>
      <c r="I5000" t="n">
        <v>0</v>
      </c>
      <c r="J5000" t="n">
        <v>0</v>
      </c>
      <c r="K5000" t="n">
        <v>0</v>
      </c>
      <c r="L5000" t="n">
        <v>0</v>
      </c>
      <c r="M5000" t="n">
        <v>0</v>
      </c>
      <c r="N5000" t="n">
        <v>0</v>
      </c>
      <c r="O5000" t="n">
        <v>0</v>
      </c>
      <c r="P5000" t="n">
        <v>0</v>
      </c>
      <c r="Q5000" t="n">
        <v>0</v>
      </c>
      <c r="R5000" s="2" t="inlineStr"/>
    </row>
    <row r="5001" ht="15" customHeight="1">
      <c r="A5001" t="inlineStr">
        <is>
          <t>A 58800-2023</t>
        </is>
      </c>
      <c r="B5001" s="1" t="n">
        <v>45252</v>
      </c>
      <c r="C5001" s="1" t="n">
        <v>45884</v>
      </c>
      <c r="D5001" t="inlineStr">
        <is>
          <t>KALMAR LÄN</t>
        </is>
      </c>
      <c r="E5001" t="inlineStr">
        <is>
          <t>KALMAR</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58804-2023</t>
        </is>
      </c>
      <c r="B5002" s="1" t="n">
        <v>45252.36465277777</v>
      </c>
      <c r="C5002" s="1" t="n">
        <v>45884</v>
      </c>
      <c r="D5002" t="inlineStr">
        <is>
          <t>KALMAR LÄN</t>
        </is>
      </c>
      <c r="E5002" t="inlineStr">
        <is>
          <t>TORSÅS</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29656-2023</t>
        </is>
      </c>
      <c r="B5003" s="1" t="n">
        <v>45107</v>
      </c>
      <c r="C5003" s="1" t="n">
        <v>45884</v>
      </c>
      <c r="D5003" t="inlineStr">
        <is>
          <t>KALMAR LÄN</t>
        </is>
      </c>
      <c r="E5003" t="inlineStr">
        <is>
          <t>BORGHOLM</t>
        </is>
      </c>
      <c r="G5003" t="n">
        <v>4.1</v>
      </c>
      <c r="H5003" t="n">
        <v>0</v>
      </c>
      <c r="I5003" t="n">
        <v>0</v>
      </c>
      <c r="J5003" t="n">
        <v>0</v>
      </c>
      <c r="K5003" t="n">
        <v>0</v>
      </c>
      <c r="L5003" t="n">
        <v>0</v>
      </c>
      <c r="M5003" t="n">
        <v>0</v>
      </c>
      <c r="N5003" t="n">
        <v>0</v>
      </c>
      <c r="O5003" t="n">
        <v>0</v>
      </c>
      <c r="P5003" t="n">
        <v>0</v>
      </c>
      <c r="Q5003" t="n">
        <v>0</v>
      </c>
      <c r="R5003" s="2" t="inlineStr"/>
    </row>
    <row r="5004" ht="15" customHeight="1">
      <c r="A5004" t="inlineStr">
        <is>
          <t>A 15332-2024</t>
        </is>
      </c>
      <c r="B5004" s="1" t="n">
        <v>45400.70824074074</v>
      </c>
      <c r="C5004" s="1" t="n">
        <v>45884</v>
      </c>
      <c r="D5004" t="inlineStr">
        <is>
          <t>KALMAR LÄN</t>
        </is>
      </c>
      <c r="E5004" t="inlineStr">
        <is>
          <t>NYBRO</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10289-2022</t>
        </is>
      </c>
      <c r="B5005" s="1" t="n">
        <v>44622</v>
      </c>
      <c r="C5005" s="1" t="n">
        <v>45884</v>
      </c>
      <c r="D5005" t="inlineStr">
        <is>
          <t>KALMAR LÄN</t>
        </is>
      </c>
      <c r="E5005" t="inlineStr">
        <is>
          <t>NYBRO</t>
        </is>
      </c>
      <c r="G5005" t="n">
        <v>2.5</v>
      </c>
      <c r="H5005" t="n">
        <v>0</v>
      </c>
      <c r="I5005" t="n">
        <v>0</v>
      </c>
      <c r="J5005" t="n">
        <v>0</v>
      </c>
      <c r="K5005" t="n">
        <v>0</v>
      </c>
      <c r="L5005" t="n">
        <v>0</v>
      </c>
      <c r="M5005" t="n">
        <v>0</v>
      </c>
      <c r="N5005" t="n">
        <v>0</v>
      </c>
      <c r="O5005" t="n">
        <v>0</v>
      </c>
      <c r="P5005" t="n">
        <v>0</v>
      </c>
      <c r="Q5005" t="n">
        <v>0</v>
      </c>
      <c r="R5005" s="2" t="inlineStr"/>
    </row>
    <row r="5006" ht="15" customHeight="1">
      <c r="A5006" t="inlineStr">
        <is>
          <t>A 762-2023</t>
        </is>
      </c>
      <c r="B5006" s="1" t="n">
        <v>44931</v>
      </c>
      <c r="C5006" s="1" t="n">
        <v>45884</v>
      </c>
      <c r="D5006" t="inlineStr">
        <is>
          <t>KALMAR LÄN</t>
        </is>
      </c>
      <c r="E5006" t="inlineStr">
        <is>
          <t>MÖNSTERÅS</t>
        </is>
      </c>
      <c r="G5006" t="n">
        <v>8.199999999999999</v>
      </c>
      <c r="H5006" t="n">
        <v>0</v>
      </c>
      <c r="I5006" t="n">
        <v>0</v>
      </c>
      <c r="J5006" t="n">
        <v>0</v>
      </c>
      <c r="K5006" t="n">
        <v>0</v>
      </c>
      <c r="L5006" t="n">
        <v>0</v>
      </c>
      <c r="M5006" t="n">
        <v>0</v>
      </c>
      <c r="N5006" t="n">
        <v>0</v>
      </c>
      <c r="O5006" t="n">
        <v>0</v>
      </c>
      <c r="P5006" t="n">
        <v>0</v>
      </c>
      <c r="Q5006" t="n">
        <v>0</v>
      </c>
      <c r="R5006" s="2" t="inlineStr"/>
    </row>
    <row r="5007" ht="15" customHeight="1">
      <c r="A5007" t="inlineStr">
        <is>
          <t>A 1874-2025</t>
        </is>
      </c>
      <c r="B5007" s="1" t="n">
        <v>45671.61953703704</v>
      </c>
      <c r="C5007" s="1" t="n">
        <v>45884</v>
      </c>
      <c r="D5007" t="inlineStr">
        <is>
          <t>KALMAR LÄN</t>
        </is>
      </c>
      <c r="E5007" t="inlineStr">
        <is>
          <t>VÄSTERVIK</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4463-2022</t>
        </is>
      </c>
      <c r="B5008" s="1" t="n">
        <v>44589</v>
      </c>
      <c r="C5008" s="1" t="n">
        <v>45884</v>
      </c>
      <c r="D5008" t="inlineStr">
        <is>
          <t>KALMAR LÄN</t>
        </is>
      </c>
      <c r="E5008" t="inlineStr">
        <is>
          <t>VÄSTERVIK</t>
        </is>
      </c>
      <c r="F5008" t="inlineStr">
        <is>
          <t>Holmen skog AB</t>
        </is>
      </c>
      <c r="G5008" t="n">
        <v>1.8</v>
      </c>
      <c r="H5008" t="n">
        <v>0</v>
      </c>
      <c r="I5008" t="n">
        <v>0</v>
      </c>
      <c r="J5008" t="n">
        <v>0</v>
      </c>
      <c r="K5008" t="n">
        <v>0</v>
      </c>
      <c r="L5008" t="n">
        <v>0</v>
      </c>
      <c r="M5008" t="n">
        <v>0</v>
      </c>
      <c r="N5008" t="n">
        <v>0</v>
      </c>
      <c r="O5008" t="n">
        <v>0</v>
      </c>
      <c r="P5008" t="n">
        <v>0</v>
      </c>
      <c r="Q5008" t="n">
        <v>0</v>
      </c>
      <c r="R5008" s="2" t="inlineStr"/>
    </row>
    <row r="5009" ht="15" customHeight="1">
      <c r="A5009" t="inlineStr">
        <is>
          <t>A 59275-2023</t>
        </is>
      </c>
      <c r="B5009" s="1" t="n">
        <v>45253</v>
      </c>
      <c r="C5009" s="1" t="n">
        <v>45884</v>
      </c>
      <c r="D5009" t="inlineStr">
        <is>
          <t>KALMAR LÄN</t>
        </is>
      </c>
      <c r="E5009" t="inlineStr">
        <is>
          <t>TORSÅS</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56103-2023</t>
        </is>
      </c>
      <c r="B5010" s="1" t="n">
        <v>45240.54020833333</v>
      </c>
      <c r="C5010" s="1" t="n">
        <v>45884</v>
      </c>
      <c r="D5010" t="inlineStr">
        <is>
          <t>KALMAR LÄN</t>
        </is>
      </c>
      <c r="E5010" t="inlineStr">
        <is>
          <t>NYBRO</t>
        </is>
      </c>
      <c r="G5010" t="n">
        <v>2.8</v>
      </c>
      <c r="H5010" t="n">
        <v>0</v>
      </c>
      <c r="I5010" t="n">
        <v>0</v>
      </c>
      <c r="J5010" t="n">
        <v>0</v>
      </c>
      <c r="K5010" t="n">
        <v>0</v>
      </c>
      <c r="L5010" t="n">
        <v>0</v>
      </c>
      <c r="M5010" t="n">
        <v>0</v>
      </c>
      <c r="N5010" t="n">
        <v>0</v>
      </c>
      <c r="O5010" t="n">
        <v>0</v>
      </c>
      <c r="P5010" t="n">
        <v>0</v>
      </c>
      <c r="Q5010" t="n">
        <v>0</v>
      </c>
      <c r="R5010" s="2" t="inlineStr"/>
    </row>
    <row r="5011" ht="15" customHeight="1">
      <c r="A5011" t="inlineStr">
        <is>
          <t>A 17314-2023</t>
        </is>
      </c>
      <c r="B5011" s="1" t="n">
        <v>45035</v>
      </c>
      <c r="C5011" s="1" t="n">
        <v>45884</v>
      </c>
      <c r="D5011" t="inlineStr">
        <is>
          <t>KALMAR LÄN</t>
        </is>
      </c>
      <c r="E5011" t="inlineStr">
        <is>
          <t>VÄSTERVIK</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13926-2025</t>
        </is>
      </c>
      <c r="B5012" s="1" t="n">
        <v>45737.66273148148</v>
      </c>
      <c r="C5012" s="1" t="n">
        <v>45884</v>
      </c>
      <c r="D5012" t="inlineStr">
        <is>
          <t>KALMAR LÄN</t>
        </is>
      </c>
      <c r="E5012" t="inlineStr">
        <is>
          <t>NYBRO</t>
        </is>
      </c>
      <c r="G5012" t="n">
        <v>2.2</v>
      </c>
      <c r="H5012" t="n">
        <v>0</v>
      </c>
      <c r="I5012" t="n">
        <v>0</v>
      </c>
      <c r="J5012" t="n">
        <v>0</v>
      </c>
      <c r="K5012" t="n">
        <v>0</v>
      </c>
      <c r="L5012" t="n">
        <v>0</v>
      </c>
      <c r="M5012" t="n">
        <v>0</v>
      </c>
      <c r="N5012" t="n">
        <v>0</v>
      </c>
      <c r="O5012" t="n">
        <v>0</v>
      </c>
      <c r="P5012" t="n">
        <v>0</v>
      </c>
      <c r="Q5012" t="n">
        <v>0</v>
      </c>
      <c r="R5012" s="2" t="inlineStr"/>
    </row>
    <row r="5013" ht="15" customHeight="1">
      <c r="A5013" t="inlineStr">
        <is>
          <t>A 52133-2021</t>
        </is>
      </c>
      <c r="B5013" s="1" t="n">
        <v>44462</v>
      </c>
      <c r="C5013" s="1" t="n">
        <v>45884</v>
      </c>
      <c r="D5013" t="inlineStr">
        <is>
          <t>KALMAR LÄN</t>
        </is>
      </c>
      <c r="E5013" t="inlineStr">
        <is>
          <t>NYBRO</t>
        </is>
      </c>
      <c r="G5013" t="n">
        <v>3.1</v>
      </c>
      <c r="H5013" t="n">
        <v>0</v>
      </c>
      <c r="I5013" t="n">
        <v>0</v>
      </c>
      <c r="J5013" t="n">
        <v>0</v>
      </c>
      <c r="K5013" t="n">
        <v>0</v>
      </c>
      <c r="L5013" t="n">
        <v>0</v>
      </c>
      <c r="M5013" t="n">
        <v>0</v>
      </c>
      <c r="N5013" t="n">
        <v>0</v>
      </c>
      <c r="O5013" t="n">
        <v>0</v>
      </c>
      <c r="P5013" t="n">
        <v>0</v>
      </c>
      <c r="Q5013" t="n">
        <v>0</v>
      </c>
      <c r="R5013" s="2" t="inlineStr"/>
    </row>
    <row r="5014" ht="15" customHeight="1">
      <c r="A5014" t="inlineStr">
        <is>
          <t>A 52135-2021</t>
        </is>
      </c>
      <c r="B5014" s="1" t="n">
        <v>44463.49251157408</v>
      </c>
      <c r="C5014" s="1" t="n">
        <v>45884</v>
      </c>
      <c r="D5014" t="inlineStr">
        <is>
          <t>KALMAR LÄN</t>
        </is>
      </c>
      <c r="E5014" t="inlineStr">
        <is>
          <t>NYBRO</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18274-2022</t>
        </is>
      </c>
      <c r="B5015" s="1" t="n">
        <v>44685.48431712963</v>
      </c>
      <c r="C5015" s="1" t="n">
        <v>45884</v>
      </c>
      <c r="D5015" t="inlineStr">
        <is>
          <t>KALMAR LÄN</t>
        </is>
      </c>
      <c r="E5015" t="inlineStr">
        <is>
          <t>HULTSFRED</t>
        </is>
      </c>
      <c r="G5015" t="n">
        <v>5.8</v>
      </c>
      <c r="H5015" t="n">
        <v>0</v>
      </c>
      <c r="I5015" t="n">
        <v>0</v>
      </c>
      <c r="J5015" t="n">
        <v>0</v>
      </c>
      <c r="K5015" t="n">
        <v>0</v>
      </c>
      <c r="L5015" t="n">
        <v>0</v>
      </c>
      <c r="M5015" t="n">
        <v>0</v>
      </c>
      <c r="N5015" t="n">
        <v>0</v>
      </c>
      <c r="O5015" t="n">
        <v>0</v>
      </c>
      <c r="P5015" t="n">
        <v>0</v>
      </c>
      <c r="Q5015" t="n">
        <v>0</v>
      </c>
      <c r="R5015" s="2" t="inlineStr"/>
    </row>
    <row r="5016" ht="15" customHeight="1">
      <c r="A5016" t="inlineStr">
        <is>
          <t>A 41311-2023</t>
        </is>
      </c>
      <c r="B5016" s="1" t="n">
        <v>45174</v>
      </c>
      <c r="C5016" s="1" t="n">
        <v>45884</v>
      </c>
      <c r="D5016" t="inlineStr">
        <is>
          <t>KALMAR LÄN</t>
        </is>
      </c>
      <c r="E5016" t="inlineStr">
        <is>
          <t>VIMMERBY</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51843-2024</t>
        </is>
      </c>
      <c r="B5017" s="1" t="n">
        <v>45607.52395833333</v>
      </c>
      <c r="C5017" s="1" t="n">
        <v>45884</v>
      </c>
      <c r="D5017" t="inlineStr">
        <is>
          <t>KALMAR LÄN</t>
        </is>
      </c>
      <c r="E5017" t="inlineStr">
        <is>
          <t>HULTSFRED</t>
        </is>
      </c>
      <c r="G5017" t="n">
        <v>0.8</v>
      </c>
      <c r="H5017" t="n">
        <v>0</v>
      </c>
      <c r="I5017" t="n">
        <v>0</v>
      </c>
      <c r="J5017" t="n">
        <v>0</v>
      </c>
      <c r="K5017" t="n">
        <v>0</v>
      </c>
      <c r="L5017" t="n">
        <v>0</v>
      </c>
      <c r="M5017" t="n">
        <v>0</v>
      </c>
      <c r="N5017" t="n">
        <v>0</v>
      </c>
      <c r="O5017" t="n">
        <v>0</v>
      </c>
      <c r="P5017" t="n">
        <v>0</v>
      </c>
      <c r="Q5017" t="n">
        <v>0</v>
      </c>
      <c r="R5017" s="2" t="inlineStr"/>
    </row>
    <row r="5018" ht="15" customHeight="1">
      <c r="A5018" t="inlineStr">
        <is>
          <t>A 55131-2024</t>
        </is>
      </c>
      <c r="B5018" s="1" t="n">
        <v>45618</v>
      </c>
      <c r="C5018" s="1" t="n">
        <v>45884</v>
      </c>
      <c r="D5018" t="inlineStr">
        <is>
          <t>KALMAR LÄN</t>
        </is>
      </c>
      <c r="E5018" t="inlineStr">
        <is>
          <t>HULTSFRED</t>
        </is>
      </c>
      <c r="G5018" t="n">
        <v>6.6</v>
      </c>
      <c r="H5018" t="n">
        <v>0</v>
      </c>
      <c r="I5018" t="n">
        <v>0</v>
      </c>
      <c r="J5018" t="n">
        <v>0</v>
      </c>
      <c r="K5018" t="n">
        <v>0</v>
      </c>
      <c r="L5018" t="n">
        <v>0</v>
      </c>
      <c r="M5018" t="n">
        <v>0</v>
      </c>
      <c r="N5018" t="n">
        <v>0</v>
      </c>
      <c r="O5018" t="n">
        <v>0</v>
      </c>
      <c r="P5018" t="n">
        <v>0</v>
      </c>
      <c r="Q5018" t="n">
        <v>0</v>
      </c>
      <c r="R5018" s="2" t="inlineStr"/>
    </row>
    <row r="5019" ht="15" customHeight="1">
      <c r="A5019" t="inlineStr">
        <is>
          <t>A 40375-2021</t>
        </is>
      </c>
      <c r="B5019" s="1" t="n">
        <v>44419</v>
      </c>
      <c r="C5019" s="1" t="n">
        <v>45884</v>
      </c>
      <c r="D5019" t="inlineStr">
        <is>
          <t>KALMAR LÄN</t>
        </is>
      </c>
      <c r="E5019" t="inlineStr">
        <is>
          <t>NYBRO</t>
        </is>
      </c>
      <c r="G5019" t="n">
        <v>3.5</v>
      </c>
      <c r="H5019" t="n">
        <v>0</v>
      </c>
      <c r="I5019" t="n">
        <v>0</v>
      </c>
      <c r="J5019" t="n">
        <v>0</v>
      </c>
      <c r="K5019" t="n">
        <v>0</v>
      </c>
      <c r="L5019" t="n">
        <v>0</v>
      </c>
      <c r="M5019" t="n">
        <v>0</v>
      </c>
      <c r="N5019" t="n">
        <v>0</v>
      </c>
      <c r="O5019" t="n">
        <v>0</v>
      </c>
      <c r="P5019" t="n">
        <v>0</v>
      </c>
      <c r="Q5019" t="n">
        <v>0</v>
      </c>
      <c r="R5019" s="2" t="inlineStr"/>
    </row>
    <row r="5020" ht="15" customHeight="1">
      <c r="A5020" t="inlineStr">
        <is>
          <t>A 6643-2024</t>
        </is>
      </c>
      <c r="B5020" s="1" t="n">
        <v>45341.65902777778</v>
      </c>
      <c r="C5020" s="1" t="n">
        <v>45884</v>
      </c>
      <c r="D5020" t="inlineStr">
        <is>
          <t>KALMAR LÄN</t>
        </is>
      </c>
      <c r="E5020" t="inlineStr">
        <is>
          <t>KALMAR</t>
        </is>
      </c>
      <c r="G5020" t="n">
        <v>3.7</v>
      </c>
      <c r="H5020" t="n">
        <v>0</v>
      </c>
      <c r="I5020" t="n">
        <v>0</v>
      </c>
      <c r="J5020" t="n">
        <v>0</v>
      </c>
      <c r="K5020" t="n">
        <v>0</v>
      </c>
      <c r="L5020" t="n">
        <v>0</v>
      </c>
      <c r="M5020" t="n">
        <v>0</v>
      </c>
      <c r="N5020" t="n">
        <v>0</v>
      </c>
      <c r="O5020" t="n">
        <v>0</v>
      </c>
      <c r="P5020" t="n">
        <v>0</v>
      </c>
      <c r="Q5020" t="n">
        <v>0</v>
      </c>
      <c r="R5020" s="2" t="inlineStr"/>
    </row>
    <row r="5021" ht="15" customHeight="1">
      <c r="A5021" t="inlineStr">
        <is>
          <t>A 45115-2020</t>
        </is>
      </c>
      <c r="B5021" s="1" t="n">
        <v>44083</v>
      </c>
      <c r="C5021" s="1" t="n">
        <v>45884</v>
      </c>
      <c r="D5021" t="inlineStr">
        <is>
          <t>KALMAR LÄN</t>
        </is>
      </c>
      <c r="E5021" t="inlineStr">
        <is>
          <t>NYBRO</t>
        </is>
      </c>
      <c r="F5021" t="inlineStr">
        <is>
          <t>Kyrkan</t>
        </is>
      </c>
      <c r="G5021" t="n">
        <v>6.4</v>
      </c>
      <c r="H5021" t="n">
        <v>0</v>
      </c>
      <c r="I5021" t="n">
        <v>0</v>
      </c>
      <c r="J5021" t="n">
        <v>0</v>
      </c>
      <c r="K5021" t="n">
        <v>0</v>
      </c>
      <c r="L5021" t="n">
        <v>0</v>
      </c>
      <c r="M5021" t="n">
        <v>0</v>
      </c>
      <c r="N5021" t="n">
        <v>0</v>
      </c>
      <c r="O5021" t="n">
        <v>0</v>
      </c>
      <c r="P5021" t="n">
        <v>0</v>
      </c>
      <c r="Q5021" t="n">
        <v>0</v>
      </c>
      <c r="R5021" s="2" t="inlineStr"/>
    </row>
    <row r="5022" ht="15" customHeight="1">
      <c r="A5022" t="inlineStr">
        <is>
          <t>A 5792-2023</t>
        </is>
      </c>
      <c r="B5022" s="1" t="n">
        <v>44963.44769675926</v>
      </c>
      <c r="C5022" s="1" t="n">
        <v>45884</v>
      </c>
      <c r="D5022" t="inlineStr">
        <is>
          <t>KALMAR LÄN</t>
        </is>
      </c>
      <c r="E5022" t="inlineStr">
        <is>
          <t>VIMMERBY</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10303-2025</t>
        </is>
      </c>
      <c r="B5023" s="1" t="n">
        <v>45720.44217592593</v>
      </c>
      <c r="C5023" s="1" t="n">
        <v>45884</v>
      </c>
      <c r="D5023" t="inlineStr">
        <is>
          <t>KALMAR LÄN</t>
        </is>
      </c>
      <c r="E5023" t="inlineStr">
        <is>
          <t>VIMMERBY</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46790-2022</t>
        </is>
      </c>
      <c r="B5024" s="1" t="n">
        <v>44851</v>
      </c>
      <c r="C5024" s="1" t="n">
        <v>45884</v>
      </c>
      <c r="D5024" t="inlineStr">
        <is>
          <t>KALMAR LÄN</t>
        </is>
      </c>
      <c r="E5024" t="inlineStr">
        <is>
          <t>VÄSTERVIK</t>
        </is>
      </c>
      <c r="G5024" t="n">
        <v>9.9</v>
      </c>
      <c r="H5024" t="n">
        <v>0</v>
      </c>
      <c r="I5024" t="n">
        <v>0</v>
      </c>
      <c r="J5024" t="n">
        <v>0</v>
      </c>
      <c r="K5024" t="n">
        <v>0</v>
      </c>
      <c r="L5024" t="n">
        <v>0</v>
      </c>
      <c r="M5024" t="n">
        <v>0</v>
      </c>
      <c r="N5024" t="n">
        <v>0</v>
      </c>
      <c r="O5024" t="n">
        <v>0</v>
      </c>
      <c r="P5024" t="n">
        <v>0</v>
      </c>
      <c r="Q5024" t="n">
        <v>0</v>
      </c>
      <c r="R5024" s="2" t="inlineStr"/>
    </row>
    <row r="5025" ht="15" customHeight="1">
      <c r="A5025" t="inlineStr">
        <is>
          <t>A 36372-2023</t>
        </is>
      </c>
      <c r="B5025" s="1" t="n">
        <v>45152.50440972222</v>
      </c>
      <c r="C5025" s="1" t="n">
        <v>45884</v>
      </c>
      <c r="D5025" t="inlineStr">
        <is>
          <t>KALMAR LÄN</t>
        </is>
      </c>
      <c r="E5025" t="inlineStr">
        <is>
          <t>MÖNSTERÅS</t>
        </is>
      </c>
      <c r="F5025" t="inlineStr">
        <is>
          <t>Kommuner</t>
        </is>
      </c>
      <c r="G5025" t="n">
        <v>4.2</v>
      </c>
      <c r="H5025" t="n">
        <v>0</v>
      </c>
      <c r="I5025" t="n">
        <v>0</v>
      </c>
      <c r="J5025" t="n">
        <v>0</v>
      </c>
      <c r="K5025" t="n">
        <v>0</v>
      </c>
      <c r="L5025" t="n">
        <v>0</v>
      </c>
      <c r="M5025" t="n">
        <v>0</v>
      </c>
      <c r="N5025" t="n">
        <v>0</v>
      </c>
      <c r="O5025" t="n">
        <v>0</v>
      </c>
      <c r="P5025" t="n">
        <v>0</v>
      </c>
      <c r="Q5025" t="n">
        <v>0</v>
      </c>
      <c r="R5025" s="2" t="inlineStr"/>
    </row>
    <row r="5026" ht="15" customHeight="1">
      <c r="A5026" t="inlineStr">
        <is>
          <t>A 73058-2021</t>
        </is>
      </c>
      <c r="B5026" s="1" t="n">
        <v>44550.40824074074</v>
      </c>
      <c r="C5026" s="1" t="n">
        <v>45884</v>
      </c>
      <c r="D5026" t="inlineStr">
        <is>
          <t>KALMAR LÄN</t>
        </is>
      </c>
      <c r="E5026" t="inlineStr">
        <is>
          <t>EMMABODA</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55255-2023</t>
        </is>
      </c>
      <c r="B5027" s="1" t="n">
        <v>45231</v>
      </c>
      <c r="C5027" s="1" t="n">
        <v>45884</v>
      </c>
      <c r="D5027" t="inlineStr">
        <is>
          <t>KALMAR LÄN</t>
        </is>
      </c>
      <c r="E5027" t="inlineStr">
        <is>
          <t>NYBRO</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23202-2023</t>
        </is>
      </c>
      <c r="B5028" s="1" t="n">
        <v>45075</v>
      </c>
      <c r="C5028" s="1" t="n">
        <v>45884</v>
      </c>
      <c r="D5028" t="inlineStr">
        <is>
          <t>KALMAR LÄN</t>
        </is>
      </c>
      <c r="E5028" t="inlineStr">
        <is>
          <t>OSKARSHAMN</t>
        </is>
      </c>
      <c r="G5028" t="n">
        <v>3.5</v>
      </c>
      <c r="H5028" t="n">
        <v>0</v>
      </c>
      <c r="I5028" t="n">
        <v>0</v>
      </c>
      <c r="J5028" t="n">
        <v>0</v>
      </c>
      <c r="K5028" t="n">
        <v>0</v>
      </c>
      <c r="L5028" t="n">
        <v>0</v>
      </c>
      <c r="M5028" t="n">
        <v>0</v>
      </c>
      <c r="N5028" t="n">
        <v>0</v>
      </c>
      <c r="O5028" t="n">
        <v>0</v>
      </c>
      <c r="P5028" t="n">
        <v>0</v>
      </c>
      <c r="Q5028" t="n">
        <v>0</v>
      </c>
      <c r="R5028" s="2" t="inlineStr"/>
    </row>
    <row r="5029" ht="15" customHeight="1">
      <c r="A5029" t="inlineStr">
        <is>
          <t>A 13469-2025</t>
        </is>
      </c>
      <c r="B5029" s="1" t="n">
        <v>45736.40427083334</v>
      </c>
      <c r="C5029" s="1" t="n">
        <v>45884</v>
      </c>
      <c r="D5029" t="inlineStr">
        <is>
          <t>KALMAR LÄN</t>
        </is>
      </c>
      <c r="E5029" t="inlineStr">
        <is>
          <t>OSKARSHAMN</t>
        </is>
      </c>
      <c r="G5029" t="n">
        <v>4.1</v>
      </c>
      <c r="H5029" t="n">
        <v>0</v>
      </c>
      <c r="I5029" t="n">
        <v>0</v>
      </c>
      <c r="J5029" t="n">
        <v>0</v>
      </c>
      <c r="K5029" t="n">
        <v>0</v>
      </c>
      <c r="L5029" t="n">
        <v>0</v>
      </c>
      <c r="M5029" t="n">
        <v>0</v>
      </c>
      <c r="N5029" t="n">
        <v>0</v>
      </c>
      <c r="O5029" t="n">
        <v>0</v>
      </c>
      <c r="P5029" t="n">
        <v>0</v>
      </c>
      <c r="Q5029" t="n">
        <v>0</v>
      </c>
      <c r="R5029" s="2" t="inlineStr"/>
    </row>
    <row r="5030" ht="15" customHeight="1">
      <c r="A5030" t="inlineStr">
        <is>
          <t>A 52752-2024</t>
        </is>
      </c>
      <c r="B5030" s="1" t="n">
        <v>45610.49638888889</v>
      </c>
      <c r="C5030" s="1" t="n">
        <v>45884</v>
      </c>
      <c r="D5030" t="inlineStr">
        <is>
          <t>KALMAR LÄN</t>
        </is>
      </c>
      <c r="E5030" t="inlineStr">
        <is>
          <t>NYBRO</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16273-2025</t>
        </is>
      </c>
      <c r="B5031" s="1" t="n">
        <v>45750.91766203703</v>
      </c>
      <c r="C5031" s="1" t="n">
        <v>45884</v>
      </c>
      <c r="D5031" t="inlineStr">
        <is>
          <t>KALMAR LÄN</t>
        </is>
      </c>
      <c r="E5031" t="inlineStr">
        <is>
          <t>EMMABODA</t>
        </is>
      </c>
      <c r="G5031" t="n">
        <v>4.1</v>
      </c>
      <c r="H5031" t="n">
        <v>0</v>
      </c>
      <c r="I5031" t="n">
        <v>0</v>
      </c>
      <c r="J5031" t="n">
        <v>0</v>
      </c>
      <c r="K5031" t="n">
        <v>0</v>
      </c>
      <c r="L5031" t="n">
        <v>0</v>
      </c>
      <c r="M5031" t="n">
        <v>0</v>
      </c>
      <c r="N5031" t="n">
        <v>0</v>
      </c>
      <c r="O5031" t="n">
        <v>0</v>
      </c>
      <c r="P5031" t="n">
        <v>0</v>
      </c>
      <c r="Q5031" t="n">
        <v>0</v>
      </c>
      <c r="R5031" s="2" t="inlineStr"/>
    </row>
    <row r="5032" ht="15" customHeight="1">
      <c r="A5032" t="inlineStr">
        <is>
          <t>A 6012-2024</t>
        </is>
      </c>
      <c r="B5032" s="1" t="n">
        <v>45336</v>
      </c>
      <c r="C5032" s="1" t="n">
        <v>45884</v>
      </c>
      <c r="D5032" t="inlineStr">
        <is>
          <t>KALMAR LÄN</t>
        </is>
      </c>
      <c r="E5032" t="inlineStr">
        <is>
          <t>KALMAR</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26318-2023</t>
        </is>
      </c>
      <c r="B5033" s="1" t="n">
        <v>45091.67936342592</v>
      </c>
      <c r="C5033" s="1" t="n">
        <v>45884</v>
      </c>
      <c r="D5033" t="inlineStr">
        <is>
          <t>KALMAR LÄN</t>
        </is>
      </c>
      <c r="E5033" t="inlineStr">
        <is>
          <t>VIMMERBY</t>
        </is>
      </c>
      <c r="G5033" t="n">
        <v>3.8</v>
      </c>
      <c r="H5033" t="n">
        <v>0</v>
      </c>
      <c r="I5033" t="n">
        <v>0</v>
      </c>
      <c r="J5033" t="n">
        <v>0</v>
      </c>
      <c r="K5033" t="n">
        <v>0</v>
      </c>
      <c r="L5033" t="n">
        <v>0</v>
      </c>
      <c r="M5033" t="n">
        <v>0</v>
      </c>
      <c r="N5033" t="n">
        <v>0</v>
      </c>
      <c r="O5033" t="n">
        <v>0</v>
      </c>
      <c r="P5033" t="n">
        <v>0</v>
      </c>
      <c r="Q5033" t="n">
        <v>0</v>
      </c>
      <c r="R5033" s="2" t="inlineStr"/>
    </row>
    <row r="5034" ht="15" customHeight="1">
      <c r="A5034" t="inlineStr">
        <is>
          <t>A 61649-2022</t>
        </is>
      </c>
      <c r="B5034" s="1" t="n">
        <v>44916.90010416666</v>
      </c>
      <c r="C5034" s="1" t="n">
        <v>45884</v>
      </c>
      <c r="D5034" t="inlineStr">
        <is>
          <t>KALMAR LÄN</t>
        </is>
      </c>
      <c r="E5034" t="inlineStr">
        <is>
          <t>VÄSTERVIK</t>
        </is>
      </c>
      <c r="F5034" t="inlineStr">
        <is>
          <t>Holmen skog AB</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60110-2022</t>
        </is>
      </c>
      <c r="B5035" s="1" t="n">
        <v>44909</v>
      </c>
      <c r="C5035" s="1" t="n">
        <v>45884</v>
      </c>
      <c r="D5035" t="inlineStr">
        <is>
          <t>KALMAR LÄN</t>
        </is>
      </c>
      <c r="E5035" t="inlineStr">
        <is>
          <t>VIMMERBY</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23437-2023</t>
        </is>
      </c>
      <c r="B5036" s="1" t="n">
        <v>45076.58376157407</v>
      </c>
      <c r="C5036" s="1" t="n">
        <v>45884</v>
      </c>
      <c r="D5036" t="inlineStr">
        <is>
          <t>KALMAR LÄN</t>
        </is>
      </c>
      <c r="E5036" t="inlineStr">
        <is>
          <t>EMMABODA</t>
        </is>
      </c>
      <c r="G5036" t="n">
        <v>2.4</v>
      </c>
      <c r="H5036" t="n">
        <v>0</v>
      </c>
      <c r="I5036" t="n">
        <v>0</v>
      </c>
      <c r="J5036" t="n">
        <v>0</v>
      </c>
      <c r="K5036" t="n">
        <v>0</v>
      </c>
      <c r="L5036" t="n">
        <v>0</v>
      </c>
      <c r="M5036" t="n">
        <v>0</v>
      </c>
      <c r="N5036" t="n">
        <v>0</v>
      </c>
      <c r="O5036" t="n">
        <v>0</v>
      </c>
      <c r="P5036" t="n">
        <v>0</v>
      </c>
      <c r="Q5036" t="n">
        <v>0</v>
      </c>
      <c r="R5036" s="2" t="inlineStr"/>
    </row>
    <row r="5037" ht="15" customHeight="1">
      <c r="A5037" t="inlineStr">
        <is>
          <t>A 949-2024</t>
        </is>
      </c>
      <c r="B5037" s="1" t="n">
        <v>45301</v>
      </c>
      <c r="C5037" s="1" t="n">
        <v>45884</v>
      </c>
      <c r="D5037" t="inlineStr">
        <is>
          <t>KALMAR LÄN</t>
        </is>
      </c>
      <c r="E5037" t="inlineStr">
        <is>
          <t>VÄSTERVIK</t>
        </is>
      </c>
      <c r="G5037" t="n">
        <v>2.3</v>
      </c>
      <c r="H5037" t="n">
        <v>0</v>
      </c>
      <c r="I5037" t="n">
        <v>0</v>
      </c>
      <c r="J5037" t="n">
        <v>0</v>
      </c>
      <c r="K5037" t="n">
        <v>0</v>
      </c>
      <c r="L5037" t="n">
        <v>0</v>
      </c>
      <c r="M5037" t="n">
        <v>0</v>
      </c>
      <c r="N5037" t="n">
        <v>0</v>
      </c>
      <c r="O5037" t="n">
        <v>0</v>
      </c>
      <c r="P5037" t="n">
        <v>0</v>
      </c>
      <c r="Q5037" t="n">
        <v>0</v>
      </c>
      <c r="R5037" s="2" t="inlineStr"/>
    </row>
    <row r="5038" ht="15" customHeight="1">
      <c r="A5038" t="inlineStr">
        <is>
          <t>A 10907-2021</t>
        </is>
      </c>
      <c r="B5038" s="1" t="n">
        <v>44259</v>
      </c>
      <c r="C5038" s="1" t="n">
        <v>45884</v>
      </c>
      <c r="D5038" t="inlineStr">
        <is>
          <t>KALMAR LÄN</t>
        </is>
      </c>
      <c r="E5038" t="inlineStr">
        <is>
          <t>TORSÅS</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7360-2023</t>
        </is>
      </c>
      <c r="B5039" s="1" t="n">
        <v>44971</v>
      </c>
      <c r="C5039" s="1" t="n">
        <v>45884</v>
      </c>
      <c r="D5039" t="inlineStr">
        <is>
          <t>KALMAR LÄN</t>
        </is>
      </c>
      <c r="E5039" t="inlineStr">
        <is>
          <t>VÄSTERVIK</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47502-2023</t>
        </is>
      </c>
      <c r="B5040" s="1" t="n">
        <v>45203.26586805555</v>
      </c>
      <c r="C5040" s="1" t="n">
        <v>45884</v>
      </c>
      <c r="D5040" t="inlineStr">
        <is>
          <t>KALMAR LÄN</t>
        </is>
      </c>
      <c r="E5040" t="inlineStr">
        <is>
          <t>HÖGSBY</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47571-2023</t>
        </is>
      </c>
      <c r="B5041" s="1" t="n">
        <v>45203</v>
      </c>
      <c r="C5041" s="1" t="n">
        <v>45884</v>
      </c>
      <c r="D5041" t="inlineStr">
        <is>
          <t>KALMAR LÄN</t>
        </is>
      </c>
      <c r="E5041" t="inlineStr">
        <is>
          <t>HÖGSBY</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3753-2025</t>
        </is>
      </c>
      <c r="B5042" s="1" t="n">
        <v>45681.58489583333</v>
      </c>
      <c r="C5042" s="1" t="n">
        <v>45884</v>
      </c>
      <c r="D5042" t="inlineStr">
        <is>
          <t>KALMAR LÄN</t>
        </is>
      </c>
      <c r="E5042" t="inlineStr">
        <is>
          <t>HULTSFRED</t>
        </is>
      </c>
      <c r="G5042" t="n">
        <v>2.3</v>
      </c>
      <c r="H5042" t="n">
        <v>0</v>
      </c>
      <c r="I5042" t="n">
        <v>0</v>
      </c>
      <c r="J5042" t="n">
        <v>0</v>
      </c>
      <c r="K5042" t="n">
        <v>0</v>
      </c>
      <c r="L5042" t="n">
        <v>0</v>
      </c>
      <c r="M5042" t="n">
        <v>0</v>
      </c>
      <c r="N5042" t="n">
        <v>0</v>
      </c>
      <c r="O5042" t="n">
        <v>0</v>
      </c>
      <c r="P5042" t="n">
        <v>0</v>
      </c>
      <c r="Q5042" t="n">
        <v>0</v>
      </c>
      <c r="R5042" s="2" t="inlineStr"/>
    </row>
    <row r="5043" ht="15" customHeight="1">
      <c r="A5043" t="inlineStr">
        <is>
          <t>A 3762-2025</t>
        </is>
      </c>
      <c r="B5043" s="1" t="n">
        <v>45681.59599537037</v>
      </c>
      <c r="C5043" s="1" t="n">
        <v>45884</v>
      </c>
      <c r="D5043" t="inlineStr">
        <is>
          <t>KALMAR LÄN</t>
        </is>
      </c>
      <c r="E5043" t="inlineStr">
        <is>
          <t>HULTSFRED</t>
        </is>
      </c>
      <c r="G5043" t="n">
        <v>2.1</v>
      </c>
      <c r="H5043" t="n">
        <v>0</v>
      </c>
      <c r="I5043" t="n">
        <v>0</v>
      </c>
      <c r="J5043" t="n">
        <v>0</v>
      </c>
      <c r="K5043" t="n">
        <v>0</v>
      </c>
      <c r="L5043" t="n">
        <v>0</v>
      </c>
      <c r="M5043" t="n">
        <v>0</v>
      </c>
      <c r="N5043" t="n">
        <v>0</v>
      </c>
      <c r="O5043" t="n">
        <v>0</v>
      </c>
      <c r="P5043" t="n">
        <v>0</v>
      </c>
      <c r="Q5043" t="n">
        <v>0</v>
      </c>
      <c r="R5043" s="2" t="inlineStr"/>
    </row>
    <row r="5044" ht="15" customHeight="1">
      <c r="A5044" t="inlineStr">
        <is>
          <t>A 54468-2023</t>
        </is>
      </c>
      <c r="B5044" s="1" t="n">
        <v>45233.461875</v>
      </c>
      <c r="C5044" s="1" t="n">
        <v>45884</v>
      </c>
      <c r="D5044" t="inlineStr">
        <is>
          <t>KALMAR LÄN</t>
        </is>
      </c>
      <c r="E5044" t="inlineStr">
        <is>
          <t>KALMAR</t>
        </is>
      </c>
      <c r="G5044" t="n">
        <v>2.2</v>
      </c>
      <c r="H5044" t="n">
        <v>0</v>
      </c>
      <c r="I5044" t="n">
        <v>0</v>
      </c>
      <c r="J5044" t="n">
        <v>0</v>
      </c>
      <c r="K5044" t="n">
        <v>0</v>
      </c>
      <c r="L5044" t="n">
        <v>0</v>
      </c>
      <c r="M5044" t="n">
        <v>0</v>
      </c>
      <c r="N5044" t="n">
        <v>0</v>
      </c>
      <c r="O5044" t="n">
        <v>0</v>
      </c>
      <c r="P5044" t="n">
        <v>0</v>
      </c>
      <c r="Q5044" t="n">
        <v>0</v>
      </c>
      <c r="R5044" s="2" t="inlineStr"/>
    </row>
    <row r="5045" ht="15" customHeight="1">
      <c r="A5045" t="inlineStr">
        <is>
          <t>A 20112-2023</t>
        </is>
      </c>
      <c r="B5045" s="1" t="n">
        <v>45055.32497685185</v>
      </c>
      <c r="C5045" s="1" t="n">
        <v>45884</v>
      </c>
      <c r="D5045" t="inlineStr">
        <is>
          <t>KALMAR LÄN</t>
        </is>
      </c>
      <c r="E5045" t="inlineStr">
        <is>
          <t>NYBRO</t>
        </is>
      </c>
      <c r="G5045" t="n">
        <v>2.7</v>
      </c>
      <c r="H5045" t="n">
        <v>0</v>
      </c>
      <c r="I5045" t="n">
        <v>0</v>
      </c>
      <c r="J5045" t="n">
        <v>0</v>
      </c>
      <c r="K5045" t="n">
        <v>0</v>
      </c>
      <c r="L5045" t="n">
        <v>0</v>
      </c>
      <c r="M5045" t="n">
        <v>0</v>
      </c>
      <c r="N5045" t="n">
        <v>0</v>
      </c>
      <c r="O5045" t="n">
        <v>0</v>
      </c>
      <c r="P5045" t="n">
        <v>0</v>
      </c>
      <c r="Q5045" t="n">
        <v>0</v>
      </c>
      <c r="R5045" s="2" t="inlineStr"/>
    </row>
    <row r="5046" ht="15" customHeight="1">
      <c r="A5046" t="inlineStr">
        <is>
          <t>A 12959-2024</t>
        </is>
      </c>
      <c r="B5046" s="1" t="n">
        <v>45385.48972222222</v>
      </c>
      <c r="C5046" s="1" t="n">
        <v>45884</v>
      </c>
      <c r="D5046" t="inlineStr">
        <is>
          <t>KALMAR LÄN</t>
        </is>
      </c>
      <c r="E5046" t="inlineStr">
        <is>
          <t>EMMABODA</t>
        </is>
      </c>
      <c r="G5046" t="n">
        <v>2.4</v>
      </c>
      <c r="H5046" t="n">
        <v>0</v>
      </c>
      <c r="I5046" t="n">
        <v>0</v>
      </c>
      <c r="J5046" t="n">
        <v>0</v>
      </c>
      <c r="K5046" t="n">
        <v>0</v>
      </c>
      <c r="L5046" t="n">
        <v>0</v>
      </c>
      <c r="M5046" t="n">
        <v>0</v>
      </c>
      <c r="N5046" t="n">
        <v>0</v>
      </c>
      <c r="O5046" t="n">
        <v>0</v>
      </c>
      <c r="P5046" t="n">
        <v>0</v>
      </c>
      <c r="Q5046" t="n">
        <v>0</v>
      </c>
      <c r="R5046" s="2" t="inlineStr"/>
    </row>
    <row r="5047" ht="15" customHeight="1">
      <c r="A5047" t="inlineStr">
        <is>
          <t>A 60483-2024</t>
        </is>
      </c>
      <c r="B5047" s="1" t="n">
        <v>45643.63751157407</v>
      </c>
      <c r="C5047" s="1" t="n">
        <v>45884</v>
      </c>
      <c r="D5047" t="inlineStr">
        <is>
          <t>KALMAR LÄN</t>
        </is>
      </c>
      <c r="E5047" t="inlineStr">
        <is>
          <t>VÄSTERVIK</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15394-2025</t>
        </is>
      </c>
      <c r="B5048" s="1" t="n">
        <v>45747.43196759259</v>
      </c>
      <c r="C5048" s="1" t="n">
        <v>45884</v>
      </c>
      <c r="D5048" t="inlineStr">
        <is>
          <t>KALMAR LÄN</t>
        </is>
      </c>
      <c r="E5048" t="inlineStr">
        <is>
          <t>VIMMERBY</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26451-2024</t>
        </is>
      </c>
      <c r="B5049" s="1" t="n">
        <v>45469.51068287037</v>
      </c>
      <c r="C5049" s="1" t="n">
        <v>45884</v>
      </c>
      <c r="D5049" t="inlineStr">
        <is>
          <t>KALMAR LÄN</t>
        </is>
      </c>
      <c r="E5049" t="inlineStr">
        <is>
          <t>OSKARSHAMN</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32242-2022</t>
        </is>
      </c>
      <c r="B5050" s="1" t="n">
        <v>44781</v>
      </c>
      <c r="C5050" s="1" t="n">
        <v>45884</v>
      </c>
      <c r="D5050" t="inlineStr">
        <is>
          <t>KALMAR LÄN</t>
        </is>
      </c>
      <c r="E5050" t="inlineStr">
        <is>
          <t>EMMABODA</t>
        </is>
      </c>
      <c r="G5050" t="n">
        <v>2.4</v>
      </c>
      <c r="H5050" t="n">
        <v>0</v>
      </c>
      <c r="I5050" t="n">
        <v>0</v>
      </c>
      <c r="J5050" t="n">
        <v>0</v>
      </c>
      <c r="K5050" t="n">
        <v>0</v>
      </c>
      <c r="L5050" t="n">
        <v>0</v>
      </c>
      <c r="M5050" t="n">
        <v>0</v>
      </c>
      <c r="N5050" t="n">
        <v>0</v>
      </c>
      <c r="O5050" t="n">
        <v>0</v>
      </c>
      <c r="P5050" t="n">
        <v>0</v>
      </c>
      <c r="Q5050" t="n">
        <v>0</v>
      </c>
      <c r="R5050" s="2" t="inlineStr"/>
    </row>
    <row r="5051" ht="15" customHeight="1">
      <c r="A5051" t="inlineStr">
        <is>
          <t>A 59284-2021</t>
        </is>
      </c>
      <c r="B5051" s="1" t="n">
        <v>44490.75412037037</v>
      </c>
      <c r="C5051" s="1" t="n">
        <v>45884</v>
      </c>
      <c r="D5051" t="inlineStr">
        <is>
          <t>KALMAR LÄN</t>
        </is>
      </c>
      <c r="E5051" t="inlineStr">
        <is>
          <t>TORSÅS</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15388-2025</t>
        </is>
      </c>
      <c r="B5052" s="1" t="n">
        <v>45747.42633101852</v>
      </c>
      <c r="C5052" s="1" t="n">
        <v>45884</v>
      </c>
      <c r="D5052" t="inlineStr">
        <is>
          <t>KALMAR LÄN</t>
        </is>
      </c>
      <c r="E5052" t="inlineStr">
        <is>
          <t>VIMMERBY</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15391-2025</t>
        </is>
      </c>
      <c r="B5053" s="1" t="n">
        <v>45747.42958333333</v>
      </c>
      <c r="C5053" s="1" t="n">
        <v>45884</v>
      </c>
      <c r="D5053" t="inlineStr">
        <is>
          <t>KALMAR LÄN</t>
        </is>
      </c>
      <c r="E5053" t="inlineStr">
        <is>
          <t>VIMMERBY</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8656-2022</t>
        </is>
      </c>
      <c r="B5054" s="1" t="n">
        <v>44613</v>
      </c>
      <c r="C5054" s="1" t="n">
        <v>45884</v>
      </c>
      <c r="D5054" t="inlineStr">
        <is>
          <t>KALMAR LÄN</t>
        </is>
      </c>
      <c r="E5054" t="inlineStr">
        <is>
          <t>OSKARSHAMN</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5079-2025</t>
        </is>
      </c>
      <c r="B5055" s="1" t="n">
        <v>45691.50069444445</v>
      </c>
      <c r="C5055" s="1" t="n">
        <v>45884</v>
      </c>
      <c r="D5055" t="inlineStr">
        <is>
          <t>KALMAR LÄN</t>
        </is>
      </c>
      <c r="E5055" t="inlineStr">
        <is>
          <t>VÄSTERVIK</t>
        </is>
      </c>
      <c r="F5055" t="inlineStr">
        <is>
          <t>Holmen skog AB</t>
        </is>
      </c>
      <c r="G5055" t="n">
        <v>3.3</v>
      </c>
      <c r="H5055" t="n">
        <v>0</v>
      </c>
      <c r="I5055" t="n">
        <v>0</v>
      </c>
      <c r="J5055" t="n">
        <v>0</v>
      </c>
      <c r="K5055" t="n">
        <v>0</v>
      </c>
      <c r="L5055" t="n">
        <v>0</v>
      </c>
      <c r="M5055" t="n">
        <v>0</v>
      </c>
      <c r="N5055" t="n">
        <v>0</v>
      </c>
      <c r="O5055" t="n">
        <v>0</v>
      </c>
      <c r="P5055" t="n">
        <v>0</v>
      </c>
      <c r="Q5055" t="n">
        <v>0</v>
      </c>
      <c r="R5055" s="2" t="inlineStr"/>
    </row>
    <row r="5056" ht="15" customHeight="1">
      <c r="A5056" t="inlineStr">
        <is>
          <t>A 25783-2024</t>
        </is>
      </c>
      <c r="B5056" s="1" t="n">
        <v>45466.85056712963</v>
      </c>
      <c r="C5056" s="1" t="n">
        <v>45884</v>
      </c>
      <c r="D5056" t="inlineStr">
        <is>
          <t>KALMAR LÄN</t>
        </is>
      </c>
      <c r="E5056" t="inlineStr">
        <is>
          <t>EMMABODA</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32764-2022</t>
        </is>
      </c>
      <c r="B5057" s="1" t="n">
        <v>44783</v>
      </c>
      <c r="C5057" s="1" t="n">
        <v>45884</v>
      </c>
      <c r="D5057" t="inlineStr">
        <is>
          <t>KALMAR LÄN</t>
        </is>
      </c>
      <c r="E5057" t="inlineStr">
        <is>
          <t>VÄSTERVIK</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15200-2025</t>
        </is>
      </c>
      <c r="B5058" s="1" t="n">
        <v>45744.56760416667</v>
      </c>
      <c r="C5058" s="1" t="n">
        <v>45884</v>
      </c>
      <c r="D5058" t="inlineStr">
        <is>
          <t>KALMAR LÄN</t>
        </is>
      </c>
      <c r="E5058" t="inlineStr">
        <is>
          <t>NYBRO</t>
        </is>
      </c>
      <c r="G5058" t="n">
        <v>6</v>
      </c>
      <c r="H5058" t="n">
        <v>0</v>
      </c>
      <c r="I5058" t="n">
        <v>0</v>
      </c>
      <c r="J5058" t="n">
        <v>0</v>
      </c>
      <c r="K5058" t="n">
        <v>0</v>
      </c>
      <c r="L5058" t="n">
        <v>0</v>
      </c>
      <c r="M5058" t="n">
        <v>0</v>
      </c>
      <c r="N5058" t="n">
        <v>0</v>
      </c>
      <c r="O5058" t="n">
        <v>0</v>
      </c>
      <c r="P5058" t="n">
        <v>0</v>
      </c>
      <c r="Q5058" t="n">
        <v>0</v>
      </c>
      <c r="R5058" s="2" t="inlineStr"/>
    </row>
    <row r="5059" ht="15" customHeight="1">
      <c r="A5059" t="inlineStr">
        <is>
          <t>A 610-2021</t>
        </is>
      </c>
      <c r="B5059" s="1" t="n">
        <v>44203.61291666667</v>
      </c>
      <c r="C5059" s="1" t="n">
        <v>45884</v>
      </c>
      <c r="D5059" t="inlineStr">
        <is>
          <t>KALMAR LÄN</t>
        </is>
      </c>
      <c r="E5059" t="inlineStr">
        <is>
          <t>EMMABODA</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9101-2025</t>
        </is>
      </c>
      <c r="B5060" s="1" t="n">
        <v>45713</v>
      </c>
      <c r="C5060" s="1" t="n">
        <v>45884</v>
      </c>
      <c r="D5060" t="inlineStr">
        <is>
          <t>KALMAR LÄN</t>
        </is>
      </c>
      <c r="E5060" t="inlineStr">
        <is>
          <t>NYBRO</t>
        </is>
      </c>
      <c r="G5060" t="n">
        <v>2.3</v>
      </c>
      <c r="H5060" t="n">
        <v>0</v>
      </c>
      <c r="I5060" t="n">
        <v>0</v>
      </c>
      <c r="J5060" t="n">
        <v>0</v>
      </c>
      <c r="K5060" t="n">
        <v>0</v>
      </c>
      <c r="L5060" t="n">
        <v>0</v>
      </c>
      <c r="M5060" t="n">
        <v>0</v>
      </c>
      <c r="N5060" t="n">
        <v>0</v>
      </c>
      <c r="O5060" t="n">
        <v>0</v>
      </c>
      <c r="P5060" t="n">
        <v>0</v>
      </c>
      <c r="Q5060" t="n">
        <v>0</v>
      </c>
      <c r="R5060" s="2" t="inlineStr"/>
    </row>
    <row r="5061" ht="15" customHeight="1">
      <c r="A5061" t="inlineStr">
        <is>
          <t>A 9138-2025</t>
        </is>
      </c>
      <c r="B5061" s="1" t="n">
        <v>45714.28113425926</v>
      </c>
      <c r="C5061" s="1" t="n">
        <v>45884</v>
      </c>
      <c r="D5061" t="inlineStr">
        <is>
          <t>KALMAR LÄN</t>
        </is>
      </c>
      <c r="E5061" t="inlineStr">
        <is>
          <t>NYBRO</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49912-2022</t>
        </is>
      </c>
      <c r="B5062" s="1" t="n">
        <v>44865</v>
      </c>
      <c r="C5062" s="1" t="n">
        <v>45884</v>
      </c>
      <c r="D5062" t="inlineStr">
        <is>
          <t>KALMAR LÄN</t>
        </is>
      </c>
      <c r="E5062" t="inlineStr">
        <is>
          <t>NYBRO</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9650-2021</t>
        </is>
      </c>
      <c r="B5063" s="1" t="n">
        <v>44252</v>
      </c>
      <c r="C5063" s="1" t="n">
        <v>45884</v>
      </c>
      <c r="D5063" t="inlineStr">
        <is>
          <t>KALMAR LÄN</t>
        </is>
      </c>
      <c r="E5063" t="inlineStr">
        <is>
          <t>HULTSFRED</t>
        </is>
      </c>
      <c r="F5063" t="inlineStr">
        <is>
          <t>Sveaskog</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13954-2021</t>
        </is>
      </c>
      <c r="B5064" s="1" t="n">
        <v>44277</v>
      </c>
      <c r="C5064" s="1" t="n">
        <v>45884</v>
      </c>
      <c r="D5064" t="inlineStr">
        <is>
          <t>KALMAR LÄN</t>
        </is>
      </c>
      <c r="E5064" t="inlineStr">
        <is>
          <t>TORSÅS</t>
        </is>
      </c>
      <c r="G5064" t="n">
        <v>8</v>
      </c>
      <c r="H5064" t="n">
        <v>0</v>
      </c>
      <c r="I5064" t="n">
        <v>0</v>
      </c>
      <c r="J5064" t="n">
        <v>0</v>
      </c>
      <c r="K5064" t="n">
        <v>0</v>
      </c>
      <c r="L5064" t="n">
        <v>0</v>
      </c>
      <c r="M5064" t="n">
        <v>0</v>
      </c>
      <c r="N5064" t="n">
        <v>0</v>
      </c>
      <c r="O5064" t="n">
        <v>0</v>
      </c>
      <c r="P5064" t="n">
        <v>0</v>
      </c>
      <c r="Q5064" t="n">
        <v>0</v>
      </c>
      <c r="R5064" s="2" t="inlineStr"/>
    </row>
    <row r="5065" ht="15" customHeight="1">
      <c r="A5065" t="inlineStr">
        <is>
          <t>A 14123-2021</t>
        </is>
      </c>
      <c r="B5065" s="1" t="n">
        <v>44278.36359953704</v>
      </c>
      <c r="C5065" s="1" t="n">
        <v>45884</v>
      </c>
      <c r="D5065" t="inlineStr">
        <is>
          <t>KALMAR LÄN</t>
        </is>
      </c>
      <c r="E5065" t="inlineStr">
        <is>
          <t>EMMABODA</t>
        </is>
      </c>
      <c r="G5065" t="n">
        <v>1.9</v>
      </c>
      <c r="H5065" t="n">
        <v>0</v>
      </c>
      <c r="I5065" t="n">
        <v>0</v>
      </c>
      <c r="J5065" t="n">
        <v>0</v>
      </c>
      <c r="K5065" t="n">
        <v>0</v>
      </c>
      <c r="L5065" t="n">
        <v>0</v>
      </c>
      <c r="M5065" t="n">
        <v>0</v>
      </c>
      <c r="N5065" t="n">
        <v>0</v>
      </c>
      <c r="O5065" t="n">
        <v>0</v>
      </c>
      <c r="P5065" t="n">
        <v>0</v>
      </c>
      <c r="Q5065" t="n">
        <v>0</v>
      </c>
      <c r="R5065" s="2" t="inlineStr"/>
    </row>
    <row r="5066" ht="15" customHeight="1">
      <c r="A5066" t="inlineStr">
        <is>
          <t>A 2079-2023</t>
        </is>
      </c>
      <c r="B5066" s="1" t="n">
        <v>44939</v>
      </c>
      <c r="C5066" s="1" t="n">
        <v>45884</v>
      </c>
      <c r="D5066" t="inlineStr">
        <is>
          <t>KALMAR LÄN</t>
        </is>
      </c>
      <c r="E5066" t="inlineStr">
        <is>
          <t>HÖGSBY</t>
        </is>
      </c>
      <c r="G5066" t="n">
        <v>2.8</v>
      </c>
      <c r="H5066" t="n">
        <v>0</v>
      </c>
      <c r="I5066" t="n">
        <v>0</v>
      </c>
      <c r="J5066" t="n">
        <v>0</v>
      </c>
      <c r="K5066" t="n">
        <v>0</v>
      </c>
      <c r="L5066" t="n">
        <v>0</v>
      </c>
      <c r="M5066" t="n">
        <v>0</v>
      </c>
      <c r="N5066" t="n">
        <v>0</v>
      </c>
      <c r="O5066" t="n">
        <v>0</v>
      </c>
      <c r="P5066" t="n">
        <v>0</v>
      </c>
      <c r="Q5066" t="n">
        <v>0</v>
      </c>
      <c r="R5066" s="2" t="inlineStr"/>
    </row>
    <row r="5067" ht="15" customHeight="1">
      <c r="A5067" t="inlineStr">
        <is>
          <t>A 6474-2025</t>
        </is>
      </c>
      <c r="B5067" s="1" t="n">
        <v>45699.60055555555</v>
      </c>
      <c r="C5067" s="1" t="n">
        <v>45884</v>
      </c>
      <c r="D5067" t="inlineStr">
        <is>
          <t>KALMAR LÄN</t>
        </is>
      </c>
      <c r="E5067" t="inlineStr">
        <is>
          <t>VIMMERBY</t>
        </is>
      </c>
      <c r="G5067" t="n">
        <v>1.6</v>
      </c>
      <c r="H5067" t="n">
        <v>0</v>
      </c>
      <c r="I5067" t="n">
        <v>0</v>
      </c>
      <c r="J5067" t="n">
        <v>0</v>
      </c>
      <c r="K5067" t="n">
        <v>0</v>
      </c>
      <c r="L5067" t="n">
        <v>0</v>
      </c>
      <c r="M5067" t="n">
        <v>0</v>
      </c>
      <c r="N5067" t="n">
        <v>0</v>
      </c>
      <c r="O5067" t="n">
        <v>0</v>
      </c>
      <c r="P5067" t="n">
        <v>0</v>
      </c>
      <c r="Q5067" t="n">
        <v>0</v>
      </c>
      <c r="R5067" s="2" t="inlineStr"/>
    </row>
    <row r="5068" ht="15" customHeight="1">
      <c r="A5068" t="inlineStr">
        <is>
          <t>A 9681-2025</t>
        </is>
      </c>
      <c r="B5068" s="1" t="n">
        <v>45716.34835648148</v>
      </c>
      <c r="C5068" s="1" t="n">
        <v>45884</v>
      </c>
      <c r="D5068" t="inlineStr">
        <is>
          <t>KALMAR LÄN</t>
        </is>
      </c>
      <c r="E5068" t="inlineStr">
        <is>
          <t>EMMABODA</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61355-2024</t>
        </is>
      </c>
      <c r="B5069" s="1" t="n">
        <v>45646.38200231481</v>
      </c>
      <c r="C5069" s="1" t="n">
        <v>45884</v>
      </c>
      <c r="D5069" t="inlineStr">
        <is>
          <t>KALMAR LÄN</t>
        </is>
      </c>
      <c r="E5069" t="inlineStr">
        <is>
          <t>VIMMERBY</t>
        </is>
      </c>
      <c r="G5069" t="n">
        <v>2.7</v>
      </c>
      <c r="H5069" t="n">
        <v>0</v>
      </c>
      <c r="I5069" t="n">
        <v>0</v>
      </c>
      <c r="J5069" t="n">
        <v>0</v>
      </c>
      <c r="K5069" t="n">
        <v>0</v>
      </c>
      <c r="L5069" t="n">
        <v>0</v>
      </c>
      <c r="M5069" t="n">
        <v>0</v>
      </c>
      <c r="N5069" t="n">
        <v>0</v>
      </c>
      <c r="O5069" t="n">
        <v>0</v>
      </c>
      <c r="P5069" t="n">
        <v>0</v>
      </c>
      <c r="Q5069" t="n">
        <v>0</v>
      </c>
      <c r="R5069" s="2" t="inlineStr"/>
    </row>
    <row r="5070" ht="15" customHeight="1">
      <c r="A5070" t="inlineStr">
        <is>
          <t>A 10405-2025</t>
        </is>
      </c>
      <c r="B5070" s="1" t="n">
        <v>45720.6166087963</v>
      </c>
      <c r="C5070" s="1" t="n">
        <v>45884</v>
      </c>
      <c r="D5070" t="inlineStr">
        <is>
          <t>KALMAR LÄN</t>
        </is>
      </c>
      <c r="E5070" t="inlineStr">
        <is>
          <t>HÖGSBY</t>
        </is>
      </c>
      <c r="G5070" t="n">
        <v>4</v>
      </c>
      <c r="H5070" t="n">
        <v>0</v>
      </c>
      <c r="I5070" t="n">
        <v>0</v>
      </c>
      <c r="J5070" t="n">
        <v>0</v>
      </c>
      <c r="K5070" t="n">
        <v>0</v>
      </c>
      <c r="L5070" t="n">
        <v>0</v>
      </c>
      <c r="M5070" t="n">
        <v>0</v>
      </c>
      <c r="N5070" t="n">
        <v>0</v>
      </c>
      <c r="O5070" t="n">
        <v>0</v>
      </c>
      <c r="P5070" t="n">
        <v>0</v>
      </c>
      <c r="Q5070" t="n">
        <v>0</v>
      </c>
      <c r="R5070" s="2" t="inlineStr"/>
    </row>
    <row r="5071" ht="15" customHeight="1">
      <c r="A5071" t="inlineStr">
        <is>
          <t>A 524-2022</t>
        </is>
      </c>
      <c r="B5071" s="1" t="n">
        <v>44566</v>
      </c>
      <c r="C5071" s="1" t="n">
        <v>45884</v>
      </c>
      <c r="D5071" t="inlineStr">
        <is>
          <t>KALMAR LÄN</t>
        </is>
      </c>
      <c r="E5071" t="inlineStr">
        <is>
          <t>KALMAR</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55405-2023</t>
        </is>
      </c>
      <c r="B5072" s="1" t="n">
        <v>45238</v>
      </c>
      <c r="C5072" s="1" t="n">
        <v>45884</v>
      </c>
      <c r="D5072" t="inlineStr">
        <is>
          <t>KALMAR LÄN</t>
        </is>
      </c>
      <c r="E5072" t="inlineStr">
        <is>
          <t>MÖNSTERÅS</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32945-2021</t>
        </is>
      </c>
      <c r="B5073" s="1" t="n">
        <v>44375</v>
      </c>
      <c r="C5073" s="1" t="n">
        <v>45884</v>
      </c>
      <c r="D5073" t="inlineStr">
        <is>
          <t>KALMAR LÄN</t>
        </is>
      </c>
      <c r="E5073" t="inlineStr">
        <is>
          <t>KALMAR</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19932-2023</t>
        </is>
      </c>
      <c r="B5074" s="1" t="n">
        <v>45054</v>
      </c>
      <c r="C5074" s="1" t="n">
        <v>45884</v>
      </c>
      <c r="D5074" t="inlineStr">
        <is>
          <t>KALMAR LÄN</t>
        </is>
      </c>
      <c r="E5074" t="inlineStr">
        <is>
          <t>HULTSFRED</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32919-2022</t>
        </is>
      </c>
      <c r="B5075" s="1" t="n">
        <v>44784.62724537037</v>
      </c>
      <c r="C5075" s="1" t="n">
        <v>45884</v>
      </c>
      <c r="D5075" t="inlineStr">
        <is>
          <t>KALMAR LÄN</t>
        </is>
      </c>
      <c r="E5075" t="inlineStr">
        <is>
          <t>VIMMERBY</t>
        </is>
      </c>
      <c r="G5075" t="n">
        <v>1.7</v>
      </c>
      <c r="H5075" t="n">
        <v>0</v>
      </c>
      <c r="I5075" t="n">
        <v>0</v>
      </c>
      <c r="J5075" t="n">
        <v>0</v>
      </c>
      <c r="K5075" t="n">
        <v>0</v>
      </c>
      <c r="L5075" t="n">
        <v>0</v>
      </c>
      <c r="M5075" t="n">
        <v>0</v>
      </c>
      <c r="N5075" t="n">
        <v>0</v>
      </c>
      <c r="O5075" t="n">
        <v>0</v>
      </c>
      <c r="P5075" t="n">
        <v>0</v>
      </c>
      <c r="Q5075" t="n">
        <v>0</v>
      </c>
      <c r="R5075" s="2" t="inlineStr"/>
    </row>
    <row r="5076" ht="15" customHeight="1">
      <c r="A5076" t="inlineStr">
        <is>
          <t>A 15109-2025</t>
        </is>
      </c>
      <c r="B5076" s="1" t="n">
        <v>45744.35152777778</v>
      </c>
      <c r="C5076" s="1" t="n">
        <v>45884</v>
      </c>
      <c r="D5076" t="inlineStr">
        <is>
          <t>KALMAR LÄN</t>
        </is>
      </c>
      <c r="E5076" t="inlineStr">
        <is>
          <t>NYBRO</t>
        </is>
      </c>
      <c r="G5076" t="n">
        <v>4</v>
      </c>
      <c r="H5076" t="n">
        <v>0</v>
      </c>
      <c r="I5076" t="n">
        <v>0</v>
      </c>
      <c r="J5076" t="n">
        <v>0</v>
      </c>
      <c r="K5076" t="n">
        <v>0</v>
      </c>
      <c r="L5076" t="n">
        <v>0</v>
      </c>
      <c r="M5076" t="n">
        <v>0</v>
      </c>
      <c r="N5076" t="n">
        <v>0</v>
      </c>
      <c r="O5076" t="n">
        <v>0</v>
      </c>
      <c r="P5076" t="n">
        <v>0</v>
      </c>
      <c r="Q5076" t="n">
        <v>0</v>
      </c>
      <c r="R5076" s="2" t="inlineStr"/>
    </row>
    <row r="5077" ht="15" customHeight="1">
      <c r="A5077" t="inlineStr">
        <is>
          <t>A 16766-2025</t>
        </is>
      </c>
      <c r="B5077" s="1" t="n">
        <v>45754.57780092592</v>
      </c>
      <c r="C5077" s="1" t="n">
        <v>45884</v>
      </c>
      <c r="D5077" t="inlineStr">
        <is>
          <t>KALMAR LÄN</t>
        </is>
      </c>
      <c r="E5077" t="inlineStr">
        <is>
          <t>HÖGSBY</t>
        </is>
      </c>
      <c r="G5077" t="n">
        <v>4.7</v>
      </c>
      <c r="H5077" t="n">
        <v>0</v>
      </c>
      <c r="I5077" t="n">
        <v>0</v>
      </c>
      <c r="J5077" t="n">
        <v>0</v>
      </c>
      <c r="K5077" t="n">
        <v>0</v>
      </c>
      <c r="L5077" t="n">
        <v>0</v>
      </c>
      <c r="M5077" t="n">
        <v>0</v>
      </c>
      <c r="N5077" t="n">
        <v>0</v>
      </c>
      <c r="O5077" t="n">
        <v>0</v>
      </c>
      <c r="P5077" t="n">
        <v>0</v>
      </c>
      <c r="Q5077" t="n">
        <v>0</v>
      </c>
      <c r="R5077" s="2" t="inlineStr"/>
    </row>
    <row r="5078" ht="15" customHeight="1">
      <c r="A5078" t="inlineStr">
        <is>
          <t>A 682-2025</t>
        </is>
      </c>
      <c r="B5078" s="1" t="n">
        <v>45664.89855324074</v>
      </c>
      <c r="C5078" s="1" t="n">
        <v>45884</v>
      </c>
      <c r="D5078" t="inlineStr">
        <is>
          <t>KALMAR LÄN</t>
        </is>
      </c>
      <c r="E5078" t="inlineStr">
        <is>
          <t>NYBRO</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26308-2023</t>
        </is>
      </c>
      <c r="B5079" s="1" t="n">
        <v>45091.65386574074</v>
      </c>
      <c r="C5079" s="1" t="n">
        <v>45884</v>
      </c>
      <c r="D5079" t="inlineStr">
        <is>
          <t>KALMAR LÄN</t>
        </is>
      </c>
      <c r="E5079" t="inlineStr">
        <is>
          <t>HULTSFRED</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24999-2023</t>
        </is>
      </c>
      <c r="B5080" s="1" t="n">
        <v>45085</v>
      </c>
      <c r="C5080" s="1" t="n">
        <v>45884</v>
      </c>
      <c r="D5080" t="inlineStr">
        <is>
          <t>KALMAR LÄN</t>
        </is>
      </c>
      <c r="E5080" t="inlineStr">
        <is>
          <t>MÖNSTERÅS</t>
        </is>
      </c>
      <c r="G5080" t="n">
        <v>6.8</v>
      </c>
      <c r="H5080" t="n">
        <v>0</v>
      </c>
      <c r="I5080" t="n">
        <v>0</v>
      </c>
      <c r="J5080" t="n">
        <v>0</v>
      </c>
      <c r="K5080" t="n">
        <v>0</v>
      </c>
      <c r="L5080" t="n">
        <v>0</v>
      </c>
      <c r="M5080" t="n">
        <v>0</v>
      </c>
      <c r="N5080" t="n">
        <v>0</v>
      </c>
      <c r="O5080" t="n">
        <v>0</v>
      </c>
      <c r="P5080" t="n">
        <v>0</v>
      </c>
      <c r="Q5080" t="n">
        <v>0</v>
      </c>
      <c r="R5080" s="2" t="inlineStr"/>
    </row>
    <row r="5081" ht="15" customHeight="1">
      <c r="A5081" t="inlineStr">
        <is>
          <t>A 17701-2024</t>
        </is>
      </c>
      <c r="B5081" s="1" t="n">
        <v>45418.46353009259</v>
      </c>
      <c r="C5081" s="1" t="n">
        <v>45884</v>
      </c>
      <c r="D5081" t="inlineStr">
        <is>
          <t>KALMAR LÄN</t>
        </is>
      </c>
      <c r="E5081" t="inlineStr">
        <is>
          <t>KALMAR</t>
        </is>
      </c>
      <c r="G5081" t="n">
        <v>3.1</v>
      </c>
      <c r="H5081" t="n">
        <v>0</v>
      </c>
      <c r="I5081" t="n">
        <v>0</v>
      </c>
      <c r="J5081" t="n">
        <v>0</v>
      </c>
      <c r="K5081" t="n">
        <v>0</v>
      </c>
      <c r="L5081" t="n">
        <v>0</v>
      </c>
      <c r="M5081" t="n">
        <v>0</v>
      </c>
      <c r="N5081" t="n">
        <v>0</v>
      </c>
      <c r="O5081" t="n">
        <v>0</v>
      </c>
      <c r="P5081" t="n">
        <v>0</v>
      </c>
      <c r="Q5081" t="n">
        <v>0</v>
      </c>
      <c r="R5081" s="2" t="inlineStr"/>
    </row>
    <row r="5082" ht="15" customHeight="1">
      <c r="A5082" t="inlineStr">
        <is>
          <t>A 59331-2023</t>
        </is>
      </c>
      <c r="B5082" s="1" t="n">
        <v>45253</v>
      </c>
      <c r="C5082" s="1" t="n">
        <v>45884</v>
      </c>
      <c r="D5082" t="inlineStr">
        <is>
          <t>KALMAR LÄN</t>
        </is>
      </c>
      <c r="E5082" t="inlineStr">
        <is>
          <t>VÄSTERVIK</t>
        </is>
      </c>
      <c r="G5082" t="n">
        <v>3.9</v>
      </c>
      <c r="H5082" t="n">
        <v>0</v>
      </c>
      <c r="I5082" t="n">
        <v>0</v>
      </c>
      <c r="J5082" t="n">
        <v>0</v>
      </c>
      <c r="K5082" t="n">
        <v>0</v>
      </c>
      <c r="L5082" t="n">
        <v>0</v>
      </c>
      <c r="M5082" t="n">
        <v>0</v>
      </c>
      <c r="N5082" t="n">
        <v>0</v>
      </c>
      <c r="O5082" t="n">
        <v>0</v>
      </c>
      <c r="P5082" t="n">
        <v>0</v>
      </c>
      <c r="Q5082" t="n">
        <v>0</v>
      </c>
      <c r="R5082" s="2" t="inlineStr"/>
    </row>
    <row r="5083" ht="15" customHeight="1">
      <c r="A5083" t="inlineStr">
        <is>
          <t>A 16498-2024</t>
        </is>
      </c>
      <c r="B5083" s="1" t="n">
        <v>45408.36670138889</v>
      </c>
      <c r="C5083" s="1" t="n">
        <v>45884</v>
      </c>
      <c r="D5083" t="inlineStr">
        <is>
          <t>KALMAR LÄN</t>
        </is>
      </c>
      <c r="E5083" t="inlineStr">
        <is>
          <t>TORSÅS</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33969-2024</t>
        </is>
      </c>
      <c r="B5084" s="1" t="n">
        <v>45523.49450231482</v>
      </c>
      <c r="C5084" s="1" t="n">
        <v>45884</v>
      </c>
      <c r="D5084" t="inlineStr">
        <is>
          <t>KALMAR LÄN</t>
        </is>
      </c>
      <c r="E5084" t="inlineStr">
        <is>
          <t>VÄSTERVIK</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71340-2021</t>
        </is>
      </c>
      <c r="B5085" s="1" t="n">
        <v>44539.86905092592</v>
      </c>
      <c r="C5085" s="1" t="n">
        <v>45884</v>
      </c>
      <c r="D5085" t="inlineStr">
        <is>
          <t>KALMAR LÄN</t>
        </is>
      </c>
      <c r="E5085" t="inlineStr">
        <is>
          <t>OSKARSHAMN</t>
        </is>
      </c>
      <c r="F5085" t="inlineStr">
        <is>
          <t>Sveaskog</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13490-2022</t>
        </is>
      </c>
      <c r="B5086" s="1" t="n">
        <v>44646</v>
      </c>
      <c r="C5086" s="1" t="n">
        <v>45884</v>
      </c>
      <c r="D5086" t="inlineStr">
        <is>
          <t>KALMAR LÄN</t>
        </is>
      </c>
      <c r="E5086" t="inlineStr">
        <is>
          <t>VÄSTERVIK</t>
        </is>
      </c>
      <c r="G5086" t="n">
        <v>2.4</v>
      </c>
      <c r="H5086" t="n">
        <v>0</v>
      </c>
      <c r="I5086" t="n">
        <v>0</v>
      </c>
      <c r="J5086" t="n">
        <v>0</v>
      </c>
      <c r="K5086" t="n">
        <v>0</v>
      </c>
      <c r="L5086" t="n">
        <v>0</v>
      </c>
      <c r="M5086" t="n">
        <v>0</v>
      </c>
      <c r="N5086" t="n">
        <v>0</v>
      </c>
      <c r="O5086" t="n">
        <v>0</v>
      </c>
      <c r="P5086" t="n">
        <v>0</v>
      </c>
      <c r="Q5086" t="n">
        <v>0</v>
      </c>
      <c r="R5086" s="2" t="inlineStr"/>
    </row>
    <row r="5087" ht="15" customHeight="1">
      <c r="A5087" t="inlineStr">
        <is>
          <t>A 54255-2024</t>
        </is>
      </c>
      <c r="B5087" s="1" t="n">
        <v>45616.70280092592</v>
      </c>
      <c r="C5087" s="1" t="n">
        <v>45884</v>
      </c>
      <c r="D5087" t="inlineStr">
        <is>
          <t>KALMAR LÄN</t>
        </is>
      </c>
      <c r="E5087" t="inlineStr">
        <is>
          <t>NYBRO</t>
        </is>
      </c>
      <c r="G5087" t="n">
        <v>5</v>
      </c>
      <c r="H5087" t="n">
        <v>0</v>
      </c>
      <c r="I5087" t="n">
        <v>0</v>
      </c>
      <c r="J5087" t="n">
        <v>0</v>
      </c>
      <c r="K5087" t="n">
        <v>0</v>
      </c>
      <c r="L5087" t="n">
        <v>0</v>
      </c>
      <c r="M5087" t="n">
        <v>0</v>
      </c>
      <c r="N5087" t="n">
        <v>0</v>
      </c>
      <c r="O5087" t="n">
        <v>0</v>
      </c>
      <c r="P5087" t="n">
        <v>0</v>
      </c>
      <c r="Q5087" t="n">
        <v>0</v>
      </c>
      <c r="R5087" s="2" t="inlineStr"/>
    </row>
    <row r="5088" ht="15" customHeight="1">
      <c r="A5088" t="inlineStr">
        <is>
          <t>A 60478-2024</t>
        </is>
      </c>
      <c r="B5088" s="1" t="n">
        <v>45643</v>
      </c>
      <c r="C5088" s="1" t="n">
        <v>45884</v>
      </c>
      <c r="D5088" t="inlineStr">
        <is>
          <t>KALMAR LÄN</t>
        </is>
      </c>
      <c r="E5088" t="inlineStr">
        <is>
          <t>VÄSTERVIK</t>
        </is>
      </c>
      <c r="G5088" t="n">
        <v>1.7</v>
      </c>
      <c r="H5088" t="n">
        <v>0</v>
      </c>
      <c r="I5088" t="n">
        <v>0</v>
      </c>
      <c r="J5088" t="n">
        <v>0</v>
      </c>
      <c r="K5088" t="n">
        <v>0</v>
      </c>
      <c r="L5088" t="n">
        <v>0</v>
      </c>
      <c r="M5088" t="n">
        <v>0</v>
      </c>
      <c r="N5088" t="n">
        <v>0</v>
      </c>
      <c r="O5088" t="n">
        <v>0</v>
      </c>
      <c r="P5088" t="n">
        <v>0</v>
      </c>
      <c r="Q5088" t="n">
        <v>0</v>
      </c>
      <c r="R5088" s="2" t="inlineStr"/>
    </row>
    <row r="5089" ht="15" customHeight="1">
      <c r="A5089" t="inlineStr">
        <is>
          <t>A 32687-2024</t>
        </is>
      </c>
      <c r="B5089" s="1" t="n">
        <v>45515.76115740741</v>
      </c>
      <c r="C5089" s="1" t="n">
        <v>45884</v>
      </c>
      <c r="D5089" t="inlineStr">
        <is>
          <t>KALMAR LÄN</t>
        </is>
      </c>
      <c r="E5089" t="inlineStr">
        <is>
          <t>EMMABODA</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9594-2025</t>
        </is>
      </c>
      <c r="B5090" s="1" t="n">
        <v>45715.64556712963</v>
      </c>
      <c r="C5090" s="1" t="n">
        <v>45884</v>
      </c>
      <c r="D5090" t="inlineStr">
        <is>
          <t>KALMAR LÄN</t>
        </is>
      </c>
      <c r="E5090" t="inlineStr">
        <is>
          <t>HULTSFRED</t>
        </is>
      </c>
      <c r="F5090" t="inlineStr">
        <is>
          <t>Sveaskog</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9649-2025</t>
        </is>
      </c>
      <c r="B5091" s="1" t="n">
        <v>45716.26175925926</v>
      </c>
      <c r="C5091" s="1" t="n">
        <v>45884</v>
      </c>
      <c r="D5091" t="inlineStr">
        <is>
          <t>KALMAR LÄN</t>
        </is>
      </c>
      <c r="E5091" t="inlineStr">
        <is>
          <t>KALMAR</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54747-2024</t>
        </is>
      </c>
      <c r="B5092" s="1" t="n">
        <v>45618.44755787037</v>
      </c>
      <c r="C5092" s="1" t="n">
        <v>45884</v>
      </c>
      <c r="D5092" t="inlineStr">
        <is>
          <t>KALMAR LÄN</t>
        </is>
      </c>
      <c r="E5092" t="inlineStr">
        <is>
          <t>KALMAR</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59525-2023</t>
        </is>
      </c>
      <c r="B5093" s="1" t="n">
        <v>45253</v>
      </c>
      <c r="C5093" s="1" t="n">
        <v>45884</v>
      </c>
      <c r="D5093" t="inlineStr">
        <is>
          <t>KALMAR LÄN</t>
        </is>
      </c>
      <c r="E5093" t="inlineStr">
        <is>
          <t>NYBRO</t>
        </is>
      </c>
      <c r="G5093" t="n">
        <v>4.5</v>
      </c>
      <c r="H5093" t="n">
        <v>0</v>
      </c>
      <c r="I5093" t="n">
        <v>0</v>
      </c>
      <c r="J5093" t="n">
        <v>0</v>
      </c>
      <c r="K5093" t="n">
        <v>0</v>
      </c>
      <c r="L5093" t="n">
        <v>0</v>
      </c>
      <c r="M5093" t="n">
        <v>0</v>
      </c>
      <c r="N5093" t="n">
        <v>0</v>
      </c>
      <c r="O5093" t="n">
        <v>0</v>
      </c>
      <c r="P5093" t="n">
        <v>0</v>
      </c>
      <c r="Q5093" t="n">
        <v>0</v>
      </c>
      <c r="R5093" s="2" t="inlineStr"/>
    </row>
    <row r="5094" ht="15" customHeight="1">
      <c r="A5094" t="inlineStr">
        <is>
          <t>A 9684-2025</t>
        </is>
      </c>
      <c r="B5094" s="1" t="n">
        <v>45716.34990740741</v>
      </c>
      <c r="C5094" s="1" t="n">
        <v>45884</v>
      </c>
      <c r="D5094" t="inlineStr">
        <is>
          <t>KALMAR LÄN</t>
        </is>
      </c>
      <c r="E5094" t="inlineStr">
        <is>
          <t>EMMABODA</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7324-2024</t>
        </is>
      </c>
      <c r="B5095" s="1" t="n">
        <v>45345.38601851852</v>
      </c>
      <c r="C5095" s="1" t="n">
        <v>45884</v>
      </c>
      <c r="D5095" t="inlineStr">
        <is>
          <t>KALMAR LÄN</t>
        </is>
      </c>
      <c r="E5095" t="inlineStr">
        <is>
          <t>KALMAR</t>
        </is>
      </c>
      <c r="G5095" t="n">
        <v>3.9</v>
      </c>
      <c r="H5095" t="n">
        <v>0</v>
      </c>
      <c r="I5095" t="n">
        <v>0</v>
      </c>
      <c r="J5095" t="n">
        <v>0</v>
      </c>
      <c r="K5095" t="n">
        <v>0</v>
      </c>
      <c r="L5095" t="n">
        <v>0</v>
      </c>
      <c r="M5095" t="n">
        <v>0</v>
      </c>
      <c r="N5095" t="n">
        <v>0</v>
      </c>
      <c r="O5095" t="n">
        <v>0</v>
      </c>
      <c r="P5095" t="n">
        <v>0</v>
      </c>
      <c r="Q5095" t="n">
        <v>0</v>
      </c>
      <c r="R5095" s="2" t="inlineStr"/>
    </row>
    <row r="5096" ht="15" customHeight="1">
      <c r="A5096" t="inlineStr">
        <is>
          <t>A 36802-2021</t>
        </is>
      </c>
      <c r="B5096" s="1" t="n">
        <v>44392</v>
      </c>
      <c r="C5096" s="1" t="n">
        <v>45884</v>
      </c>
      <c r="D5096" t="inlineStr">
        <is>
          <t>KALMAR LÄN</t>
        </is>
      </c>
      <c r="E5096" t="inlineStr">
        <is>
          <t>VIMMERBY</t>
        </is>
      </c>
      <c r="F5096" t="inlineStr">
        <is>
          <t>Sveaskog</t>
        </is>
      </c>
      <c r="G5096" t="n">
        <v>4.6</v>
      </c>
      <c r="H5096" t="n">
        <v>0</v>
      </c>
      <c r="I5096" t="n">
        <v>0</v>
      </c>
      <c r="J5096" t="n">
        <v>0</v>
      </c>
      <c r="K5096" t="n">
        <v>0</v>
      </c>
      <c r="L5096" t="n">
        <v>0</v>
      </c>
      <c r="M5096" t="n">
        <v>0</v>
      </c>
      <c r="N5096" t="n">
        <v>0</v>
      </c>
      <c r="O5096" t="n">
        <v>0</v>
      </c>
      <c r="P5096" t="n">
        <v>0</v>
      </c>
      <c r="Q5096" t="n">
        <v>0</v>
      </c>
      <c r="R5096" s="2" t="inlineStr"/>
    </row>
    <row r="5097" ht="15" customHeight="1">
      <c r="A5097" t="inlineStr">
        <is>
          <t>A 16862-2024</t>
        </is>
      </c>
      <c r="B5097" s="1" t="n">
        <v>45411.56006944444</v>
      </c>
      <c r="C5097" s="1" t="n">
        <v>45884</v>
      </c>
      <c r="D5097" t="inlineStr">
        <is>
          <t>KALMAR LÄN</t>
        </is>
      </c>
      <c r="E5097" t="inlineStr">
        <is>
          <t>NYBRO</t>
        </is>
      </c>
      <c r="G5097" t="n">
        <v>3.4</v>
      </c>
      <c r="H5097" t="n">
        <v>0</v>
      </c>
      <c r="I5097" t="n">
        <v>0</v>
      </c>
      <c r="J5097" t="n">
        <v>0</v>
      </c>
      <c r="K5097" t="n">
        <v>0</v>
      </c>
      <c r="L5097" t="n">
        <v>0</v>
      </c>
      <c r="M5097" t="n">
        <v>0</v>
      </c>
      <c r="N5097" t="n">
        <v>0</v>
      </c>
      <c r="O5097" t="n">
        <v>0</v>
      </c>
      <c r="P5097" t="n">
        <v>0</v>
      </c>
      <c r="Q5097" t="n">
        <v>0</v>
      </c>
      <c r="R5097" s="2" t="inlineStr"/>
    </row>
    <row r="5098" ht="15" customHeight="1">
      <c r="A5098" t="inlineStr">
        <is>
          <t>A 60237-2023</t>
        </is>
      </c>
      <c r="B5098" s="1" t="n">
        <v>45258.63960648148</v>
      </c>
      <c r="C5098" s="1" t="n">
        <v>45884</v>
      </c>
      <c r="D5098" t="inlineStr">
        <is>
          <t>KALMAR LÄN</t>
        </is>
      </c>
      <c r="E5098" t="inlineStr">
        <is>
          <t>OSKARSHAMN</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45074-2023</t>
        </is>
      </c>
      <c r="B5099" s="1" t="n">
        <v>45191.39680555555</v>
      </c>
      <c r="C5099" s="1" t="n">
        <v>45884</v>
      </c>
      <c r="D5099" t="inlineStr">
        <is>
          <t>KALMAR LÄN</t>
        </is>
      </c>
      <c r="E5099" t="inlineStr">
        <is>
          <t>NYBRO</t>
        </is>
      </c>
      <c r="F5099" t="inlineStr">
        <is>
          <t>Sveaskog</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8605-2025</t>
        </is>
      </c>
      <c r="B5100" s="1" t="n">
        <v>45710.35591435185</v>
      </c>
      <c r="C5100" s="1" t="n">
        <v>45884</v>
      </c>
      <c r="D5100" t="inlineStr">
        <is>
          <t>KALMAR LÄN</t>
        </is>
      </c>
      <c r="E5100" t="inlineStr">
        <is>
          <t>NYBRO</t>
        </is>
      </c>
      <c r="G5100" t="n">
        <v>4.4</v>
      </c>
      <c r="H5100" t="n">
        <v>0</v>
      </c>
      <c r="I5100" t="n">
        <v>0</v>
      </c>
      <c r="J5100" t="n">
        <v>0</v>
      </c>
      <c r="K5100" t="n">
        <v>0</v>
      </c>
      <c r="L5100" t="n">
        <v>0</v>
      </c>
      <c r="M5100" t="n">
        <v>0</v>
      </c>
      <c r="N5100" t="n">
        <v>0</v>
      </c>
      <c r="O5100" t="n">
        <v>0</v>
      </c>
      <c r="P5100" t="n">
        <v>0</v>
      </c>
      <c r="Q5100" t="n">
        <v>0</v>
      </c>
      <c r="R5100" s="2" t="inlineStr"/>
    </row>
    <row r="5101" ht="15" customHeight="1">
      <c r="A5101" t="inlineStr">
        <is>
          <t>A 18219-2025</t>
        </is>
      </c>
      <c r="B5101" s="1" t="n">
        <v>45761.7169212963</v>
      </c>
      <c r="C5101" s="1" t="n">
        <v>45884</v>
      </c>
      <c r="D5101" t="inlineStr">
        <is>
          <t>KALMAR LÄN</t>
        </is>
      </c>
      <c r="E5101" t="inlineStr">
        <is>
          <t>NYBRO</t>
        </is>
      </c>
      <c r="F5101" t="inlineStr">
        <is>
          <t>Sveaskog</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55828-2022</t>
        </is>
      </c>
      <c r="B5102" s="1" t="n">
        <v>44888</v>
      </c>
      <c r="C5102" s="1" t="n">
        <v>45884</v>
      </c>
      <c r="D5102" t="inlineStr">
        <is>
          <t>KALMAR LÄN</t>
        </is>
      </c>
      <c r="E5102" t="inlineStr">
        <is>
          <t>VÄSTERVIK</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17726-2025</t>
        </is>
      </c>
      <c r="B5103" s="1" t="n">
        <v>45758.45899305555</v>
      </c>
      <c r="C5103" s="1" t="n">
        <v>45884</v>
      </c>
      <c r="D5103" t="inlineStr">
        <is>
          <t>KALMAR LÄN</t>
        </is>
      </c>
      <c r="E5103" t="inlineStr">
        <is>
          <t>TORSÅS</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18271-2025</t>
        </is>
      </c>
      <c r="B5104" s="1" t="n">
        <v>45762.37043981482</v>
      </c>
      <c r="C5104" s="1" t="n">
        <v>45884</v>
      </c>
      <c r="D5104" t="inlineStr">
        <is>
          <t>KALMAR LÄN</t>
        </is>
      </c>
      <c r="E5104" t="inlineStr">
        <is>
          <t>NYBRO</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5188-2024</t>
        </is>
      </c>
      <c r="B5105" s="1" t="n">
        <v>45330</v>
      </c>
      <c r="C5105" s="1" t="n">
        <v>45884</v>
      </c>
      <c r="D5105" t="inlineStr">
        <is>
          <t>KALMAR LÄN</t>
        </is>
      </c>
      <c r="E5105" t="inlineStr">
        <is>
          <t>TORSÅS</t>
        </is>
      </c>
      <c r="G5105" t="n">
        <v>3.1</v>
      </c>
      <c r="H5105" t="n">
        <v>0</v>
      </c>
      <c r="I5105" t="n">
        <v>0</v>
      </c>
      <c r="J5105" t="n">
        <v>0</v>
      </c>
      <c r="K5105" t="n">
        <v>0</v>
      </c>
      <c r="L5105" t="n">
        <v>0</v>
      </c>
      <c r="M5105" t="n">
        <v>0</v>
      </c>
      <c r="N5105" t="n">
        <v>0</v>
      </c>
      <c r="O5105" t="n">
        <v>0</v>
      </c>
      <c r="P5105" t="n">
        <v>0</v>
      </c>
      <c r="Q5105" t="n">
        <v>0</v>
      </c>
      <c r="R5105" s="2" t="inlineStr"/>
    </row>
    <row r="5106" ht="15" customHeight="1">
      <c r="A5106" t="inlineStr">
        <is>
          <t>A 4400-2024</t>
        </is>
      </c>
      <c r="B5106" s="1" t="n">
        <v>45327.39255787037</v>
      </c>
      <c r="C5106" s="1" t="n">
        <v>45884</v>
      </c>
      <c r="D5106" t="inlineStr">
        <is>
          <t>KALMAR LÄN</t>
        </is>
      </c>
      <c r="E5106" t="inlineStr">
        <is>
          <t>EMMABODA</t>
        </is>
      </c>
      <c r="G5106" t="n">
        <v>2.4</v>
      </c>
      <c r="H5106" t="n">
        <v>0</v>
      </c>
      <c r="I5106" t="n">
        <v>0</v>
      </c>
      <c r="J5106" t="n">
        <v>0</v>
      </c>
      <c r="K5106" t="n">
        <v>0</v>
      </c>
      <c r="L5106" t="n">
        <v>0</v>
      </c>
      <c r="M5106" t="n">
        <v>0</v>
      </c>
      <c r="N5106" t="n">
        <v>0</v>
      </c>
      <c r="O5106" t="n">
        <v>0</v>
      </c>
      <c r="P5106" t="n">
        <v>0</v>
      </c>
      <c r="Q5106" t="n">
        <v>0</v>
      </c>
      <c r="R5106" s="2" t="inlineStr"/>
    </row>
    <row r="5107" ht="15" customHeight="1">
      <c r="A5107" t="inlineStr">
        <is>
          <t>A 37312-2024</t>
        </is>
      </c>
      <c r="B5107" s="1" t="n">
        <v>45540.47875</v>
      </c>
      <c r="C5107" s="1" t="n">
        <v>45884</v>
      </c>
      <c r="D5107" t="inlineStr">
        <is>
          <t>KALMAR LÄN</t>
        </is>
      </c>
      <c r="E5107" t="inlineStr">
        <is>
          <t>KALMAR</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23486-2023</t>
        </is>
      </c>
      <c r="B5108" s="1" t="n">
        <v>45076</v>
      </c>
      <c r="C5108" s="1" t="n">
        <v>45884</v>
      </c>
      <c r="D5108" t="inlineStr">
        <is>
          <t>KALMAR LÄN</t>
        </is>
      </c>
      <c r="E5108" t="inlineStr">
        <is>
          <t>KALMAR</t>
        </is>
      </c>
      <c r="F5108" t="inlineStr">
        <is>
          <t>Kommuner</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22564-2024</t>
        </is>
      </c>
      <c r="B5109" s="1" t="n">
        <v>45447.55760416666</v>
      </c>
      <c r="C5109" s="1" t="n">
        <v>45884</v>
      </c>
      <c r="D5109" t="inlineStr">
        <is>
          <t>KALMAR LÄN</t>
        </is>
      </c>
      <c r="E5109" t="inlineStr">
        <is>
          <t>TORSÅS</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53501-2024</t>
        </is>
      </c>
      <c r="B5110" s="1" t="n">
        <v>45614.58605324074</v>
      </c>
      <c r="C5110" s="1" t="n">
        <v>45884</v>
      </c>
      <c r="D5110" t="inlineStr">
        <is>
          <t>KALMAR LÄN</t>
        </is>
      </c>
      <c r="E5110" t="inlineStr">
        <is>
          <t>HÖGSBY</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16437-2023</t>
        </is>
      </c>
      <c r="B5111" s="1" t="n">
        <v>45022</v>
      </c>
      <c r="C5111" s="1" t="n">
        <v>45884</v>
      </c>
      <c r="D5111" t="inlineStr">
        <is>
          <t>KALMAR LÄN</t>
        </is>
      </c>
      <c r="E5111" t="inlineStr">
        <is>
          <t>MÖNSTERÅS</t>
        </is>
      </c>
      <c r="G5111" t="n">
        <v>5.2</v>
      </c>
      <c r="H5111" t="n">
        <v>0</v>
      </c>
      <c r="I5111" t="n">
        <v>0</v>
      </c>
      <c r="J5111" t="n">
        <v>0</v>
      </c>
      <c r="K5111" t="n">
        <v>0</v>
      </c>
      <c r="L5111" t="n">
        <v>0</v>
      </c>
      <c r="M5111" t="n">
        <v>0</v>
      </c>
      <c r="N5111" t="n">
        <v>0</v>
      </c>
      <c r="O5111" t="n">
        <v>0</v>
      </c>
      <c r="P5111" t="n">
        <v>0</v>
      </c>
      <c r="Q5111" t="n">
        <v>0</v>
      </c>
      <c r="R5111" s="2" t="inlineStr"/>
    </row>
    <row r="5112" ht="15" customHeight="1">
      <c r="A5112" t="inlineStr">
        <is>
          <t>A 1702-2024</t>
        </is>
      </c>
      <c r="B5112" s="1" t="n">
        <v>45307.37699074074</v>
      </c>
      <c r="C5112" s="1" t="n">
        <v>45884</v>
      </c>
      <c r="D5112" t="inlineStr">
        <is>
          <t>KALMAR LÄN</t>
        </is>
      </c>
      <c r="E5112" t="inlineStr">
        <is>
          <t>EMMABODA</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56121-2024</t>
        </is>
      </c>
      <c r="B5113" s="1" t="n">
        <v>45624.46776620371</v>
      </c>
      <c r="C5113" s="1" t="n">
        <v>45884</v>
      </c>
      <c r="D5113" t="inlineStr">
        <is>
          <t>KALMAR LÄN</t>
        </is>
      </c>
      <c r="E5113" t="inlineStr">
        <is>
          <t>KALMAR</t>
        </is>
      </c>
      <c r="F5113" t="inlineStr">
        <is>
          <t>Sveaskog</t>
        </is>
      </c>
      <c r="G5113" t="n">
        <v>4.4</v>
      </c>
      <c r="H5113" t="n">
        <v>0</v>
      </c>
      <c r="I5113" t="n">
        <v>0</v>
      </c>
      <c r="J5113" t="n">
        <v>0</v>
      </c>
      <c r="K5113" t="n">
        <v>0</v>
      </c>
      <c r="L5113" t="n">
        <v>0</v>
      </c>
      <c r="M5113" t="n">
        <v>0</v>
      </c>
      <c r="N5113" t="n">
        <v>0</v>
      </c>
      <c r="O5113" t="n">
        <v>0</v>
      </c>
      <c r="P5113" t="n">
        <v>0</v>
      </c>
      <c r="Q5113" t="n">
        <v>0</v>
      </c>
      <c r="R5113" s="2" t="inlineStr"/>
    </row>
    <row r="5114" ht="15" customHeight="1">
      <c r="A5114" t="inlineStr">
        <is>
          <t>A 7675-2025</t>
        </is>
      </c>
      <c r="B5114" s="1" t="n">
        <v>45706.35223379629</v>
      </c>
      <c r="C5114" s="1" t="n">
        <v>45884</v>
      </c>
      <c r="D5114" t="inlineStr">
        <is>
          <t>KALMAR LÄN</t>
        </is>
      </c>
      <c r="E5114" t="inlineStr">
        <is>
          <t>KALMAR</t>
        </is>
      </c>
      <c r="G5114" t="n">
        <v>2.4</v>
      </c>
      <c r="H5114" t="n">
        <v>0</v>
      </c>
      <c r="I5114" t="n">
        <v>0</v>
      </c>
      <c r="J5114" t="n">
        <v>0</v>
      </c>
      <c r="K5114" t="n">
        <v>0</v>
      </c>
      <c r="L5114" t="n">
        <v>0</v>
      </c>
      <c r="M5114" t="n">
        <v>0</v>
      </c>
      <c r="N5114" t="n">
        <v>0</v>
      </c>
      <c r="O5114" t="n">
        <v>0</v>
      </c>
      <c r="P5114" t="n">
        <v>0</v>
      </c>
      <c r="Q5114" t="n">
        <v>0</v>
      </c>
      <c r="R5114" s="2" t="inlineStr"/>
    </row>
    <row r="5115" ht="15" customHeight="1">
      <c r="A5115" t="inlineStr">
        <is>
          <t>A 28795-2022</t>
        </is>
      </c>
      <c r="B5115" s="1" t="n">
        <v>44749</v>
      </c>
      <c r="C5115" s="1" t="n">
        <v>45884</v>
      </c>
      <c r="D5115" t="inlineStr">
        <is>
          <t>KALMAR LÄN</t>
        </is>
      </c>
      <c r="E5115" t="inlineStr">
        <is>
          <t>NYBRO</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11343-2023</t>
        </is>
      </c>
      <c r="B5116" s="1" t="n">
        <v>44993.36159722223</v>
      </c>
      <c r="C5116" s="1" t="n">
        <v>45884</v>
      </c>
      <c r="D5116" t="inlineStr">
        <is>
          <t>KALMAR LÄN</t>
        </is>
      </c>
      <c r="E5116" t="inlineStr">
        <is>
          <t>HÖGSBY</t>
        </is>
      </c>
      <c r="F5116" t="inlineStr">
        <is>
          <t>Sveaskog</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31414-2024</t>
        </is>
      </c>
      <c r="B5117" s="1" t="n">
        <v>45505</v>
      </c>
      <c r="C5117" s="1" t="n">
        <v>45884</v>
      </c>
      <c r="D5117" t="inlineStr">
        <is>
          <t>KALMAR LÄN</t>
        </is>
      </c>
      <c r="E5117" t="inlineStr">
        <is>
          <t>HULTSFRED</t>
        </is>
      </c>
      <c r="G5117" t="n">
        <v>3.6</v>
      </c>
      <c r="H5117" t="n">
        <v>0</v>
      </c>
      <c r="I5117" t="n">
        <v>0</v>
      </c>
      <c r="J5117" t="n">
        <v>0</v>
      </c>
      <c r="K5117" t="n">
        <v>0</v>
      </c>
      <c r="L5117" t="n">
        <v>0</v>
      </c>
      <c r="M5117" t="n">
        <v>0</v>
      </c>
      <c r="N5117" t="n">
        <v>0</v>
      </c>
      <c r="O5117" t="n">
        <v>0</v>
      </c>
      <c r="P5117" t="n">
        <v>0</v>
      </c>
      <c r="Q5117" t="n">
        <v>0</v>
      </c>
      <c r="R5117" s="2" t="inlineStr"/>
    </row>
    <row r="5118" ht="15" customHeight="1">
      <c r="A5118" t="inlineStr">
        <is>
          <t>A 46562-2022</t>
        </is>
      </c>
      <c r="B5118" s="1" t="n">
        <v>44848</v>
      </c>
      <c r="C5118" s="1" t="n">
        <v>45884</v>
      </c>
      <c r="D5118" t="inlineStr">
        <is>
          <t>KALMAR LÄN</t>
        </is>
      </c>
      <c r="E5118" t="inlineStr">
        <is>
          <t>VÄSTERVIK</t>
        </is>
      </c>
      <c r="F5118" t="inlineStr">
        <is>
          <t>Sveaskog</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3288-2024</t>
        </is>
      </c>
      <c r="B5119" s="1" t="n">
        <v>45317.44657407407</v>
      </c>
      <c r="C5119" s="1" t="n">
        <v>45884</v>
      </c>
      <c r="D5119" t="inlineStr">
        <is>
          <t>KALMAR LÄN</t>
        </is>
      </c>
      <c r="E5119" t="inlineStr">
        <is>
          <t>EMMABODA</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46596-2022</t>
        </is>
      </c>
      <c r="B5120" s="1" t="n">
        <v>44848.8315625</v>
      </c>
      <c r="C5120" s="1" t="n">
        <v>45884</v>
      </c>
      <c r="D5120" t="inlineStr">
        <is>
          <t>KALMAR LÄN</t>
        </is>
      </c>
      <c r="E5120" t="inlineStr">
        <is>
          <t>VÄSTERVIK</t>
        </is>
      </c>
      <c r="G5120" t="n">
        <v>3.9</v>
      </c>
      <c r="H5120" t="n">
        <v>0</v>
      </c>
      <c r="I5120" t="n">
        <v>0</v>
      </c>
      <c r="J5120" t="n">
        <v>0</v>
      </c>
      <c r="K5120" t="n">
        <v>0</v>
      </c>
      <c r="L5120" t="n">
        <v>0</v>
      </c>
      <c r="M5120" t="n">
        <v>0</v>
      </c>
      <c r="N5120" t="n">
        <v>0</v>
      </c>
      <c r="O5120" t="n">
        <v>0</v>
      </c>
      <c r="P5120" t="n">
        <v>0</v>
      </c>
      <c r="Q5120" t="n">
        <v>0</v>
      </c>
      <c r="R5120" s="2" t="inlineStr"/>
    </row>
    <row r="5121" ht="15" customHeight="1">
      <c r="A5121" t="inlineStr">
        <is>
          <t>A 8405-2024</t>
        </is>
      </c>
      <c r="B5121" s="1" t="n">
        <v>45352.9037962963</v>
      </c>
      <c r="C5121" s="1" t="n">
        <v>45884</v>
      </c>
      <c r="D5121" t="inlineStr">
        <is>
          <t>KALMAR LÄN</t>
        </is>
      </c>
      <c r="E5121" t="inlineStr">
        <is>
          <t>TORSÅS</t>
        </is>
      </c>
      <c r="G5121" t="n">
        <v>2.1</v>
      </c>
      <c r="H5121" t="n">
        <v>0</v>
      </c>
      <c r="I5121" t="n">
        <v>0</v>
      </c>
      <c r="J5121" t="n">
        <v>0</v>
      </c>
      <c r="K5121" t="n">
        <v>0</v>
      </c>
      <c r="L5121" t="n">
        <v>0</v>
      </c>
      <c r="M5121" t="n">
        <v>0</v>
      </c>
      <c r="N5121" t="n">
        <v>0</v>
      </c>
      <c r="O5121" t="n">
        <v>0</v>
      </c>
      <c r="P5121" t="n">
        <v>0</v>
      </c>
      <c r="Q5121" t="n">
        <v>0</v>
      </c>
      <c r="R5121" s="2" t="inlineStr"/>
    </row>
    <row r="5122" ht="15" customHeight="1">
      <c r="A5122" t="inlineStr">
        <is>
          <t>A 43719-2023</t>
        </is>
      </c>
      <c r="B5122" s="1" t="n">
        <v>45187.44503472222</v>
      </c>
      <c r="C5122" s="1" t="n">
        <v>45884</v>
      </c>
      <c r="D5122" t="inlineStr">
        <is>
          <t>KALMAR LÄN</t>
        </is>
      </c>
      <c r="E5122" t="inlineStr">
        <is>
          <t>EMMABODA</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43759-2023</t>
        </is>
      </c>
      <c r="B5123" s="1" t="n">
        <v>45187</v>
      </c>
      <c r="C5123" s="1" t="n">
        <v>45884</v>
      </c>
      <c r="D5123" t="inlineStr">
        <is>
          <t>KALMAR LÄN</t>
        </is>
      </c>
      <c r="E5123" t="inlineStr">
        <is>
          <t>VÄSTERVIK</t>
        </is>
      </c>
      <c r="G5123" t="n">
        <v>3.3</v>
      </c>
      <c r="H5123" t="n">
        <v>0</v>
      </c>
      <c r="I5123" t="n">
        <v>0</v>
      </c>
      <c r="J5123" t="n">
        <v>0</v>
      </c>
      <c r="K5123" t="n">
        <v>0</v>
      </c>
      <c r="L5123" t="n">
        <v>0</v>
      </c>
      <c r="M5123" t="n">
        <v>0</v>
      </c>
      <c r="N5123" t="n">
        <v>0</v>
      </c>
      <c r="O5123" t="n">
        <v>0</v>
      </c>
      <c r="P5123" t="n">
        <v>0</v>
      </c>
      <c r="Q5123" t="n">
        <v>0</v>
      </c>
      <c r="R5123" s="2" t="inlineStr"/>
    </row>
    <row r="5124" ht="15" customHeight="1">
      <c r="A5124" t="inlineStr">
        <is>
          <t>A 37447-2023</t>
        </is>
      </c>
      <c r="B5124" s="1" t="n">
        <v>45156</v>
      </c>
      <c r="C5124" s="1" t="n">
        <v>45884</v>
      </c>
      <c r="D5124" t="inlineStr">
        <is>
          <t>KALMAR LÄN</t>
        </is>
      </c>
      <c r="E5124" t="inlineStr">
        <is>
          <t>KALMAR</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16326-2023</t>
        </is>
      </c>
      <c r="B5125" s="1" t="n">
        <v>45028.61766203704</v>
      </c>
      <c r="C5125" s="1" t="n">
        <v>45884</v>
      </c>
      <c r="D5125" t="inlineStr">
        <is>
          <t>KALMAR LÄN</t>
        </is>
      </c>
      <c r="E5125" t="inlineStr">
        <is>
          <t>KALMAR</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1681-2021</t>
        </is>
      </c>
      <c r="B5126" s="1" t="n">
        <v>44209</v>
      </c>
      <c r="C5126" s="1" t="n">
        <v>45884</v>
      </c>
      <c r="D5126" t="inlineStr">
        <is>
          <t>KALMAR LÄN</t>
        </is>
      </c>
      <c r="E5126" t="inlineStr">
        <is>
          <t>NYBRO</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6225-2022</t>
        </is>
      </c>
      <c r="B5127" s="1" t="n">
        <v>44600.39641203704</v>
      </c>
      <c r="C5127" s="1" t="n">
        <v>45884</v>
      </c>
      <c r="D5127" t="inlineStr">
        <is>
          <t>KALMAR LÄN</t>
        </is>
      </c>
      <c r="E5127" t="inlineStr">
        <is>
          <t>TORSÅS</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29569-2024</t>
        </is>
      </c>
      <c r="B5128" s="1" t="n">
        <v>45484.55672453704</v>
      </c>
      <c r="C5128" s="1" t="n">
        <v>45884</v>
      </c>
      <c r="D5128" t="inlineStr">
        <is>
          <t>KALMAR LÄN</t>
        </is>
      </c>
      <c r="E5128" t="inlineStr">
        <is>
          <t>HULTSFRED</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48534-2020</t>
        </is>
      </c>
      <c r="B5129" s="1" t="n">
        <v>44103</v>
      </c>
      <c r="C5129" s="1" t="n">
        <v>45884</v>
      </c>
      <c r="D5129" t="inlineStr">
        <is>
          <t>KALMAR LÄN</t>
        </is>
      </c>
      <c r="E5129" t="inlineStr">
        <is>
          <t>OSKARSHAMN</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28588-2022</t>
        </is>
      </c>
      <c r="B5130" s="1" t="n">
        <v>44748</v>
      </c>
      <c r="C5130" s="1" t="n">
        <v>45884</v>
      </c>
      <c r="D5130" t="inlineStr">
        <is>
          <t>KALMAR LÄN</t>
        </is>
      </c>
      <c r="E5130" t="inlineStr">
        <is>
          <t>VÄSTERVIK</t>
        </is>
      </c>
      <c r="F5130" t="inlineStr">
        <is>
          <t>Övriga Aktiebolag</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28600-2022</t>
        </is>
      </c>
      <c r="B5131" s="1" t="n">
        <v>44748.54626157408</v>
      </c>
      <c r="C5131" s="1" t="n">
        <v>45884</v>
      </c>
      <c r="D5131" t="inlineStr">
        <is>
          <t>KALMAR LÄN</t>
        </is>
      </c>
      <c r="E5131" t="inlineStr">
        <is>
          <t>EMMABODA</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7348-2023</t>
        </is>
      </c>
      <c r="B5132" s="1" t="n">
        <v>44971.36787037037</v>
      </c>
      <c r="C5132" s="1" t="n">
        <v>45884</v>
      </c>
      <c r="D5132" t="inlineStr">
        <is>
          <t>KALMAR LÄN</t>
        </is>
      </c>
      <c r="E5132" t="inlineStr">
        <is>
          <t>HULTSFRED</t>
        </is>
      </c>
      <c r="G5132" t="n">
        <v>1.9</v>
      </c>
      <c r="H5132" t="n">
        <v>0</v>
      </c>
      <c r="I5132" t="n">
        <v>0</v>
      </c>
      <c r="J5132" t="n">
        <v>0</v>
      </c>
      <c r="K5132" t="n">
        <v>0</v>
      </c>
      <c r="L5132" t="n">
        <v>0</v>
      </c>
      <c r="M5132" t="n">
        <v>0</v>
      </c>
      <c r="N5132" t="n">
        <v>0</v>
      </c>
      <c r="O5132" t="n">
        <v>0</v>
      </c>
      <c r="P5132" t="n">
        <v>0</v>
      </c>
      <c r="Q5132" t="n">
        <v>0</v>
      </c>
      <c r="R5132" s="2" t="inlineStr"/>
    </row>
    <row r="5133" ht="15" customHeight="1">
      <c r="A5133" t="inlineStr">
        <is>
          <t>A 2136-2025</t>
        </is>
      </c>
      <c r="B5133" s="1" t="n">
        <v>45672</v>
      </c>
      <c r="C5133" s="1" t="n">
        <v>45884</v>
      </c>
      <c r="D5133" t="inlineStr">
        <is>
          <t>KALMAR LÄN</t>
        </is>
      </c>
      <c r="E5133" t="inlineStr">
        <is>
          <t>TORSÅS</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41824-2024</t>
        </is>
      </c>
      <c r="B5134" s="1" t="n">
        <v>45561.39777777778</v>
      </c>
      <c r="C5134" s="1" t="n">
        <v>45884</v>
      </c>
      <c r="D5134" t="inlineStr">
        <is>
          <t>KALMAR LÄN</t>
        </is>
      </c>
      <c r="E5134" t="inlineStr">
        <is>
          <t>HÖGSBY</t>
        </is>
      </c>
      <c r="G5134" t="n">
        <v>2.8</v>
      </c>
      <c r="H5134" t="n">
        <v>0</v>
      </c>
      <c r="I5134" t="n">
        <v>0</v>
      </c>
      <c r="J5134" t="n">
        <v>0</v>
      </c>
      <c r="K5134" t="n">
        <v>0</v>
      </c>
      <c r="L5134" t="n">
        <v>0</v>
      </c>
      <c r="M5134" t="n">
        <v>0</v>
      </c>
      <c r="N5134" t="n">
        <v>0</v>
      </c>
      <c r="O5134" t="n">
        <v>0</v>
      </c>
      <c r="P5134" t="n">
        <v>0</v>
      </c>
      <c r="Q5134" t="n">
        <v>0</v>
      </c>
      <c r="R5134" s="2" t="inlineStr"/>
    </row>
    <row r="5135" ht="15" customHeight="1">
      <c r="A5135" t="inlineStr">
        <is>
          <t>A 27513-2024</t>
        </is>
      </c>
      <c r="B5135" s="1" t="n">
        <v>45474.54547453704</v>
      </c>
      <c r="C5135" s="1" t="n">
        <v>45884</v>
      </c>
      <c r="D5135" t="inlineStr">
        <is>
          <t>KALMAR LÄN</t>
        </is>
      </c>
      <c r="E5135" t="inlineStr">
        <is>
          <t>NYBRO</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55569-2024</t>
        </is>
      </c>
      <c r="B5136" s="1" t="n">
        <v>45621</v>
      </c>
      <c r="C5136" s="1" t="n">
        <v>45884</v>
      </c>
      <c r="D5136" t="inlineStr">
        <is>
          <t>KALMAR LÄN</t>
        </is>
      </c>
      <c r="E5136" t="inlineStr">
        <is>
          <t>OSKARSHAMN</t>
        </is>
      </c>
      <c r="G5136" t="n">
        <v>0.7</v>
      </c>
      <c r="H5136" t="n">
        <v>0</v>
      </c>
      <c r="I5136" t="n">
        <v>0</v>
      </c>
      <c r="J5136" t="n">
        <v>0</v>
      </c>
      <c r="K5136" t="n">
        <v>0</v>
      </c>
      <c r="L5136" t="n">
        <v>0</v>
      </c>
      <c r="M5136" t="n">
        <v>0</v>
      </c>
      <c r="N5136" t="n">
        <v>0</v>
      </c>
      <c r="O5136" t="n">
        <v>0</v>
      </c>
      <c r="P5136" t="n">
        <v>0</v>
      </c>
      <c r="Q5136" t="n">
        <v>0</v>
      </c>
      <c r="R5136" s="2" t="inlineStr"/>
    </row>
    <row r="5137" ht="15" customHeight="1">
      <c r="A5137" t="inlineStr">
        <is>
          <t>A 56046-2023</t>
        </is>
      </c>
      <c r="B5137" s="1" t="n">
        <v>45240.45217592592</v>
      </c>
      <c r="C5137" s="1" t="n">
        <v>45884</v>
      </c>
      <c r="D5137" t="inlineStr">
        <is>
          <t>KALMAR LÄN</t>
        </is>
      </c>
      <c r="E5137" t="inlineStr">
        <is>
          <t>VÄSTERVIK</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17200-2021</t>
        </is>
      </c>
      <c r="B5138" s="1" t="n">
        <v>44298.47847222222</v>
      </c>
      <c r="C5138" s="1" t="n">
        <v>45884</v>
      </c>
      <c r="D5138" t="inlineStr">
        <is>
          <t>KALMAR LÄN</t>
        </is>
      </c>
      <c r="E5138" t="inlineStr">
        <is>
          <t>VÄSTERVIK</t>
        </is>
      </c>
      <c r="G5138" t="n">
        <v>3.4</v>
      </c>
      <c r="H5138" t="n">
        <v>0</v>
      </c>
      <c r="I5138" t="n">
        <v>0</v>
      </c>
      <c r="J5138" t="n">
        <v>0</v>
      </c>
      <c r="K5138" t="n">
        <v>0</v>
      </c>
      <c r="L5138" t="n">
        <v>0</v>
      </c>
      <c r="M5138" t="n">
        <v>0</v>
      </c>
      <c r="N5138" t="n">
        <v>0</v>
      </c>
      <c r="O5138" t="n">
        <v>0</v>
      </c>
      <c r="P5138" t="n">
        <v>0</v>
      </c>
      <c r="Q5138" t="n">
        <v>0</v>
      </c>
      <c r="R5138" s="2" t="inlineStr"/>
    </row>
    <row r="5139" ht="15" customHeight="1">
      <c r="A5139" t="inlineStr">
        <is>
          <t>A 61807-2024</t>
        </is>
      </c>
      <c r="B5139" s="1" t="n">
        <v>45649.57708333333</v>
      </c>
      <c r="C5139" s="1" t="n">
        <v>45884</v>
      </c>
      <c r="D5139" t="inlineStr">
        <is>
          <t>KALMAR LÄN</t>
        </is>
      </c>
      <c r="E5139" t="inlineStr">
        <is>
          <t>NYBRO</t>
        </is>
      </c>
      <c r="G5139" t="n">
        <v>14.2</v>
      </c>
      <c r="H5139" t="n">
        <v>0</v>
      </c>
      <c r="I5139" t="n">
        <v>0</v>
      </c>
      <c r="J5139" t="n">
        <v>0</v>
      </c>
      <c r="K5139" t="n">
        <v>0</v>
      </c>
      <c r="L5139" t="n">
        <v>0</v>
      </c>
      <c r="M5139" t="n">
        <v>0</v>
      </c>
      <c r="N5139" t="n">
        <v>0</v>
      </c>
      <c r="O5139" t="n">
        <v>0</v>
      </c>
      <c r="P5139" t="n">
        <v>0</v>
      </c>
      <c r="Q5139" t="n">
        <v>0</v>
      </c>
      <c r="R5139" s="2" t="inlineStr"/>
    </row>
    <row r="5140" ht="15" customHeight="1">
      <c r="A5140" t="inlineStr">
        <is>
          <t>A 56659-2023</t>
        </is>
      </c>
      <c r="B5140" s="1" t="n">
        <v>45243.84869212963</v>
      </c>
      <c r="C5140" s="1" t="n">
        <v>45884</v>
      </c>
      <c r="D5140" t="inlineStr">
        <is>
          <t>KALMAR LÄN</t>
        </is>
      </c>
      <c r="E5140" t="inlineStr">
        <is>
          <t>VIMMERBY</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61809-2024</t>
        </is>
      </c>
      <c r="B5141" s="1" t="n">
        <v>45649.58368055556</v>
      </c>
      <c r="C5141" s="1" t="n">
        <v>45884</v>
      </c>
      <c r="D5141" t="inlineStr">
        <is>
          <t>KALMAR LÄN</t>
        </is>
      </c>
      <c r="E5141" t="inlineStr">
        <is>
          <t>NYBRO</t>
        </is>
      </c>
      <c r="G5141" t="n">
        <v>15.8</v>
      </c>
      <c r="H5141" t="n">
        <v>0</v>
      </c>
      <c r="I5141" t="n">
        <v>0</v>
      </c>
      <c r="J5141" t="n">
        <v>0</v>
      </c>
      <c r="K5141" t="n">
        <v>0</v>
      </c>
      <c r="L5141" t="n">
        <v>0</v>
      </c>
      <c r="M5141" t="n">
        <v>0</v>
      </c>
      <c r="N5141" t="n">
        <v>0</v>
      </c>
      <c r="O5141" t="n">
        <v>0</v>
      </c>
      <c r="P5141" t="n">
        <v>0</v>
      </c>
      <c r="Q5141" t="n">
        <v>0</v>
      </c>
      <c r="R5141" s="2" t="inlineStr"/>
    </row>
    <row r="5142" ht="15" customHeight="1">
      <c r="A5142" t="inlineStr">
        <is>
          <t>A 61835-2024</t>
        </is>
      </c>
      <c r="B5142" s="1" t="n">
        <v>45649.63318287037</v>
      </c>
      <c r="C5142" s="1" t="n">
        <v>45884</v>
      </c>
      <c r="D5142" t="inlineStr">
        <is>
          <t>KALMAR LÄN</t>
        </is>
      </c>
      <c r="E5142" t="inlineStr">
        <is>
          <t>NYBRO</t>
        </is>
      </c>
      <c r="G5142" t="n">
        <v>5.7</v>
      </c>
      <c r="H5142" t="n">
        <v>0</v>
      </c>
      <c r="I5142" t="n">
        <v>0</v>
      </c>
      <c r="J5142" t="n">
        <v>0</v>
      </c>
      <c r="K5142" t="n">
        <v>0</v>
      </c>
      <c r="L5142" t="n">
        <v>0</v>
      </c>
      <c r="M5142" t="n">
        <v>0</v>
      </c>
      <c r="N5142" t="n">
        <v>0</v>
      </c>
      <c r="O5142" t="n">
        <v>0</v>
      </c>
      <c r="P5142" t="n">
        <v>0</v>
      </c>
      <c r="Q5142" t="n">
        <v>0</v>
      </c>
      <c r="R5142" s="2" t="inlineStr"/>
    </row>
    <row r="5143" ht="15" customHeight="1">
      <c r="A5143" t="inlineStr">
        <is>
          <t>A 8000-2023</t>
        </is>
      </c>
      <c r="B5143" s="1" t="n">
        <v>44973.8353125</v>
      </c>
      <c r="C5143" s="1" t="n">
        <v>45884</v>
      </c>
      <c r="D5143" t="inlineStr">
        <is>
          <t>KALMAR LÄN</t>
        </is>
      </c>
      <c r="E5143" t="inlineStr">
        <is>
          <t>NYBRO</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1096-2024</t>
        </is>
      </c>
      <c r="B5144" s="1" t="n">
        <v>45302</v>
      </c>
      <c r="C5144" s="1" t="n">
        <v>45884</v>
      </c>
      <c r="D5144" t="inlineStr">
        <is>
          <t>KALMAR LÄN</t>
        </is>
      </c>
      <c r="E5144" t="inlineStr">
        <is>
          <t>VÄSTERVIK</t>
        </is>
      </c>
      <c r="G5144" t="n">
        <v>2.6</v>
      </c>
      <c r="H5144" t="n">
        <v>0</v>
      </c>
      <c r="I5144" t="n">
        <v>0</v>
      </c>
      <c r="J5144" t="n">
        <v>0</v>
      </c>
      <c r="K5144" t="n">
        <v>0</v>
      </c>
      <c r="L5144" t="n">
        <v>0</v>
      </c>
      <c r="M5144" t="n">
        <v>0</v>
      </c>
      <c r="N5144" t="n">
        <v>0</v>
      </c>
      <c r="O5144" t="n">
        <v>0</v>
      </c>
      <c r="P5144" t="n">
        <v>0</v>
      </c>
      <c r="Q5144" t="n">
        <v>0</v>
      </c>
      <c r="R5144" s="2" t="inlineStr"/>
    </row>
    <row r="5145" ht="15" customHeight="1">
      <c r="A5145" t="inlineStr">
        <is>
          <t>A 19290-2025</t>
        </is>
      </c>
      <c r="B5145" s="1" t="n">
        <v>45769.55505787037</v>
      </c>
      <c r="C5145" s="1" t="n">
        <v>45884</v>
      </c>
      <c r="D5145" t="inlineStr">
        <is>
          <t>KALMAR LÄN</t>
        </is>
      </c>
      <c r="E5145" t="inlineStr">
        <is>
          <t>OSKARSHAMN</t>
        </is>
      </c>
      <c r="G5145" t="n">
        <v>3.3</v>
      </c>
      <c r="H5145" t="n">
        <v>0</v>
      </c>
      <c r="I5145" t="n">
        <v>0</v>
      </c>
      <c r="J5145" t="n">
        <v>0</v>
      </c>
      <c r="K5145" t="n">
        <v>0</v>
      </c>
      <c r="L5145" t="n">
        <v>0</v>
      </c>
      <c r="M5145" t="n">
        <v>0</v>
      </c>
      <c r="N5145" t="n">
        <v>0</v>
      </c>
      <c r="O5145" t="n">
        <v>0</v>
      </c>
      <c r="P5145" t="n">
        <v>0</v>
      </c>
      <c r="Q5145" t="n">
        <v>0</v>
      </c>
      <c r="R5145" s="2" t="inlineStr"/>
    </row>
    <row r="5146" ht="15" customHeight="1">
      <c r="A5146" t="inlineStr">
        <is>
          <t>A 8479-2022</t>
        </is>
      </c>
      <c r="B5146" s="1" t="n">
        <v>44613.35957175926</v>
      </c>
      <c r="C5146" s="1" t="n">
        <v>45884</v>
      </c>
      <c r="D5146" t="inlineStr">
        <is>
          <t>KALMAR LÄN</t>
        </is>
      </c>
      <c r="E5146" t="inlineStr">
        <is>
          <t>TORSÅS</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13015-2022</t>
        </is>
      </c>
      <c r="B5147" s="1" t="n">
        <v>44643</v>
      </c>
      <c r="C5147" s="1" t="n">
        <v>45884</v>
      </c>
      <c r="D5147" t="inlineStr">
        <is>
          <t>KALMAR LÄN</t>
        </is>
      </c>
      <c r="E5147" t="inlineStr">
        <is>
          <t>VIMMERBY</t>
        </is>
      </c>
      <c r="G5147" t="n">
        <v>2.4</v>
      </c>
      <c r="H5147" t="n">
        <v>0</v>
      </c>
      <c r="I5147" t="n">
        <v>0</v>
      </c>
      <c r="J5147" t="n">
        <v>0</v>
      </c>
      <c r="K5147" t="n">
        <v>0</v>
      </c>
      <c r="L5147" t="n">
        <v>0</v>
      </c>
      <c r="M5147" t="n">
        <v>0</v>
      </c>
      <c r="N5147" t="n">
        <v>0</v>
      </c>
      <c r="O5147" t="n">
        <v>0</v>
      </c>
      <c r="P5147" t="n">
        <v>0</v>
      </c>
      <c r="Q5147" t="n">
        <v>0</v>
      </c>
      <c r="R5147" s="2" t="inlineStr"/>
    </row>
    <row r="5148" ht="15" customHeight="1">
      <c r="A5148" t="inlineStr">
        <is>
          <t>A 13047-2022</t>
        </is>
      </c>
      <c r="B5148" s="1" t="n">
        <v>44643</v>
      </c>
      <c r="C5148" s="1" t="n">
        <v>45884</v>
      </c>
      <c r="D5148" t="inlineStr">
        <is>
          <t>KALMAR LÄN</t>
        </is>
      </c>
      <c r="E5148" t="inlineStr">
        <is>
          <t>MÖNSTERÅS</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9028-2025</t>
        </is>
      </c>
      <c r="B5149" s="1" t="n">
        <v>45713</v>
      </c>
      <c r="C5149" s="1" t="n">
        <v>45884</v>
      </c>
      <c r="D5149" t="inlineStr">
        <is>
          <t>KALMAR LÄN</t>
        </is>
      </c>
      <c r="E5149" t="inlineStr">
        <is>
          <t>BORGHOLM</t>
        </is>
      </c>
      <c r="F5149" t="inlineStr">
        <is>
          <t>Sveaskog</t>
        </is>
      </c>
      <c r="G5149" t="n">
        <v>3</v>
      </c>
      <c r="H5149" t="n">
        <v>0</v>
      </c>
      <c r="I5149" t="n">
        <v>0</v>
      </c>
      <c r="J5149" t="n">
        <v>0</v>
      </c>
      <c r="K5149" t="n">
        <v>0</v>
      </c>
      <c r="L5149" t="n">
        <v>0</v>
      </c>
      <c r="M5149" t="n">
        <v>0</v>
      </c>
      <c r="N5149" t="n">
        <v>0</v>
      </c>
      <c r="O5149" t="n">
        <v>0</v>
      </c>
      <c r="P5149" t="n">
        <v>0</v>
      </c>
      <c r="Q5149" t="n">
        <v>0</v>
      </c>
      <c r="R5149" s="2" t="inlineStr"/>
    </row>
    <row r="5150" ht="15" customHeight="1">
      <c r="A5150" t="inlineStr">
        <is>
          <t>A 64920-2021</t>
        </is>
      </c>
      <c r="B5150" s="1" t="n">
        <v>44512</v>
      </c>
      <c r="C5150" s="1" t="n">
        <v>45884</v>
      </c>
      <c r="D5150" t="inlineStr">
        <is>
          <t>KALMAR LÄN</t>
        </is>
      </c>
      <c r="E5150" t="inlineStr">
        <is>
          <t>VÄSTERVIK</t>
        </is>
      </c>
      <c r="G5150" t="n">
        <v>1.2</v>
      </c>
      <c r="H5150" t="n">
        <v>0</v>
      </c>
      <c r="I5150" t="n">
        <v>0</v>
      </c>
      <c r="J5150" t="n">
        <v>0</v>
      </c>
      <c r="K5150" t="n">
        <v>0</v>
      </c>
      <c r="L5150" t="n">
        <v>0</v>
      </c>
      <c r="M5150" t="n">
        <v>0</v>
      </c>
      <c r="N5150" t="n">
        <v>0</v>
      </c>
      <c r="O5150" t="n">
        <v>0</v>
      </c>
      <c r="P5150" t="n">
        <v>0</v>
      </c>
      <c r="Q5150" t="n">
        <v>0</v>
      </c>
      <c r="R5150" s="2" t="inlineStr"/>
      <c r="U5150">
        <f>HYPERLINK("https://klasma.github.io/Logging_0883/knärot/A 64920-2021 karta knärot.png", "A 64920-2021")</f>
        <v/>
      </c>
      <c r="V5150">
        <f>HYPERLINK("https://klasma.github.io/Logging_0883/klagomål/A 64920-2021 FSC-klagomål.docx", "A 64920-2021")</f>
        <v/>
      </c>
      <c r="W5150">
        <f>HYPERLINK("https://klasma.github.io/Logging_0883/klagomålsmail/A 64920-2021 FSC-klagomål mail.docx", "A 64920-2021")</f>
        <v/>
      </c>
      <c r="X5150">
        <f>HYPERLINK("https://klasma.github.io/Logging_0883/tillsyn/A 64920-2021 tillsynsbegäran.docx", "A 64920-2021")</f>
        <v/>
      </c>
      <c r="Y5150">
        <f>HYPERLINK("https://klasma.github.io/Logging_0883/tillsynsmail/A 64920-2021 tillsynsbegäran mail.docx", "A 64920-2021")</f>
        <v/>
      </c>
    </row>
    <row r="5151" ht="15" customHeight="1">
      <c r="A5151" t="inlineStr">
        <is>
          <t>A 52071-2023</t>
        </is>
      </c>
      <c r="B5151" s="1" t="n">
        <v>45223</v>
      </c>
      <c r="C5151" s="1" t="n">
        <v>45884</v>
      </c>
      <c r="D5151" t="inlineStr">
        <is>
          <t>KALMAR LÄN</t>
        </is>
      </c>
      <c r="E5151" t="inlineStr">
        <is>
          <t>TORSÅS</t>
        </is>
      </c>
      <c r="G5151" t="n">
        <v>2.8</v>
      </c>
      <c r="H5151" t="n">
        <v>0</v>
      </c>
      <c r="I5151" t="n">
        <v>0</v>
      </c>
      <c r="J5151" t="n">
        <v>0</v>
      </c>
      <c r="K5151" t="n">
        <v>0</v>
      </c>
      <c r="L5151" t="n">
        <v>0</v>
      </c>
      <c r="M5151" t="n">
        <v>0</v>
      </c>
      <c r="N5151" t="n">
        <v>0</v>
      </c>
      <c r="O5151" t="n">
        <v>0</v>
      </c>
      <c r="P5151" t="n">
        <v>0</v>
      </c>
      <c r="Q5151" t="n">
        <v>0</v>
      </c>
      <c r="R5151" s="2" t="inlineStr"/>
    </row>
    <row r="5152" ht="15" customHeight="1">
      <c r="A5152" t="inlineStr">
        <is>
          <t>A 61450-2023</t>
        </is>
      </c>
      <c r="B5152" s="1" t="n">
        <v>45264.8162037037</v>
      </c>
      <c r="C5152" s="1" t="n">
        <v>45884</v>
      </c>
      <c r="D5152" t="inlineStr">
        <is>
          <t>KALMAR LÄN</t>
        </is>
      </c>
      <c r="E5152" t="inlineStr">
        <is>
          <t>VÄSTERVIK</t>
        </is>
      </c>
      <c r="F5152" t="inlineStr">
        <is>
          <t>Sveaskog</t>
        </is>
      </c>
      <c r="G5152" t="n">
        <v>2.5</v>
      </c>
      <c r="H5152" t="n">
        <v>0</v>
      </c>
      <c r="I5152" t="n">
        <v>0</v>
      </c>
      <c r="J5152" t="n">
        <v>0</v>
      </c>
      <c r="K5152" t="n">
        <v>0</v>
      </c>
      <c r="L5152" t="n">
        <v>0</v>
      </c>
      <c r="M5152" t="n">
        <v>0</v>
      </c>
      <c r="N5152" t="n">
        <v>0</v>
      </c>
      <c r="O5152" t="n">
        <v>0</v>
      </c>
      <c r="P5152" t="n">
        <v>0</v>
      </c>
      <c r="Q5152" t="n">
        <v>0</v>
      </c>
      <c r="R5152" s="2" t="inlineStr"/>
    </row>
    <row r="5153" ht="15" customHeight="1">
      <c r="A5153" t="inlineStr">
        <is>
          <t>A 51852-2024</t>
        </is>
      </c>
      <c r="B5153" s="1" t="n">
        <v>45607.53863425926</v>
      </c>
      <c r="C5153" s="1" t="n">
        <v>45884</v>
      </c>
      <c r="D5153" t="inlineStr">
        <is>
          <t>KALMAR LÄN</t>
        </is>
      </c>
      <c r="E5153" t="inlineStr">
        <is>
          <t>TORSÅS</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42277-2023</t>
        </is>
      </c>
      <c r="B5154" s="1" t="n">
        <v>45175</v>
      </c>
      <c r="C5154" s="1" t="n">
        <v>45884</v>
      </c>
      <c r="D5154" t="inlineStr">
        <is>
          <t>KALMAR LÄN</t>
        </is>
      </c>
      <c r="E5154" t="inlineStr">
        <is>
          <t>NYBRO</t>
        </is>
      </c>
      <c r="G5154" t="n">
        <v>2.5</v>
      </c>
      <c r="H5154" t="n">
        <v>0</v>
      </c>
      <c r="I5154" t="n">
        <v>0</v>
      </c>
      <c r="J5154" t="n">
        <v>0</v>
      </c>
      <c r="K5154" t="n">
        <v>0</v>
      </c>
      <c r="L5154" t="n">
        <v>0</v>
      </c>
      <c r="M5154" t="n">
        <v>0</v>
      </c>
      <c r="N5154" t="n">
        <v>0</v>
      </c>
      <c r="O5154" t="n">
        <v>0</v>
      </c>
      <c r="P5154" t="n">
        <v>0</v>
      </c>
      <c r="Q5154" t="n">
        <v>0</v>
      </c>
      <c r="R5154" s="2" t="inlineStr"/>
    </row>
    <row r="5155" ht="15" customHeight="1">
      <c r="A5155" t="inlineStr">
        <is>
          <t>A 24055-2021</t>
        </is>
      </c>
      <c r="B5155" s="1" t="n">
        <v>44336</v>
      </c>
      <c r="C5155" s="1" t="n">
        <v>45884</v>
      </c>
      <c r="D5155" t="inlineStr">
        <is>
          <t>KALMAR LÄN</t>
        </is>
      </c>
      <c r="E5155" t="inlineStr">
        <is>
          <t>KALMAR</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7325-2025</t>
        </is>
      </c>
      <c r="B5156" s="1" t="n">
        <v>45702</v>
      </c>
      <c r="C5156" s="1" t="n">
        <v>45884</v>
      </c>
      <c r="D5156" t="inlineStr">
        <is>
          <t>KALMAR LÄN</t>
        </is>
      </c>
      <c r="E5156" t="inlineStr">
        <is>
          <t>HÖGSBY</t>
        </is>
      </c>
      <c r="G5156" t="n">
        <v>1.8</v>
      </c>
      <c r="H5156" t="n">
        <v>0</v>
      </c>
      <c r="I5156" t="n">
        <v>0</v>
      </c>
      <c r="J5156" t="n">
        <v>0</v>
      </c>
      <c r="K5156" t="n">
        <v>0</v>
      </c>
      <c r="L5156" t="n">
        <v>0</v>
      </c>
      <c r="M5156" t="n">
        <v>0</v>
      </c>
      <c r="N5156" t="n">
        <v>0</v>
      </c>
      <c r="O5156" t="n">
        <v>0</v>
      </c>
      <c r="P5156" t="n">
        <v>0</v>
      </c>
      <c r="Q5156" t="n">
        <v>0</v>
      </c>
      <c r="R5156" s="2" t="inlineStr"/>
    </row>
    <row r="5157" ht="15" customHeight="1">
      <c r="A5157" t="inlineStr">
        <is>
          <t>A 38198-2024</t>
        </is>
      </c>
      <c r="B5157" s="1" t="n">
        <v>45545.49508101852</v>
      </c>
      <c r="C5157" s="1" t="n">
        <v>45884</v>
      </c>
      <c r="D5157" t="inlineStr">
        <is>
          <t>KALMAR LÄN</t>
        </is>
      </c>
      <c r="E5157" t="inlineStr">
        <is>
          <t>VIMMERBY</t>
        </is>
      </c>
      <c r="G5157" t="n">
        <v>7.9</v>
      </c>
      <c r="H5157" t="n">
        <v>0</v>
      </c>
      <c r="I5157" t="n">
        <v>0</v>
      </c>
      <c r="J5157" t="n">
        <v>0</v>
      </c>
      <c r="K5157" t="n">
        <v>0</v>
      </c>
      <c r="L5157" t="n">
        <v>0</v>
      </c>
      <c r="M5157" t="n">
        <v>0</v>
      </c>
      <c r="N5157" t="n">
        <v>0</v>
      </c>
      <c r="O5157" t="n">
        <v>0</v>
      </c>
      <c r="P5157" t="n">
        <v>0</v>
      </c>
      <c r="Q5157" t="n">
        <v>0</v>
      </c>
      <c r="R5157" s="2" t="inlineStr"/>
    </row>
    <row r="5158" ht="15" customHeight="1">
      <c r="A5158" t="inlineStr">
        <is>
          <t>A 36906-2024</t>
        </is>
      </c>
      <c r="B5158" s="1" t="n">
        <v>45538</v>
      </c>
      <c r="C5158" s="1" t="n">
        <v>45884</v>
      </c>
      <c r="D5158" t="inlineStr">
        <is>
          <t>KALMAR LÄN</t>
        </is>
      </c>
      <c r="E5158" t="inlineStr">
        <is>
          <t>VÄSTERVIK</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36931-2024</t>
        </is>
      </c>
      <c r="B5159" s="1" t="n">
        <v>45538</v>
      </c>
      <c r="C5159" s="1" t="n">
        <v>45884</v>
      </c>
      <c r="D5159" t="inlineStr">
        <is>
          <t>KALMAR LÄN</t>
        </is>
      </c>
      <c r="E5159" t="inlineStr">
        <is>
          <t>HULTSFRED</t>
        </is>
      </c>
      <c r="G5159" t="n">
        <v>0.3</v>
      </c>
      <c r="H5159" t="n">
        <v>0</v>
      </c>
      <c r="I5159" t="n">
        <v>0</v>
      </c>
      <c r="J5159" t="n">
        <v>0</v>
      </c>
      <c r="K5159" t="n">
        <v>0</v>
      </c>
      <c r="L5159" t="n">
        <v>0</v>
      </c>
      <c r="M5159" t="n">
        <v>0</v>
      </c>
      <c r="N5159" t="n">
        <v>0</v>
      </c>
      <c r="O5159" t="n">
        <v>0</v>
      </c>
      <c r="P5159" t="n">
        <v>0</v>
      </c>
      <c r="Q5159" t="n">
        <v>0</v>
      </c>
      <c r="R5159" s="2" t="inlineStr"/>
    </row>
    <row r="5160" ht="15" customHeight="1">
      <c r="A5160" t="inlineStr">
        <is>
          <t>A 9623-2024</t>
        </is>
      </c>
      <c r="B5160" s="1" t="n">
        <v>45361.87975694444</v>
      </c>
      <c r="C5160" s="1" t="n">
        <v>45884</v>
      </c>
      <c r="D5160" t="inlineStr">
        <is>
          <t>KALMAR LÄN</t>
        </is>
      </c>
      <c r="E5160" t="inlineStr">
        <is>
          <t>VIMMERBY</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40330-2023</t>
        </is>
      </c>
      <c r="B5161" s="1" t="n">
        <v>45169.62340277778</v>
      </c>
      <c r="C5161" s="1" t="n">
        <v>45884</v>
      </c>
      <c r="D5161" t="inlineStr">
        <is>
          <t>KALMAR LÄN</t>
        </is>
      </c>
      <c r="E5161" t="inlineStr">
        <is>
          <t>HULTSFRED</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40647-2022</t>
        </is>
      </c>
      <c r="B5162" s="1" t="n">
        <v>44824.33912037037</v>
      </c>
      <c r="C5162" s="1" t="n">
        <v>45884</v>
      </c>
      <c r="D5162" t="inlineStr">
        <is>
          <t>KALMAR LÄN</t>
        </is>
      </c>
      <c r="E5162" t="inlineStr">
        <is>
          <t>KALMAR</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15212-2021</t>
        </is>
      </c>
      <c r="B5163" s="1" t="n">
        <v>44284.46223379629</v>
      </c>
      <c r="C5163" s="1" t="n">
        <v>45884</v>
      </c>
      <c r="D5163" t="inlineStr">
        <is>
          <t>KALMAR LÄN</t>
        </is>
      </c>
      <c r="E5163" t="inlineStr">
        <is>
          <t>TORSÅS</t>
        </is>
      </c>
      <c r="G5163" t="n">
        <v>3.7</v>
      </c>
      <c r="H5163" t="n">
        <v>0</v>
      </c>
      <c r="I5163" t="n">
        <v>0</v>
      </c>
      <c r="J5163" t="n">
        <v>0</v>
      </c>
      <c r="K5163" t="n">
        <v>0</v>
      </c>
      <c r="L5163" t="n">
        <v>0</v>
      </c>
      <c r="M5163" t="n">
        <v>0</v>
      </c>
      <c r="N5163" t="n">
        <v>0</v>
      </c>
      <c r="O5163" t="n">
        <v>0</v>
      </c>
      <c r="P5163" t="n">
        <v>0</v>
      </c>
      <c r="Q5163" t="n">
        <v>0</v>
      </c>
      <c r="R5163" s="2" t="inlineStr"/>
    </row>
    <row r="5164" ht="15" customHeight="1">
      <c r="A5164" t="inlineStr">
        <is>
          <t>A 15213-2021</t>
        </is>
      </c>
      <c r="B5164" s="1" t="n">
        <v>44284.4637037037</v>
      </c>
      <c r="C5164" s="1" t="n">
        <v>45884</v>
      </c>
      <c r="D5164" t="inlineStr">
        <is>
          <t>KALMAR LÄN</t>
        </is>
      </c>
      <c r="E5164" t="inlineStr">
        <is>
          <t>TORSÅS</t>
        </is>
      </c>
      <c r="G5164" t="n">
        <v>4.1</v>
      </c>
      <c r="H5164" t="n">
        <v>0</v>
      </c>
      <c r="I5164" t="n">
        <v>0</v>
      </c>
      <c r="J5164" t="n">
        <v>0</v>
      </c>
      <c r="K5164" t="n">
        <v>0</v>
      </c>
      <c r="L5164" t="n">
        <v>0</v>
      </c>
      <c r="M5164" t="n">
        <v>0</v>
      </c>
      <c r="N5164" t="n">
        <v>0</v>
      </c>
      <c r="O5164" t="n">
        <v>0</v>
      </c>
      <c r="P5164" t="n">
        <v>0</v>
      </c>
      <c r="Q5164" t="n">
        <v>0</v>
      </c>
      <c r="R5164" s="2" t="inlineStr"/>
    </row>
    <row r="5165" ht="15" customHeight="1">
      <c r="A5165" t="inlineStr">
        <is>
          <t>A 21268-2022</t>
        </is>
      </c>
      <c r="B5165" s="1" t="n">
        <v>44705.43685185185</v>
      </c>
      <c r="C5165" s="1" t="n">
        <v>45884</v>
      </c>
      <c r="D5165" t="inlineStr">
        <is>
          <t>KALMAR LÄN</t>
        </is>
      </c>
      <c r="E5165" t="inlineStr">
        <is>
          <t>HULTSFRED</t>
        </is>
      </c>
      <c r="G5165" t="n">
        <v>1.8</v>
      </c>
      <c r="H5165" t="n">
        <v>0</v>
      </c>
      <c r="I5165" t="n">
        <v>0</v>
      </c>
      <c r="J5165" t="n">
        <v>0</v>
      </c>
      <c r="K5165" t="n">
        <v>0</v>
      </c>
      <c r="L5165" t="n">
        <v>0</v>
      </c>
      <c r="M5165" t="n">
        <v>0</v>
      </c>
      <c r="N5165" t="n">
        <v>0</v>
      </c>
      <c r="O5165" t="n">
        <v>0</v>
      </c>
      <c r="P5165" t="n">
        <v>0</v>
      </c>
      <c r="Q5165" t="n">
        <v>0</v>
      </c>
      <c r="R5165" s="2" t="inlineStr"/>
    </row>
    <row r="5166" ht="15" customHeight="1">
      <c r="A5166" t="inlineStr">
        <is>
          <t>A 8513-2023</t>
        </is>
      </c>
      <c r="B5166" s="1" t="n">
        <v>44977.56759259259</v>
      </c>
      <c r="C5166" s="1" t="n">
        <v>45884</v>
      </c>
      <c r="D5166" t="inlineStr">
        <is>
          <t>KALMAR LÄN</t>
        </is>
      </c>
      <c r="E5166" t="inlineStr">
        <is>
          <t>VÄSTERVIK</t>
        </is>
      </c>
      <c r="G5166" t="n">
        <v>2</v>
      </c>
      <c r="H5166" t="n">
        <v>0</v>
      </c>
      <c r="I5166" t="n">
        <v>0</v>
      </c>
      <c r="J5166" t="n">
        <v>0</v>
      </c>
      <c r="K5166" t="n">
        <v>0</v>
      </c>
      <c r="L5166" t="n">
        <v>0</v>
      </c>
      <c r="M5166" t="n">
        <v>0</v>
      </c>
      <c r="N5166" t="n">
        <v>0</v>
      </c>
      <c r="O5166" t="n">
        <v>0</v>
      </c>
      <c r="P5166" t="n">
        <v>0</v>
      </c>
      <c r="Q5166" t="n">
        <v>0</v>
      </c>
      <c r="R5166" s="2" t="inlineStr"/>
    </row>
    <row r="5167" ht="15" customHeight="1">
      <c r="A5167" t="inlineStr">
        <is>
          <t>A 52204-2023</t>
        </is>
      </c>
      <c r="B5167" s="1" t="n">
        <v>45224.42729166667</v>
      </c>
      <c r="C5167" s="1" t="n">
        <v>45884</v>
      </c>
      <c r="D5167" t="inlineStr">
        <is>
          <t>KALMAR LÄN</t>
        </is>
      </c>
      <c r="E5167" t="inlineStr">
        <is>
          <t>OSKARSHAMN</t>
        </is>
      </c>
      <c r="G5167" t="n">
        <v>3.9</v>
      </c>
      <c r="H5167" t="n">
        <v>0</v>
      </c>
      <c r="I5167" t="n">
        <v>0</v>
      </c>
      <c r="J5167" t="n">
        <v>0</v>
      </c>
      <c r="K5167" t="n">
        <v>0</v>
      </c>
      <c r="L5167" t="n">
        <v>0</v>
      </c>
      <c r="M5167" t="n">
        <v>0</v>
      </c>
      <c r="N5167" t="n">
        <v>0</v>
      </c>
      <c r="O5167" t="n">
        <v>0</v>
      </c>
      <c r="P5167" t="n">
        <v>0</v>
      </c>
      <c r="Q5167" t="n">
        <v>0</v>
      </c>
      <c r="R5167" s="2" t="inlineStr"/>
    </row>
    <row r="5168" ht="15" customHeight="1">
      <c r="A5168" t="inlineStr">
        <is>
          <t>A 52206-2023</t>
        </is>
      </c>
      <c r="B5168" s="1" t="n">
        <v>45217</v>
      </c>
      <c r="C5168" s="1" t="n">
        <v>45884</v>
      </c>
      <c r="D5168" t="inlineStr">
        <is>
          <t>KALMAR LÄN</t>
        </is>
      </c>
      <c r="E5168" t="inlineStr">
        <is>
          <t>EMMABODA</t>
        </is>
      </c>
      <c r="G5168" t="n">
        <v>4.1</v>
      </c>
      <c r="H5168" t="n">
        <v>0</v>
      </c>
      <c r="I5168" t="n">
        <v>0</v>
      </c>
      <c r="J5168" t="n">
        <v>0</v>
      </c>
      <c r="K5168" t="n">
        <v>0</v>
      </c>
      <c r="L5168" t="n">
        <v>0</v>
      </c>
      <c r="M5168" t="n">
        <v>0</v>
      </c>
      <c r="N5168" t="n">
        <v>0</v>
      </c>
      <c r="O5168" t="n">
        <v>0</v>
      </c>
      <c r="P5168" t="n">
        <v>0</v>
      </c>
      <c r="Q5168" t="n">
        <v>0</v>
      </c>
      <c r="R5168" s="2" t="inlineStr"/>
    </row>
    <row r="5169" ht="15" customHeight="1">
      <c r="A5169" t="inlineStr">
        <is>
          <t>A 18288-2025</t>
        </is>
      </c>
      <c r="B5169" s="1" t="n">
        <v>45762.406875</v>
      </c>
      <c r="C5169" s="1" t="n">
        <v>45884</v>
      </c>
      <c r="D5169" t="inlineStr">
        <is>
          <t>KALMAR LÄN</t>
        </is>
      </c>
      <c r="E5169" t="inlineStr">
        <is>
          <t>NYBRO</t>
        </is>
      </c>
      <c r="F5169" t="inlineStr">
        <is>
          <t>Sveaskog</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59467-2024</t>
        </is>
      </c>
      <c r="B5170" s="1" t="n">
        <v>45638.49185185185</v>
      </c>
      <c r="C5170" s="1" t="n">
        <v>45884</v>
      </c>
      <c r="D5170" t="inlineStr">
        <is>
          <t>KALMAR LÄN</t>
        </is>
      </c>
      <c r="E5170" t="inlineStr">
        <is>
          <t>HULTSFRED</t>
        </is>
      </c>
      <c r="F5170" t="inlineStr">
        <is>
          <t>Sveaskog</t>
        </is>
      </c>
      <c r="G5170" t="n">
        <v>3.8</v>
      </c>
      <c r="H5170" t="n">
        <v>0</v>
      </c>
      <c r="I5170" t="n">
        <v>0</v>
      </c>
      <c r="J5170" t="n">
        <v>0</v>
      </c>
      <c r="K5170" t="n">
        <v>0</v>
      </c>
      <c r="L5170" t="n">
        <v>0</v>
      </c>
      <c r="M5170" t="n">
        <v>0</v>
      </c>
      <c r="N5170" t="n">
        <v>0</v>
      </c>
      <c r="O5170" t="n">
        <v>0</v>
      </c>
      <c r="P5170" t="n">
        <v>0</v>
      </c>
      <c r="Q5170" t="n">
        <v>0</v>
      </c>
      <c r="R5170" s="2" t="inlineStr"/>
    </row>
    <row r="5171" ht="15" customHeight="1">
      <c r="A5171" t="inlineStr">
        <is>
          <t>A 61780-2022</t>
        </is>
      </c>
      <c r="B5171" s="1" t="n">
        <v>44917</v>
      </c>
      <c r="C5171" s="1" t="n">
        <v>45884</v>
      </c>
      <c r="D5171" t="inlineStr">
        <is>
          <t>KALMAR LÄN</t>
        </is>
      </c>
      <c r="E5171" t="inlineStr">
        <is>
          <t>NYBRO</t>
        </is>
      </c>
      <c r="F5171" t="inlineStr">
        <is>
          <t>Kommuner</t>
        </is>
      </c>
      <c r="G5171" t="n">
        <v>6.4</v>
      </c>
      <c r="H5171" t="n">
        <v>0</v>
      </c>
      <c r="I5171" t="n">
        <v>0</v>
      </c>
      <c r="J5171" t="n">
        <v>0</v>
      </c>
      <c r="K5171" t="n">
        <v>0</v>
      </c>
      <c r="L5171" t="n">
        <v>0</v>
      </c>
      <c r="M5171" t="n">
        <v>0</v>
      </c>
      <c r="N5171" t="n">
        <v>0</v>
      </c>
      <c r="O5171" t="n">
        <v>0</v>
      </c>
      <c r="P5171" t="n">
        <v>0</v>
      </c>
      <c r="Q5171" t="n">
        <v>0</v>
      </c>
      <c r="R5171" s="2" t="inlineStr"/>
    </row>
    <row r="5172" ht="15" customHeight="1">
      <c r="A5172" t="inlineStr">
        <is>
          <t>A 58967-2022</t>
        </is>
      </c>
      <c r="B5172" s="1" t="n">
        <v>44896</v>
      </c>
      <c r="C5172" s="1" t="n">
        <v>45884</v>
      </c>
      <c r="D5172" t="inlineStr">
        <is>
          <t>KALMAR LÄN</t>
        </is>
      </c>
      <c r="E5172" t="inlineStr">
        <is>
          <t>VIMMERBY</t>
        </is>
      </c>
      <c r="G5172" t="n">
        <v>5</v>
      </c>
      <c r="H5172" t="n">
        <v>0</v>
      </c>
      <c r="I5172" t="n">
        <v>0</v>
      </c>
      <c r="J5172" t="n">
        <v>0</v>
      </c>
      <c r="K5172" t="n">
        <v>0</v>
      </c>
      <c r="L5172" t="n">
        <v>0</v>
      </c>
      <c r="M5172" t="n">
        <v>0</v>
      </c>
      <c r="N5172" t="n">
        <v>0</v>
      </c>
      <c r="O5172" t="n">
        <v>0</v>
      </c>
      <c r="P5172" t="n">
        <v>0</v>
      </c>
      <c r="Q5172" t="n">
        <v>0</v>
      </c>
      <c r="R5172" s="2" t="inlineStr"/>
    </row>
    <row r="5173" ht="15" customHeight="1">
      <c r="A5173" t="inlineStr">
        <is>
          <t>A 1729-2023</t>
        </is>
      </c>
      <c r="B5173" s="1" t="n">
        <v>44938.4812962963</v>
      </c>
      <c r="C5173" s="1" t="n">
        <v>45884</v>
      </c>
      <c r="D5173" t="inlineStr">
        <is>
          <t>KALMAR LÄN</t>
        </is>
      </c>
      <c r="E5173" t="inlineStr">
        <is>
          <t>NYBRO</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3837-2023</t>
        </is>
      </c>
      <c r="B5174" s="1" t="n">
        <v>44951.64454861111</v>
      </c>
      <c r="C5174" s="1" t="n">
        <v>45884</v>
      </c>
      <c r="D5174" t="inlineStr">
        <is>
          <t>KALMAR LÄN</t>
        </is>
      </c>
      <c r="E5174" t="inlineStr">
        <is>
          <t>OSKARSHAMN</t>
        </is>
      </c>
      <c r="G5174" t="n">
        <v>1.3</v>
      </c>
      <c r="H5174" t="n">
        <v>0</v>
      </c>
      <c r="I5174" t="n">
        <v>0</v>
      </c>
      <c r="J5174" t="n">
        <v>0</v>
      </c>
      <c r="K5174" t="n">
        <v>0</v>
      </c>
      <c r="L5174" t="n">
        <v>0</v>
      </c>
      <c r="M5174" t="n">
        <v>0</v>
      </c>
      <c r="N5174" t="n">
        <v>0</v>
      </c>
      <c r="O5174" t="n">
        <v>0</v>
      </c>
      <c r="P5174" t="n">
        <v>0</v>
      </c>
      <c r="Q5174" t="n">
        <v>0</v>
      </c>
      <c r="R5174" s="2" t="inlineStr"/>
    </row>
    <row r="5175" ht="15" customHeight="1">
      <c r="A5175" t="inlineStr">
        <is>
          <t>A 8845-2025</t>
        </is>
      </c>
      <c r="B5175" s="1" t="n">
        <v>45713.33792824074</v>
      </c>
      <c r="C5175" s="1" t="n">
        <v>45884</v>
      </c>
      <c r="D5175" t="inlineStr">
        <is>
          <t>KALMAR LÄN</t>
        </is>
      </c>
      <c r="E5175" t="inlineStr">
        <is>
          <t>KALMAR</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50320-2023</t>
        </is>
      </c>
      <c r="B5176" s="1" t="n">
        <v>45216.54601851852</v>
      </c>
      <c r="C5176" s="1" t="n">
        <v>45884</v>
      </c>
      <c r="D5176" t="inlineStr">
        <is>
          <t>KALMAR LÄN</t>
        </is>
      </c>
      <c r="E5176" t="inlineStr">
        <is>
          <t>HULTSFRED</t>
        </is>
      </c>
      <c r="G5176" t="n">
        <v>3.8</v>
      </c>
      <c r="H5176" t="n">
        <v>0</v>
      </c>
      <c r="I5176" t="n">
        <v>0</v>
      </c>
      <c r="J5176" t="n">
        <v>0</v>
      </c>
      <c r="K5176" t="n">
        <v>0</v>
      </c>
      <c r="L5176" t="n">
        <v>0</v>
      </c>
      <c r="M5176" t="n">
        <v>0</v>
      </c>
      <c r="N5176" t="n">
        <v>0</v>
      </c>
      <c r="O5176" t="n">
        <v>0</v>
      </c>
      <c r="P5176" t="n">
        <v>0</v>
      </c>
      <c r="Q5176" t="n">
        <v>0</v>
      </c>
      <c r="R5176" s="2" t="inlineStr"/>
    </row>
    <row r="5177" ht="15" customHeight="1">
      <c r="A5177" t="inlineStr">
        <is>
          <t>A 29420-2024</t>
        </is>
      </c>
      <c r="B5177" s="1" t="n">
        <v>45483</v>
      </c>
      <c r="C5177" s="1" t="n">
        <v>45884</v>
      </c>
      <c r="D5177" t="inlineStr">
        <is>
          <t>KALMAR LÄN</t>
        </is>
      </c>
      <c r="E5177" t="inlineStr">
        <is>
          <t>VÄSTERVIK</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21577-2022</t>
        </is>
      </c>
      <c r="B5178" s="1" t="n">
        <v>44706</v>
      </c>
      <c r="C5178" s="1" t="n">
        <v>45884</v>
      </c>
      <c r="D5178" t="inlineStr">
        <is>
          <t>KALMAR LÄN</t>
        </is>
      </c>
      <c r="E5178" t="inlineStr">
        <is>
          <t>TORSÅS</t>
        </is>
      </c>
      <c r="G5178" t="n">
        <v>8.300000000000001</v>
      </c>
      <c r="H5178" t="n">
        <v>0</v>
      </c>
      <c r="I5178" t="n">
        <v>0</v>
      </c>
      <c r="J5178" t="n">
        <v>0</v>
      </c>
      <c r="K5178" t="n">
        <v>0</v>
      </c>
      <c r="L5178" t="n">
        <v>0</v>
      </c>
      <c r="M5178" t="n">
        <v>0</v>
      </c>
      <c r="N5178" t="n">
        <v>0</v>
      </c>
      <c r="O5178" t="n">
        <v>0</v>
      </c>
      <c r="P5178" t="n">
        <v>0</v>
      </c>
      <c r="Q5178" t="n">
        <v>0</v>
      </c>
      <c r="R5178" s="2" t="inlineStr"/>
    </row>
    <row r="5179" ht="15" customHeight="1">
      <c r="A5179" t="inlineStr">
        <is>
          <t>A 34289-2024</t>
        </is>
      </c>
      <c r="B5179" s="1" t="n">
        <v>45524.63563657407</v>
      </c>
      <c r="C5179" s="1" t="n">
        <v>45884</v>
      </c>
      <c r="D5179" t="inlineStr">
        <is>
          <t>KALMAR LÄN</t>
        </is>
      </c>
      <c r="E5179" t="inlineStr">
        <is>
          <t>HULTSFRED</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60401-2024</t>
        </is>
      </c>
      <c r="B5180" s="1" t="n">
        <v>45643.5005787037</v>
      </c>
      <c r="C5180" s="1" t="n">
        <v>45884</v>
      </c>
      <c r="D5180" t="inlineStr">
        <is>
          <t>KALMAR LÄN</t>
        </is>
      </c>
      <c r="E5180" t="inlineStr">
        <is>
          <t>OSKARSHAMN</t>
        </is>
      </c>
      <c r="G5180" t="n">
        <v>2.8</v>
      </c>
      <c r="H5180" t="n">
        <v>0</v>
      </c>
      <c r="I5180" t="n">
        <v>0</v>
      </c>
      <c r="J5180" t="n">
        <v>0</v>
      </c>
      <c r="K5180" t="n">
        <v>0</v>
      </c>
      <c r="L5180" t="n">
        <v>0</v>
      </c>
      <c r="M5180" t="n">
        <v>0</v>
      </c>
      <c r="N5180" t="n">
        <v>0</v>
      </c>
      <c r="O5180" t="n">
        <v>0</v>
      </c>
      <c r="P5180" t="n">
        <v>0</v>
      </c>
      <c r="Q5180" t="n">
        <v>0</v>
      </c>
      <c r="R5180" s="2" t="inlineStr"/>
    </row>
    <row r="5181" ht="15" customHeight="1">
      <c r="A5181" t="inlineStr">
        <is>
          <t>A 2187-2023</t>
        </is>
      </c>
      <c r="B5181" s="1" t="n">
        <v>44942.3509837963</v>
      </c>
      <c r="C5181" s="1" t="n">
        <v>45884</v>
      </c>
      <c r="D5181" t="inlineStr">
        <is>
          <t>KALMAR LÄN</t>
        </is>
      </c>
      <c r="E5181" t="inlineStr">
        <is>
          <t>TORSÅS</t>
        </is>
      </c>
      <c r="G5181" t="n">
        <v>0.4</v>
      </c>
      <c r="H5181" t="n">
        <v>0</v>
      </c>
      <c r="I5181" t="n">
        <v>0</v>
      </c>
      <c r="J5181" t="n">
        <v>0</v>
      </c>
      <c r="K5181" t="n">
        <v>0</v>
      </c>
      <c r="L5181" t="n">
        <v>0</v>
      </c>
      <c r="M5181" t="n">
        <v>0</v>
      </c>
      <c r="N5181" t="n">
        <v>0</v>
      </c>
      <c r="O5181" t="n">
        <v>0</v>
      </c>
      <c r="P5181" t="n">
        <v>0</v>
      </c>
      <c r="Q5181" t="n">
        <v>0</v>
      </c>
      <c r="R5181" s="2" t="inlineStr"/>
    </row>
    <row r="5182" ht="15" customHeight="1">
      <c r="A5182" t="inlineStr">
        <is>
          <t>A 61509-2024</t>
        </is>
      </c>
      <c r="B5182" s="1" t="n">
        <v>45646.56480324074</v>
      </c>
      <c r="C5182" s="1" t="n">
        <v>45884</v>
      </c>
      <c r="D5182" t="inlineStr">
        <is>
          <t>KALMAR LÄN</t>
        </is>
      </c>
      <c r="E5182" t="inlineStr">
        <is>
          <t>HULTSFRED</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46329-2024</t>
        </is>
      </c>
      <c r="B5183" s="1" t="n">
        <v>45581.86640046296</v>
      </c>
      <c r="C5183" s="1" t="n">
        <v>45884</v>
      </c>
      <c r="D5183" t="inlineStr">
        <is>
          <t>KALMAR LÄN</t>
        </is>
      </c>
      <c r="E5183" t="inlineStr">
        <is>
          <t>HÖGSBY</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5430-2025</t>
        </is>
      </c>
      <c r="B5184" s="1" t="n">
        <v>45692</v>
      </c>
      <c r="C5184" s="1" t="n">
        <v>45884</v>
      </c>
      <c r="D5184" t="inlineStr">
        <is>
          <t>KALMAR LÄN</t>
        </is>
      </c>
      <c r="E5184" t="inlineStr">
        <is>
          <t>HÖGSBY</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21950-2023</t>
        </is>
      </c>
      <c r="B5185" s="1" t="n">
        <v>45068.62135416667</v>
      </c>
      <c r="C5185" s="1" t="n">
        <v>45884</v>
      </c>
      <c r="D5185" t="inlineStr">
        <is>
          <t>KALMAR LÄN</t>
        </is>
      </c>
      <c r="E5185" t="inlineStr">
        <is>
          <t>MÖNSTERÅS</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1928-2024</t>
        </is>
      </c>
      <c r="B5186" s="1" t="n">
        <v>45308.45605324074</v>
      </c>
      <c r="C5186" s="1" t="n">
        <v>45884</v>
      </c>
      <c r="D5186" t="inlineStr">
        <is>
          <t>KALMAR LÄN</t>
        </is>
      </c>
      <c r="E5186" t="inlineStr">
        <is>
          <t>NYBRO</t>
        </is>
      </c>
      <c r="G5186" t="n">
        <v>1.4</v>
      </c>
      <c r="H5186" t="n">
        <v>0</v>
      </c>
      <c r="I5186" t="n">
        <v>0</v>
      </c>
      <c r="J5186" t="n">
        <v>0</v>
      </c>
      <c r="K5186" t="n">
        <v>0</v>
      </c>
      <c r="L5186" t="n">
        <v>0</v>
      </c>
      <c r="M5186" t="n">
        <v>0</v>
      </c>
      <c r="N5186" t="n">
        <v>0</v>
      </c>
      <c r="O5186" t="n">
        <v>0</v>
      </c>
      <c r="P5186" t="n">
        <v>0</v>
      </c>
      <c r="Q5186" t="n">
        <v>0</v>
      </c>
      <c r="R5186" s="2" t="inlineStr"/>
    </row>
    <row r="5187" ht="15" customHeight="1">
      <c r="A5187" t="inlineStr">
        <is>
          <t>A 18478-2024</t>
        </is>
      </c>
      <c r="B5187" s="1" t="n">
        <v>45425.51765046296</v>
      </c>
      <c r="C5187" s="1" t="n">
        <v>45884</v>
      </c>
      <c r="D5187" t="inlineStr">
        <is>
          <t>KALMAR LÄN</t>
        </is>
      </c>
      <c r="E5187" t="inlineStr">
        <is>
          <t>EMMABODA</t>
        </is>
      </c>
      <c r="G5187" t="n">
        <v>6.3</v>
      </c>
      <c r="H5187" t="n">
        <v>0</v>
      </c>
      <c r="I5187" t="n">
        <v>0</v>
      </c>
      <c r="J5187" t="n">
        <v>0</v>
      </c>
      <c r="K5187" t="n">
        <v>0</v>
      </c>
      <c r="L5187" t="n">
        <v>0</v>
      </c>
      <c r="M5187" t="n">
        <v>0</v>
      </c>
      <c r="N5187" t="n">
        <v>0</v>
      </c>
      <c r="O5187" t="n">
        <v>0</v>
      </c>
      <c r="P5187" t="n">
        <v>0</v>
      </c>
      <c r="Q5187" t="n">
        <v>0</v>
      </c>
      <c r="R5187" s="2" t="inlineStr"/>
    </row>
    <row r="5188" ht="15" customHeight="1">
      <c r="A5188" t="inlineStr">
        <is>
          <t>A 19551-2023</t>
        </is>
      </c>
      <c r="B5188" s="1" t="n">
        <v>45049</v>
      </c>
      <c r="C5188" s="1" t="n">
        <v>45884</v>
      </c>
      <c r="D5188" t="inlineStr">
        <is>
          <t>KALMAR LÄN</t>
        </is>
      </c>
      <c r="E5188" t="inlineStr">
        <is>
          <t>VÄSTERVIK</t>
        </is>
      </c>
      <c r="G5188" t="n">
        <v>3.2</v>
      </c>
      <c r="H5188" t="n">
        <v>0</v>
      </c>
      <c r="I5188" t="n">
        <v>0</v>
      </c>
      <c r="J5188" t="n">
        <v>0</v>
      </c>
      <c r="K5188" t="n">
        <v>0</v>
      </c>
      <c r="L5188" t="n">
        <v>0</v>
      </c>
      <c r="M5188" t="n">
        <v>0</v>
      </c>
      <c r="N5188" t="n">
        <v>0</v>
      </c>
      <c r="O5188" t="n">
        <v>0</v>
      </c>
      <c r="P5188" t="n">
        <v>0</v>
      </c>
      <c r="Q5188" t="n">
        <v>0</v>
      </c>
      <c r="R5188" s="2" t="inlineStr"/>
    </row>
    <row r="5189" ht="15" customHeight="1">
      <c r="A5189" t="inlineStr">
        <is>
          <t>A 43633-2023</t>
        </is>
      </c>
      <c r="B5189" s="1" t="n">
        <v>45185.6368287037</v>
      </c>
      <c r="C5189" s="1" t="n">
        <v>45884</v>
      </c>
      <c r="D5189" t="inlineStr">
        <is>
          <t>KALMAR LÄN</t>
        </is>
      </c>
      <c r="E5189" t="inlineStr">
        <is>
          <t>HULTSFRED</t>
        </is>
      </c>
      <c r="G5189" t="n">
        <v>0.8</v>
      </c>
      <c r="H5189" t="n">
        <v>0</v>
      </c>
      <c r="I5189" t="n">
        <v>0</v>
      </c>
      <c r="J5189" t="n">
        <v>0</v>
      </c>
      <c r="K5189" t="n">
        <v>0</v>
      </c>
      <c r="L5189" t="n">
        <v>0</v>
      </c>
      <c r="M5189" t="n">
        <v>0</v>
      </c>
      <c r="N5189" t="n">
        <v>0</v>
      </c>
      <c r="O5189" t="n">
        <v>0</v>
      </c>
      <c r="P5189" t="n">
        <v>0</v>
      </c>
      <c r="Q5189" t="n">
        <v>0</v>
      </c>
      <c r="R5189" s="2" t="inlineStr"/>
    </row>
    <row r="5190" ht="15" customHeight="1">
      <c r="A5190" t="inlineStr">
        <is>
          <t>A 41679-2024</t>
        </is>
      </c>
      <c r="B5190" s="1" t="n">
        <v>45560.66090277778</v>
      </c>
      <c r="C5190" s="1" t="n">
        <v>45884</v>
      </c>
      <c r="D5190" t="inlineStr">
        <is>
          <t>KALMAR LÄN</t>
        </is>
      </c>
      <c r="E5190" t="inlineStr">
        <is>
          <t>NYBRO</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9042-2023</t>
        </is>
      </c>
      <c r="B5191" s="1" t="n">
        <v>44979</v>
      </c>
      <c r="C5191" s="1" t="n">
        <v>45884</v>
      </c>
      <c r="D5191" t="inlineStr">
        <is>
          <t>KALMAR LÄN</t>
        </is>
      </c>
      <c r="E5191" t="inlineStr">
        <is>
          <t>VÄSTERVIK</t>
        </is>
      </c>
      <c r="G5191" t="n">
        <v>1.7</v>
      </c>
      <c r="H5191" t="n">
        <v>0</v>
      </c>
      <c r="I5191" t="n">
        <v>0</v>
      </c>
      <c r="J5191" t="n">
        <v>0</v>
      </c>
      <c r="K5191" t="n">
        <v>0</v>
      </c>
      <c r="L5191" t="n">
        <v>0</v>
      </c>
      <c r="M5191" t="n">
        <v>0</v>
      </c>
      <c r="N5191" t="n">
        <v>0</v>
      </c>
      <c r="O5191" t="n">
        <v>0</v>
      </c>
      <c r="P5191" t="n">
        <v>0</v>
      </c>
      <c r="Q5191" t="n">
        <v>0</v>
      </c>
      <c r="R5191" s="2" t="inlineStr"/>
    </row>
    <row r="5192" ht="15" customHeight="1">
      <c r="A5192" t="inlineStr">
        <is>
          <t>A 6399-2025</t>
        </is>
      </c>
      <c r="B5192" s="1" t="n">
        <v>45699.44291666667</v>
      </c>
      <c r="C5192" s="1" t="n">
        <v>45884</v>
      </c>
      <c r="D5192" t="inlineStr">
        <is>
          <t>KALMAR LÄN</t>
        </is>
      </c>
      <c r="E5192" t="inlineStr">
        <is>
          <t>VIMMERBY</t>
        </is>
      </c>
      <c r="G5192" t="n">
        <v>3.1</v>
      </c>
      <c r="H5192" t="n">
        <v>0</v>
      </c>
      <c r="I5192" t="n">
        <v>0</v>
      </c>
      <c r="J5192" t="n">
        <v>0</v>
      </c>
      <c r="K5192" t="n">
        <v>0</v>
      </c>
      <c r="L5192" t="n">
        <v>0</v>
      </c>
      <c r="M5192" t="n">
        <v>0</v>
      </c>
      <c r="N5192" t="n">
        <v>0</v>
      </c>
      <c r="O5192" t="n">
        <v>0</v>
      </c>
      <c r="P5192" t="n">
        <v>0</v>
      </c>
      <c r="Q5192" t="n">
        <v>0</v>
      </c>
      <c r="R5192" s="2" t="inlineStr"/>
    </row>
    <row r="5193" ht="15" customHeight="1">
      <c r="A5193" t="inlineStr">
        <is>
          <t>A 31355-2023</t>
        </is>
      </c>
      <c r="B5193" s="1" t="n">
        <v>45114.49505787037</v>
      </c>
      <c r="C5193" s="1" t="n">
        <v>45884</v>
      </c>
      <c r="D5193" t="inlineStr">
        <is>
          <t>KALMAR LÄN</t>
        </is>
      </c>
      <c r="E5193" t="inlineStr">
        <is>
          <t>VIMMERBY</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55576-2023</t>
        </is>
      </c>
      <c r="B5194" s="1" t="n">
        <v>45238</v>
      </c>
      <c r="C5194" s="1" t="n">
        <v>45884</v>
      </c>
      <c r="D5194" t="inlineStr">
        <is>
          <t>KALMAR LÄN</t>
        </is>
      </c>
      <c r="E5194" t="inlineStr">
        <is>
          <t>MÖNSTERÅS</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52774-2024</t>
        </is>
      </c>
      <c r="B5195" s="1" t="n">
        <v>45610.53413194444</v>
      </c>
      <c r="C5195" s="1" t="n">
        <v>45884</v>
      </c>
      <c r="D5195" t="inlineStr">
        <is>
          <t>KALMAR LÄN</t>
        </is>
      </c>
      <c r="E5195" t="inlineStr">
        <is>
          <t>VÄSTERVIK</t>
        </is>
      </c>
      <c r="F5195" t="inlineStr">
        <is>
          <t>Holmen skog AB</t>
        </is>
      </c>
      <c r="G5195" t="n">
        <v>2.9</v>
      </c>
      <c r="H5195" t="n">
        <v>0</v>
      </c>
      <c r="I5195" t="n">
        <v>0</v>
      </c>
      <c r="J5195" t="n">
        <v>0</v>
      </c>
      <c r="K5195" t="n">
        <v>0</v>
      </c>
      <c r="L5195" t="n">
        <v>0</v>
      </c>
      <c r="M5195" t="n">
        <v>0</v>
      </c>
      <c r="N5195" t="n">
        <v>0</v>
      </c>
      <c r="O5195" t="n">
        <v>0</v>
      </c>
      <c r="P5195" t="n">
        <v>0</v>
      </c>
      <c r="Q5195" t="n">
        <v>0</v>
      </c>
      <c r="R5195" s="2" t="inlineStr"/>
    </row>
    <row r="5196" ht="15" customHeight="1">
      <c r="A5196" t="inlineStr">
        <is>
          <t>A 51883-2021</t>
        </is>
      </c>
      <c r="B5196" s="1" t="n">
        <v>44462.80449074074</v>
      </c>
      <c r="C5196" s="1" t="n">
        <v>45884</v>
      </c>
      <c r="D5196" t="inlineStr">
        <is>
          <t>KALMAR LÄN</t>
        </is>
      </c>
      <c r="E5196" t="inlineStr">
        <is>
          <t>VÄSTERVIK</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51884-2021</t>
        </is>
      </c>
      <c r="B5197" s="1" t="n">
        <v>44462.806875</v>
      </c>
      <c r="C5197" s="1" t="n">
        <v>45884</v>
      </c>
      <c r="D5197" t="inlineStr">
        <is>
          <t>KALMAR LÄN</t>
        </is>
      </c>
      <c r="E5197" t="inlineStr">
        <is>
          <t>VÄSTERVIK</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66295-2020</t>
        </is>
      </c>
      <c r="B5198" s="1" t="n">
        <v>44176</v>
      </c>
      <c r="C5198" s="1" t="n">
        <v>45884</v>
      </c>
      <c r="D5198" t="inlineStr">
        <is>
          <t>KALMAR LÄN</t>
        </is>
      </c>
      <c r="E5198" t="inlineStr">
        <is>
          <t>VIMMERBY</t>
        </is>
      </c>
      <c r="G5198" t="n">
        <v>4.1</v>
      </c>
      <c r="H5198" t="n">
        <v>0</v>
      </c>
      <c r="I5198" t="n">
        <v>0</v>
      </c>
      <c r="J5198" t="n">
        <v>0</v>
      </c>
      <c r="K5198" t="n">
        <v>0</v>
      </c>
      <c r="L5198" t="n">
        <v>0</v>
      </c>
      <c r="M5198" t="n">
        <v>0</v>
      </c>
      <c r="N5198" t="n">
        <v>0</v>
      </c>
      <c r="O5198" t="n">
        <v>0</v>
      </c>
      <c r="P5198" t="n">
        <v>0</v>
      </c>
      <c r="Q5198" t="n">
        <v>0</v>
      </c>
      <c r="R5198" s="2" t="inlineStr"/>
    </row>
    <row r="5199" ht="15" customHeight="1">
      <c r="A5199" t="inlineStr">
        <is>
          <t>A 20230-2025</t>
        </is>
      </c>
      <c r="B5199" s="1" t="n">
        <v>45772</v>
      </c>
      <c r="C5199" s="1" t="n">
        <v>45884</v>
      </c>
      <c r="D5199" t="inlineStr">
        <is>
          <t>KALMAR LÄN</t>
        </is>
      </c>
      <c r="E5199" t="inlineStr">
        <is>
          <t>KALMAR</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17878-2025</t>
        </is>
      </c>
      <c r="B5200" s="1" t="n">
        <v>45758.65511574074</v>
      </c>
      <c r="C5200" s="1" t="n">
        <v>45884</v>
      </c>
      <c r="D5200" t="inlineStr">
        <is>
          <t>KALMAR LÄN</t>
        </is>
      </c>
      <c r="E5200" t="inlineStr">
        <is>
          <t>NYBRO</t>
        </is>
      </c>
      <c r="G5200" t="n">
        <v>6.9</v>
      </c>
      <c r="H5200" t="n">
        <v>0</v>
      </c>
      <c r="I5200" t="n">
        <v>0</v>
      </c>
      <c r="J5200" t="n">
        <v>0</v>
      </c>
      <c r="K5200" t="n">
        <v>0</v>
      </c>
      <c r="L5200" t="n">
        <v>0</v>
      </c>
      <c r="M5200" t="n">
        <v>0</v>
      </c>
      <c r="N5200" t="n">
        <v>0</v>
      </c>
      <c r="O5200" t="n">
        <v>0</v>
      </c>
      <c r="P5200" t="n">
        <v>0</v>
      </c>
      <c r="Q5200" t="n">
        <v>0</v>
      </c>
      <c r="R5200" s="2" t="inlineStr"/>
    </row>
    <row r="5201" ht="15" customHeight="1">
      <c r="A5201" t="inlineStr">
        <is>
          <t>A 20234-2025</t>
        </is>
      </c>
      <c r="B5201" s="1" t="n">
        <v>45772</v>
      </c>
      <c r="C5201" s="1" t="n">
        <v>45884</v>
      </c>
      <c r="D5201" t="inlineStr">
        <is>
          <t>KALMAR LÄN</t>
        </is>
      </c>
      <c r="E5201" t="inlineStr">
        <is>
          <t>KALMAR</t>
        </is>
      </c>
      <c r="G5201" t="n">
        <v>4.6</v>
      </c>
      <c r="H5201" t="n">
        <v>0</v>
      </c>
      <c r="I5201" t="n">
        <v>0</v>
      </c>
      <c r="J5201" t="n">
        <v>0</v>
      </c>
      <c r="K5201" t="n">
        <v>0</v>
      </c>
      <c r="L5201" t="n">
        <v>0</v>
      </c>
      <c r="M5201" t="n">
        <v>0</v>
      </c>
      <c r="N5201" t="n">
        <v>0</v>
      </c>
      <c r="O5201" t="n">
        <v>0</v>
      </c>
      <c r="P5201" t="n">
        <v>0</v>
      </c>
      <c r="Q5201" t="n">
        <v>0</v>
      </c>
      <c r="R5201" s="2" t="inlineStr"/>
    </row>
    <row r="5202" ht="15" customHeight="1">
      <c r="A5202" t="inlineStr">
        <is>
          <t>A 17968-2025</t>
        </is>
      </c>
      <c r="B5202" s="1" t="n">
        <v>45761.35990740741</v>
      </c>
      <c r="C5202" s="1" t="n">
        <v>45884</v>
      </c>
      <c r="D5202" t="inlineStr">
        <is>
          <t>KALMAR LÄN</t>
        </is>
      </c>
      <c r="E5202" t="inlineStr">
        <is>
          <t>VIMMERBY</t>
        </is>
      </c>
      <c r="G5202" t="n">
        <v>3.3</v>
      </c>
      <c r="H5202" t="n">
        <v>0</v>
      </c>
      <c r="I5202" t="n">
        <v>0</v>
      </c>
      <c r="J5202" t="n">
        <v>0</v>
      </c>
      <c r="K5202" t="n">
        <v>0</v>
      </c>
      <c r="L5202" t="n">
        <v>0</v>
      </c>
      <c r="M5202" t="n">
        <v>0</v>
      </c>
      <c r="N5202" t="n">
        <v>0</v>
      </c>
      <c r="O5202" t="n">
        <v>0</v>
      </c>
      <c r="P5202" t="n">
        <v>0</v>
      </c>
      <c r="Q5202" t="n">
        <v>0</v>
      </c>
      <c r="R5202" s="2" t="inlineStr"/>
    </row>
    <row r="5203" ht="15" customHeight="1">
      <c r="A5203" t="inlineStr">
        <is>
          <t>A 6431-2024</t>
        </is>
      </c>
      <c r="B5203" s="1" t="n">
        <v>45338.63932870371</v>
      </c>
      <c r="C5203" s="1" t="n">
        <v>45884</v>
      </c>
      <c r="D5203" t="inlineStr">
        <is>
          <t>KALMAR LÄN</t>
        </is>
      </c>
      <c r="E5203" t="inlineStr">
        <is>
          <t>KALMAR</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60871-2021</t>
        </is>
      </c>
      <c r="B5204" s="1" t="n">
        <v>44497</v>
      </c>
      <c r="C5204" s="1" t="n">
        <v>45884</v>
      </c>
      <c r="D5204" t="inlineStr">
        <is>
          <t>KALMAR LÄN</t>
        </is>
      </c>
      <c r="E5204" t="inlineStr">
        <is>
          <t>KALMAR</t>
        </is>
      </c>
      <c r="G5204" t="n">
        <v>0.5</v>
      </c>
      <c r="H5204" t="n">
        <v>0</v>
      </c>
      <c r="I5204" t="n">
        <v>0</v>
      </c>
      <c r="J5204" t="n">
        <v>0</v>
      </c>
      <c r="K5204" t="n">
        <v>0</v>
      </c>
      <c r="L5204" t="n">
        <v>0</v>
      </c>
      <c r="M5204" t="n">
        <v>0</v>
      </c>
      <c r="N5204" t="n">
        <v>0</v>
      </c>
      <c r="O5204" t="n">
        <v>0</v>
      </c>
      <c r="P5204" t="n">
        <v>0</v>
      </c>
      <c r="Q5204" t="n">
        <v>0</v>
      </c>
      <c r="R5204" s="2" t="inlineStr"/>
    </row>
    <row r="5205" ht="15" customHeight="1">
      <c r="A5205" t="inlineStr">
        <is>
          <t>A 6649-2023</t>
        </is>
      </c>
      <c r="B5205" s="1" t="n">
        <v>44966</v>
      </c>
      <c r="C5205" s="1" t="n">
        <v>45884</v>
      </c>
      <c r="D5205" t="inlineStr">
        <is>
          <t>KALMAR LÄN</t>
        </is>
      </c>
      <c r="E5205" t="inlineStr">
        <is>
          <t>HULTSFRED</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30400-2023</t>
        </is>
      </c>
      <c r="B5206" s="1" t="n">
        <v>45111.48225694444</v>
      </c>
      <c r="C5206" s="1" t="n">
        <v>45884</v>
      </c>
      <c r="D5206" t="inlineStr">
        <is>
          <t>KALMAR LÄN</t>
        </is>
      </c>
      <c r="E5206" t="inlineStr">
        <is>
          <t>VIMMERBY</t>
        </is>
      </c>
      <c r="G5206" t="n">
        <v>2.7</v>
      </c>
      <c r="H5206" t="n">
        <v>0</v>
      </c>
      <c r="I5206" t="n">
        <v>0</v>
      </c>
      <c r="J5206" t="n">
        <v>0</v>
      </c>
      <c r="K5206" t="n">
        <v>0</v>
      </c>
      <c r="L5206" t="n">
        <v>0</v>
      </c>
      <c r="M5206" t="n">
        <v>0</v>
      </c>
      <c r="N5206" t="n">
        <v>0</v>
      </c>
      <c r="O5206" t="n">
        <v>0</v>
      </c>
      <c r="P5206" t="n">
        <v>0</v>
      </c>
      <c r="Q5206" t="n">
        <v>0</v>
      </c>
      <c r="R5206" s="2" t="inlineStr"/>
    </row>
    <row r="5207" ht="15" customHeight="1">
      <c r="A5207" t="inlineStr">
        <is>
          <t>A 30404-2023</t>
        </is>
      </c>
      <c r="B5207" s="1" t="n">
        <v>45111.48636574074</v>
      </c>
      <c r="C5207" s="1" t="n">
        <v>45884</v>
      </c>
      <c r="D5207" t="inlineStr">
        <is>
          <t>KALMAR LÄN</t>
        </is>
      </c>
      <c r="E5207" t="inlineStr">
        <is>
          <t>VIMMERBY</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11120-2025</t>
        </is>
      </c>
      <c r="B5208" s="1" t="n">
        <v>45723.63655092593</v>
      </c>
      <c r="C5208" s="1" t="n">
        <v>45884</v>
      </c>
      <c r="D5208" t="inlineStr">
        <is>
          <t>KALMAR LÄN</t>
        </is>
      </c>
      <c r="E5208" t="inlineStr">
        <is>
          <t>VÄSTERVIK</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11122-2025</t>
        </is>
      </c>
      <c r="B5209" s="1" t="n">
        <v>45723.63827546296</v>
      </c>
      <c r="C5209" s="1" t="n">
        <v>45884</v>
      </c>
      <c r="D5209" t="inlineStr">
        <is>
          <t>KALMAR LÄN</t>
        </is>
      </c>
      <c r="E5209" t="inlineStr">
        <is>
          <t>VÄSTERVIK</t>
        </is>
      </c>
      <c r="G5209" t="n">
        <v>0.3</v>
      </c>
      <c r="H5209" t="n">
        <v>0</v>
      </c>
      <c r="I5209" t="n">
        <v>0</v>
      </c>
      <c r="J5209" t="n">
        <v>0</v>
      </c>
      <c r="K5209" t="n">
        <v>0</v>
      </c>
      <c r="L5209" t="n">
        <v>0</v>
      </c>
      <c r="M5209" t="n">
        <v>0</v>
      </c>
      <c r="N5209" t="n">
        <v>0</v>
      </c>
      <c r="O5209" t="n">
        <v>0</v>
      </c>
      <c r="P5209" t="n">
        <v>0</v>
      </c>
      <c r="Q5209" t="n">
        <v>0</v>
      </c>
      <c r="R5209" s="2" t="inlineStr"/>
    </row>
    <row r="5210" ht="15" customHeight="1">
      <c r="A5210" t="inlineStr">
        <is>
          <t>A 10535-2025</t>
        </is>
      </c>
      <c r="B5210" s="1" t="n">
        <v>45721.46292824074</v>
      </c>
      <c r="C5210" s="1" t="n">
        <v>45884</v>
      </c>
      <c r="D5210" t="inlineStr">
        <is>
          <t>KALMAR LÄN</t>
        </is>
      </c>
      <c r="E5210" t="inlineStr">
        <is>
          <t>HÖGSBY</t>
        </is>
      </c>
      <c r="G5210" t="n">
        <v>2.5</v>
      </c>
      <c r="H5210" t="n">
        <v>0</v>
      </c>
      <c r="I5210" t="n">
        <v>0</v>
      </c>
      <c r="J5210" t="n">
        <v>0</v>
      </c>
      <c r="K5210" t="n">
        <v>0</v>
      </c>
      <c r="L5210" t="n">
        <v>0</v>
      </c>
      <c r="M5210" t="n">
        <v>0</v>
      </c>
      <c r="N5210" t="n">
        <v>0</v>
      </c>
      <c r="O5210" t="n">
        <v>0</v>
      </c>
      <c r="P5210" t="n">
        <v>0</v>
      </c>
      <c r="Q5210" t="n">
        <v>0</v>
      </c>
      <c r="R5210" s="2" t="inlineStr"/>
    </row>
    <row r="5211" ht="15" customHeight="1">
      <c r="A5211" t="inlineStr">
        <is>
          <t>A 36698-2023</t>
        </is>
      </c>
      <c r="B5211" s="1" t="n">
        <v>45153</v>
      </c>
      <c r="C5211" s="1" t="n">
        <v>45884</v>
      </c>
      <c r="D5211" t="inlineStr">
        <is>
          <t>KALMAR LÄN</t>
        </is>
      </c>
      <c r="E5211" t="inlineStr">
        <is>
          <t>HULTSFRED</t>
        </is>
      </c>
      <c r="G5211" t="n">
        <v>7.4</v>
      </c>
      <c r="H5211" t="n">
        <v>0</v>
      </c>
      <c r="I5211" t="n">
        <v>0</v>
      </c>
      <c r="J5211" t="n">
        <v>0</v>
      </c>
      <c r="K5211" t="n">
        <v>0</v>
      </c>
      <c r="L5211" t="n">
        <v>0</v>
      </c>
      <c r="M5211" t="n">
        <v>0</v>
      </c>
      <c r="N5211" t="n">
        <v>0</v>
      </c>
      <c r="O5211" t="n">
        <v>0</v>
      </c>
      <c r="P5211" t="n">
        <v>0</v>
      </c>
      <c r="Q5211" t="n">
        <v>0</v>
      </c>
      <c r="R5211" s="2" t="inlineStr"/>
    </row>
    <row r="5212" ht="15" customHeight="1">
      <c r="A5212" t="inlineStr">
        <is>
          <t>A 3871-2023</t>
        </is>
      </c>
      <c r="B5212" s="1" t="n">
        <v>44951</v>
      </c>
      <c r="C5212" s="1" t="n">
        <v>45884</v>
      </c>
      <c r="D5212" t="inlineStr">
        <is>
          <t>KALMAR LÄN</t>
        </is>
      </c>
      <c r="E5212" t="inlineStr">
        <is>
          <t>EMMABODA</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6028-2023</t>
        </is>
      </c>
      <c r="B5213" s="1" t="n">
        <v>44964.44356481481</v>
      </c>
      <c r="C5213" s="1" t="n">
        <v>45884</v>
      </c>
      <c r="D5213" t="inlineStr">
        <is>
          <t>KALMAR LÄN</t>
        </is>
      </c>
      <c r="E5213" t="inlineStr">
        <is>
          <t>VIMMERBY</t>
        </is>
      </c>
      <c r="G5213" t="n">
        <v>2.5</v>
      </c>
      <c r="H5213" t="n">
        <v>0</v>
      </c>
      <c r="I5213" t="n">
        <v>0</v>
      </c>
      <c r="J5213" t="n">
        <v>0</v>
      </c>
      <c r="K5213" t="n">
        <v>0</v>
      </c>
      <c r="L5213" t="n">
        <v>0</v>
      </c>
      <c r="M5213" t="n">
        <v>0</v>
      </c>
      <c r="N5213" t="n">
        <v>0</v>
      </c>
      <c r="O5213" t="n">
        <v>0</v>
      </c>
      <c r="P5213" t="n">
        <v>0</v>
      </c>
      <c r="Q5213" t="n">
        <v>0</v>
      </c>
      <c r="R5213" s="2" t="inlineStr"/>
    </row>
    <row r="5214" ht="15" customHeight="1">
      <c r="A5214" t="inlineStr">
        <is>
          <t>A 6042-2023</t>
        </is>
      </c>
      <c r="B5214" s="1" t="n">
        <v>44964</v>
      </c>
      <c r="C5214" s="1" t="n">
        <v>45884</v>
      </c>
      <c r="D5214" t="inlineStr">
        <is>
          <t>KALMAR LÄN</t>
        </is>
      </c>
      <c r="E5214" t="inlineStr">
        <is>
          <t>VÄSTERVIK</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54748-2024</t>
        </is>
      </c>
      <c r="B5215" s="1" t="n">
        <v>45618.44939814815</v>
      </c>
      <c r="C5215" s="1" t="n">
        <v>45884</v>
      </c>
      <c r="D5215" t="inlineStr">
        <is>
          <t>KALMAR LÄN</t>
        </is>
      </c>
      <c r="E5215" t="inlineStr">
        <is>
          <t>KALMAR</t>
        </is>
      </c>
      <c r="G5215" t="n">
        <v>1.4</v>
      </c>
      <c r="H5215" t="n">
        <v>0</v>
      </c>
      <c r="I5215" t="n">
        <v>0</v>
      </c>
      <c r="J5215" t="n">
        <v>0</v>
      </c>
      <c r="K5215" t="n">
        <v>0</v>
      </c>
      <c r="L5215" t="n">
        <v>0</v>
      </c>
      <c r="M5215" t="n">
        <v>0</v>
      </c>
      <c r="N5215" t="n">
        <v>0</v>
      </c>
      <c r="O5215" t="n">
        <v>0</v>
      </c>
      <c r="P5215" t="n">
        <v>0</v>
      </c>
      <c r="Q5215" t="n">
        <v>0</v>
      </c>
      <c r="R5215" s="2" t="inlineStr"/>
    </row>
    <row r="5216" ht="15" customHeight="1">
      <c r="A5216" t="inlineStr">
        <is>
          <t>A 36100-2023</t>
        </is>
      </c>
      <c r="B5216" s="1" t="n">
        <v>45149.52997685185</v>
      </c>
      <c r="C5216" s="1" t="n">
        <v>45884</v>
      </c>
      <c r="D5216" t="inlineStr">
        <is>
          <t>KALMAR LÄN</t>
        </is>
      </c>
      <c r="E5216" t="inlineStr">
        <is>
          <t>NYBRO</t>
        </is>
      </c>
      <c r="G5216" t="n">
        <v>2.2</v>
      </c>
      <c r="H5216" t="n">
        <v>0</v>
      </c>
      <c r="I5216" t="n">
        <v>0</v>
      </c>
      <c r="J5216" t="n">
        <v>0</v>
      </c>
      <c r="K5216" t="n">
        <v>0</v>
      </c>
      <c r="L5216" t="n">
        <v>0</v>
      </c>
      <c r="M5216" t="n">
        <v>0</v>
      </c>
      <c r="N5216" t="n">
        <v>0</v>
      </c>
      <c r="O5216" t="n">
        <v>0</v>
      </c>
      <c r="P5216" t="n">
        <v>0</v>
      </c>
      <c r="Q5216" t="n">
        <v>0</v>
      </c>
      <c r="R5216" s="2" t="inlineStr"/>
    </row>
    <row r="5217" ht="15" customHeight="1">
      <c r="A5217" t="inlineStr">
        <is>
          <t>A 55436-2023</t>
        </is>
      </c>
      <c r="B5217" s="1" t="n">
        <v>45238.4328587963</v>
      </c>
      <c r="C5217" s="1" t="n">
        <v>45884</v>
      </c>
      <c r="D5217" t="inlineStr">
        <is>
          <t>KALMAR LÄN</t>
        </is>
      </c>
      <c r="E5217" t="inlineStr">
        <is>
          <t>VIMMERBY</t>
        </is>
      </c>
      <c r="G5217" t="n">
        <v>5.6</v>
      </c>
      <c r="H5217" t="n">
        <v>0</v>
      </c>
      <c r="I5217" t="n">
        <v>0</v>
      </c>
      <c r="J5217" t="n">
        <v>0</v>
      </c>
      <c r="K5217" t="n">
        <v>0</v>
      </c>
      <c r="L5217" t="n">
        <v>0</v>
      </c>
      <c r="M5217" t="n">
        <v>0</v>
      </c>
      <c r="N5217" t="n">
        <v>0</v>
      </c>
      <c r="O5217" t="n">
        <v>0</v>
      </c>
      <c r="P5217" t="n">
        <v>0</v>
      </c>
      <c r="Q5217" t="n">
        <v>0</v>
      </c>
      <c r="R5217" s="2" t="inlineStr"/>
    </row>
    <row r="5218" ht="15" customHeight="1">
      <c r="A5218" t="inlineStr">
        <is>
          <t>A 12925-2023</t>
        </is>
      </c>
      <c r="B5218" s="1" t="n">
        <v>45001</v>
      </c>
      <c r="C5218" s="1" t="n">
        <v>45884</v>
      </c>
      <c r="D5218" t="inlineStr">
        <is>
          <t>KALMAR LÄN</t>
        </is>
      </c>
      <c r="E5218" t="inlineStr">
        <is>
          <t>KALMAR</t>
        </is>
      </c>
      <c r="G5218" t="n">
        <v>3.1</v>
      </c>
      <c r="H5218" t="n">
        <v>0</v>
      </c>
      <c r="I5218" t="n">
        <v>0</v>
      </c>
      <c r="J5218" t="n">
        <v>0</v>
      </c>
      <c r="K5218" t="n">
        <v>0</v>
      </c>
      <c r="L5218" t="n">
        <v>0</v>
      </c>
      <c r="M5218" t="n">
        <v>0</v>
      </c>
      <c r="N5218" t="n">
        <v>0</v>
      </c>
      <c r="O5218" t="n">
        <v>0</v>
      </c>
      <c r="P5218" t="n">
        <v>0</v>
      </c>
      <c r="Q5218" t="n">
        <v>0</v>
      </c>
      <c r="R5218" s="2" t="inlineStr"/>
    </row>
    <row r="5219" ht="15" customHeight="1">
      <c r="A5219" t="inlineStr">
        <is>
          <t>A 5987-2025</t>
        </is>
      </c>
      <c r="B5219" s="1" t="n">
        <v>45695.55989583334</v>
      </c>
      <c r="C5219" s="1" t="n">
        <v>45884</v>
      </c>
      <c r="D5219" t="inlineStr">
        <is>
          <t>KALMAR LÄN</t>
        </is>
      </c>
      <c r="E5219" t="inlineStr">
        <is>
          <t>HULTSFRED</t>
        </is>
      </c>
      <c r="F5219" t="inlineStr">
        <is>
          <t>Sveaskog</t>
        </is>
      </c>
      <c r="G5219" t="n">
        <v>2.2</v>
      </c>
      <c r="H5219" t="n">
        <v>0</v>
      </c>
      <c r="I5219" t="n">
        <v>0</v>
      </c>
      <c r="J5219" t="n">
        <v>0</v>
      </c>
      <c r="K5219" t="n">
        <v>0</v>
      </c>
      <c r="L5219" t="n">
        <v>0</v>
      </c>
      <c r="M5219" t="n">
        <v>0</v>
      </c>
      <c r="N5219" t="n">
        <v>0</v>
      </c>
      <c r="O5219" t="n">
        <v>0</v>
      </c>
      <c r="P5219" t="n">
        <v>0</v>
      </c>
      <c r="Q5219" t="n">
        <v>0</v>
      </c>
      <c r="R5219" s="2" t="inlineStr"/>
    </row>
    <row r="5220" ht="15" customHeight="1">
      <c r="A5220" t="inlineStr">
        <is>
          <t>A 24292-2022</t>
        </is>
      </c>
      <c r="B5220" s="1" t="n">
        <v>44725.91041666667</v>
      </c>
      <c r="C5220" s="1" t="n">
        <v>45884</v>
      </c>
      <c r="D5220" t="inlineStr">
        <is>
          <t>KALMAR LÄN</t>
        </is>
      </c>
      <c r="E5220" t="inlineStr">
        <is>
          <t>HÖGSBY</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6043-2025</t>
        </is>
      </c>
      <c r="B5221" s="1" t="n">
        <v>45695.66608796296</v>
      </c>
      <c r="C5221" s="1" t="n">
        <v>45884</v>
      </c>
      <c r="D5221" t="inlineStr">
        <is>
          <t>KALMAR LÄN</t>
        </is>
      </c>
      <c r="E5221" t="inlineStr">
        <is>
          <t>KALMAR</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27705-2023</t>
        </is>
      </c>
      <c r="B5222" s="1" t="n">
        <v>45098.30535879629</v>
      </c>
      <c r="C5222" s="1" t="n">
        <v>45884</v>
      </c>
      <c r="D5222" t="inlineStr">
        <is>
          <t>KALMAR LÄN</t>
        </is>
      </c>
      <c r="E5222" t="inlineStr">
        <is>
          <t>VIMMERBY</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50938-2022</t>
        </is>
      </c>
      <c r="B5223" s="1" t="n">
        <v>44867</v>
      </c>
      <c r="C5223" s="1" t="n">
        <v>45884</v>
      </c>
      <c r="D5223" t="inlineStr">
        <is>
          <t>KALMAR LÄN</t>
        </is>
      </c>
      <c r="E5223" t="inlineStr">
        <is>
          <t>NYBRO</t>
        </is>
      </c>
      <c r="G5223" t="n">
        <v>6</v>
      </c>
      <c r="H5223" t="n">
        <v>0</v>
      </c>
      <c r="I5223" t="n">
        <v>0</v>
      </c>
      <c r="J5223" t="n">
        <v>0</v>
      </c>
      <c r="K5223" t="n">
        <v>0</v>
      </c>
      <c r="L5223" t="n">
        <v>0</v>
      </c>
      <c r="M5223" t="n">
        <v>0</v>
      </c>
      <c r="N5223" t="n">
        <v>0</v>
      </c>
      <c r="O5223" t="n">
        <v>0</v>
      </c>
      <c r="P5223" t="n">
        <v>0</v>
      </c>
      <c r="Q5223" t="n">
        <v>0</v>
      </c>
      <c r="R5223" s="2" t="inlineStr"/>
    </row>
    <row r="5224" ht="15" customHeight="1">
      <c r="A5224" t="inlineStr">
        <is>
          <t>A 59202-2022</t>
        </is>
      </c>
      <c r="B5224" s="1" t="n">
        <v>44904</v>
      </c>
      <c r="C5224" s="1" t="n">
        <v>45884</v>
      </c>
      <c r="D5224" t="inlineStr">
        <is>
          <t>KALMAR LÄN</t>
        </is>
      </c>
      <c r="E5224" t="inlineStr">
        <is>
          <t>VÄSTERVIK</t>
        </is>
      </c>
      <c r="G5224" t="n">
        <v>1.5</v>
      </c>
      <c r="H5224" t="n">
        <v>0</v>
      </c>
      <c r="I5224" t="n">
        <v>0</v>
      </c>
      <c r="J5224" t="n">
        <v>0</v>
      </c>
      <c r="K5224" t="n">
        <v>0</v>
      </c>
      <c r="L5224" t="n">
        <v>0</v>
      </c>
      <c r="M5224" t="n">
        <v>0</v>
      </c>
      <c r="N5224" t="n">
        <v>0</v>
      </c>
      <c r="O5224" t="n">
        <v>0</v>
      </c>
      <c r="P5224" t="n">
        <v>0</v>
      </c>
      <c r="Q5224" t="n">
        <v>0</v>
      </c>
      <c r="R5224" s="2" t="inlineStr"/>
    </row>
    <row r="5225" ht="15" customHeight="1">
      <c r="A5225" t="inlineStr">
        <is>
          <t>A 8282-2025</t>
        </is>
      </c>
      <c r="B5225" s="1" t="n">
        <v>45708.56193287037</v>
      </c>
      <c r="C5225" s="1" t="n">
        <v>45884</v>
      </c>
      <c r="D5225" t="inlineStr">
        <is>
          <t>KALMAR LÄN</t>
        </is>
      </c>
      <c r="E5225" t="inlineStr">
        <is>
          <t>OSKARSHAMN</t>
        </is>
      </c>
      <c r="G5225" t="n">
        <v>6.2</v>
      </c>
      <c r="H5225" t="n">
        <v>0</v>
      </c>
      <c r="I5225" t="n">
        <v>0</v>
      </c>
      <c r="J5225" t="n">
        <v>0</v>
      </c>
      <c r="K5225" t="n">
        <v>0</v>
      </c>
      <c r="L5225" t="n">
        <v>0</v>
      </c>
      <c r="M5225" t="n">
        <v>0</v>
      </c>
      <c r="N5225" t="n">
        <v>0</v>
      </c>
      <c r="O5225" t="n">
        <v>0</v>
      </c>
      <c r="P5225" t="n">
        <v>0</v>
      </c>
      <c r="Q5225" t="n">
        <v>0</v>
      </c>
      <c r="R5225" s="2" t="inlineStr"/>
    </row>
    <row r="5226" ht="15" customHeight="1">
      <c r="A5226" t="inlineStr">
        <is>
          <t>A 36643-2023</t>
        </is>
      </c>
      <c r="B5226" s="1" t="n">
        <v>45153</v>
      </c>
      <c r="C5226" s="1" t="n">
        <v>45884</v>
      </c>
      <c r="D5226" t="inlineStr">
        <is>
          <t>KALMAR LÄN</t>
        </is>
      </c>
      <c r="E5226" t="inlineStr">
        <is>
          <t>VÄSTERVIK</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14105-2025</t>
        </is>
      </c>
      <c r="B5227" s="1" t="n">
        <v>45740.45425925926</v>
      </c>
      <c r="C5227" s="1" t="n">
        <v>45884</v>
      </c>
      <c r="D5227" t="inlineStr">
        <is>
          <t>KALMAR LÄN</t>
        </is>
      </c>
      <c r="E5227" t="inlineStr">
        <is>
          <t>VÄSTERVIK</t>
        </is>
      </c>
      <c r="F5227" t="inlineStr">
        <is>
          <t>Sveaskog</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14109-2025</t>
        </is>
      </c>
      <c r="B5228" s="1" t="n">
        <v>45740.45748842593</v>
      </c>
      <c r="C5228" s="1" t="n">
        <v>45884</v>
      </c>
      <c r="D5228" t="inlineStr">
        <is>
          <t>KALMAR LÄN</t>
        </is>
      </c>
      <c r="E5228" t="inlineStr">
        <is>
          <t>VÄSTERVIK</t>
        </is>
      </c>
      <c r="F5228" t="inlineStr">
        <is>
          <t>Sveaskog</t>
        </is>
      </c>
      <c r="G5228" t="n">
        <v>2.2</v>
      </c>
      <c r="H5228" t="n">
        <v>0</v>
      </c>
      <c r="I5228" t="n">
        <v>0</v>
      </c>
      <c r="J5228" t="n">
        <v>0</v>
      </c>
      <c r="K5228" t="n">
        <v>0</v>
      </c>
      <c r="L5228" t="n">
        <v>0</v>
      </c>
      <c r="M5228" t="n">
        <v>0</v>
      </c>
      <c r="N5228" t="n">
        <v>0</v>
      </c>
      <c r="O5228" t="n">
        <v>0</v>
      </c>
      <c r="P5228" t="n">
        <v>0</v>
      </c>
      <c r="Q5228" t="n">
        <v>0</v>
      </c>
      <c r="R5228" s="2" t="inlineStr"/>
    </row>
    <row r="5229" ht="15" customHeight="1">
      <c r="A5229" t="inlineStr">
        <is>
          <t>A 12159-2023</t>
        </is>
      </c>
      <c r="B5229" s="1" t="n">
        <v>44998.49439814815</v>
      </c>
      <c r="C5229" s="1" t="n">
        <v>45884</v>
      </c>
      <c r="D5229" t="inlineStr">
        <is>
          <t>KALMAR LÄN</t>
        </is>
      </c>
      <c r="E5229" t="inlineStr">
        <is>
          <t>TORSÅS</t>
        </is>
      </c>
      <c r="G5229" t="n">
        <v>2.7</v>
      </c>
      <c r="H5229" t="n">
        <v>0</v>
      </c>
      <c r="I5229" t="n">
        <v>0</v>
      </c>
      <c r="J5229" t="n">
        <v>0</v>
      </c>
      <c r="K5229" t="n">
        <v>0</v>
      </c>
      <c r="L5229" t="n">
        <v>0</v>
      </c>
      <c r="M5229" t="n">
        <v>0</v>
      </c>
      <c r="N5229" t="n">
        <v>0</v>
      </c>
      <c r="O5229" t="n">
        <v>0</v>
      </c>
      <c r="P5229" t="n">
        <v>0</v>
      </c>
      <c r="Q5229" t="n">
        <v>0</v>
      </c>
      <c r="R5229" s="2" t="inlineStr"/>
    </row>
    <row r="5230" ht="15" customHeight="1">
      <c r="A5230" t="inlineStr">
        <is>
          <t>A 13571-2023</t>
        </is>
      </c>
      <c r="B5230" s="1" t="n">
        <v>45006.5191087963</v>
      </c>
      <c r="C5230" s="1" t="n">
        <v>45884</v>
      </c>
      <c r="D5230" t="inlineStr">
        <is>
          <t>KALMAR LÄN</t>
        </is>
      </c>
      <c r="E5230" t="inlineStr">
        <is>
          <t>KALMAR</t>
        </is>
      </c>
      <c r="G5230" t="n">
        <v>3.8</v>
      </c>
      <c r="H5230" t="n">
        <v>0</v>
      </c>
      <c r="I5230" t="n">
        <v>0</v>
      </c>
      <c r="J5230" t="n">
        <v>0</v>
      </c>
      <c r="K5230" t="n">
        <v>0</v>
      </c>
      <c r="L5230" t="n">
        <v>0</v>
      </c>
      <c r="M5230" t="n">
        <v>0</v>
      </c>
      <c r="N5230" t="n">
        <v>0</v>
      </c>
      <c r="O5230" t="n">
        <v>0</v>
      </c>
      <c r="P5230" t="n">
        <v>0</v>
      </c>
      <c r="Q5230" t="n">
        <v>0</v>
      </c>
      <c r="R5230" s="2" t="inlineStr"/>
    </row>
    <row r="5231" ht="15" customHeight="1">
      <c r="A5231" t="inlineStr">
        <is>
          <t>A 37280-2023</t>
        </is>
      </c>
      <c r="B5231" s="1" t="n">
        <v>45156</v>
      </c>
      <c r="C5231" s="1" t="n">
        <v>45884</v>
      </c>
      <c r="D5231" t="inlineStr">
        <is>
          <t>KALMAR LÄN</t>
        </is>
      </c>
      <c r="E5231" t="inlineStr">
        <is>
          <t>HULTSFRED</t>
        </is>
      </c>
      <c r="G5231" t="n">
        <v>10.8</v>
      </c>
      <c r="H5231" t="n">
        <v>0</v>
      </c>
      <c r="I5231" t="n">
        <v>0</v>
      </c>
      <c r="J5231" t="n">
        <v>0</v>
      </c>
      <c r="K5231" t="n">
        <v>0</v>
      </c>
      <c r="L5231" t="n">
        <v>0</v>
      </c>
      <c r="M5231" t="n">
        <v>0</v>
      </c>
      <c r="N5231" t="n">
        <v>0</v>
      </c>
      <c r="O5231" t="n">
        <v>0</v>
      </c>
      <c r="P5231" t="n">
        <v>0</v>
      </c>
      <c r="Q5231" t="n">
        <v>0</v>
      </c>
      <c r="R5231" s="2" t="inlineStr"/>
    </row>
    <row r="5232" ht="15" customHeight="1">
      <c r="A5232" t="inlineStr">
        <is>
          <t>A 64453-2023</t>
        </is>
      </c>
      <c r="B5232" s="1" t="n">
        <v>45280.75414351852</v>
      </c>
      <c r="C5232" s="1" t="n">
        <v>45884</v>
      </c>
      <c r="D5232" t="inlineStr">
        <is>
          <t>KALMAR LÄN</t>
        </is>
      </c>
      <c r="E5232" t="inlineStr">
        <is>
          <t>NYBRO</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64474-2023</t>
        </is>
      </c>
      <c r="B5233" s="1" t="n">
        <v>45280.85377314815</v>
      </c>
      <c r="C5233" s="1" t="n">
        <v>45884</v>
      </c>
      <c r="D5233" t="inlineStr">
        <is>
          <t>KALMAR LÄN</t>
        </is>
      </c>
      <c r="E5233" t="inlineStr">
        <is>
          <t>OSKARSHAMN</t>
        </is>
      </c>
      <c r="G5233" t="n">
        <v>2</v>
      </c>
      <c r="H5233" t="n">
        <v>0</v>
      </c>
      <c r="I5233" t="n">
        <v>0</v>
      </c>
      <c r="J5233" t="n">
        <v>0</v>
      </c>
      <c r="K5233" t="n">
        <v>0</v>
      </c>
      <c r="L5233" t="n">
        <v>0</v>
      </c>
      <c r="M5233" t="n">
        <v>0</v>
      </c>
      <c r="N5233" t="n">
        <v>0</v>
      </c>
      <c r="O5233" t="n">
        <v>0</v>
      </c>
      <c r="P5233" t="n">
        <v>0</v>
      </c>
      <c r="Q5233" t="n">
        <v>0</v>
      </c>
      <c r="R5233" s="2" t="inlineStr"/>
    </row>
    <row r="5234" ht="15" customHeight="1">
      <c r="A5234" t="inlineStr">
        <is>
          <t>A 64476-2023</t>
        </is>
      </c>
      <c r="B5234" s="1" t="n">
        <v>45280.86780092592</v>
      </c>
      <c r="C5234" s="1" t="n">
        <v>45884</v>
      </c>
      <c r="D5234" t="inlineStr">
        <is>
          <t>KALMAR LÄN</t>
        </is>
      </c>
      <c r="E5234" t="inlineStr">
        <is>
          <t>OSKARSHAMN</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17741-2025</t>
        </is>
      </c>
      <c r="B5235" s="1" t="n">
        <v>45758.47427083334</v>
      </c>
      <c r="C5235" s="1" t="n">
        <v>45884</v>
      </c>
      <c r="D5235" t="inlineStr">
        <is>
          <t>KALMAR LÄN</t>
        </is>
      </c>
      <c r="E5235" t="inlineStr">
        <is>
          <t>NYBRO</t>
        </is>
      </c>
      <c r="F5235" t="inlineStr">
        <is>
          <t>Sveaskog</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8905-2025</t>
        </is>
      </c>
      <c r="B5236" s="1" t="n">
        <v>45713.41635416666</v>
      </c>
      <c r="C5236" s="1" t="n">
        <v>45884</v>
      </c>
      <c r="D5236" t="inlineStr">
        <is>
          <t>KALMAR LÄN</t>
        </is>
      </c>
      <c r="E5236" t="inlineStr">
        <is>
          <t>TORSÅS</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37797-2022</t>
        </is>
      </c>
      <c r="B5237" s="1" t="n">
        <v>44810</v>
      </c>
      <c r="C5237" s="1" t="n">
        <v>45884</v>
      </c>
      <c r="D5237" t="inlineStr">
        <is>
          <t>KALMAR LÄN</t>
        </is>
      </c>
      <c r="E5237" t="inlineStr">
        <is>
          <t>KALMAR</t>
        </is>
      </c>
      <c r="G5237" t="n">
        <v>3.8</v>
      </c>
      <c r="H5237" t="n">
        <v>0</v>
      </c>
      <c r="I5237" t="n">
        <v>0</v>
      </c>
      <c r="J5237" t="n">
        <v>0</v>
      </c>
      <c r="K5237" t="n">
        <v>0</v>
      </c>
      <c r="L5237" t="n">
        <v>0</v>
      </c>
      <c r="M5237" t="n">
        <v>0</v>
      </c>
      <c r="N5237" t="n">
        <v>0</v>
      </c>
      <c r="O5237" t="n">
        <v>0</v>
      </c>
      <c r="P5237" t="n">
        <v>0</v>
      </c>
      <c r="Q5237" t="n">
        <v>0</v>
      </c>
      <c r="R5237" s="2" t="inlineStr"/>
    </row>
    <row r="5238" ht="15" customHeight="1">
      <c r="A5238" t="inlineStr">
        <is>
          <t>A 59075-2021</t>
        </is>
      </c>
      <c r="B5238" s="1" t="n">
        <v>44489</v>
      </c>
      <c r="C5238" s="1" t="n">
        <v>45884</v>
      </c>
      <c r="D5238" t="inlineStr">
        <is>
          <t>KALMAR LÄN</t>
        </is>
      </c>
      <c r="E5238" t="inlineStr">
        <is>
          <t>OSKARSHAMN</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2580-2022</t>
        </is>
      </c>
      <c r="B5239" s="1" t="n">
        <v>44580.39465277778</v>
      </c>
      <c r="C5239" s="1" t="n">
        <v>45884</v>
      </c>
      <c r="D5239" t="inlineStr">
        <is>
          <t>KALMAR LÄN</t>
        </is>
      </c>
      <c r="E5239" t="inlineStr">
        <is>
          <t>NYBRO</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42903-2024</t>
        </is>
      </c>
      <c r="B5240" s="1" t="n">
        <v>45566.88059027777</v>
      </c>
      <c r="C5240" s="1" t="n">
        <v>45884</v>
      </c>
      <c r="D5240" t="inlineStr">
        <is>
          <t>KALMAR LÄN</t>
        </is>
      </c>
      <c r="E5240" t="inlineStr">
        <is>
          <t>OSKARSHAMN</t>
        </is>
      </c>
      <c r="F5240" t="inlineStr">
        <is>
          <t>Sveaskog</t>
        </is>
      </c>
      <c r="G5240" t="n">
        <v>4.8</v>
      </c>
      <c r="H5240" t="n">
        <v>0</v>
      </c>
      <c r="I5240" t="n">
        <v>0</v>
      </c>
      <c r="J5240" t="n">
        <v>0</v>
      </c>
      <c r="K5240" t="n">
        <v>0</v>
      </c>
      <c r="L5240" t="n">
        <v>0</v>
      </c>
      <c r="M5240" t="n">
        <v>0</v>
      </c>
      <c r="N5240" t="n">
        <v>0</v>
      </c>
      <c r="O5240" t="n">
        <v>0</v>
      </c>
      <c r="P5240" t="n">
        <v>0</v>
      </c>
      <c r="Q5240" t="n">
        <v>0</v>
      </c>
      <c r="R5240" s="2" t="inlineStr"/>
    </row>
    <row r="5241" ht="15" customHeight="1">
      <c r="A5241" t="inlineStr">
        <is>
          <t>A 16586-2022</t>
        </is>
      </c>
      <c r="B5241" s="1" t="n">
        <v>44672.47105324074</v>
      </c>
      <c r="C5241" s="1" t="n">
        <v>45884</v>
      </c>
      <c r="D5241" t="inlineStr">
        <is>
          <t>KALMAR LÄN</t>
        </is>
      </c>
      <c r="E5241" t="inlineStr">
        <is>
          <t>VÄSTERVIK</t>
        </is>
      </c>
      <c r="F5241" t="inlineStr">
        <is>
          <t>Sveaskog</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56582-2022</t>
        </is>
      </c>
      <c r="B5242" s="1" t="n">
        <v>44893</v>
      </c>
      <c r="C5242" s="1" t="n">
        <v>45884</v>
      </c>
      <c r="D5242" t="inlineStr">
        <is>
          <t>KALMAR LÄN</t>
        </is>
      </c>
      <c r="E5242" t="inlineStr">
        <is>
          <t>VIMMERBY</t>
        </is>
      </c>
      <c r="G5242" t="n">
        <v>2.2</v>
      </c>
      <c r="H5242" t="n">
        <v>0</v>
      </c>
      <c r="I5242" t="n">
        <v>0</v>
      </c>
      <c r="J5242" t="n">
        <v>0</v>
      </c>
      <c r="K5242" t="n">
        <v>0</v>
      </c>
      <c r="L5242" t="n">
        <v>0</v>
      </c>
      <c r="M5242" t="n">
        <v>0</v>
      </c>
      <c r="N5242" t="n">
        <v>0</v>
      </c>
      <c r="O5242" t="n">
        <v>0</v>
      </c>
      <c r="P5242" t="n">
        <v>0</v>
      </c>
      <c r="Q5242" t="n">
        <v>0</v>
      </c>
      <c r="R5242" s="2" t="inlineStr"/>
    </row>
    <row r="5243" ht="15" customHeight="1">
      <c r="A5243" t="inlineStr">
        <is>
          <t>A 46572-2023</t>
        </is>
      </c>
      <c r="B5243" s="1" t="n">
        <v>45198.34445601852</v>
      </c>
      <c r="C5243" s="1" t="n">
        <v>45884</v>
      </c>
      <c r="D5243" t="inlineStr">
        <is>
          <t>KALMAR LÄN</t>
        </is>
      </c>
      <c r="E5243" t="inlineStr">
        <is>
          <t>TORSÅS</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20505-2022</t>
        </is>
      </c>
      <c r="B5244" s="1" t="n">
        <v>44699.83489583333</v>
      </c>
      <c r="C5244" s="1" t="n">
        <v>45884</v>
      </c>
      <c r="D5244" t="inlineStr">
        <is>
          <t>KALMAR LÄN</t>
        </is>
      </c>
      <c r="E5244" t="inlineStr">
        <is>
          <t>EMMABODA</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20-2025</t>
        </is>
      </c>
      <c r="B5245" s="1" t="n">
        <v>45658.80232638889</v>
      </c>
      <c r="C5245" s="1" t="n">
        <v>45884</v>
      </c>
      <c r="D5245" t="inlineStr">
        <is>
          <t>KALMAR LÄN</t>
        </is>
      </c>
      <c r="E5245" t="inlineStr">
        <is>
          <t>VIMMERBY</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23-2025</t>
        </is>
      </c>
      <c r="B5246" s="1" t="n">
        <v>45658.80827546296</v>
      </c>
      <c r="C5246" s="1" t="n">
        <v>45884</v>
      </c>
      <c r="D5246" t="inlineStr">
        <is>
          <t>KALMAR LÄN</t>
        </is>
      </c>
      <c r="E5246" t="inlineStr">
        <is>
          <t>VIMMERBY</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49096-2023</t>
        </is>
      </c>
      <c r="B5247" s="1" t="n">
        <v>45210</v>
      </c>
      <c r="C5247" s="1" t="n">
        <v>45884</v>
      </c>
      <c r="D5247" t="inlineStr">
        <is>
          <t>KALMAR LÄN</t>
        </is>
      </c>
      <c r="E5247" t="inlineStr">
        <is>
          <t>NYBRO</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36400-2024</t>
        </is>
      </c>
      <c r="B5248" s="1" t="n">
        <v>45535.67180555555</v>
      </c>
      <c r="C5248" s="1" t="n">
        <v>45884</v>
      </c>
      <c r="D5248" t="inlineStr">
        <is>
          <t>KALMAR LÄN</t>
        </is>
      </c>
      <c r="E5248" t="inlineStr">
        <is>
          <t>VÄSTERVIK</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1206-2025</t>
        </is>
      </c>
      <c r="B5249" s="1" t="n">
        <v>45667.39670138889</v>
      </c>
      <c r="C5249" s="1" t="n">
        <v>45884</v>
      </c>
      <c r="D5249" t="inlineStr">
        <is>
          <t>KALMAR LÄN</t>
        </is>
      </c>
      <c r="E5249" t="inlineStr">
        <is>
          <t>VIMMERBY</t>
        </is>
      </c>
      <c r="G5249" t="n">
        <v>3.5</v>
      </c>
      <c r="H5249" t="n">
        <v>0</v>
      </c>
      <c r="I5249" t="n">
        <v>0</v>
      </c>
      <c r="J5249" t="n">
        <v>0</v>
      </c>
      <c r="K5249" t="n">
        <v>0</v>
      </c>
      <c r="L5249" t="n">
        <v>0</v>
      </c>
      <c r="M5249" t="n">
        <v>0</v>
      </c>
      <c r="N5249" t="n">
        <v>0</v>
      </c>
      <c r="O5249" t="n">
        <v>0</v>
      </c>
      <c r="P5249" t="n">
        <v>0</v>
      </c>
      <c r="Q5249" t="n">
        <v>0</v>
      </c>
      <c r="R5249" s="2" t="inlineStr"/>
    </row>
    <row r="5250" ht="15" customHeight="1">
      <c r="A5250" t="inlineStr">
        <is>
          <t>A 12212-2025</t>
        </is>
      </c>
      <c r="B5250" s="1" t="n">
        <v>45729.53114583333</v>
      </c>
      <c r="C5250" s="1" t="n">
        <v>45884</v>
      </c>
      <c r="D5250" t="inlineStr">
        <is>
          <t>KALMAR LÄN</t>
        </is>
      </c>
      <c r="E5250" t="inlineStr">
        <is>
          <t>NYBRO</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12738-2025</t>
        </is>
      </c>
      <c r="B5251" s="1" t="n">
        <v>45733.54085648148</v>
      </c>
      <c r="C5251" s="1" t="n">
        <v>45884</v>
      </c>
      <c r="D5251" t="inlineStr">
        <is>
          <t>KALMAR LÄN</t>
        </is>
      </c>
      <c r="E5251" t="inlineStr">
        <is>
          <t>HULTSFRED</t>
        </is>
      </c>
      <c r="F5251" t="inlineStr">
        <is>
          <t>Sveaskog</t>
        </is>
      </c>
      <c r="G5251" t="n">
        <v>2.7</v>
      </c>
      <c r="H5251" t="n">
        <v>0</v>
      </c>
      <c r="I5251" t="n">
        <v>0</v>
      </c>
      <c r="J5251" t="n">
        <v>0</v>
      </c>
      <c r="K5251" t="n">
        <v>0</v>
      </c>
      <c r="L5251" t="n">
        <v>0</v>
      </c>
      <c r="M5251" t="n">
        <v>0</v>
      </c>
      <c r="N5251" t="n">
        <v>0</v>
      </c>
      <c r="O5251" t="n">
        <v>0</v>
      </c>
      <c r="P5251" t="n">
        <v>0</v>
      </c>
      <c r="Q5251" t="n">
        <v>0</v>
      </c>
      <c r="R5251" s="2" t="inlineStr"/>
    </row>
    <row r="5252" ht="15" customHeight="1">
      <c r="A5252" t="inlineStr">
        <is>
          <t>A 2866-2025</t>
        </is>
      </c>
      <c r="B5252" s="1" t="n">
        <v>45677.67711805556</v>
      </c>
      <c r="C5252" s="1" t="n">
        <v>45884</v>
      </c>
      <c r="D5252" t="inlineStr">
        <is>
          <t>KALMAR LÄN</t>
        </is>
      </c>
      <c r="E5252" t="inlineStr">
        <is>
          <t>VÄSTERVIK</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36843-2023</t>
        </is>
      </c>
      <c r="B5253" s="1" t="n">
        <v>45154.49831018518</v>
      </c>
      <c r="C5253" s="1" t="n">
        <v>45884</v>
      </c>
      <c r="D5253" t="inlineStr">
        <is>
          <t>KALMAR LÄN</t>
        </is>
      </c>
      <c r="E5253" t="inlineStr">
        <is>
          <t>VIMMERBY</t>
        </is>
      </c>
      <c r="G5253" t="n">
        <v>2</v>
      </c>
      <c r="H5253" t="n">
        <v>0</v>
      </c>
      <c r="I5253" t="n">
        <v>0</v>
      </c>
      <c r="J5253" t="n">
        <v>0</v>
      </c>
      <c r="K5253" t="n">
        <v>0</v>
      </c>
      <c r="L5253" t="n">
        <v>0</v>
      </c>
      <c r="M5253" t="n">
        <v>0</v>
      </c>
      <c r="N5253" t="n">
        <v>0</v>
      </c>
      <c r="O5253" t="n">
        <v>0</v>
      </c>
      <c r="P5253" t="n">
        <v>0</v>
      </c>
      <c r="Q5253" t="n">
        <v>0</v>
      </c>
      <c r="R5253" s="2" t="inlineStr"/>
    </row>
    <row r="5254" ht="15" customHeight="1">
      <c r="A5254" t="inlineStr">
        <is>
          <t>A 43962-2024</t>
        </is>
      </c>
      <c r="B5254" s="1" t="n">
        <v>45572.48293981481</v>
      </c>
      <c r="C5254" s="1" t="n">
        <v>45884</v>
      </c>
      <c r="D5254" t="inlineStr">
        <is>
          <t>KALMAR LÄN</t>
        </is>
      </c>
      <c r="E5254" t="inlineStr">
        <is>
          <t>VIMMERBY</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66328-2020</t>
        </is>
      </c>
      <c r="B5255" s="1" t="n">
        <v>44176</v>
      </c>
      <c r="C5255" s="1" t="n">
        <v>45884</v>
      </c>
      <c r="D5255" t="inlineStr">
        <is>
          <t>KALMAR LÄN</t>
        </is>
      </c>
      <c r="E5255" t="inlineStr">
        <is>
          <t>VÄSTERVIK</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11933-2023</t>
        </is>
      </c>
      <c r="B5256" s="1" t="n">
        <v>44995.4984375</v>
      </c>
      <c r="C5256" s="1" t="n">
        <v>45884</v>
      </c>
      <c r="D5256" t="inlineStr">
        <is>
          <t>KALMAR LÄN</t>
        </is>
      </c>
      <c r="E5256" t="inlineStr">
        <is>
          <t>OSKARSHAMN</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35713-2023</t>
        </is>
      </c>
      <c r="B5257" s="1" t="n">
        <v>45147</v>
      </c>
      <c r="C5257" s="1" t="n">
        <v>45884</v>
      </c>
      <c r="D5257" t="inlineStr">
        <is>
          <t>KALMAR LÄN</t>
        </is>
      </c>
      <c r="E5257" t="inlineStr">
        <is>
          <t>VIMMERBY</t>
        </is>
      </c>
      <c r="G5257" t="n">
        <v>1.6</v>
      </c>
      <c r="H5257" t="n">
        <v>0</v>
      </c>
      <c r="I5257" t="n">
        <v>0</v>
      </c>
      <c r="J5257" t="n">
        <v>0</v>
      </c>
      <c r="K5257" t="n">
        <v>0</v>
      </c>
      <c r="L5257" t="n">
        <v>0</v>
      </c>
      <c r="M5257" t="n">
        <v>0</v>
      </c>
      <c r="N5257" t="n">
        <v>0</v>
      </c>
      <c r="O5257" t="n">
        <v>0</v>
      </c>
      <c r="P5257" t="n">
        <v>0</v>
      </c>
      <c r="Q5257" t="n">
        <v>0</v>
      </c>
      <c r="R5257" s="2" t="inlineStr"/>
    </row>
    <row r="5258" ht="15" customHeight="1">
      <c r="A5258" t="inlineStr">
        <is>
          <t>A 50367-2022</t>
        </is>
      </c>
      <c r="B5258" s="1" t="n">
        <v>44866.35103009259</v>
      </c>
      <c r="C5258" s="1" t="n">
        <v>45884</v>
      </c>
      <c r="D5258" t="inlineStr">
        <is>
          <t>KALMAR LÄN</t>
        </is>
      </c>
      <c r="E5258" t="inlineStr">
        <is>
          <t>HÖGSBY</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53999-2022</t>
        </is>
      </c>
      <c r="B5259" s="1" t="n">
        <v>44881</v>
      </c>
      <c r="C5259" s="1" t="n">
        <v>45884</v>
      </c>
      <c r="D5259" t="inlineStr">
        <is>
          <t>KALMAR LÄN</t>
        </is>
      </c>
      <c r="E5259" t="inlineStr">
        <is>
          <t>NYBRO</t>
        </is>
      </c>
      <c r="G5259" t="n">
        <v>2.1</v>
      </c>
      <c r="H5259" t="n">
        <v>0</v>
      </c>
      <c r="I5259" t="n">
        <v>0</v>
      </c>
      <c r="J5259" t="n">
        <v>0</v>
      </c>
      <c r="K5259" t="n">
        <v>0</v>
      </c>
      <c r="L5259" t="n">
        <v>0</v>
      </c>
      <c r="M5259" t="n">
        <v>0</v>
      </c>
      <c r="N5259" t="n">
        <v>0</v>
      </c>
      <c r="O5259" t="n">
        <v>0</v>
      </c>
      <c r="P5259" t="n">
        <v>0</v>
      </c>
      <c r="Q5259" t="n">
        <v>0</v>
      </c>
      <c r="R5259" s="2" t="inlineStr"/>
    </row>
    <row r="5260" ht="15" customHeight="1">
      <c r="A5260" t="inlineStr">
        <is>
          <t>A 19947-2023</t>
        </is>
      </c>
      <c r="B5260" s="1" t="n">
        <v>45054.52478009259</v>
      </c>
      <c r="C5260" s="1" t="n">
        <v>45884</v>
      </c>
      <c r="D5260" t="inlineStr">
        <is>
          <t>KALMAR LÄN</t>
        </is>
      </c>
      <c r="E5260" t="inlineStr">
        <is>
          <t>MÖNSTERÅS</t>
        </is>
      </c>
      <c r="G5260" t="n">
        <v>4.8</v>
      </c>
      <c r="H5260" t="n">
        <v>0</v>
      </c>
      <c r="I5260" t="n">
        <v>0</v>
      </c>
      <c r="J5260" t="n">
        <v>0</v>
      </c>
      <c r="K5260" t="n">
        <v>0</v>
      </c>
      <c r="L5260" t="n">
        <v>0</v>
      </c>
      <c r="M5260" t="n">
        <v>0</v>
      </c>
      <c r="N5260" t="n">
        <v>0</v>
      </c>
      <c r="O5260" t="n">
        <v>0</v>
      </c>
      <c r="P5260" t="n">
        <v>0</v>
      </c>
      <c r="Q5260" t="n">
        <v>0</v>
      </c>
      <c r="R5260" s="2" t="inlineStr"/>
    </row>
    <row r="5261" ht="15" customHeight="1">
      <c r="A5261" t="inlineStr">
        <is>
          <t>A 31410-2021</t>
        </is>
      </c>
      <c r="B5261" s="1" t="n">
        <v>44369</v>
      </c>
      <c r="C5261" s="1" t="n">
        <v>45884</v>
      </c>
      <c r="D5261" t="inlineStr">
        <is>
          <t>KALMAR LÄN</t>
        </is>
      </c>
      <c r="E5261" t="inlineStr">
        <is>
          <t>NYBRO</t>
        </is>
      </c>
      <c r="G5261" t="n">
        <v>3.3</v>
      </c>
      <c r="H5261" t="n">
        <v>0</v>
      </c>
      <c r="I5261" t="n">
        <v>0</v>
      </c>
      <c r="J5261" t="n">
        <v>0</v>
      </c>
      <c r="K5261" t="n">
        <v>0</v>
      </c>
      <c r="L5261" t="n">
        <v>0</v>
      </c>
      <c r="M5261" t="n">
        <v>0</v>
      </c>
      <c r="N5261" t="n">
        <v>0</v>
      </c>
      <c r="O5261" t="n">
        <v>0</v>
      </c>
      <c r="P5261" t="n">
        <v>0</v>
      </c>
      <c r="Q5261" t="n">
        <v>0</v>
      </c>
      <c r="R5261" s="2" t="inlineStr"/>
    </row>
    <row r="5262" ht="15" customHeight="1">
      <c r="A5262" t="inlineStr">
        <is>
          <t>A 28538-2023</t>
        </is>
      </c>
      <c r="B5262" s="1" t="n">
        <v>45103.49568287037</v>
      </c>
      <c r="C5262" s="1" t="n">
        <v>45884</v>
      </c>
      <c r="D5262" t="inlineStr">
        <is>
          <t>KALMAR LÄN</t>
        </is>
      </c>
      <c r="E5262" t="inlineStr">
        <is>
          <t>OSKARSHAMN</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28544-2023</t>
        </is>
      </c>
      <c r="B5263" s="1" t="n">
        <v>45103</v>
      </c>
      <c r="C5263" s="1" t="n">
        <v>45884</v>
      </c>
      <c r="D5263" t="inlineStr">
        <is>
          <t>KALMAR LÄN</t>
        </is>
      </c>
      <c r="E5263" t="inlineStr">
        <is>
          <t>OSKARSHAMN</t>
        </is>
      </c>
      <c r="G5263" t="n">
        <v>2.3</v>
      </c>
      <c r="H5263" t="n">
        <v>0</v>
      </c>
      <c r="I5263" t="n">
        <v>0</v>
      </c>
      <c r="J5263" t="n">
        <v>0</v>
      </c>
      <c r="K5263" t="n">
        <v>0</v>
      </c>
      <c r="L5263" t="n">
        <v>0</v>
      </c>
      <c r="M5263" t="n">
        <v>0</v>
      </c>
      <c r="N5263" t="n">
        <v>0</v>
      </c>
      <c r="O5263" t="n">
        <v>0</v>
      </c>
      <c r="P5263" t="n">
        <v>0</v>
      </c>
      <c r="Q5263" t="n">
        <v>0</v>
      </c>
      <c r="R5263" s="2" t="inlineStr"/>
    </row>
    <row r="5264" ht="15" customHeight="1">
      <c r="A5264" t="inlineStr">
        <is>
          <t>A 40046-2023</t>
        </is>
      </c>
      <c r="B5264" s="1" t="n">
        <v>45167</v>
      </c>
      <c r="C5264" s="1" t="n">
        <v>45884</v>
      </c>
      <c r="D5264" t="inlineStr">
        <is>
          <t>KALMAR LÄN</t>
        </is>
      </c>
      <c r="E5264" t="inlineStr">
        <is>
          <t>TORSÅS</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40047-2023</t>
        </is>
      </c>
      <c r="B5265" s="1" t="n">
        <v>45167</v>
      </c>
      <c r="C5265" s="1" t="n">
        <v>45884</v>
      </c>
      <c r="D5265" t="inlineStr">
        <is>
          <t>KALMAR LÄN</t>
        </is>
      </c>
      <c r="E5265" t="inlineStr">
        <is>
          <t>TORSÅS</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15362-2024</t>
        </is>
      </c>
      <c r="B5266" s="1" t="n">
        <v>45400.91444444445</v>
      </c>
      <c r="C5266" s="1" t="n">
        <v>45884</v>
      </c>
      <c r="D5266" t="inlineStr">
        <is>
          <t>KALMAR LÄN</t>
        </is>
      </c>
      <c r="E5266" t="inlineStr">
        <is>
          <t>EMMABODA</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23580-2023</t>
        </is>
      </c>
      <c r="B5267" s="1" t="n">
        <v>45077</v>
      </c>
      <c r="C5267" s="1" t="n">
        <v>45884</v>
      </c>
      <c r="D5267" t="inlineStr">
        <is>
          <t>KALMAR LÄN</t>
        </is>
      </c>
      <c r="E5267" t="inlineStr">
        <is>
          <t>VÄSTERVIK</t>
        </is>
      </c>
      <c r="G5267" t="n">
        <v>1.9</v>
      </c>
      <c r="H5267" t="n">
        <v>0</v>
      </c>
      <c r="I5267" t="n">
        <v>0</v>
      </c>
      <c r="J5267" t="n">
        <v>0</v>
      </c>
      <c r="K5267" t="n">
        <v>0</v>
      </c>
      <c r="L5267" t="n">
        <v>0</v>
      </c>
      <c r="M5267" t="n">
        <v>0</v>
      </c>
      <c r="N5267" t="n">
        <v>0</v>
      </c>
      <c r="O5267" t="n">
        <v>0</v>
      </c>
      <c r="P5267" t="n">
        <v>0</v>
      </c>
      <c r="Q5267" t="n">
        <v>0</v>
      </c>
      <c r="R5267" s="2" t="inlineStr"/>
    </row>
    <row r="5268" ht="15" customHeight="1">
      <c r="A5268" t="inlineStr">
        <is>
          <t>A 51781-2023</t>
        </is>
      </c>
      <c r="B5268" s="1" t="n">
        <v>45222</v>
      </c>
      <c r="C5268" s="1" t="n">
        <v>45884</v>
      </c>
      <c r="D5268" t="inlineStr">
        <is>
          <t>KALMAR LÄN</t>
        </is>
      </c>
      <c r="E5268" t="inlineStr">
        <is>
          <t>TORSÅS</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28116-2023</t>
        </is>
      </c>
      <c r="B5269" s="1" t="n">
        <v>45099</v>
      </c>
      <c r="C5269" s="1" t="n">
        <v>45884</v>
      </c>
      <c r="D5269" t="inlineStr">
        <is>
          <t>KALMAR LÄN</t>
        </is>
      </c>
      <c r="E5269" t="inlineStr">
        <is>
          <t>OSKARSHAMN</t>
        </is>
      </c>
      <c r="G5269" t="n">
        <v>5.8</v>
      </c>
      <c r="H5269" t="n">
        <v>0</v>
      </c>
      <c r="I5269" t="n">
        <v>0</v>
      </c>
      <c r="J5269" t="n">
        <v>0</v>
      </c>
      <c r="K5269" t="n">
        <v>0</v>
      </c>
      <c r="L5269" t="n">
        <v>0</v>
      </c>
      <c r="M5269" t="n">
        <v>0</v>
      </c>
      <c r="N5269" t="n">
        <v>0</v>
      </c>
      <c r="O5269" t="n">
        <v>0</v>
      </c>
      <c r="P5269" t="n">
        <v>0</v>
      </c>
      <c r="Q5269" t="n">
        <v>0</v>
      </c>
      <c r="R5269" s="2" t="inlineStr"/>
    </row>
    <row r="5270" ht="15" customHeight="1">
      <c r="A5270" t="inlineStr">
        <is>
          <t>A 55386-2020</t>
        </is>
      </c>
      <c r="B5270" s="1" t="n">
        <v>44131</v>
      </c>
      <c r="C5270" s="1" t="n">
        <v>45884</v>
      </c>
      <c r="D5270" t="inlineStr">
        <is>
          <t>KALMAR LÄN</t>
        </is>
      </c>
      <c r="E5270" t="inlineStr">
        <is>
          <t>KALMAR</t>
        </is>
      </c>
      <c r="G5270" t="n">
        <v>3.4</v>
      </c>
      <c r="H5270" t="n">
        <v>0</v>
      </c>
      <c r="I5270" t="n">
        <v>0</v>
      </c>
      <c r="J5270" t="n">
        <v>0</v>
      </c>
      <c r="K5270" t="n">
        <v>0</v>
      </c>
      <c r="L5270" t="n">
        <v>0</v>
      </c>
      <c r="M5270" t="n">
        <v>0</v>
      </c>
      <c r="N5270" t="n">
        <v>0</v>
      </c>
      <c r="O5270" t="n">
        <v>0</v>
      </c>
      <c r="P5270" t="n">
        <v>0</v>
      </c>
      <c r="Q5270" t="n">
        <v>0</v>
      </c>
      <c r="R5270" s="2" t="inlineStr"/>
    </row>
    <row r="5271" ht="15" customHeight="1">
      <c r="A5271" t="inlineStr">
        <is>
          <t>A 41635-2023</t>
        </is>
      </c>
      <c r="B5271" s="1" t="n">
        <v>45175.80216435185</v>
      </c>
      <c r="C5271" s="1" t="n">
        <v>45884</v>
      </c>
      <c r="D5271" t="inlineStr">
        <is>
          <t>KALMAR LÄN</t>
        </is>
      </c>
      <c r="E5271" t="inlineStr">
        <is>
          <t>NYBRO</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12073-2025</t>
        </is>
      </c>
      <c r="B5272" s="1" t="n">
        <v>45728.71802083333</v>
      </c>
      <c r="C5272" s="1" t="n">
        <v>45884</v>
      </c>
      <c r="D5272" t="inlineStr">
        <is>
          <t>KALMAR LÄN</t>
        </is>
      </c>
      <c r="E5272" t="inlineStr">
        <is>
          <t>NYBRO</t>
        </is>
      </c>
      <c r="G5272" t="n">
        <v>1.8</v>
      </c>
      <c r="H5272" t="n">
        <v>0</v>
      </c>
      <c r="I5272" t="n">
        <v>0</v>
      </c>
      <c r="J5272" t="n">
        <v>0</v>
      </c>
      <c r="K5272" t="n">
        <v>0</v>
      </c>
      <c r="L5272" t="n">
        <v>0</v>
      </c>
      <c r="M5272" t="n">
        <v>0</v>
      </c>
      <c r="N5272" t="n">
        <v>0</v>
      </c>
      <c r="O5272" t="n">
        <v>0</v>
      </c>
      <c r="P5272" t="n">
        <v>0</v>
      </c>
      <c r="Q5272" t="n">
        <v>0</v>
      </c>
      <c r="R5272" s="2" t="inlineStr"/>
    </row>
    <row r="5273" ht="15" customHeight="1">
      <c r="A5273" t="inlineStr">
        <is>
          <t>A 44322-2023</t>
        </is>
      </c>
      <c r="B5273" s="1" t="n">
        <v>45188</v>
      </c>
      <c r="C5273" s="1" t="n">
        <v>45884</v>
      </c>
      <c r="D5273" t="inlineStr">
        <is>
          <t>KALMAR LÄN</t>
        </is>
      </c>
      <c r="E5273" t="inlineStr">
        <is>
          <t>MÖNSTERÅS</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20483-2025</t>
        </is>
      </c>
      <c r="B5274" s="1" t="n">
        <v>45775.55954861111</v>
      </c>
      <c r="C5274" s="1" t="n">
        <v>45884</v>
      </c>
      <c r="D5274" t="inlineStr">
        <is>
          <t>KALMAR LÄN</t>
        </is>
      </c>
      <c r="E5274" t="inlineStr">
        <is>
          <t>VÄSTERVIK</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1568-2024</t>
        </is>
      </c>
      <c r="B5275" s="1" t="n">
        <v>45306.53221064815</v>
      </c>
      <c r="C5275" s="1" t="n">
        <v>45884</v>
      </c>
      <c r="D5275" t="inlineStr">
        <is>
          <t>KALMAR LÄN</t>
        </is>
      </c>
      <c r="E5275" t="inlineStr">
        <is>
          <t>VÄSTERVIK</t>
        </is>
      </c>
      <c r="G5275" t="n">
        <v>3.4</v>
      </c>
      <c r="H5275" t="n">
        <v>0</v>
      </c>
      <c r="I5275" t="n">
        <v>0</v>
      </c>
      <c r="J5275" t="n">
        <v>0</v>
      </c>
      <c r="K5275" t="n">
        <v>0</v>
      </c>
      <c r="L5275" t="n">
        <v>0</v>
      </c>
      <c r="M5275" t="n">
        <v>0</v>
      </c>
      <c r="N5275" t="n">
        <v>0</v>
      </c>
      <c r="O5275" t="n">
        <v>0</v>
      </c>
      <c r="P5275" t="n">
        <v>0</v>
      </c>
      <c r="Q5275" t="n">
        <v>0</v>
      </c>
      <c r="R5275" s="2" t="inlineStr"/>
    </row>
    <row r="5276" ht="15" customHeight="1">
      <c r="A5276" t="inlineStr">
        <is>
          <t>A 1572-2024</t>
        </is>
      </c>
      <c r="B5276" s="1" t="n">
        <v>45306</v>
      </c>
      <c r="C5276" s="1" t="n">
        <v>45884</v>
      </c>
      <c r="D5276" t="inlineStr">
        <is>
          <t>KALMAR LÄN</t>
        </is>
      </c>
      <c r="E5276" t="inlineStr">
        <is>
          <t>VÄSTERVIK</t>
        </is>
      </c>
      <c r="G5276" t="n">
        <v>4.4</v>
      </c>
      <c r="H5276" t="n">
        <v>0</v>
      </c>
      <c r="I5276" t="n">
        <v>0</v>
      </c>
      <c r="J5276" t="n">
        <v>0</v>
      </c>
      <c r="K5276" t="n">
        <v>0</v>
      </c>
      <c r="L5276" t="n">
        <v>0</v>
      </c>
      <c r="M5276" t="n">
        <v>0</v>
      </c>
      <c r="N5276" t="n">
        <v>0</v>
      </c>
      <c r="O5276" t="n">
        <v>0</v>
      </c>
      <c r="P5276" t="n">
        <v>0</v>
      </c>
      <c r="Q5276" t="n">
        <v>0</v>
      </c>
      <c r="R5276" s="2" t="inlineStr"/>
    </row>
    <row r="5277" ht="15" customHeight="1">
      <c r="A5277" t="inlineStr">
        <is>
          <t>A 12386-2025</t>
        </is>
      </c>
      <c r="B5277" s="1" t="n">
        <v>45730</v>
      </c>
      <c r="C5277" s="1" t="n">
        <v>45884</v>
      </c>
      <c r="D5277" t="inlineStr">
        <is>
          <t>KALMAR LÄN</t>
        </is>
      </c>
      <c r="E5277" t="inlineStr">
        <is>
          <t>VÄSTERVIK</t>
        </is>
      </c>
      <c r="G5277" t="n">
        <v>4.4</v>
      </c>
      <c r="H5277" t="n">
        <v>0</v>
      </c>
      <c r="I5277" t="n">
        <v>0</v>
      </c>
      <c r="J5277" t="n">
        <v>0</v>
      </c>
      <c r="K5277" t="n">
        <v>0</v>
      </c>
      <c r="L5277" t="n">
        <v>0</v>
      </c>
      <c r="M5277" t="n">
        <v>0</v>
      </c>
      <c r="N5277" t="n">
        <v>0</v>
      </c>
      <c r="O5277" t="n">
        <v>0</v>
      </c>
      <c r="P5277" t="n">
        <v>0</v>
      </c>
      <c r="Q5277" t="n">
        <v>0</v>
      </c>
      <c r="R5277" s="2" t="inlineStr"/>
    </row>
    <row r="5278" ht="15" customHeight="1">
      <c r="A5278" t="inlineStr">
        <is>
          <t>A 11150-2024</t>
        </is>
      </c>
      <c r="B5278" s="1" t="n">
        <v>45371.47248842593</v>
      </c>
      <c r="C5278" s="1" t="n">
        <v>45884</v>
      </c>
      <c r="D5278" t="inlineStr">
        <is>
          <t>KALMAR LÄN</t>
        </is>
      </c>
      <c r="E5278" t="inlineStr">
        <is>
          <t>NYBRO</t>
        </is>
      </c>
      <c r="G5278" t="n">
        <v>0.4</v>
      </c>
      <c r="H5278" t="n">
        <v>0</v>
      </c>
      <c r="I5278" t="n">
        <v>0</v>
      </c>
      <c r="J5278" t="n">
        <v>0</v>
      </c>
      <c r="K5278" t="n">
        <v>0</v>
      </c>
      <c r="L5278" t="n">
        <v>0</v>
      </c>
      <c r="M5278" t="n">
        <v>0</v>
      </c>
      <c r="N5278" t="n">
        <v>0</v>
      </c>
      <c r="O5278" t="n">
        <v>0</v>
      </c>
      <c r="P5278" t="n">
        <v>0</v>
      </c>
      <c r="Q5278" t="n">
        <v>0</v>
      </c>
      <c r="R5278" s="2" t="inlineStr"/>
    </row>
    <row r="5279" ht="15" customHeight="1">
      <c r="A5279" t="inlineStr">
        <is>
          <t>A 58474-2020</t>
        </is>
      </c>
      <c r="B5279" s="1" t="n">
        <v>44141</v>
      </c>
      <c r="C5279" s="1" t="n">
        <v>45884</v>
      </c>
      <c r="D5279" t="inlineStr">
        <is>
          <t>KALMAR LÄN</t>
        </is>
      </c>
      <c r="E5279" t="inlineStr">
        <is>
          <t>KALMAR</t>
        </is>
      </c>
      <c r="G5279" t="n">
        <v>1.6</v>
      </c>
      <c r="H5279" t="n">
        <v>0</v>
      </c>
      <c r="I5279" t="n">
        <v>0</v>
      </c>
      <c r="J5279" t="n">
        <v>0</v>
      </c>
      <c r="K5279" t="n">
        <v>0</v>
      </c>
      <c r="L5279" t="n">
        <v>0</v>
      </c>
      <c r="M5279" t="n">
        <v>0</v>
      </c>
      <c r="N5279" t="n">
        <v>0</v>
      </c>
      <c r="O5279" t="n">
        <v>0</v>
      </c>
      <c r="P5279" t="n">
        <v>0</v>
      </c>
      <c r="Q5279" t="n">
        <v>0</v>
      </c>
      <c r="R5279" s="2" t="inlineStr"/>
    </row>
    <row r="5280" ht="15" customHeight="1">
      <c r="A5280" t="inlineStr">
        <is>
          <t>A 11183-2024</t>
        </is>
      </c>
      <c r="B5280" s="1" t="n">
        <v>45371.53141203704</v>
      </c>
      <c r="C5280" s="1" t="n">
        <v>45884</v>
      </c>
      <c r="D5280" t="inlineStr">
        <is>
          <t>KALMAR LÄN</t>
        </is>
      </c>
      <c r="E5280" t="inlineStr">
        <is>
          <t>VÄSTERVIK</t>
        </is>
      </c>
      <c r="G5280" t="n">
        <v>4.5</v>
      </c>
      <c r="H5280" t="n">
        <v>0</v>
      </c>
      <c r="I5280" t="n">
        <v>0</v>
      </c>
      <c r="J5280" t="n">
        <v>0</v>
      </c>
      <c r="K5280" t="n">
        <v>0</v>
      </c>
      <c r="L5280" t="n">
        <v>0</v>
      </c>
      <c r="M5280" t="n">
        <v>0</v>
      </c>
      <c r="N5280" t="n">
        <v>0</v>
      </c>
      <c r="O5280" t="n">
        <v>0</v>
      </c>
      <c r="P5280" t="n">
        <v>0</v>
      </c>
      <c r="Q5280" t="n">
        <v>0</v>
      </c>
      <c r="R5280" s="2" t="inlineStr"/>
    </row>
    <row r="5281" ht="15" customHeight="1">
      <c r="A5281" t="inlineStr">
        <is>
          <t>A 9050-2025</t>
        </is>
      </c>
      <c r="B5281" s="1" t="n">
        <v>45713.63512731482</v>
      </c>
      <c r="C5281" s="1" t="n">
        <v>45884</v>
      </c>
      <c r="D5281" t="inlineStr">
        <is>
          <t>KALMAR LÄN</t>
        </is>
      </c>
      <c r="E5281" t="inlineStr">
        <is>
          <t>BORGHOLM</t>
        </is>
      </c>
      <c r="F5281" t="inlineStr">
        <is>
          <t>Sveaskog</t>
        </is>
      </c>
      <c r="G5281" t="n">
        <v>2.5</v>
      </c>
      <c r="H5281" t="n">
        <v>0</v>
      </c>
      <c r="I5281" t="n">
        <v>0</v>
      </c>
      <c r="J5281" t="n">
        <v>0</v>
      </c>
      <c r="K5281" t="n">
        <v>0</v>
      </c>
      <c r="L5281" t="n">
        <v>0</v>
      </c>
      <c r="M5281" t="n">
        <v>0</v>
      </c>
      <c r="N5281" t="n">
        <v>0</v>
      </c>
      <c r="O5281" t="n">
        <v>0</v>
      </c>
      <c r="P5281" t="n">
        <v>0</v>
      </c>
      <c r="Q5281" t="n">
        <v>0</v>
      </c>
      <c r="R5281" s="2" t="inlineStr"/>
    </row>
    <row r="5282" ht="15" customHeight="1">
      <c r="A5282" t="inlineStr">
        <is>
          <t>A 3185-2023</t>
        </is>
      </c>
      <c r="B5282" s="1" t="n">
        <v>44946.60753472222</v>
      </c>
      <c r="C5282" s="1" t="n">
        <v>45884</v>
      </c>
      <c r="D5282" t="inlineStr">
        <is>
          <t>KALMAR LÄN</t>
        </is>
      </c>
      <c r="E5282" t="inlineStr">
        <is>
          <t>VÄSTERVIK</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31608-2023</t>
        </is>
      </c>
      <c r="B5283" s="1" t="n">
        <v>45117</v>
      </c>
      <c r="C5283" s="1" t="n">
        <v>45884</v>
      </c>
      <c r="D5283" t="inlineStr">
        <is>
          <t>KALMAR LÄN</t>
        </is>
      </c>
      <c r="E5283" t="inlineStr">
        <is>
          <t>EMMABODA</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10785-2025</t>
        </is>
      </c>
      <c r="B5284" s="1" t="n">
        <v>45722.48634259259</v>
      </c>
      <c r="C5284" s="1" t="n">
        <v>45884</v>
      </c>
      <c r="D5284" t="inlineStr">
        <is>
          <t>KALMAR LÄN</t>
        </is>
      </c>
      <c r="E5284" t="inlineStr">
        <is>
          <t>VIMMERBY</t>
        </is>
      </c>
      <c r="G5284" t="n">
        <v>0.5</v>
      </c>
      <c r="H5284" t="n">
        <v>0</v>
      </c>
      <c r="I5284" t="n">
        <v>0</v>
      </c>
      <c r="J5284" t="n">
        <v>0</v>
      </c>
      <c r="K5284" t="n">
        <v>0</v>
      </c>
      <c r="L5284" t="n">
        <v>0</v>
      </c>
      <c r="M5284" t="n">
        <v>0</v>
      </c>
      <c r="N5284" t="n">
        <v>0</v>
      </c>
      <c r="O5284" t="n">
        <v>0</v>
      </c>
      <c r="P5284" t="n">
        <v>0</v>
      </c>
      <c r="Q5284" t="n">
        <v>0</v>
      </c>
      <c r="R5284" s="2" t="inlineStr"/>
    </row>
    <row r="5285" ht="15" customHeight="1">
      <c r="A5285" t="inlineStr">
        <is>
          <t>A 5234-2024</t>
        </is>
      </c>
      <c r="B5285" s="1" t="n">
        <v>45330.80729166666</v>
      </c>
      <c r="C5285" s="1" t="n">
        <v>45884</v>
      </c>
      <c r="D5285" t="inlineStr">
        <is>
          <t>KALMAR LÄN</t>
        </is>
      </c>
      <c r="E5285" t="inlineStr">
        <is>
          <t>VÄSTERVIK</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29017-2024</t>
        </is>
      </c>
      <c r="B5286" s="1" t="n">
        <v>45481.56722222222</v>
      </c>
      <c r="C5286" s="1" t="n">
        <v>45884</v>
      </c>
      <c r="D5286" t="inlineStr">
        <is>
          <t>KALMAR LÄN</t>
        </is>
      </c>
      <c r="E5286" t="inlineStr">
        <is>
          <t>VIMMERBY</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38397-2020</t>
        </is>
      </c>
      <c r="B5287" s="1" t="n">
        <v>44060</v>
      </c>
      <c r="C5287" s="1" t="n">
        <v>45884</v>
      </c>
      <c r="D5287" t="inlineStr">
        <is>
          <t>KALMAR LÄN</t>
        </is>
      </c>
      <c r="E5287" t="inlineStr">
        <is>
          <t>VIMMERBY</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49658-2024</t>
        </is>
      </c>
      <c r="B5288" s="1" t="n">
        <v>45596.63148148148</v>
      </c>
      <c r="C5288" s="1" t="n">
        <v>45884</v>
      </c>
      <c r="D5288" t="inlineStr">
        <is>
          <t>KALMAR LÄN</t>
        </is>
      </c>
      <c r="E5288" t="inlineStr">
        <is>
          <t>MÖNSTERÅS</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23263-2024</t>
        </is>
      </c>
      <c r="B5289" s="1" t="n">
        <v>45453.36854166666</v>
      </c>
      <c r="C5289" s="1" t="n">
        <v>45884</v>
      </c>
      <c r="D5289" t="inlineStr">
        <is>
          <t>KALMAR LÄN</t>
        </is>
      </c>
      <c r="E5289" t="inlineStr">
        <is>
          <t>VIMMERBY</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11074-2023</t>
        </is>
      </c>
      <c r="B5290" s="1" t="n">
        <v>44992.34151620371</v>
      </c>
      <c r="C5290" s="1" t="n">
        <v>45884</v>
      </c>
      <c r="D5290" t="inlineStr">
        <is>
          <t>KALMAR LÄN</t>
        </is>
      </c>
      <c r="E5290" t="inlineStr">
        <is>
          <t>VIMMERBY</t>
        </is>
      </c>
      <c r="F5290" t="inlineStr">
        <is>
          <t>Sveaskog</t>
        </is>
      </c>
      <c r="G5290" t="n">
        <v>3.1</v>
      </c>
      <c r="H5290" t="n">
        <v>0</v>
      </c>
      <c r="I5290" t="n">
        <v>0</v>
      </c>
      <c r="J5290" t="n">
        <v>0</v>
      </c>
      <c r="K5290" t="n">
        <v>0</v>
      </c>
      <c r="L5290" t="n">
        <v>0</v>
      </c>
      <c r="M5290" t="n">
        <v>0</v>
      </c>
      <c r="N5290" t="n">
        <v>0</v>
      </c>
      <c r="O5290" t="n">
        <v>0</v>
      </c>
      <c r="P5290" t="n">
        <v>0</v>
      </c>
      <c r="Q5290" t="n">
        <v>0</v>
      </c>
      <c r="R5290" s="2" t="inlineStr"/>
    </row>
    <row r="5291" ht="15" customHeight="1">
      <c r="A5291" t="inlineStr">
        <is>
          <t>A 40147-2023</t>
        </is>
      </c>
      <c r="B5291" s="1" t="n">
        <v>45169</v>
      </c>
      <c r="C5291" s="1" t="n">
        <v>45884</v>
      </c>
      <c r="D5291" t="inlineStr">
        <is>
          <t>KALMAR LÄN</t>
        </is>
      </c>
      <c r="E5291" t="inlineStr">
        <is>
          <t>VIMMERBY</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28159-2023</t>
        </is>
      </c>
      <c r="B5292" s="1" t="n">
        <v>45099.49768518518</v>
      </c>
      <c r="C5292" s="1" t="n">
        <v>45884</v>
      </c>
      <c r="D5292" t="inlineStr">
        <is>
          <t>KALMAR LÄN</t>
        </is>
      </c>
      <c r="E5292" t="inlineStr">
        <is>
          <t>EMMABODA</t>
        </is>
      </c>
      <c r="G5292" t="n">
        <v>3</v>
      </c>
      <c r="H5292" t="n">
        <v>0</v>
      </c>
      <c r="I5292" t="n">
        <v>0</v>
      </c>
      <c r="J5292" t="n">
        <v>0</v>
      </c>
      <c r="K5292" t="n">
        <v>0</v>
      </c>
      <c r="L5292" t="n">
        <v>0</v>
      </c>
      <c r="M5292" t="n">
        <v>0</v>
      </c>
      <c r="N5292" t="n">
        <v>0</v>
      </c>
      <c r="O5292" t="n">
        <v>0</v>
      </c>
      <c r="P5292" t="n">
        <v>0</v>
      </c>
      <c r="Q5292" t="n">
        <v>0</v>
      </c>
      <c r="R5292" s="2" t="inlineStr"/>
    </row>
    <row r="5293" ht="15" customHeight="1">
      <c r="A5293" t="inlineStr">
        <is>
          <t>A 53373-2023</t>
        </is>
      </c>
      <c r="B5293" s="1" t="n">
        <v>45229.67283564815</v>
      </c>
      <c r="C5293" s="1" t="n">
        <v>45884</v>
      </c>
      <c r="D5293" t="inlineStr">
        <is>
          <t>KALMAR LÄN</t>
        </is>
      </c>
      <c r="E5293" t="inlineStr">
        <is>
          <t>EMMABODA</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61939-2021</t>
        </is>
      </c>
      <c r="B5294" s="1" t="n">
        <v>44502</v>
      </c>
      <c r="C5294" s="1" t="n">
        <v>45884</v>
      </c>
      <c r="D5294" t="inlineStr">
        <is>
          <t>KALMAR LÄN</t>
        </is>
      </c>
      <c r="E5294" t="inlineStr">
        <is>
          <t>VIMMERBY</t>
        </is>
      </c>
      <c r="G5294" t="n">
        <v>2.7</v>
      </c>
      <c r="H5294" t="n">
        <v>0</v>
      </c>
      <c r="I5294" t="n">
        <v>0</v>
      </c>
      <c r="J5294" t="n">
        <v>0</v>
      </c>
      <c r="K5294" t="n">
        <v>0</v>
      </c>
      <c r="L5294" t="n">
        <v>0</v>
      </c>
      <c r="M5294" t="n">
        <v>0</v>
      </c>
      <c r="N5294" t="n">
        <v>0</v>
      </c>
      <c r="O5294" t="n">
        <v>0</v>
      </c>
      <c r="P5294" t="n">
        <v>0</v>
      </c>
      <c r="Q5294" t="n">
        <v>0</v>
      </c>
      <c r="R5294" s="2" t="inlineStr"/>
    </row>
    <row r="5295" ht="15" customHeight="1">
      <c r="A5295" t="inlineStr">
        <is>
          <t>A 27610-2022</t>
        </is>
      </c>
      <c r="B5295" s="1" t="n">
        <v>44743</v>
      </c>
      <c r="C5295" s="1" t="n">
        <v>45884</v>
      </c>
      <c r="D5295" t="inlineStr">
        <is>
          <t>KALMAR LÄN</t>
        </is>
      </c>
      <c r="E5295" t="inlineStr">
        <is>
          <t>NYBRO</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11926-2023</t>
        </is>
      </c>
      <c r="B5296" s="1" t="n">
        <v>44993</v>
      </c>
      <c r="C5296" s="1" t="n">
        <v>45884</v>
      </c>
      <c r="D5296" t="inlineStr">
        <is>
          <t>KALMAR LÄN</t>
        </is>
      </c>
      <c r="E5296" t="inlineStr">
        <is>
          <t>MÖNSTERÅS</t>
        </is>
      </c>
      <c r="G5296" t="n">
        <v>3.7</v>
      </c>
      <c r="H5296" t="n">
        <v>0</v>
      </c>
      <c r="I5296" t="n">
        <v>0</v>
      </c>
      <c r="J5296" t="n">
        <v>0</v>
      </c>
      <c r="K5296" t="n">
        <v>0</v>
      </c>
      <c r="L5296" t="n">
        <v>0</v>
      </c>
      <c r="M5296" t="n">
        <v>0</v>
      </c>
      <c r="N5296" t="n">
        <v>0</v>
      </c>
      <c r="O5296" t="n">
        <v>0</v>
      </c>
      <c r="P5296" t="n">
        <v>0</v>
      </c>
      <c r="Q5296" t="n">
        <v>0</v>
      </c>
      <c r="R5296" s="2" t="inlineStr"/>
    </row>
    <row r="5297" ht="15" customHeight="1">
      <c r="A5297" t="inlineStr">
        <is>
          <t>A 6366-2023</t>
        </is>
      </c>
      <c r="B5297" s="1" t="n">
        <v>44965</v>
      </c>
      <c r="C5297" s="1" t="n">
        <v>45884</v>
      </c>
      <c r="D5297" t="inlineStr">
        <is>
          <t>KALMAR LÄN</t>
        </is>
      </c>
      <c r="E5297" t="inlineStr">
        <is>
          <t>TORSÅS</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48446-2024</t>
        </is>
      </c>
      <c r="B5298" s="1" t="n">
        <v>45590.69163194444</v>
      </c>
      <c r="C5298" s="1" t="n">
        <v>45884</v>
      </c>
      <c r="D5298" t="inlineStr">
        <is>
          <t>KALMAR LÄN</t>
        </is>
      </c>
      <c r="E5298" t="inlineStr">
        <is>
          <t>VÄSTERVIK</t>
        </is>
      </c>
      <c r="G5298" t="n">
        <v>0.5</v>
      </c>
      <c r="H5298" t="n">
        <v>0</v>
      </c>
      <c r="I5298" t="n">
        <v>0</v>
      </c>
      <c r="J5298" t="n">
        <v>0</v>
      </c>
      <c r="K5298" t="n">
        <v>0</v>
      </c>
      <c r="L5298" t="n">
        <v>0</v>
      </c>
      <c r="M5298" t="n">
        <v>0</v>
      </c>
      <c r="N5298" t="n">
        <v>0</v>
      </c>
      <c r="O5298" t="n">
        <v>0</v>
      </c>
      <c r="P5298" t="n">
        <v>0</v>
      </c>
      <c r="Q5298" t="n">
        <v>0</v>
      </c>
      <c r="R5298" s="2" t="inlineStr"/>
    </row>
    <row r="5299" ht="15" customHeight="1">
      <c r="A5299" t="inlineStr">
        <is>
          <t>A 48467-2024</t>
        </is>
      </c>
      <c r="B5299" s="1" t="n">
        <v>45591.31592592593</v>
      </c>
      <c r="C5299" s="1" t="n">
        <v>45884</v>
      </c>
      <c r="D5299" t="inlineStr">
        <is>
          <t>KALMAR LÄN</t>
        </is>
      </c>
      <c r="E5299" t="inlineStr">
        <is>
          <t>NYBRO</t>
        </is>
      </c>
      <c r="G5299" t="n">
        <v>1</v>
      </c>
      <c r="H5299" t="n">
        <v>0</v>
      </c>
      <c r="I5299" t="n">
        <v>0</v>
      </c>
      <c r="J5299" t="n">
        <v>0</v>
      </c>
      <c r="K5299" t="n">
        <v>0</v>
      </c>
      <c r="L5299" t="n">
        <v>0</v>
      </c>
      <c r="M5299" t="n">
        <v>0</v>
      </c>
      <c r="N5299" t="n">
        <v>0</v>
      </c>
      <c r="O5299" t="n">
        <v>0</v>
      </c>
      <c r="P5299" t="n">
        <v>0</v>
      </c>
      <c r="Q5299" t="n">
        <v>0</v>
      </c>
      <c r="R5299" s="2" t="inlineStr"/>
    </row>
    <row r="5300" ht="15" customHeight="1">
      <c r="A5300" t="inlineStr">
        <is>
          <t>A 12215-2024</t>
        </is>
      </c>
      <c r="B5300" s="1" t="n">
        <v>45378.32185185186</v>
      </c>
      <c r="C5300" s="1" t="n">
        <v>45884</v>
      </c>
      <c r="D5300" t="inlineStr">
        <is>
          <t>KALMAR LÄN</t>
        </is>
      </c>
      <c r="E5300" t="inlineStr">
        <is>
          <t>VIMMERBY</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5355-2022</t>
        </is>
      </c>
      <c r="B5301" s="1" t="n">
        <v>44594</v>
      </c>
      <c r="C5301" s="1" t="n">
        <v>45884</v>
      </c>
      <c r="D5301" t="inlineStr">
        <is>
          <t>KALMAR LÄN</t>
        </is>
      </c>
      <c r="E5301" t="inlineStr">
        <is>
          <t>NYBRO</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33602-2023</t>
        </is>
      </c>
      <c r="B5302" s="1" t="n">
        <v>45132</v>
      </c>
      <c r="C5302" s="1" t="n">
        <v>45884</v>
      </c>
      <c r="D5302" t="inlineStr">
        <is>
          <t>KALMAR LÄN</t>
        </is>
      </c>
      <c r="E5302" t="inlineStr">
        <is>
          <t>TORSÅS</t>
        </is>
      </c>
      <c r="G5302" t="n">
        <v>4.1</v>
      </c>
      <c r="H5302" t="n">
        <v>0</v>
      </c>
      <c r="I5302" t="n">
        <v>0</v>
      </c>
      <c r="J5302" t="n">
        <v>0</v>
      </c>
      <c r="K5302" t="n">
        <v>0</v>
      </c>
      <c r="L5302" t="n">
        <v>0</v>
      </c>
      <c r="M5302" t="n">
        <v>0</v>
      </c>
      <c r="N5302" t="n">
        <v>0</v>
      </c>
      <c r="O5302" t="n">
        <v>0</v>
      </c>
      <c r="P5302" t="n">
        <v>0</v>
      </c>
      <c r="Q5302" t="n">
        <v>0</v>
      </c>
      <c r="R5302" s="2" t="inlineStr"/>
    </row>
    <row r="5303" ht="15" customHeight="1">
      <c r="A5303" t="inlineStr">
        <is>
          <t>A 3403-2024</t>
        </is>
      </c>
      <c r="B5303" s="1" t="n">
        <v>45318.64234953704</v>
      </c>
      <c r="C5303" s="1" t="n">
        <v>45884</v>
      </c>
      <c r="D5303" t="inlineStr">
        <is>
          <t>KALMAR LÄN</t>
        </is>
      </c>
      <c r="E5303" t="inlineStr">
        <is>
          <t>HULTSFRED</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3428-2024</t>
        </is>
      </c>
      <c r="B5304" s="1" t="n">
        <v>45320.32636574074</v>
      </c>
      <c r="C5304" s="1" t="n">
        <v>45884</v>
      </c>
      <c r="D5304" t="inlineStr">
        <is>
          <t>KALMAR LÄN</t>
        </is>
      </c>
      <c r="E5304" t="inlineStr">
        <is>
          <t>NYBRO</t>
        </is>
      </c>
      <c r="G5304" t="n">
        <v>1.5</v>
      </c>
      <c r="H5304" t="n">
        <v>0</v>
      </c>
      <c r="I5304" t="n">
        <v>0</v>
      </c>
      <c r="J5304" t="n">
        <v>0</v>
      </c>
      <c r="K5304" t="n">
        <v>0</v>
      </c>
      <c r="L5304" t="n">
        <v>0</v>
      </c>
      <c r="M5304" t="n">
        <v>0</v>
      </c>
      <c r="N5304" t="n">
        <v>0</v>
      </c>
      <c r="O5304" t="n">
        <v>0</v>
      </c>
      <c r="P5304" t="n">
        <v>0</v>
      </c>
      <c r="Q5304" t="n">
        <v>0</v>
      </c>
      <c r="R5304" s="2" t="inlineStr"/>
    </row>
    <row r="5305" ht="15" customHeight="1">
      <c r="A5305" t="inlineStr">
        <is>
          <t>A 50995-2022</t>
        </is>
      </c>
      <c r="B5305" s="1" t="n">
        <v>44867</v>
      </c>
      <c r="C5305" s="1" t="n">
        <v>45884</v>
      </c>
      <c r="D5305" t="inlineStr">
        <is>
          <t>KALMAR LÄN</t>
        </is>
      </c>
      <c r="E5305" t="inlineStr">
        <is>
          <t>VIMMERBY</t>
        </is>
      </c>
      <c r="G5305" t="n">
        <v>2.4</v>
      </c>
      <c r="H5305" t="n">
        <v>0</v>
      </c>
      <c r="I5305" t="n">
        <v>0</v>
      </c>
      <c r="J5305" t="n">
        <v>0</v>
      </c>
      <c r="K5305" t="n">
        <v>0</v>
      </c>
      <c r="L5305" t="n">
        <v>0</v>
      </c>
      <c r="M5305" t="n">
        <v>0</v>
      </c>
      <c r="N5305" t="n">
        <v>0</v>
      </c>
      <c r="O5305" t="n">
        <v>0</v>
      </c>
      <c r="P5305" t="n">
        <v>0</v>
      </c>
      <c r="Q5305" t="n">
        <v>0</v>
      </c>
      <c r="R5305" s="2" t="inlineStr"/>
    </row>
    <row r="5306" ht="15" customHeight="1">
      <c r="A5306" t="inlineStr">
        <is>
          <t>A 43931-2024</t>
        </is>
      </c>
      <c r="B5306" s="1" t="n">
        <v>45572</v>
      </c>
      <c r="C5306" s="1" t="n">
        <v>45884</v>
      </c>
      <c r="D5306" t="inlineStr">
        <is>
          <t>KALMAR LÄN</t>
        </is>
      </c>
      <c r="E5306" t="inlineStr">
        <is>
          <t>OSKARSHAMN</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28112-2023</t>
        </is>
      </c>
      <c r="B5307" s="1" t="n">
        <v>45099.4612037037</v>
      </c>
      <c r="C5307" s="1" t="n">
        <v>45884</v>
      </c>
      <c r="D5307" t="inlineStr">
        <is>
          <t>KALMAR LÄN</t>
        </is>
      </c>
      <c r="E5307" t="inlineStr">
        <is>
          <t>EMMABODA</t>
        </is>
      </c>
      <c r="F5307" t="inlineStr">
        <is>
          <t>Sveaskog</t>
        </is>
      </c>
      <c r="G5307" t="n">
        <v>6.6</v>
      </c>
      <c r="H5307" t="n">
        <v>0</v>
      </c>
      <c r="I5307" t="n">
        <v>0</v>
      </c>
      <c r="J5307" t="n">
        <v>0</v>
      </c>
      <c r="K5307" t="n">
        <v>0</v>
      </c>
      <c r="L5307" t="n">
        <v>0</v>
      </c>
      <c r="M5307" t="n">
        <v>0</v>
      </c>
      <c r="N5307" t="n">
        <v>0</v>
      </c>
      <c r="O5307" t="n">
        <v>0</v>
      </c>
      <c r="P5307" t="n">
        <v>0</v>
      </c>
      <c r="Q5307" t="n">
        <v>0</v>
      </c>
      <c r="R5307" s="2" t="inlineStr"/>
    </row>
    <row r="5308" ht="15" customHeight="1">
      <c r="A5308" t="inlineStr">
        <is>
          <t>A 18571-2023</t>
        </is>
      </c>
      <c r="B5308" s="1" t="n">
        <v>45043</v>
      </c>
      <c r="C5308" s="1" t="n">
        <v>45884</v>
      </c>
      <c r="D5308" t="inlineStr">
        <is>
          <t>KALMAR LÄN</t>
        </is>
      </c>
      <c r="E5308" t="inlineStr">
        <is>
          <t>NYBRO</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54252-2024</t>
        </is>
      </c>
      <c r="B5309" s="1" t="n">
        <v>45616.69777777778</v>
      </c>
      <c r="C5309" s="1" t="n">
        <v>45884</v>
      </c>
      <c r="D5309" t="inlineStr">
        <is>
          <t>KALMAR LÄN</t>
        </is>
      </c>
      <c r="E5309" t="inlineStr">
        <is>
          <t>NYBRO</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19117-2024</t>
        </is>
      </c>
      <c r="B5310" s="1" t="n">
        <v>45427</v>
      </c>
      <c r="C5310" s="1" t="n">
        <v>45884</v>
      </c>
      <c r="D5310" t="inlineStr">
        <is>
          <t>KALMAR LÄN</t>
        </is>
      </c>
      <c r="E5310" t="inlineStr">
        <is>
          <t>HULTSFRED</t>
        </is>
      </c>
      <c r="G5310" t="n">
        <v>3</v>
      </c>
      <c r="H5310" t="n">
        <v>0</v>
      </c>
      <c r="I5310" t="n">
        <v>0</v>
      </c>
      <c r="J5310" t="n">
        <v>0</v>
      </c>
      <c r="K5310" t="n">
        <v>0</v>
      </c>
      <c r="L5310" t="n">
        <v>0</v>
      </c>
      <c r="M5310" t="n">
        <v>0</v>
      </c>
      <c r="N5310" t="n">
        <v>0</v>
      </c>
      <c r="O5310" t="n">
        <v>0</v>
      </c>
      <c r="P5310" t="n">
        <v>0</v>
      </c>
      <c r="Q5310" t="n">
        <v>0</v>
      </c>
      <c r="R5310" s="2" t="inlineStr"/>
    </row>
    <row r="5311" ht="15" customHeight="1">
      <c r="A5311" t="inlineStr">
        <is>
          <t>A 15246-2022</t>
        </is>
      </c>
      <c r="B5311" s="1" t="n">
        <v>44658.9643287037</v>
      </c>
      <c r="C5311" s="1" t="n">
        <v>45884</v>
      </c>
      <c r="D5311" t="inlineStr">
        <is>
          <t>KALMAR LÄN</t>
        </is>
      </c>
      <c r="E5311" t="inlineStr">
        <is>
          <t>KALMAR</t>
        </is>
      </c>
      <c r="G5311" t="n">
        <v>2.2</v>
      </c>
      <c r="H5311" t="n">
        <v>0</v>
      </c>
      <c r="I5311" t="n">
        <v>0</v>
      </c>
      <c r="J5311" t="n">
        <v>0</v>
      </c>
      <c r="K5311" t="n">
        <v>0</v>
      </c>
      <c r="L5311" t="n">
        <v>0</v>
      </c>
      <c r="M5311" t="n">
        <v>0</v>
      </c>
      <c r="N5311" t="n">
        <v>0</v>
      </c>
      <c r="O5311" t="n">
        <v>0</v>
      </c>
      <c r="P5311" t="n">
        <v>0</v>
      </c>
      <c r="Q5311" t="n">
        <v>0</v>
      </c>
      <c r="R5311" s="2" t="inlineStr"/>
    </row>
    <row r="5312" ht="15" customHeight="1">
      <c r="A5312" t="inlineStr">
        <is>
          <t>A 45293-2023</t>
        </is>
      </c>
      <c r="B5312" s="1" t="n">
        <v>45188</v>
      </c>
      <c r="C5312" s="1" t="n">
        <v>45884</v>
      </c>
      <c r="D5312" t="inlineStr">
        <is>
          <t>KALMAR LÄN</t>
        </is>
      </c>
      <c r="E5312" t="inlineStr">
        <is>
          <t>EMMABODA</t>
        </is>
      </c>
      <c r="F5312" t="inlineStr">
        <is>
          <t>Kyrkan</t>
        </is>
      </c>
      <c r="G5312" t="n">
        <v>2.1</v>
      </c>
      <c r="H5312" t="n">
        <v>0</v>
      </c>
      <c r="I5312" t="n">
        <v>0</v>
      </c>
      <c r="J5312" t="n">
        <v>0</v>
      </c>
      <c r="K5312" t="n">
        <v>0</v>
      </c>
      <c r="L5312" t="n">
        <v>0</v>
      </c>
      <c r="M5312" t="n">
        <v>0</v>
      </c>
      <c r="N5312" t="n">
        <v>0</v>
      </c>
      <c r="O5312" t="n">
        <v>0</v>
      </c>
      <c r="P5312" t="n">
        <v>0</v>
      </c>
      <c r="Q5312" t="n">
        <v>0</v>
      </c>
      <c r="R5312" s="2" t="inlineStr"/>
    </row>
    <row r="5313" ht="15" customHeight="1">
      <c r="A5313" t="inlineStr">
        <is>
          <t>A 3555-2021</t>
        </is>
      </c>
      <c r="B5313" s="1" t="n">
        <v>44218</v>
      </c>
      <c r="C5313" s="1" t="n">
        <v>45884</v>
      </c>
      <c r="D5313" t="inlineStr">
        <is>
          <t>KALMAR LÄN</t>
        </is>
      </c>
      <c r="E5313" t="inlineStr">
        <is>
          <t>VÄSTERVIK</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48957-2023</t>
        </is>
      </c>
      <c r="B5314" s="1" t="n">
        <v>45204</v>
      </c>
      <c r="C5314" s="1" t="n">
        <v>45884</v>
      </c>
      <c r="D5314" t="inlineStr">
        <is>
          <t>KALMAR LÄN</t>
        </is>
      </c>
      <c r="E5314" t="inlineStr">
        <is>
          <t>EMMABODA</t>
        </is>
      </c>
      <c r="F5314" t="inlineStr">
        <is>
          <t>Övriga Aktiebolag</t>
        </is>
      </c>
      <c r="G5314" t="n">
        <v>2.6</v>
      </c>
      <c r="H5314" t="n">
        <v>0</v>
      </c>
      <c r="I5314" t="n">
        <v>0</v>
      </c>
      <c r="J5314" t="n">
        <v>0</v>
      </c>
      <c r="K5314" t="n">
        <v>0</v>
      </c>
      <c r="L5314" t="n">
        <v>0</v>
      </c>
      <c r="M5314" t="n">
        <v>0</v>
      </c>
      <c r="N5314" t="n">
        <v>0</v>
      </c>
      <c r="O5314" t="n">
        <v>0</v>
      </c>
      <c r="P5314" t="n">
        <v>0</v>
      </c>
      <c r="Q5314" t="n">
        <v>0</v>
      </c>
      <c r="R5314" s="2" t="inlineStr"/>
    </row>
    <row r="5315" ht="15" customHeight="1">
      <c r="A5315" t="inlineStr">
        <is>
          <t>A 11303-2025</t>
        </is>
      </c>
      <c r="B5315" s="1" t="n">
        <v>45726.44471064815</v>
      </c>
      <c r="C5315" s="1" t="n">
        <v>45884</v>
      </c>
      <c r="D5315" t="inlineStr">
        <is>
          <t>KALMAR LÄN</t>
        </is>
      </c>
      <c r="E5315" t="inlineStr">
        <is>
          <t>VIMMERBY</t>
        </is>
      </c>
      <c r="G5315" t="n">
        <v>2.1</v>
      </c>
      <c r="H5315" t="n">
        <v>0</v>
      </c>
      <c r="I5315" t="n">
        <v>0</v>
      </c>
      <c r="J5315" t="n">
        <v>0</v>
      </c>
      <c r="K5315" t="n">
        <v>0</v>
      </c>
      <c r="L5315" t="n">
        <v>0</v>
      </c>
      <c r="M5315" t="n">
        <v>0</v>
      </c>
      <c r="N5315" t="n">
        <v>0</v>
      </c>
      <c r="O5315" t="n">
        <v>0</v>
      </c>
      <c r="P5315" t="n">
        <v>0</v>
      </c>
      <c r="Q5315" t="n">
        <v>0</v>
      </c>
      <c r="R5315" s="2" t="inlineStr"/>
    </row>
    <row r="5316" ht="15" customHeight="1">
      <c r="A5316" t="inlineStr">
        <is>
          <t>A 11325-2025</t>
        </is>
      </c>
      <c r="B5316" s="1" t="n">
        <v>45726.47065972222</v>
      </c>
      <c r="C5316" s="1" t="n">
        <v>45884</v>
      </c>
      <c r="D5316" t="inlineStr">
        <is>
          <t>KALMAR LÄN</t>
        </is>
      </c>
      <c r="E5316" t="inlineStr">
        <is>
          <t>HULTSFRED</t>
        </is>
      </c>
      <c r="F5316" t="inlineStr">
        <is>
          <t>Sveaskog</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10032-2025</t>
        </is>
      </c>
      <c r="B5317" s="1" t="n">
        <v>45719.49442129629</v>
      </c>
      <c r="C5317" s="1" t="n">
        <v>45884</v>
      </c>
      <c r="D5317" t="inlineStr">
        <is>
          <t>KALMAR LÄN</t>
        </is>
      </c>
      <c r="E5317" t="inlineStr">
        <is>
          <t>KALMAR</t>
        </is>
      </c>
      <c r="F5317" t="inlineStr">
        <is>
          <t>Sveaskog</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10033-2025</t>
        </is>
      </c>
      <c r="B5318" s="1" t="n">
        <v>45719.49711805556</v>
      </c>
      <c r="C5318" s="1" t="n">
        <v>45884</v>
      </c>
      <c r="D5318" t="inlineStr">
        <is>
          <t>KALMAR LÄN</t>
        </is>
      </c>
      <c r="E5318" t="inlineStr">
        <is>
          <t>KALMAR</t>
        </is>
      </c>
      <c r="F5318" t="inlineStr">
        <is>
          <t>Sveaskog</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11383-2025</t>
        </is>
      </c>
      <c r="B5319" s="1" t="n">
        <v>45726.56298611111</v>
      </c>
      <c r="C5319" s="1" t="n">
        <v>45884</v>
      </c>
      <c r="D5319" t="inlineStr">
        <is>
          <t>KALMAR LÄN</t>
        </is>
      </c>
      <c r="E5319" t="inlineStr">
        <is>
          <t>HULTSFRED</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53388-2023</t>
        </is>
      </c>
      <c r="B5320" s="1" t="n">
        <v>45229</v>
      </c>
      <c r="C5320" s="1" t="n">
        <v>45884</v>
      </c>
      <c r="D5320" t="inlineStr">
        <is>
          <t>KALMAR LÄN</t>
        </is>
      </c>
      <c r="E5320" t="inlineStr">
        <is>
          <t>KALMAR</t>
        </is>
      </c>
      <c r="G5320" t="n">
        <v>3.5</v>
      </c>
      <c r="H5320" t="n">
        <v>0</v>
      </c>
      <c r="I5320" t="n">
        <v>0</v>
      </c>
      <c r="J5320" t="n">
        <v>0</v>
      </c>
      <c r="K5320" t="n">
        <v>0</v>
      </c>
      <c r="L5320" t="n">
        <v>0</v>
      </c>
      <c r="M5320" t="n">
        <v>0</v>
      </c>
      <c r="N5320" t="n">
        <v>0</v>
      </c>
      <c r="O5320" t="n">
        <v>0</v>
      </c>
      <c r="P5320" t="n">
        <v>0</v>
      </c>
      <c r="Q5320" t="n">
        <v>0</v>
      </c>
      <c r="R5320" s="2" t="inlineStr"/>
    </row>
    <row r="5321" ht="15" customHeight="1">
      <c r="A5321" t="inlineStr">
        <is>
          <t>A 38174-2023</t>
        </is>
      </c>
      <c r="B5321" s="1" t="n">
        <v>45161</v>
      </c>
      <c r="C5321" s="1" t="n">
        <v>45884</v>
      </c>
      <c r="D5321" t="inlineStr">
        <is>
          <t>KALMAR LÄN</t>
        </is>
      </c>
      <c r="E5321" t="inlineStr">
        <is>
          <t>VÄSTERVIK</t>
        </is>
      </c>
      <c r="G5321" t="n">
        <v>3.4</v>
      </c>
      <c r="H5321" t="n">
        <v>0</v>
      </c>
      <c r="I5321" t="n">
        <v>0</v>
      </c>
      <c r="J5321" t="n">
        <v>0</v>
      </c>
      <c r="K5321" t="n">
        <v>0</v>
      </c>
      <c r="L5321" t="n">
        <v>0</v>
      </c>
      <c r="M5321" t="n">
        <v>0</v>
      </c>
      <c r="N5321" t="n">
        <v>0</v>
      </c>
      <c r="O5321" t="n">
        <v>0</v>
      </c>
      <c r="P5321" t="n">
        <v>0</v>
      </c>
      <c r="Q5321" t="n">
        <v>0</v>
      </c>
      <c r="R5321" s="2" t="inlineStr"/>
    </row>
    <row r="5322" ht="15" customHeight="1">
      <c r="A5322" t="inlineStr">
        <is>
          <t>A 33440-2023</t>
        </is>
      </c>
      <c r="B5322" s="1" t="n">
        <v>45129.79834490741</v>
      </c>
      <c r="C5322" s="1" t="n">
        <v>45884</v>
      </c>
      <c r="D5322" t="inlineStr">
        <is>
          <t>KALMAR LÄN</t>
        </is>
      </c>
      <c r="E5322" t="inlineStr">
        <is>
          <t>HULTSFRED</t>
        </is>
      </c>
      <c r="G5322" t="n">
        <v>2.4</v>
      </c>
      <c r="H5322" t="n">
        <v>0</v>
      </c>
      <c r="I5322" t="n">
        <v>0</v>
      </c>
      <c r="J5322" t="n">
        <v>0</v>
      </c>
      <c r="K5322" t="n">
        <v>0</v>
      </c>
      <c r="L5322" t="n">
        <v>0</v>
      </c>
      <c r="M5322" t="n">
        <v>0</v>
      </c>
      <c r="N5322" t="n">
        <v>0</v>
      </c>
      <c r="O5322" t="n">
        <v>0</v>
      </c>
      <c r="P5322" t="n">
        <v>0</v>
      </c>
      <c r="Q5322" t="n">
        <v>0</v>
      </c>
      <c r="R5322" s="2" t="inlineStr"/>
    </row>
    <row r="5323" ht="15" customHeight="1">
      <c r="A5323" t="inlineStr">
        <is>
          <t>A 41948-2024</t>
        </is>
      </c>
      <c r="B5323" s="1" t="n">
        <v>45561</v>
      </c>
      <c r="C5323" s="1" t="n">
        <v>45884</v>
      </c>
      <c r="D5323" t="inlineStr">
        <is>
          <t>KALMAR LÄN</t>
        </is>
      </c>
      <c r="E5323" t="inlineStr">
        <is>
          <t>EMMABODA</t>
        </is>
      </c>
      <c r="F5323" t="inlineStr">
        <is>
          <t>Övriga Aktiebolag</t>
        </is>
      </c>
      <c r="G5323" t="n">
        <v>2.6</v>
      </c>
      <c r="H5323" t="n">
        <v>0</v>
      </c>
      <c r="I5323" t="n">
        <v>0</v>
      </c>
      <c r="J5323" t="n">
        <v>0</v>
      </c>
      <c r="K5323" t="n">
        <v>0</v>
      </c>
      <c r="L5323" t="n">
        <v>0</v>
      </c>
      <c r="M5323" t="n">
        <v>0</v>
      </c>
      <c r="N5323" t="n">
        <v>0</v>
      </c>
      <c r="O5323" t="n">
        <v>0</v>
      </c>
      <c r="P5323" t="n">
        <v>0</v>
      </c>
      <c r="Q5323" t="n">
        <v>0</v>
      </c>
      <c r="R5323" s="2" t="inlineStr"/>
    </row>
    <row r="5324" ht="15" customHeight="1">
      <c r="A5324" t="inlineStr">
        <is>
          <t>A 262-2022</t>
        </is>
      </c>
      <c r="B5324" s="1" t="n">
        <v>44565</v>
      </c>
      <c r="C5324" s="1" t="n">
        <v>45884</v>
      </c>
      <c r="D5324" t="inlineStr">
        <is>
          <t>KALMAR LÄN</t>
        </is>
      </c>
      <c r="E5324" t="inlineStr">
        <is>
          <t>HULTSFRED</t>
        </is>
      </c>
      <c r="G5324" t="n">
        <v>2.7</v>
      </c>
      <c r="H5324" t="n">
        <v>0</v>
      </c>
      <c r="I5324" t="n">
        <v>0</v>
      </c>
      <c r="J5324" t="n">
        <v>0</v>
      </c>
      <c r="K5324" t="n">
        <v>0</v>
      </c>
      <c r="L5324" t="n">
        <v>0</v>
      </c>
      <c r="M5324" t="n">
        <v>0</v>
      </c>
      <c r="N5324" t="n">
        <v>0</v>
      </c>
      <c r="O5324" t="n">
        <v>0</v>
      </c>
      <c r="P5324" t="n">
        <v>0</v>
      </c>
      <c r="Q5324" t="n">
        <v>0</v>
      </c>
      <c r="R5324" s="2" t="inlineStr"/>
    </row>
    <row r="5325" ht="15" customHeight="1">
      <c r="A5325" t="inlineStr">
        <is>
          <t>A 19280-2025</t>
        </is>
      </c>
      <c r="B5325" s="1" t="n">
        <v>45769.54015046296</v>
      </c>
      <c r="C5325" s="1" t="n">
        <v>45884</v>
      </c>
      <c r="D5325" t="inlineStr">
        <is>
          <t>KALMAR LÄN</t>
        </is>
      </c>
      <c r="E5325" t="inlineStr">
        <is>
          <t>MÖNSTERÅS</t>
        </is>
      </c>
      <c r="G5325" t="n">
        <v>7.4</v>
      </c>
      <c r="H5325" t="n">
        <v>0</v>
      </c>
      <c r="I5325" t="n">
        <v>0</v>
      </c>
      <c r="J5325" t="n">
        <v>0</v>
      </c>
      <c r="K5325" t="n">
        <v>0</v>
      </c>
      <c r="L5325" t="n">
        <v>0</v>
      </c>
      <c r="M5325" t="n">
        <v>0</v>
      </c>
      <c r="N5325" t="n">
        <v>0</v>
      </c>
      <c r="O5325" t="n">
        <v>0</v>
      </c>
      <c r="P5325" t="n">
        <v>0</v>
      </c>
      <c r="Q5325" t="n">
        <v>0</v>
      </c>
      <c r="R5325" s="2" t="inlineStr"/>
    </row>
    <row r="5326" ht="15" customHeight="1">
      <c r="A5326" t="inlineStr">
        <is>
          <t>A 19350-2025</t>
        </is>
      </c>
      <c r="B5326" s="1" t="n">
        <v>45769.60783564814</v>
      </c>
      <c r="C5326" s="1" t="n">
        <v>45884</v>
      </c>
      <c r="D5326" t="inlineStr">
        <is>
          <t>KALMAR LÄN</t>
        </is>
      </c>
      <c r="E5326" t="inlineStr">
        <is>
          <t>EMMABODA</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18831-2024</t>
        </is>
      </c>
      <c r="B5327" s="1" t="n">
        <v>45426.64987268519</v>
      </c>
      <c r="C5327" s="1" t="n">
        <v>45884</v>
      </c>
      <c r="D5327" t="inlineStr">
        <is>
          <t>KALMAR LÄN</t>
        </is>
      </c>
      <c r="E5327" t="inlineStr">
        <is>
          <t>NYBRO</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12033-2024</t>
        </is>
      </c>
      <c r="B5328" s="1" t="n">
        <v>45377.40043981482</v>
      </c>
      <c r="C5328" s="1" t="n">
        <v>45884</v>
      </c>
      <c r="D5328" t="inlineStr">
        <is>
          <t>KALMAR LÄN</t>
        </is>
      </c>
      <c r="E5328" t="inlineStr">
        <is>
          <t>VIMMERBY</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51408-2023</t>
        </is>
      </c>
      <c r="B5329" s="1" t="n">
        <v>45219.69356481481</v>
      </c>
      <c r="C5329" s="1" t="n">
        <v>45884</v>
      </c>
      <c r="D5329" t="inlineStr">
        <is>
          <t>KALMAR LÄN</t>
        </is>
      </c>
      <c r="E5329" t="inlineStr">
        <is>
          <t>VIMMERBY</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17214-2024</t>
        </is>
      </c>
      <c r="B5330" s="1" t="n">
        <v>45414</v>
      </c>
      <c r="C5330" s="1" t="n">
        <v>45884</v>
      </c>
      <c r="D5330" t="inlineStr">
        <is>
          <t>KALMAR LÄN</t>
        </is>
      </c>
      <c r="E5330" t="inlineStr">
        <is>
          <t>VÄSTERVIK</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38530-2020</t>
        </is>
      </c>
      <c r="B5331" s="1" t="n">
        <v>44061</v>
      </c>
      <c r="C5331" s="1" t="n">
        <v>45884</v>
      </c>
      <c r="D5331" t="inlineStr">
        <is>
          <t>KALMAR LÄN</t>
        </is>
      </c>
      <c r="E5331" t="inlineStr">
        <is>
          <t>VIMMERBY</t>
        </is>
      </c>
      <c r="G5331" t="n">
        <v>0.5</v>
      </c>
      <c r="H5331" t="n">
        <v>0</v>
      </c>
      <c r="I5331" t="n">
        <v>0</v>
      </c>
      <c r="J5331" t="n">
        <v>0</v>
      </c>
      <c r="K5331" t="n">
        <v>0</v>
      </c>
      <c r="L5331" t="n">
        <v>0</v>
      </c>
      <c r="M5331" t="n">
        <v>0</v>
      </c>
      <c r="N5331" t="n">
        <v>0</v>
      </c>
      <c r="O5331" t="n">
        <v>0</v>
      </c>
      <c r="P5331" t="n">
        <v>0</v>
      </c>
      <c r="Q5331" t="n">
        <v>0</v>
      </c>
      <c r="R5331" s="2" t="inlineStr"/>
    </row>
    <row r="5332" ht="15" customHeight="1">
      <c r="A5332" t="inlineStr">
        <is>
          <t>A 9544-2025</t>
        </is>
      </c>
      <c r="B5332" s="1" t="n">
        <v>45714</v>
      </c>
      <c r="C5332" s="1" t="n">
        <v>45884</v>
      </c>
      <c r="D5332" t="inlineStr">
        <is>
          <t>KALMAR LÄN</t>
        </is>
      </c>
      <c r="E5332" t="inlineStr">
        <is>
          <t>EMMABODA</t>
        </is>
      </c>
      <c r="G5332" t="n">
        <v>7.4</v>
      </c>
      <c r="H5332" t="n">
        <v>0</v>
      </c>
      <c r="I5332" t="n">
        <v>0</v>
      </c>
      <c r="J5332" t="n">
        <v>0</v>
      </c>
      <c r="K5332" t="n">
        <v>0</v>
      </c>
      <c r="L5332" t="n">
        <v>0</v>
      </c>
      <c r="M5332" t="n">
        <v>0</v>
      </c>
      <c r="N5332" t="n">
        <v>0</v>
      </c>
      <c r="O5332" t="n">
        <v>0</v>
      </c>
      <c r="P5332" t="n">
        <v>0</v>
      </c>
      <c r="Q5332" t="n">
        <v>0</v>
      </c>
      <c r="R5332" s="2" t="inlineStr"/>
    </row>
    <row r="5333" ht="15" customHeight="1">
      <c r="A5333" t="inlineStr">
        <is>
          <t>A 50764-2020</t>
        </is>
      </c>
      <c r="B5333" s="1" t="n">
        <v>44111</v>
      </c>
      <c r="C5333" s="1" t="n">
        <v>45884</v>
      </c>
      <c r="D5333" t="inlineStr">
        <is>
          <t>KALMAR LÄN</t>
        </is>
      </c>
      <c r="E5333" t="inlineStr">
        <is>
          <t>VIMMERBY</t>
        </is>
      </c>
      <c r="G5333" t="n">
        <v>2.3</v>
      </c>
      <c r="H5333" t="n">
        <v>0</v>
      </c>
      <c r="I5333" t="n">
        <v>0</v>
      </c>
      <c r="J5333" t="n">
        <v>0</v>
      </c>
      <c r="K5333" t="n">
        <v>0</v>
      </c>
      <c r="L5333" t="n">
        <v>0</v>
      </c>
      <c r="M5333" t="n">
        <v>0</v>
      </c>
      <c r="N5333" t="n">
        <v>0</v>
      </c>
      <c r="O5333" t="n">
        <v>0</v>
      </c>
      <c r="P5333" t="n">
        <v>0</v>
      </c>
      <c r="Q5333" t="n">
        <v>0</v>
      </c>
      <c r="R5333" s="2" t="inlineStr"/>
    </row>
    <row r="5334" ht="15" customHeight="1">
      <c r="A5334" t="inlineStr">
        <is>
          <t>A 14069-2024</t>
        </is>
      </c>
      <c r="B5334" s="1" t="n">
        <v>45392.57234953704</v>
      </c>
      <c r="C5334" s="1" t="n">
        <v>45884</v>
      </c>
      <c r="D5334" t="inlineStr">
        <is>
          <t>KALMAR LÄN</t>
        </is>
      </c>
      <c r="E5334" t="inlineStr">
        <is>
          <t>EMMABODA</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14080-2024</t>
        </is>
      </c>
      <c r="B5335" s="1" t="n">
        <v>45392.58719907407</v>
      </c>
      <c r="C5335" s="1" t="n">
        <v>45884</v>
      </c>
      <c r="D5335" t="inlineStr">
        <is>
          <t>KALMAR LÄN</t>
        </is>
      </c>
      <c r="E5335" t="inlineStr">
        <is>
          <t>EMMABODA</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2543-2024</t>
        </is>
      </c>
      <c r="B5336" s="1" t="n">
        <v>45313</v>
      </c>
      <c r="C5336" s="1" t="n">
        <v>45884</v>
      </c>
      <c r="D5336" t="inlineStr">
        <is>
          <t>KALMAR LÄN</t>
        </is>
      </c>
      <c r="E5336" t="inlineStr">
        <is>
          <t>VÄSTERVIK</t>
        </is>
      </c>
      <c r="G5336" t="n">
        <v>1.4</v>
      </c>
      <c r="H5336" t="n">
        <v>0</v>
      </c>
      <c r="I5336" t="n">
        <v>0</v>
      </c>
      <c r="J5336" t="n">
        <v>0</v>
      </c>
      <c r="K5336" t="n">
        <v>0</v>
      </c>
      <c r="L5336" t="n">
        <v>0</v>
      </c>
      <c r="M5336" t="n">
        <v>0</v>
      </c>
      <c r="N5336" t="n">
        <v>0</v>
      </c>
      <c r="O5336" t="n">
        <v>0</v>
      </c>
      <c r="P5336" t="n">
        <v>0</v>
      </c>
      <c r="Q5336" t="n">
        <v>0</v>
      </c>
      <c r="R5336" s="2" t="inlineStr"/>
    </row>
    <row r="5337" ht="15" customHeight="1">
      <c r="A5337" t="inlineStr">
        <is>
          <t>A 43616-2021</t>
        </is>
      </c>
      <c r="B5337" s="1" t="n">
        <v>44433</v>
      </c>
      <c r="C5337" s="1" t="n">
        <v>45884</v>
      </c>
      <c r="D5337" t="inlineStr">
        <is>
          <t>KALMAR LÄN</t>
        </is>
      </c>
      <c r="E5337" t="inlineStr">
        <is>
          <t>EMMABODA</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18292-2025</t>
        </is>
      </c>
      <c r="B5338" s="1" t="n">
        <v>45762.41121527777</v>
      </c>
      <c r="C5338" s="1" t="n">
        <v>45884</v>
      </c>
      <c r="D5338" t="inlineStr">
        <is>
          <t>KALMAR LÄN</t>
        </is>
      </c>
      <c r="E5338" t="inlineStr">
        <is>
          <t>NYBRO</t>
        </is>
      </c>
      <c r="F5338" t="inlineStr">
        <is>
          <t>Sveaskog</t>
        </is>
      </c>
      <c r="G5338" t="n">
        <v>5.2</v>
      </c>
      <c r="H5338" t="n">
        <v>0</v>
      </c>
      <c r="I5338" t="n">
        <v>0</v>
      </c>
      <c r="J5338" t="n">
        <v>0</v>
      </c>
      <c r="K5338" t="n">
        <v>0</v>
      </c>
      <c r="L5338" t="n">
        <v>0</v>
      </c>
      <c r="M5338" t="n">
        <v>0</v>
      </c>
      <c r="N5338" t="n">
        <v>0</v>
      </c>
      <c r="O5338" t="n">
        <v>0</v>
      </c>
      <c r="P5338" t="n">
        <v>0</v>
      </c>
      <c r="Q5338" t="n">
        <v>0</v>
      </c>
      <c r="R5338" s="2" t="inlineStr"/>
    </row>
    <row r="5339" ht="15" customHeight="1">
      <c r="A5339" t="inlineStr">
        <is>
          <t>A 19539-2023</t>
        </is>
      </c>
      <c r="B5339" s="1" t="n">
        <v>45050</v>
      </c>
      <c r="C5339" s="1" t="n">
        <v>45884</v>
      </c>
      <c r="D5339" t="inlineStr">
        <is>
          <t>KALMAR LÄN</t>
        </is>
      </c>
      <c r="E5339" t="inlineStr">
        <is>
          <t>NYBRO</t>
        </is>
      </c>
      <c r="G5339" t="n">
        <v>3.7</v>
      </c>
      <c r="H5339" t="n">
        <v>0</v>
      </c>
      <c r="I5339" t="n">
        <v>0</v>
      </c>
      <c r="J5339" t="n">
        <v>0</v>
      </c>
      <c r="K5339" t="n">
        <v>0</v>
      </c>
      <c r="L5339" t="n">
        <v>0</v>
      </c>
      <c r="M5339" t="n">
        <v>0</v>
      </c>
      <c r="N5339" t="n">
        <v>0</v>
      </c>
      <c r="O5339" t="n">
        <v>0</v>
      </c>
      <c r="P5339" t="n">
        <v>0</v>
      </c>
      <c r="Q5339" t="n">
        <v>0</v>
      </c>
      <c r="R5339" s="2" t="inlineStr"/>
    </row>
    <row r="5340" ht="15" customHeight="1">
      <c r="A5340" t="inlineStr">
        <is>
          <t>A 14539-2023</t>
        </is>
      </c>
      <c r="B5340" s="1" t="n">
        <v>45013.3293287037</v>
      </c>
      <c r="C5340" s="1" t="n">
        <v>45884</v>
      </c>
      <c r="D5340" t="inlineStr">
        <is>
          <t>KALMAR LÄN</t>
        </is>
      </c>
      <c r="E5340" t="inlineStr">
        <is>
          <t>HULTSFRED</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36555-2024</t>
        </is>
      </c>
      <c r="B5341" s="1" t="n">
        <v>45537</v>
      </c>
      <c r="C5341" s="1" t="n">
        <v>45884</v>
      </c>
      <c r="D5341" t="inlineStr">
        <is>
          <t>KALMAR LÄN</t>
        </is>
      </c>
      <c r="E5341" t="inlineStr">
        <is>
          <t>VÄSTERVIK</t>
        </is>
      </c>
      <c r="F5341" t="inlineStr">
        <is>
          <t>Kommuner</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4863-2024</t>
        </is>
      </c>
      <c r="B5342" s="1" t="n">
        <v>45329</v>
      </c>
      <c r="C5342" s="1" t="n">
        <v>45884</v>
      </c>
      <c r="D5342" t="inlineStr">
        <is>
          <t>KALMAR LÄN</t>
        </is>
      </c>
      <c r="E5342" t="inlineStr">
        <is>
          <t>TORSÅS</t>
        </is>
      </c>
      <c r="G5342" t="n">
        <v>4.9</v>
      </c>
      <c r="H5342" t="n">
        <v>0</v>
      </c>
      <c r="I5342" t="n">
        <v>0</v>
      </c>
      <c r="J5342" t="n">
        <v>0</v>
      </c>
      <c r="K5342" t="n">
        <v>0</v>
      </c>
      <c r="L5342" t="n">
        <v>0</v>
      </c>
      <c r="M5342" t="n">
        <v>0</v>
      </c>
      <c r="N5342" t="n">
        <v>0</v>
      </c>
      <c r="O5342" t="n">
        <v>0</v>
      </c>
      <c r="P5342" t="n">
        <v>0</v>
      </c>
      <c r="Q5342" t="n">
        <v>0</v>
      </c>
      <c r="R5342" s="2" t="inlineStr"/>
    </row>
    <row r="5343" ht="15" customHeight="1">
      <c r="A5343" t="inlineStr">
        <is>
          <t>A 4946-2024</t>
        </is>
      </c>
      <c r="B5343" s="1" t="n">
        <v>45329</v>
      </c>
      <c r="C5343" s="1" t="n">
        <v>45884</v>
      </c>
      <c r="D5343" t="inlineStr">
        <is>
          <t>KALMAR LÄN</t>
        </is>
      </c>
      <c r="E5343" t="inlineStr">
        <is>
          <t>MÖNSTERÅS</t>
        </is>
      </c>
      <c r="G5343" t="n">
        <v>3.4</v>
      </c>
      <c r="H5343" t="n">
        <v>0</v>
      </c>
      <c r="I5343" t="n">
        <v>0</v>
      </c>
      <c r="J5343" t="n">
        <v>0</v>
      </c>
      <c r="K5343" t="n">
        <v>0</v>
      </c>
      <c r="L5343" t="n">
        <v>0</v>
      </c>
      <c r="M5343" t="n">
        <v>0</v>
      </c>
      <c r="N5343" t="n">
        <v>0</v>
      </c>
      <c r="O5343" t="n">
        <v>0</v>
      </c>
      <c r="P5343" t="n">
        <v>0</v>
      </c>
      <c r="Q5343" t="n">
        <v>0</v>
      </c>
      <c r="R5343" s="2" t="inlineStr"/>
    </row>
    <row r="5344" ht="15" customHeight="1">
      <c r="A5344" t="inlineStr">
        <is>
          <t>A 5235-2024</t>
        </is>
      </c>
      <c r="B5344" s="1" t="n">
        <v>45330.82181712963</v>
      </c>
      <c r="C5344" s="1" t="n">
        <v>45884</v>
      </c>
      <c r="D5344" t="inlineStr">
        <is>
          <t>KALMAR LÄN</t>
        </is>
      </c>
      <c r="E5344" t="inlineStr">
        <is>
          <t>MÖNSTERÅS</t>
        </is>
      </c>
      <c r="G5344" t="n">
        <v>2.2</v>
      </c>
      <c r="H5344" t="n">
        <v>0</v>
      </c>
      <c r="I5344" t="n">
        <v>0</v>
      </c>
      <c r="J5344" t="n">
        <v>0</v>
      </c>
      <c r="K5344" t="n">
        <v>0</v>
      </c>
      <c r="L5344" t="n">
        <v>0</v>
      </c>
      <c r="M5344" t="n">
        <v>0</v>
      </c>
      <c r="N5344" t="n">
        <v>0</v>
      </c>
      <c r="O5344" t="n">
        <v>0</v>
      </c>
      <c r="P5344" t="n">
        <v>0</v>
      </c>
      <c r="Q5344" t="n">
        <v>0</v>
      </c>
      <c r="R5344" s="2" t="inlineStr"/>
    </row>
    <row r="5345" ht="15" customHeight="1">
      <c r="A5345" t="inlineStr">
        <is>
          <t>A 5242-2024</t>
        </is>
      </c>
      <c r="B5345" s="1" t="n">
        <v>45330</v>
      </c>
      <c r="C5345" s="1" t="n">
        <v>45884</v>
      </c>
      <c r="D5345" t="inlineStr">
        <is>
          <t>KALMAR LÄN</t>
        </is>
      </c>
      <c r="E5345" t="inlineStr">
        <is>
          <t>NYBRO</t>
        </is>
      </c>
      <c r="G5345" t="n">
        <v>5.3</v>
      </c>
      <c r="H5345" t="n">
        <v>0</v>
      </c>
      <c r="I5345" t="n">
        <v>0</v>
      </c>
      <c r="J5345" t="n">
        <v>0</v>
      </c>
      <c r="K5345" t="n">
        <v>0</v>
      </c>
      <c r="L5345" t="n">
        <v>0</v>
      </c>
      <c r="M5345" t="n">
        <v>0</v>
      </c>
      <c r="N5345" t="n">
        <v>0</v>
      </c>
      <c r="O5345" t="n">
        <v>0</v>
      </c>
      <c r="P5345" t="n">
        <v>0</v>
      </c>
      <c r="Q5345" t="n">
        <v>0</v>
      </c>
      <c r="R5345" s="2" t="inlineStr"/>
    </row>
    <row r="5346" ht="15" customHeight="1">
      <c r="A5346" t="inlineStr">
        <is>
          <t>A 60142-2023</t>
        </is>
      </c>
      <c r="B5346" s="1" t="n">
        <v>45258</v>
      </c>
      <c r="C5346" s="1" t="n">
        <v>45884</v>
      </c>
      <c r="D5346" t="inlineStr">
        <is>
          <t>KALMAR LÄN</t>
        </is>
      </c>
      <c r="E5346" t="inlineStr">
        <is>
          <t>EMMABODA</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8846-2023</t>
        </is>
      </c>
      <c r="B5347" s="1" t="n">
        <v>44978.76613425926</v>
      </c>
      <c r="C5347" s="1" t="n">
        <v>45884</v>
      </c>
      <c r="D5347" t="inlineStr">
        <is>
          <t>KALMAR LÄN</t>
        </is>
      </c>
      <c r="E5347" t="inlineStr">
        <is>
          <t>OSKARSHAMN</t>
        </is>
      </c>
      <c r="G5347" t="n">
        <v>1.8</v>
      </c>
      <c r="H5347" t="n">
        <v>0</v>
      </c>
      <c r="I5347" t="n">
        <v>0</v>
      </c>
      <c r="J5347" t="n">
        <v>0</v>
      </c>
      <c r="K5347" t="n">
        <v>0</v>
      </c>
      <c r="L5347" t="n">
        <v>0</v>
      </c>
      <c r="M5347" t="n">
        <v>0</v>
      </c>
      <c r="N5347" t="n">
        <v>0</v>
      </c>
      <c r="O5347" t="n">
        <v>0</v>
      </c>
      <c r="P5347" t="n">
        <v>0</v>
      </c>
      <c r="Q5347" t="n">
        <v>0</v>
      </c>
      <c r="R5347" s="2" t="inlineStr"/>
    </row>
    <row r="5348" ht="15" customHeight="1">
      <c r="A5348" t="inlineStr">
        <is>
          <t>A 11614-2025</t>
        </is>
      </c>
      <c r="B5348" s="1" t="n">
        <v>45727.44655092592</v>
      </c>
      <c r="C5348" s="1" t="n">
        <v>45884</v>
      </c>
      <c r="D5348" t="inlineStr">
        <is>
          <t>KALMAR LÄN</t>
        </is>
      </c>
      <c r="E5348" t="inlineStr">
        <is>
          <t>KALMAR</t>
        </is>
      </c>
      <c r="G5348" t="n">
        <v>9.300000000000001</v>
      </c>
      <c r="H5348" t="n">
        <v>0</v>
      </c>
      <c r="I5348" t="n">
        <v>0</v>
      </c>
      <c r="J5348" t="n">
        <v>0</v>
      </c>
      <c r="K5348" t="n">
        <v>0</v>
      </c>
      <c r="L5348" t="n">
        <v>0</v>
      </c>
      <c r="M5348" t="n">
        <v>0</v>
      </c>
      <c r="N5348" t="n">
        <v>0</v>
      </c>
      <c r="O5348" t="n">
        <v>0</v>
      </c>
      <c r="P5348" t="n">
        <v>0</v>
      </c>
      <c r="Q5348" t="n">
        <v>0</v>
      </c>
      <c r="R5348" s="2" t="inlineStr"/>
    </row>
    <row r="5349" ht="15" customHeight="1">
      <c r="A5349" t="inlineStr">
        <is>
          <t>A 31070-2022</t>
        </is>
      </c>
      <c r="B5349" s="1" t="n">
        <v>44769.56326388889</v>
      </c>
      <c r="C5349" s="1" t="n">
        <v>45884</v>
      </c>
      <c r="D5349" t="inlineStr">
        <is>
          <t>KALMAR LÄN</t>
        </is>
      </c>
      <c r="E5349" t="inlineStr">
        <is>
          <t>EMMABODA</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32394-2021</t>
        </is>
      </c>
      <c r="B5350" s="1" t="n">
        <v>44371.63414351852</v>
      </c>
      <c r="C5350" s="1" t="n">
        <v>45884</v>
      </c>
      <c r="D5350" t="inlineStr">
        <is>
          <t>KALMAR LÄN</t>
        </is>
      </c>
      <c r="E5350" t="inlineStr">
        <is>
          <t>VÄSTERVIK</t>
        </is>
      </c>
      <c r="G5350" t="n">
        <v>2.2</v>
      </c>
      <c r="H5350" t="n">
        <v>0</v>
      </c>
      <c r="I5350" t="n">
        <v>0</v>
      </c>
      <c r="J5350" t="n">
        <v>0</v>
      </c>
      <c r="K5350" t="n">
        <v>0</v>
      </c>
      <c r="L5350" t="n">
        <v>0</v>
      </c>
      <c r="M5350" t="n">
        <v>0</v>
      </c>
      <c r="N5350" t="n">
        <v>0</v>
      </c>
      <c r="O5350" t="n">
        <v>0</v>
      </c>
      <c r="P5350" t="n">
        <v>0</v>
      </c>
      <c r="Q5350" t="n">
        <v>0</v>
      </c>
      <c r="R5350" s="2" t="inlineStr"/>
    </row>
    <row r="5351" ht="15" customHeight="1">
      <c r="A5351" t="inlineStr">
        <is>
          <t>A 28522-2023</t>
        </is>
      </c>
      <c r="B5351" s="1" t="n">
        <v>45103.4828125</v>
      </c>
      <c r="C5351" s="1" t="n">
        <v>45884</v>
      </c>
      <c r="D5351" t="inlineStr">
        <is>
          <t>KALMAR LÄN</t>
        </is>
      </c>
      <c r="E5351" t="inlineStr">
        <is>
          <t>NYBRO</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49488-2023</t>
        </is>
      </c>
      <c r="B5352" s="1" t="n">
        <v>45211.55472222222</v>
      </c>
      <c r="C5352" s="1" t="n">
        <v>45884</v>
      </c>
      <c r="D5352" t="inlineStr">
        <is>
          <t>KALMAR LÄN</t>
        </is>
      </c>
      <c r="E5352" t="inlineStr">
        <is>
          <t>VIMMERBY</t>
        </is>
      </c>
      <c r="F5352" t="inlineStr">
        <is>
          <t>Sveaskog</t>
        </is>
      </c>
      <c r="G5352" t="n">
        <v>6.2</v>
      </c>
      <c r="H5352" t="n">
        <v>0</v>
      </c>
      <c r="I5352" t="n">
        <v>0</v>
      </c>
      <c r="J5352" t="n">
        <v>0</v>
      </c>
      <c r="K5352" t="n">
        <v>0</v>
      </c>
      <c r="L5352" t="n">
        <v>0</v>
      </c>
      <c r="M5352" t="n">
        <v>0</v>
      </c>
      <c r="N5352" t="n">
        <v>0</v>
      </c>
      <c r="O5352" t="n">
        <v>0</v>
      </c>
      <c r="P5352" t="n">
        <v>0</v>
      </c>
      <c r="Q5352" t="n">
        <v>0</v>
      </c>
      <c r="R5352" s="2" t="inlineStr"/>
    </row>
    <row r="5353" ht="15" customHeight="1">
      <c r="A5353" t="inlineStr">
        <is>
          <t>A 63075-2023</t>
        </is>
      </c>
      <c r="B5353" s="1" t="n">
        <v>45273</v>
      </c>
      <c r="C5353" s="1" t="n">
        <v>45884</v>
      </c>
      <c r="D5353" t="inlineStr">
        <is>
          <t>KALMAR LÄN</t>
        </is>
      </c>
      <c r="E5353" t="inlineStr">
        <is>
          <t>BORGHOLM</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14326-2025</t>
        </is>
      </c>
      <c r="B5354" s="1" t="n">
        <v>45740.81226851852</v>
      </c>
      <c r="C5354" s="1" t="n">
        <v>45884</v>
      </c>
      <c r="D5354" t="inlineStr">
        <is>
          <t>KALMAR LÄN</t>
        </is>
      </c>
      <c r="E5354" t="inlineStr">
        <is>
          <t>HÖGSBY</t>
        </is>
      </c>
      <c r="G5354" t="n">
        <v>1.8</v>
      </c>
      <c r="H5354" t="n">
        <v>0</v>
      </c>
      <c r="I5354" t="n">
        <v>0</v>
      </c>
      <c r="J5354" t="n">
        <v>0</v>
      </c>
      <c r="K5354" t="n">
        <v>0</v>
      </c>
      <c r="L5354" t="n">
        <v>0</v>
      </c>
      <c r="M5354" t="n">
        <v>0</v>
      </c>
      <c r="N5354" t="n">
        <v>0</v>
      </c>
      <c r="O5354" t="n">
        <v>0</v>
      </c>
      <c r="P5354" t="n">
        <v>0</v>
      </c>
      <c r="Q5354" t="n">
        <v>0</v>
      </c>
      <c r="R5354" s="2" t="inlineStr"/>
    </row>
    <row r="5355" ht="15" customHeight="1">
      <c r="A5355" t="inlineStr">
        <is>
          <t>A 14371-2025</t>
        </is>
      </c>
      <c r="B5355" s="1" t="n">
        <v>45741.39699074074</v>
      </c>
      <c r="C5355" s="1" t="n">
        <v>45884</v>
      </c>
      <c r="D5355" t="inlineStr">
        <is>
          <t>KALMAR LÄN</t>
        </is>
      </c>
      <c r="E5355" t="inlineStr">
        <is>
          <t>NYBRO</t>
        </is>
      </c>
      <c r="G5355" t="n">
        <v>4.4</v>
      </c>
      <c r="H5355" t="n">
        <v>0</v>
      </c>
      <c r="I5355" t="n">
        <v>0</v>
      </c>
      <c r="J5355" t="n">
        <v>0</v>
      </c>
      <c r="K5355" t="n">
        <v>0</v>
      </c>
      <c r="L5355" t="n">
        <v>0</v>
      </c>
      <c r="M5355" t="n">
        <v>0</v>
      </c>
      <c r="N5355" t="n">
        <v>0</v>
      </c>
      <c r="O5355" t="n">
        <v>0</v>
      </c>
      <c r="P5355" t="n">
        <v>0</v>
      </c>
      <c r="Q5355" t="n">
        <v>0</v>
      </c>
      <c r="R5355" s="2" t="inlineStr"/>
    </row>
    <row r="5356" ht="15" customHeight="1">
      <c r="A5356" t="inlineStr">
        <is>
          <t>A 14405-2025</t>
        </is>
      </c>
      <c r="B5356" s="1" t="n">
        <v>45741.47032407407</v>
      </c>
      <c r="C5356" s="1" t="n">
        <v>45884</v>
      </c>
      <c r="D5356" t="inlineStr">
        <is>
          <t>KALMAR LÄN</t>
        </is>
      </c>
      <c r="E5356" t="inlineStr">
        <is>
          <t>HULTSFRED</t>
        </is>
      </c>
      <c r="F5356" t="inlineStr">
        <is>
          <t>Sveaskog</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13467-2025</t>
        </is>
      </c>
      <c r="B5357" s="1" t="n">
        <v>45736.39861111111</v>
      </c>
      <c r="C5357" s="1" t="n">
        <v>45884</v>
      </c>
      <c r="D5357" t="inlineStr">
        <is>
          <t>KALMAR LÄN</t>
        </is>
      </c>
      <c r="E5357" t="inlineStr">
        <is>
          <t>OSKARSHAMN</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27993-2022</t>
        </is>
      </c>
      <c r="B5358" s="1" t="n">
        <v>44745.84396990741</v>
      </c>
      <c r="C5358" s="1" t="n">
        <v>45884</v>
      </c>
      <c r="D5358" t="inlineStr">
        <is>
          <t>KALMAR LÄN</t>
        </is>
      </c>
      <c r="E5358" t="inlineStr">
        <is>
          <t>VIMMERBY</t>
        </is>
      </c>
      <c r="G5358" t="n">
        <v>2.8</v>
      </c>
      <c r="H5358" t="n">
        <v>0</v>
      </c>
      <c r="I5358" t="n">
        <v>0</v>
      </c>
      <c r="J5358" t="n">
        <v>0</v>
      </c>
      <c r="K5358" t="n">
        <v>0</v>
      </c>
      <c r="L5358" t="n">
        <v>0</v>
      </c>
      <c r="M5358" t="n">
        <v>0</v>
      </c>
      <c r="N5358" t="n">
        <v>0</v>
      </c>
      <c r="O5358" t="n">
        <v>0</v>
      </c>
      <c r="P5358" t="n">
        <v>0</v>
      </c>
      <c r="Q5358" t="n">
        <v>0</v>
      </c>
      <c r="R5358" s="2" t="inlineStr"/>
    </row>
    <row r="5359" ht="15" customHeight="1">
      <c r="A5359" t="inlineStr">
        <is>
          <t>A 17099-2021</t>
        </is>
      </c>
      <c r="B5359" s="1" t="n">
        <v>44298.33628472222</v>
      </c>
      <c r="C5359" s="1" t="n">
        <v>45884</v>
      </c>
      <c r="D5359" t="inlineStr">
        <is>
          <t>KALMAR LÄN</t>
        </is>
      </c>
      <c r="E5359" t="inlineStr">
        <is>
          <t>NYBRO</t>
        </is>
      </c>
      <c r="G5359" t="n">
        <v>0.2</v>
      </c>
      <c r="H5359" t="n">
        <v>0</v>
      </c>
      <c r="I5359" t="n">
        <v>0</v>
      </c>
      <c r="J5359" t="n">
        <v>0</v>
      </c>
      <c r="K5359" t="n">
        <v>0</v>
      </c>
      <c r="L5359" t="n">
        <v>0</v>
      </c>
      <c r="M5359" t="n">
        <v>0</v>
      </c>
      <c r="N5359" t="n">
        <v>0</v>
      </c>
      <c r="O5359" t="n">
        <v>0</v>
      </c>
      <c r="P5359" t="n">
        <v>0</v>
      </c>
      <c r="Q5359" t="n">
        <v>0</v>
      </c>
      <c r="R5359" s="2" t="inlineStr"/>
    </row>
    <row r="5360" ht="15" customHeight="1">
      <c r="A5360" t="inlineStr">
        <is>
          <t>A 60685-2024</t>
        </is>
      </c>
      <c r="B5360" s="1" t="n">
        <v>45644.46804398148</v>
      </c>
      <c r="C5360" s="1" t="n">
        <v>45884</v>
      </c>
      <c r="D5360" t="inlineStr">
        <is>
          <t>KALMAR LÄN</t>
        </is>
      </c>
      <c r="E5360" t="inlineStr">
        <is>
          <t>VÄSTERVIK</t>
        </is>
      </c>
      <c r="F5360" t="inlineStr">
        <is>
          <t>Holmen skog AB</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13468-2025</t>
        </is>
      </c>
      <c r="B5361" s="1" t="n">
        <v>45736.40155092593</v>
      </c>
      <c r="C5361" s="1" t="n">
        <v>45884</v>
      </c>
      <c r="D5361" t="inlineStr">
        <is>
          <t>KALMAR LÄN</t>
        </is>
      </c>
      <c r="E5361" t="inlineStr">
        <is>
          <t>OSKARSHAMN</t>
        </is>
      </c>
      <c r="G5361" t="n">
        <v>1.4</v>
      </c>
      <c r="H5361" t="n">
        <v>0</v>
      </c>
      <c r="I5361" t="n">
        <v>0</v>
      </c>
      <c r="J5361" t="n">
        <v>0</v>
      </c>
      <c r="K5361" t="n">
        <v>0</v>
      </c>
      <c r="L5361" t="n">
        <v>0</v>
      </c>
      <c r="M5361" t="n">
        <v>0</v>
      </c>
      <c r="N5361" t="n">
        <v>0</v>
      </c>
      <c r="O5361" t="n">
        <v>0</v>
      </c>
      <c r="P5361" t="n">
        <v>0</v>
      </c>
      <c r="Q5361" t="n">
        <v>0</v>
      </c>
      <c r="R5361" s="2" t="inlineStr"/>
    </row>
    <row r="5362" ht="15" customHeight="1">
      <c r="A5362" t="inlineStr">
        <is>
          <t>A 7415-2023</t>
        </is>
      </c>
      <c r="B5362" s="1" t="n">
        <v>44971.53328703704</v>
      </c>
      <c r="C5362" s="1" t="n">
        <v>45884</v>
      </c>
      <c r="D5362" t="inlineStr">
        <is>
          <t>KALMAR LÄN</t>
        </is>
      </c>
      <c r="E5362" t="inlineStr">
        <is>
          <t>KALMAR</t>
        </is>
      </c>
      <c r="G5362" t="n">
        <v>1.7</v>
      </c>
      <c r="H5362" t="n">
        <v>0</v>
      </c>
      <c r="I5362" t="n">
        <v>0</v>
      </c>
      <c r="J5362" t="n">
        <v>0</v>
      </c>
      <c r="K5362" t="n">
        <v>0</v>
      </c>
      <c r="L5362" t="n">
        <v>0</v>
      </c>
      <c r="M5362" t="n">
        <v>0</v>
      </c>
      <c r="N5362" t="n">
        <v>0</v>
      </c>
      <c r="O5362" t="n">
        <v>0</v>
      </c>
      <c r="P5362" t="n">
        <v>0</v>
      </c>
      <c r="Q5362" t="n">
        <v>0</v>
      </c>
      <c r="R5362" s="2" t="inlineStr"/>
    </row>
    <row r="5363" ht="15" customHeight="1">
      <c r="A5363" t="inlineStr">
        <is>
          <t>A 5134-2025</t>
        </is>
      </c>
      <c r="B5363" s="1" t="n">
        <v>45691.57753472222</v>
      </c>
      <c r="C5363" s="1" t="n">
        <v>45884</v>
      </c>
      <c r="D5363" t="inlineStr">
        <is>
          <t>KALMAR LÄN</t>
        </is>
      </c>
      <c r="E5363" t="inlineStr">
        <is>
          <t>OSKARSHAMN</t>
        </is>
      </c>
      <c r="G5363" t="n">
        <v>1.4</v>
      </c>
      <c r="H5363" t="n">
        <v>0</v>
      </c>
      <c r="I5363" t="n">
        <v>0</v>
      </c>
      <c r="J5363" t="n">
        <v>0</v>
      </c>
      <c r="K5363" t="n">
        <v>0</v>
      </c>
      <c r="L5363" t="n">
        <v>0</v>
      </c>
      <c r="M5363" t="n">
        <v>0</v>
      </c>
      <c r="N5363" t="n">
        <v>0</v>
      </c>
      <c r="O5363" t="n">
        <v>0</v>
      </c>
      <c r="P5363" t="n">
        <v>0</v>
      </c>
      <c r="Q5363" t="n">
        <v>0</v>
      </c>
      <c r="R5363" s="2" t="inlineStr"/>
    </row>
    <row r="5364" ht="15" customHeight="1">
      <c r="A5364" t="inlineStr">
        <is>
          <t>A 57964-2024</t>
        </is>
      </c>
      <c r="B5364" s="1" t="n">
        <v>45631.59407407408</v>
      </c>
      <c r="C5364" s="1" t="n">
        <v>45884</v>
      </c>
      <c r="D5364" t="inlineStr">
        <is>
          <t>KALMAR LÄN</t>
        </is>
      </c>
      <c r="E5364" t="inlineStr">
        <is>
          <t>MÖNSTERÅS</t>
        </is>
      </c>
      <c r="F5364" t="inlineStr">
        <is>
          <t>Övriga Aktiebolag</t>
        </is>
      </c>
      <c r="G5364" t="n">
        <v>4.3</v>
      </c>
      <c r="H5364" t="n">
        <v>0</v>
      </c>
      <c r="I5364" t="n">
        <v>0</v>
      </c>
      <c r="J5364" t="n">
        <v>0</v>
      </c>
      <c r="K5364" t="n">
        <v>0</v>
      </c>
      <c r="L5364" t="n">
        <v>0</v>
      </c>
      <c r="M5364" t="n">
        <v>0</v>
      </c>
      <c r="N5364" t="n">
        <v>0</v>
      </c>
      <c r="O5364" t="n">
        <v>0</v>
      </c>
      <c r="P5364" t="n">
        <v>0</v>
      </c>
      <c r="Q5364" t="n">
        <v>0</v>
      </c>
      <c r="R5364" s="2" t="inlineStr"/>
    </row>
    <row r="5365" ht="15" customHeight="1">
      <c r="A5365" t="inlineStr">
        <is>
          <t>A 3632-2025</t>
        </is>
      </c>
      <c r="B5365" s="1" t="n">
        <v>45681</v>
      </c>
      <c r="C5365" s="1" t="n">
        <v>45884</v>
      </c>
      <c r="D5365" t="inlineStr">
        <is>
          <t>KALMAR LÄN</t>
        </is>
      </c>
      <c r="E5365" t="inlineStr">
        <is>
          <t>NYBRO</t>
        </is>
      </c>
      <c r="F5365" t="inlineStr">
        <is>
          <t>Kyrkan</t>
        </is>
      </c>
      <c r="G5365" t="n">
        <v>7.7</v>
      </c>
      <c r="H5365" t="n">
        <v>0</v>
      </c>
      <c r="I5365" t="n">
        <v>0</v>
      </c>
      <c r="J5365" t="n">
        <v>0</v>
      </c>
      <c r="K5365" t="n">
        <v>0</v>
      </c>
      <c r="L5365" t="n">
        <v>0</v>
      </c>
      <c r="M5365" t="n">
        <v>0</v>
      </c>
      <c r="N5365" t="n">
        <v>0</v>
      </c>
      <c r="O5365" t="n">
        <v>0</v>
      </c>
      <c r="P5365" t="n">
        <v>0</v>
      </c>
      <c r="Q5365" t="n">
        <v>0</v>
      </c>
      <c r="R5365" s="2" t="inlineStr"/>
    </row>
    <row r="5366" ht="15" customHeight="1">
      <c r="A5366" t="inlineStr">
        <is>
          <t>A 8069-2023</t>
        </is>
      </c>
      <c r="B5366" s="1" t="n">
        <v>44974.3628125</v>
      </c>
      <c r="C5366" s="1" t="n">
        <v>45884</v>
      </c>
      <c r="D5366" t="inlineStr">
        <is>
          <t>KALMAR LÄN</t>
        </is>
      </c>
      <c r="E5366" t="inlineStr">
        <is>
          <t>NYBRO</t>
        </is>
      </c>
      <c r="G5366" t="n">
        <v>2.3</v>
      </c>
      <c r="H5366" t="n">
        <v>0</v>
      </c>
      <c r="I5366" t="n">
        <v>0</v>
      </c>
      <c r="J5366" t="n">
        <v>0</v>
      </c>
      <c r="K5366" t="n">
        <v>0</v>
      </c>
      <c r="L5366" t="n">
        <v>0</v>
      </c>
      <c r="M5366" t="n">
        <v>0</v>
      </c>
      <c r="N5366" t="n">
        <v>0</v>
      </c>
      <c r="O5366" t="n">
        <v>0</v>
      </c>
      <c r="P5366" t="n">
        <v>0</v>
      </c>
      <c r="Q5366" t="n">
        <v>0</v>
      </c>
      <c r="R5366" s="2" t="inlineStr"/>
    </row>
    <row r="5367" ht="15" customHeight="1">
      <c r="A5367" t="inlineStr">
        <is>
          <t>A 58406-2021</t>
        </is>
      </c>
      <c r="B5367" s="1" t="n">
        <v>44488</v>
      </c>
      <c r="C5367" s="1" t="n">
        <v>45884</v>
      </c>
      <c r="D5367" t="inlineStr">
        <is>
          <t>KALMAR LÄN</t>
        </is>
      </c>
      <c r="E5367" t="inlineStr">
        <is>
          <t>OSKARSHAMN</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17051-2024</t>
        </is>
      </c>
      <c r="B5368" s="1" t="n">
        <v>45412.44052083333</v>
      </c>
      <c r="C5368" s="1" t="n">
        <v>45884</v>
      </c>
      <c r="D5368" t="inlineStr">
        <is>
          <t>KALMAR LÄN</t>
        </is>
      </c>
      <c r="E5368" t="inlineStr">
        <is>
          <t>OSKARSHAMN</t>
        </is>
      </c>
      <c r="G5368" t="n">
        <v>7.1</v>
      </c>
      <c r="H5368" t="n">
        <v>0</v>
      </c>
      <c r="I5368" t="n">
        <v>0</v>
      </c>
      <c r="J5368" t="n">
        <v>0</v>
      </c>
      <c r="K5368" t="n">
        <v>0</v>
      </c>
      <c r="L5368" t="n">
        <v>0</v>
      </c>
      <c r="M5368" t="n">
        <v>0</v>
      </c>
      <c r="N5368" t="n">
        <v>0</v>
      </c>
      <c r="O5368" t="n">
        <v>0</v>
      </c>
      <c r="P5368" t="n">
        <v>0</v>
      </c>
      <c r="Q5368" t="n">
        <v>0</v>
      </c>
      <c r="R5368" s="2" t="inlineStr"/>
    </row>
    <row r="5369" ht="15" customHeight="1">
      <c r="A5369" t="inlineStr">
        <is>
          <t>A 58592-2021</t>
        </is>
      </c>
      <c r="B5369" s="1" t="n">
        <v>44488</v>
      </c>
      <c r="C5369" s="1" t="n">
        <v>45884</v>
      </c>
      <c r="D5369" t="inlineStr">
        <is>
          <t>KALMAR LÄN</t>
        </is>
      </c>
      <c r="E5369" t="inlineStr">
        <is>
          <t>EMMABODA</t>
        </is>
      </c>
      <c r="F5369" t="inlineStr">
        <is>
          <t>Kommuner</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17058-2024</t>
        </is>
      </c>
      <c r="B5370" s="1" t="n">
        <v>45412.45262731481</v>
      </c>
      <c r="C5370" s="1" t="n">
        <v>45884</v>
      </c>
      <c r="D5370" t="inlineStr">
        <is>
          <t>KALMAR LÄN</t>
        </is>
      </c>
      <c r="E5370" t="inlineStr">
        <is>
          <t>HULTSFRED</t>
        </is>
      </c>
      <c r="G5370" t="n">
        <v>2.7</v>
      </c>
      <c r="H5370" t="n">
        <v>0</v>
      </c>
      <c r="I5370" t="n">
        <v>0</v>
      </c>
      <c r="J5370" t="n">
        <v>0</v>
      </c>
      <c r="K5370" t="n">
        <v>0</v>
      </c>
      <c r="L5370" t="n">
        <v>0</v>
      </c>
      <c r="M5370" t="n">
        <v>0</v>
      </c>
      <c r="N5370" t="n">
        <v>0</v>
      </c>
      <c r="O5370" t="n">
        <v>0</v>
      </c>
      <c r="P5370" t="n">
        <v>0</v>
      </c>
      <c r="Q5370" t="n">
        <v>0</v>
      </c>
      <c r="R5370" s="2" t="inlineStr"/>
    </row>
    <row r="5371" ht="15" customHeight="1">
      <c r="A5371" t="inlineStr">
        <is>
          <t>A 11616-2025</t>
        </is>
      </c>
      <c r="B5371" s="1" t="n">
        <v>45727.45094907407</v>
      </c>
      <c r="C5371" s="1" t="n">
        <v>45884</v>
      </c>
      <c r="D5371" t="inlineStr">
        <is>
          <t>KALMAR LÄN</t>
        </is>
      </c>
      <c r="E5371" t="inlineStr">
        <is>
          <t>EMMABODA</t>
        </is>
      </c>
      <c r="G5371" t="n">
        <v>1.7</v>
      </c>
      <c r="H5371" t="n">
        <v>0</v>
      </c>
      <c r="I5371" t="n">
        <v>0</v>
      </c>
      <c r="J5371" t="n">
        <v>0</v>
      </c>
      <c r="K5371" t="n">
        <v>0</v>
      </c>
      <c r="L5371" t="n">
        <v>0</v>
      </c>
      <c r="M5371" t="n">
        <v>0</v>
      </c>
      <c r="N5371" t="n">
        <v>0</v>
      </c>
      <c r="O5371" t="n">
        <v>0</v>
      </c>
      <c r="P5371" t="n">
        <v>0</v>
      </c>
      <c r="Q5371" t="n">
        <v>0</v>
      </c>
      <c r="R5371" s="2" t="inlineStr"/>
    </row>
    <row r="5372" ht="15" customHeight="1">
      <c r="A5372" t="inlineStr">
        <is>
          <t>A 10704-2022</t>
        </is>
      </c>
      <c r="B5372" s="1" t="n">
        <v>44625.57487268518</v>
      </c>
      <c r="C5372" s="1" t="n">
        <v>45884</v>
      </c>
      <c r="D5372" t="inlineStr">
        <is>
          <t>KALMAR LÄN</t>
        </is>
      </c>
      <c r="E5372" t="inlineStr">
        <is>
          <t>HÖGSBY</t>
        </is>
      </c>
      <c r="G5372" t="n">
        <v>2.2</v>
      </c>
      <c r="H5372" t="n">
        <v>0</v>
      </c>
      <c r="I5372" t="n">
        <v>0</v>
      </c>
      <c r="J5372" t="n">
        <v>0</v>
      </c>
      <c r="K5372" t="n">
        <v>0</v>
      </c>
      <c r="L5372" t="n">
        <v>0</v>
      </c>
      <c r="M5372" t="n">
        <v>0</v>
      </c>
      <c r="N5372" t="n">
        <v>0</v>
      </c>
      <c r="O5372" t="n">
        <v>0</v>
      </c>
      <c r="P5372" t="n">
        <v>0</v>
      </c>
      <c r="Q5372" t="n">
        <v>0</v>
      </c>
      <c r="R5372" s="2" t="inlineStr"/>
    </row>
    <row r="5373" ht="15" customHeight="1">
      <c r="A5373" t="inlineStr">
        <is>
          <t>A 10706-2022</t>
        </is>
      </c>
      <c r="B5373" s="1" t="n">
        <v>44625.5828125</v>
      </c>
      <c r="C5373" s="1" t="n">
        <v>45884</v>
      </c>
      <c r="D5373" t="inlineStr">
        <is>
          <t>KALMAR LÄN</t>
        </is>
      </c>
      <c r="E5373" t="inlineStr">
        <is>
          <t>HÖGSBY</t>
        </is>
      </c>
      <c r="G5373" t="n">
        <v>3.5</v>
      </c>
      <c r="H5373" t="n">
        <v>0</v>
      </c>
      <c r="I5373" t="n">
        <v>0</v>
      </c>
      <c r="J5373" t="n">
        <v>0</v>
      </c>
      <c r="K5373" t="n">
        <v>0</v>
      </c>
      <c r="L5373" t="n">
        <v>0</v>
      </c>
      <c r="M5373" t="n">
        <v>0</v>
      </c>
      <c r="N5373" t="n">
        <v>0</v>
      </c>
      <c r="O5373" t="n">
        <v>0</v>
      </c>
      <c r="P5373" t="n">
        <v>0</v>
      </c>
      <c r="Q5373" t="n">
        <v>0</v>
      </c>
      <c r="R5373" s="2" t="inlineStr"/>
    </row>
    <row r="5374" ht="15" customHeight="1">
      <c r="A5374" t="inlineStr">
        <is>
          <t>A 15598-2025</t>
        </is>
      </c>
      <c r="B5374" s="1" t="n">
        <v>45747.92075231481</v>
      </c>
      <c r="C5374" s="1" t="n">
        <v>45884</v>
      </c>
      <c r="D5374" t="inlineStr">
        <is>
          <t>KALMAR LÄN</t>
        </is>
      </c>
      <c r="E5374" t="inlineStr">
        <is>
          <t>MÖNSTERÅS</t>
        </is>
      </c>
      <c r="G5374" t="n">
        <v>2.6</v>
      </c>
      <c r="H5374" t="n">
        <v>0</v>
      </c>
      <c r="I5374" t="n">
        <v>0</v>
      </c>
      <c r="J5374" t="n">
        <v>0</v>
      </c>
      <c r="K5374" t="n">
        <v>0</v>
      </c>
      <c r="L5374" t="n">
        <v>0</v>
      </c>
      <c r="M5374" t="n">
        <v>0</v>
      </c>
      <c r="N5374" t="n">
        <v>0</v>
      </c>
      <c r="O5374" t="n">
        <v>0</v>
      </c>
      <c r="P5374" t="n">
        <v>0</v>
      </c>
      <c r="Q5374" t="n">
        <v>0</v>
      </c>
      <c r="R5374" s="2" t="inlineStr"/>
    </row>
    <row r="5375" ht="15" customHeight="1">
      <c r="A5375" t="inlineStr">
        <is>
          <t>A 57524-2024</t>
        </is>
      </c>
      <c r="B5375" s="1" t="n">
        <v>45630.41625</v>
      </c>
      <c r="C5375" s="1" t="n">
        <v>45884</v>
      </c>
      <c r="D5375" t="inlineStr">
        <is>
          <t>KALMAR LÄN</t>
        </is>
      </c>
      <c r="E5375" t="inlineStr">
        <is>
          <t>HULTSFRED</t>
        </is>
      </c>
      <c r="F5375" t="inlineStr">
        <is>
          <t>Sveaskog</t>
        </is>
      </c>
      <c r="G5375" t="n">
        <v>2</v>
      </c>
      <c r="H5375" t="n">
        <v>0</v>
      </c>
      <c r="I5375" t="n">
        <v>0</v>
      </c>
      <c r="J5375" t="n">
        <v>0</v>
      </c>
      <c r="K5375" t="n">
        <v>0</v>
      </c>
      <c r="L5375" t="n">
        <v>0</v>
      </c>
      <c r="M5375" t="n">
        <v>0</v>
      </c>
      <c r="N5375" t="n">
        <v>0</v>
      </c>
      <c r="O5375" t="n">
        <v>0</v>
      </c>
      <c r="P5375" t="n">
        <v>0</v>
      </c>
      <c r="Q5375" t="n">
        <v>0</v>
      </c>
      <c r="R5375" s="2" t="inlineStr"/>
    </row>
    <row r="5376" ht="15" customHeight="1">
      <c r="A5376" t="inlineStr">
        <is>
          <t>A 57555-2024</t>
        </is>
      </c>
      <c r="B5376" s="1" t="n">
        <v>45630.45069444444</v>
      </c>
      <c r="C5376" s="1" t="n">
        <v>45884</v>
      </c>
      <c r="D5376" t="inlineStr">
        <is>
          <t>KALMAR LÄN</t>
        </is>
      </c>
      <c r="E5376" t="inlineStr">
        <is>
          <t>VIMMERBY</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12753-2021</t>
        </is>
      </c>
      <c r="B5377" s="1" t="n">
        <v>44270.66569444445</v>
      </c>
      <c r="C5377" s="1" t="n">
        <v>45884</v>
      </c>
      <c r="D5377" t="inlineStr">
        <is>
          <t>KALMAR LÄN</t>
        </is>
      </c>
      <c r="E5377" t="inlineStr">
        <is>
          <t>TORSÅS</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9325-2025</t>
        </is>
      </c>
      <c r="B5378" s="1" t="n">
        <v>45714.74612268519</v>
      </c>
      <c r="C5378" s="1" t="n">
        <v>45884</v>
      </c>
      <c r="D5378" t="inlineStr">
        <is>
          <t>KALMAR LÄN</t>
        </is>
      </c>
      <c r="E5378" t="inlineStr">
        <is>
          <t>HULTSFRED</t>
        </is>
      </c>
      <c r="F5378" t="inlineStr">
        <is>
          <t>Sveaskog</t>
        </is>
      </c>
      <c r="G5378" t="n">
        <v>4.8</v>
      </c>
      <c r="H5378" t="n">
        <v>0</v>
      </c>
      <c r="I5378" t="n">
        <v>0</v>
      </c>
      <c r="J5378" t="n">
        <v>0</v>
      </c>
      <c r="K5378" t="n">
        <v>0</v>
      </c>
      <c r="L5378" t="n">
        <v>0</v>
      </c>
      <c r="M5378" t="n">
        <v>0</v>
      </c>
      <c r="N5378" t="n">
        <v>0</v>
      </c>
      <c r="O5378" t="n">
        <v>0</v>
      </c>
      <c r="P5378" t="n">
        <v>0</v>
      </c>
      <c r="Q5378" t="n">
        <v>0</v>
      </c>
      <c r="R5378" s="2" t="inlineStr"/>
    </row>
    <row r="5379" ht="15" customHeight="1">
      <c r="A5379" t="inlineStr">
        <is>
          <t>A 51548-2020</t>
        </is>
      </c>
      <c r="B5379" s="1" t="n">
        <v>44113</v>
      </c>
      <c r="C5379" s="1" t="n">
        <v>45884</v>
      </c>
      <c r="D5379" t="inlineStr">
        <is>
          <t>KALMAR LÄN</t>
        </is>
      </c>
      <c r="E5379" t="inlineStr">
        <is>
          <t>HULTSFRED</t>
        </is>
      </c>
      <c r="F5379" t="inlineStr">
        <is>
          <t>Övriga Aktiebolag</t>
        </is>
      </c>
      <c r="G5379" t="n">
        <v>0.5</v>
      </c>
      <c r="H5379" t="n">
        <v>0</v>
      </c>
      <c r="I5379" t="n">
        <v>0</v>
      </c>
      <c r="J5379" t="n">
        <v>0</v>
      </c>
      <c r="K5379" t="n">
        <v>0</v>
      </c>
      <c r="L5379" t="n">
        <v>0</v>
      </c>
      <c r="M5379" t="n">
        <v>0</v>
      </c>
      <c r="N5379" t="n">
        <v>0</v>
      </c>
      <c r="O5379" t="n">
        <v>0</v>
      </c>
      <c r="P5379" t="n">
        <v>0</v>
      </c>
      <c r="Q5379" t="n">
        <v>0</v>
      </c>
      <c r="R5379" s="2" t="inlineStr"/>
    </row>
    <row r="5380" ht="15" customHeight="1">
      <c r="A5380" t="inlineStr">
        <is>
          <t>A 31334-2023</t>
        </is>
      </c>
      <c r="B5380" s="1" t="n">
        <v>45114</v>
      </c>
      <c r="C5380" s="1" t="n">
        <v>45884</v>
      </c>
      <c r="D5380" t="inlineStr">
        <is>
          <t>KALMAR LÄN</t>
        </is>
      </c>
      <c r="E5380" t="inlineStr">
        <is>
          <t>KALMAR</t>
        </is>
      </c>
      <c r="G5380" t="n">
        <v>1.6</v>
      </c>
      <c r="H5380" t="n">
        <v>0</v>
      </c>
      <c r="I5380" t="n">
        <v>0</v>
      </c>
      <c r="J5380" t="n">
        <v>0</v>
      </c>
      <c r="K5380" t="n">
        <v>0</v>
      </c>
      <c r="L5380" t="n">
        <v>0</v>
      </c>
      <c r="M5380" t="n">
        <v>0</v>
      </c>
      <c r="N5380" t="n">
        <v>0</v>
      </c>
      <c r="O5380" t="n">
        <v>0</v>
      </c>
      <c r="P5380" t="n">
        <v>0</v>
      </c>
      <c r="Q5380" t="n">
        <v>0</v>
      </c>
      <c r="R5380" s="2" t="inlineStr"/>
    </row>
    <row r="5381" ht="15" customHeight="1">
      <c r="A5381" t="inlineStr">
        <is>
          <t>A 54341-2022</t>
        </is>
      </c>
      <c r="B5381" s="1" t="n">
        <v>44882</v>
      </c>
      <c r="C5381" s="1" t="n">
        <v>45884</v>
      </c>
      <c r="D5381" t="inlineStr">
        <is>
          <t>KALMAR LÄN</t>
        </is>
      </c>
      <c r="E5381" t="inlineStr">
        <is>
          <t>NYBRO</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16723-2025</t>
        </is>
      </c>
      <c r="B5382" s="1" t="n">
        <v>45754.50134259259</v>
      </c>
      <c r="C5382" s="1" t="n">
        <v>45884</v>
      </c>
      <c r="D5382" t="inlineStr">
        <is>
          <t>KALMAR LÄN</t>
        </is>
      </c>
      <c r="E5382" t="inlineStr">
        <is>
          <t>HULTSFRED</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8410-2023</t>
        </is>
      </c>
      <c r="B5383" s="1" t="n">
        <v>44977</v>
      </c>
      <c r="C5383" s="1" t="n">
        <v>45884</v>
      </c>
      <c r="D5383" t="inlineStr">
        <is>
          <t>KALMAR LÄN</t>
        </is>
      </c>
      <c r="E5383" t="inlineStr">
        <is>
          <t>VIMMERBY</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9220-2023</t>
        </is>
      </c>
      <c r="B5384" s="1" t="n">
        <v>44980.52182870371</v>
      </c>
      <c r="C5384" s="1" t="n">
        <v>45884</v>
      </c>
      <c r="D5384" t="inlineStr">
        <is>
          <t>KALMAR LÄN</t>
        </is>
      </c>
      <c r="E5384" t="inlineStr">
        <is>
          <t>VÄSTERVIK</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4780-2024</t>
        </is>
      </c>
      <c r="B5385" s="1" t="n">
        <v>45328</v>
      </c>
      <c r="C5385" s="1" t="n">
        <v>45884</v>
      </c>
      <c r="D5385" t="inlineStr">
        <is>
          <t>KALMAR LÄN</t>
        </is>
      </c>
      <c r="E5385" t="inlineStr">
        <is>
          <t>MÖNSTERÅS</t>
        </is>
      </c>
      <c r="G5385" t="n">
        <v>1.2</v>
      </c>
      <c r="H5385" t="n">
        <v>0</v>
      </c>
      <c r="I5385" t="n">
        <v>0</v>
      </c>
      <c r="J5385" t="n">
        <v>0</v>
      </c>
      <c r="K5385" t="n">
        <v>0</v>
      </c>
      <c r="L5385" t="n">
        <v>0</v>
      </c>
      <c r="M5385" t="n">
        <v>0</v>
      </c>
      <c r="N5385" t="n">
        <v>0</v>
      </c>
      <c r="O5385" t="n">
        <v>0</v>
      </c>
      <c r="P5385" t="n">
        <v>0</v>
      </c>
      <c r="Q5385" t="n">
        <v>0</v>
      </c>
      <c r="R5385" s="2" t="inlineStr"/>
    </row>
    <row r="5386" ht="15" customHeight="1">
      <c r="A5386" t="inlineStr">
        <is>
          <t>A 24258-2022</t>
        </is>
      </c>
      <c r="B5386" s="1" t="n">
        <v>44725</v>
      </c>
      <c r="C5386" s="1" t="n">
        <v>45884</v>
      </c>
      <c r="D5386" t="inlineStr">
        <is>
          <t>KALMAR LÄN</t>
        </is>
      </c>
      <c r="E5386" t="inlineStr">
        <is>
          <t>HULTSFRED</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26984-2023</t>
        </is>
      </c>
      <c r="B5387" s="1" t="n">
        <v>45093</v>
      </c>
      <c r="C5387" s="1" t="n">
        <v>45884</v>
      </c>
      <c r="D5387" t="inlineStr">
        <is>
          <t>KALMAR LÄN</t>
        </is>
      </c>
      <c r="E5387" t="inlineStr">
        <is>
          <t>KALMAR</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7834-2024</t>
        </is>
      </c>
      <c r="B5388" s="1" t="n">
        <v>45349.81209490741</v>
      </c>
      <c r="C5388" s="1" t="n">
        <v>45884</v>
      </c>
      <c r="D5388" t="inlineStr">
        <is>
          <t>KALMAR LÄN</t>
        </is>
      </c>
      <c r="E5388" t="inlineStr">
        <is>
          <t>EMMABODA</t>
        </is>
      </c>
      <c r="G5388" t="n">
        <v>1.6</v>
      </c>
      <c r="H5388" t="n">
        <v>0</v>
      </c>
      <c r="I5388" t="n">
        <v>0</v>
      </c>
      <c r="J5388" t="n">
        <v>0</v>
      </c>
      <c r="K5388" t="n">
        <v>0</v>
      </c>
      <c r="L5388" t="n">
        <v>0</v>
      </c>
      <c r="M5388" t="n">
        <v>0</v>
      </c>
      <c r="N5388" t="n">
        <v>0</v>
      </c>
      <c r="O5388" t="n">
        <v>0</v>
      </c>
      <c r="P5388" t="n">
        <v>0</v>
      </c>
      <c r="Q5388" t="n">
        <v>0</v>
      </c>
      <c r="R5388" s="2" t="inlineStr"/>
    </row>
    <row r="5389" ht="15" customHeight="1">
      <c r="A5389" t="inlineStr">
        <is>
          <t>A 16888-2025</t>
        </is>
      </c>
      <c r="B5389" s="1" t="n">
        <v>45755.30921296297</v>
      </c>
      <c r="C5389" s="1" t="n">
        <v>45884</v>
      </c>
      <c r="D5389" t="inlineStr">
        <is>
          <t>KALMAR LÄN</t>
        </is>
      </c>
      <c r="E5389" t="inlineStr">
        <is>
          <t>HULTSFRED</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16889-2025</t>
        </is>
      </c>
      <c r="B5390" s="1" t="n">
        <v>45755.31265046296</v>
      </c>
      <c r="C5390" s="1" t="n">
        <v>45884</v>
      </c>
      <c r="D5390" t="inlineStr">
        <is>
          <t>KALMAR LÄN</t>
        </is>
      </c>
      <c r="E5390" t="inlineStr">
        <is>
          <t>HULTSFRED</t>
        </is>
      </c>
      <c r="G5390" t="n">
        <v>3</v>
      </c>
      <c r="H5390" t="n">
        <v>0</v>
      </c>
      <c r="I5390" t="n">
        <v>0</v>
      </c>
      <c r="J5390" t="n">
        <v>0</v>
      </c>
      <c r="K5390" t="n">
        <v>0</v>
      </c>
      <c r="L5390" t="n">
        <v>0</v>
      </c>
      <c r="M5390" t="n">
        <v>0</v>
      </c>
      <c r="N5390" t="n">
        <v>0</v>
      </c>
      <c r="O5390" t="n">
        <v>0</v>
      </c>
      <c r="P5390" t="n">
        <v>0</v>
      </c>
      <c r="Q5390" t="n">
        <v>0</v>
      </c>
      <c r="R5390" s="2" t="inlineStr"/>
    </row>
    <row r="5391" ht="15" customHeight="1">
      <c r="A5391" t="inlineStr">
        <is>
          <t>A 16890-2025</t>
        </is>
      </c>
      <c r="B5391" s="1" t="n">
        <v>45755.31439814815</v>
      </c>
      <c r="C5391" s="1" t="n">
        <v>45884</v>
      </c>
      <c r="D5391" t="inlineStr">
        <is>
          <t>KALMAR LÄN</t>
        </is>
      </c>
      <c r="E5391" t="inlineStr">
        <is>
          <t>HULTSFRED</t>
        </is>
      </c>
      <c r="G5391" t="n">
        <v>2.2</v>
      </c>
      <c r="H5391" t="n">
        <v>0</v>
      </c>
      <c r="I5391" t="n">
        <v>0</v>
      </c>
      <c r="J5391" t="n">
        <v>0</v>
      </c>
      <c r="K5391" t="n">
        <v>0</v>
      </c>
      <c r="L5391" t="n">
        <v>0</v>
      </c>
      <c r="M5391" t="n">
        <v>0</v>
      </c>
      <c r="N5391" t="n">
        <v>0</v>
      </c>
      <c r="O5391" t="n">
        <v>0</v>
      </c>
      <c r="P5391" t="n">
        <v>0</v>
      </c>
      <c r="Q5391" t="n">
        <v>0</v>
      </c>
      <c r="R5391" s="2" t="inlineStr"/>
    </row>
    <row r="5392" ht="15" customHeight="1">
      <c r="A5392" t="inlineStr">
        <is>
          <t>A 47859-2023</t>
        </is>
      </c>
      <c r="B5392" s="1" t="n">
        <v>45204</v>
      </c>
      <c r="C5392" s="1" t="n">
        <v>45884</v>
      </c>
      <c r="D5392" t="inlineStr">
        <is>
          <t>KALMAR LÄN</t>
        </is>
      </c>
      <c r="E5392" t="inlineStr">
        <is>
          <t>HÖGSBY</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16956-2025</t>
        </is>
      </c>
      <c r="B5393" s="1" t="n">
        <v>45755.44684027778</v>
      </c>
      <c r="C5393" s="1" t="n">
        <v>45884</v>
      </c>
      <c r="D5393" t="inlineStr">
        <is>
          <t>KALMAR LÄN</t>
        </is>
      </c>
      <c r="E5393" t="inlineStr">
        <is>
          <t>KALMAR</t>
        </is>
      </c>
      <c r="G5393" t="n">
        <v>3.4</v>
      </c>
      <c r="H5393" t="n">
        <v>0</v>
      </c>
      <c r="I5393" t="n">
        <v>0</v>
      </c>
      <c r="J5393" t="n">
        <v>0</v>
      </c>
      <c r="K5393" t="n">
        <v>0</v>
      </c>
      <c r="L5393" t="n">
        <v>0</v>
      </c>
      <c r="M5393" t="n">
        <v>0</v>
      </c>
      <c r="N5393" t="n">
        <v>0</v>
      </c>
      <c r="O5393" t="n">
        <v>0</v>
      </c>
      <c r="P5393" t="n">
        <v>0</v>
      </c>
      <c r="Q5393" t="n">
        <v>0</v>
      </c>
      <c r="R5393" s="2" t="inlineStr"/>
    </row>
    <row r="5394" ht="15" customHeight="1">
      <c r="A5394" t="inlineStr">
        <is>
          <t>A 59050-2023</t>
        </is>
      </c>
      <c r="B5394" s="1" t="n">
        <v>45252</v>
      </c>
      <c r="C5394" s="1" t="n">
        <v>45884</v>
      </c>
      <c r="D5394" t="inlineStr">
        <is>
          <t>KALMAR LÄN</t>
        </is>
      </c>
      <c r="E5394" t="inlineStr">
        <is>
          <t>TORSÅS</t>
        </is>
      </c>
      <c r="G5394" t="n">
        <v>4.3</v>
      </c>
      <c r="H5394" t="n">
        <v>0</v>
      </c>
      <c r="I5394" t="n">
        <v>0</v>
      </c>
      <c r="J5394" t="n">
        <v>0</v>
      </c>
      <c r="K5394" t="n">
        <v>0</v>
      </c>
      <c r="L5394" t="n">
        <v>0</v>
      </c>
      <c r="M5394" t="n">
        <v>0</v>
      </c>
      <c r="N5394" t="n">
        <v>0</v>
      </c>
      <c r="O5394" t="n">
        <v>0</v>
      </c>
      <c r="P5394" t="n">
        <v>0</v>
      </c>
      <c r="Q5394" t="n">
        <v>0</v>
      </c>
      <c r="R5394" s="2" t="inlineStr"/>
    </row>
    <row r="5395" ht="15" customHeight="1">
      <c r="A5395" t="inlineStr">
        <is>
          <t>A 19151-2025</t>
        </is>
      </c>
      <c r="B5395" s="1" t="n">
        <v>45769.35443287037</v>
      </c>
      <c r="C5395" s="1" t="n">
        <v>45884</v>
      </c>
      <c r="D5395" t="inlineStr">
        <is>
          <t>KALMAR LÄN</t>
        </is>
      </c>
      <c r="E5395" t="inlineStr">
        <is>
          <t>EMMABODA</t>
        </is>
      </c>
      <c r="G5395" t="n">
        <v>0.4</v>
      </c>
      <c r="H5395" t="n">
        <v>0</v>
      </c>
      <c r="I5395" t="n">
        <v>0</v>
      </c>
      <c r="J5395" t="n">
        <v>0</v>
      </c>
      <c r="K5395" t="n">
        <v>0</v>
      </c>
      <c r="L5395" t="n">
        <v>0</v>
      </c>
      <c r="M5395" t="n">
        <v>0</v>
      </c>
      <c r="N5395" t="n">
        <v>0</v>
      </c>
      <c r="O5395" t="n">
        <v>0</v>
      </c>
      <c r="P5395" t="n">
        <v>0</v>
      </c>
      <c r="Q5395" t="n">
        <v>0</v>
      </c>
      <c r="R5395" s="2" t="inlineStr"/>
    </row>
    <row r="5396" ht="15" customHeight="1">
      <c r="A5396" t="inlineStr">
        <is>
          <t>A 38453-2021</t>
        </is>
      </c>
      <c r="B5396" s="1" t="n">
        <v>44407.34855324074</v>
      </c>
      <c r="C5396" s="1" t="n">
        <v>45884</v>
      </c>
      <c r="D5396" t="inlineStr">
        <is>
          <t>KALMAR LÄN</t>
        </is>
      </c>
      <c r="E5396" t="inlineStr">
        <is>
          <t>KALMAR</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52155-2021</t>
        </is>
      </c>
      <c r="B5397" s="1" t="n">
        <v>44463</v>
      </c>
      <c r="C5397" s="1" t="n">
        <v>45884</v>
      </c>
      <c r="D5397" t="inlineStr">
        <is>
          <t>KALMAR LÄN</t>
        </is>
      </c>
      <c r="E5397" t="inlineStr">
        <is>
          <t>VÄSTERVIK</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30920-2024</t>
        </is>
      </c>
      <c r="B5398" s="1" t="n">
        <v>45498.673125</v>
      </c>
      <c r="C5398" s="1" t="n">
        <v>45884</v>
      </c>
      <c r="D5398" t="inlineStr">
        <is>
          <t>KALMAR LÄN</t>
        </is>
      </c>
      <c r="E5398" t="inlineStr">
        <is>
          <t>VIMMERBY</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8464-2025</t>
        </is>
      </c>
      <c r="B5399" s="1" t="n">
        <v>45709.46929398148</v>
      </c>
      <c r="C5399" s="1" t="n">
        <v>45884</v>
      </c>
      <c r="D5399" t="inlineStr">
        <is>
          <t>KALMAR LÄN</t>
        </is>
      </c>
      <c r="E5399" t="inlineStr">
        <is>
          <t>OSKARSHAMN</t>
        </is>
      </c>
      <c r="G5399" t="n">
        <v>6.2</v>
      </c>
      <c r="H5399" t="n">
        <v>0</v>
      </c>
      <c r="I5399" t="n">
        <v>0</v>
      </c>
      <c r="J5399" t="n">
        <v>0</v>
      </c>
      <c r="K5399" t="n">
        <v>0</v>
      </c>
      <c r="L5399" t="n">
        <v>0</v>
      </c>
      <c r="M5399" t="n">
        <v>0</v>
      </c>
      <c r="N5399" t="n">
        <v>0</v>
      </c>
      <c r="O5399" t="n">
        <v>0</v>
      </c>
      <c r="P5399" t="n">
        <v>0</v>
      </c>
      <c r="Q5399" t="n">
        <v>0</v>
      </c>
      <c r="R5399" s="2" t="inlineStr"/>
    </row>
    <row r="5400" ht="15" customHeight="1">
      <c r="A5400" t="inlineStr">
        <is>
          <t>A 8482-2025</t>
        </is>
      </c>
      <c r="B5400" s="1" t="n">
        <v>45709</v>
      </c>
      <c r="C5400" s="1" t="n">
        <v>45884</v>
      </c>
      <c r="D5400" t="inlineStr">
        <is>
          <t>KALMAR LÄN</t>
        </is>
      </c>
      <c r="E5400" t="inlineStr">
        <is>
          <t>EMMABODA</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19451-2022</t>
        </is>
      </c>
      <c r="B5401" s="1" t="n">
        <v>44693.40193287037</v>
      </c>
      <c r="C5401" s="1" t="n">
        <v>45884</v>
      </c>
      <c r="D5401" t="inlineStr">
        <is>
          <t>KALMAR LÄN</t>
        </is>
      </c>
      <c r="E5401" t="inlineStr">
        <is>
          <t>NYBRO</t>
        </is>
      </c>
      <c r="F5401" t="inlineStr">
        <is>
          <t>Sveaskog</t>
        </is>
      </c>
      <c r="G5401" t="n">
        <v>1.4</v>
      </c>
      <c r="H5401" t="n">
        <v>0</v>
      </c>
      <c r="I5401" t="n">
        <v>0</v>
      </c>
      <c r="J5401" t="n">
        <v>0</v>
      </c>
      <c r="K5401" t="n">
        <v>0</v>
      </c>
      <c r="L5401" t="n">
        <v>0</v>
      </c>
      <c r="M5401" t="n">
        <v>0</v>
      </c>
      <c r="N5401" t="n">
        <v>0</v>
      </c>
      <c r="O5401" t="n">
        <v>0</v>
      </c>
      <c r="P5401" t="n">
        <v>0</v>
      </c>
      <c r="Q5401" t="n">
        <v>0</v>
      </c>
      <c r="R5401" s="2" t="inlineStr"/>
    </row>
    <row r="5402" ht="15" customHeight="1">
      <c r="A5402" t="inlineStr">
        <is>
          <t>A 30952-2023</t>
        </is>
      </c>
      <c r="B5402" s="1" t="n">
        <v>45113</v>
      </c>
      <c r="C5402" s="1" t="n">
        <v>45884</v>
      </c>
      <c r="D5402" t="inlineStr">
        <is>
          <t>KALMAR LÄN</t>
        </is>
      </c>
      <c r="E5402" t="inlineStr">
        <is>
          <t>OSKARSHAMN</t>
        </is>
      </c>
      <c r="G5402" t="n">
        <v>1.2</v>
      </c>
      <c r="H5402" t="n">
        <v>0</v>
      </c>
      <c r="I5402" t="n">
        <v>0</v>
      </c>
      <c r="J5402" t="n">
        <v>0</v>
      </c>
      <c r="K5402" t="n">
        <v>0</v>
      </c>
      <c r="L5402" t="n">
        <v>0</v>
      </c>
      <c r="M5402" t="n">
        <v>0</v>
      </c>
      <c r="N5402" t="n">
        <v>0</v>
      </c>
      <c r="O5402" t="n">
        <v>0</v>
      </c>
      <c r="P5402" t="n">
        <v>0</v>
      </c>
      <c r="Q5402" t="n">
        <v>0</v>
      </c>
      <c r="R5402" s="2" t="inlineStr"/>
    </row>
    <row r="5403" ht="15" customHeight="1">
      <c r="A5403" t="inlineStr">
        <is>
          <t>A 26715-2022</t>
        </is>
      </c>
      <c r="B5403" s="1" t="n">
        <v>44739</v>
      </c>
      <c r="C5403" s="1" t="n">
        <v>45884</v>
      </c>
      <c r="D5403" t="inlineStr">
        <is>
          <t>KALMAR LÄN</t>
        </is>
      </c>
      <c r="E5403" t="inlineStr">
        <is>
          <t>NYBRO</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61198-2022</t>
        </is>
      </c>
      <c r="B5404" s="1" t="n">
        <v>44915</v>
      </c>
      <c r="C5404" s="1" t="n">
        <v>45884</v>
      </c>
      <c r="D5404" t="inlineStr">
        <is>
          <t>KALMAR LÄN</t>
        </is>
      </c>
      <c r="E5404" t="inlineStr">
        <is>
          <t>MÖNSTERÅS</t>
        </is>
      </c>
      <c r="G5404" t="n">
        <v>6</v>
      </c>
      <c r="H5404" t="n">
        <v>0</v>
      </c>
      <c r="I5404" t="n">
        <v>0</v>
      </c>
      <c r="J5404" t="n">
        <v>0</v>
      </c>
      <c r="K5404" t="n">
        <v>0</v>
      </c>
      <c r="L5404" t="n">
        <v>0</v>
      </c>
      <c r="M5404" t="n">
        <v>0</v>
      </c>
      <c r="N5404" t="n">
        <v>0</v>
      </c>
      <c r="O5404" t="n">
        <v>0</v>
      </c>
      <c r="P5404" t="n">
        <v>0</v>
      </c>
      <c r="Q5404" t="n">
        <v>0</v>
      </c>
      <c r="R5404" s="2" t="inlineStr"/>
    </row>
    <row r="5405" ht="15" customHeight="1">
      <c r="A5405" t="inlineStr">
        <is>
          <t>A 20035-2023</t>
        </is>
      </c>
      <c r="B5405" s="1" t="n">
        <v>45054</v>
      </c>
      <c r="C5405" s="1" t="n">
        <v>45884</v>
      </c>
      <c r="D5405" t="inlineStr">
        <is>
          <t>KALMAR LÄN</t>
        </is>
      </c>
      <c r="E5405" t="inlineStr">
        <is>
          <t>HULTSFRED</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8873-2025</t>
        </is>
      </c>
      <c r="B5406" s="1" t="n">
        <v>45713.373125</v>
      </c>
      <c r="C5406" s="1" t="n">
        <v>45884</v>
      </c>
      <c r="D5406" t="inlineStr">
        <is>
          <t>KALMAR LÄN</t>
        </is>
      </c>
      <c r="E5406" t="inlineStr">
        <is>
          <t>HULTSFRED</t>
        </is>
      </c>
      <c r="F5406" t="inlineStr">
        <is>
          <t>Sveaskog</t>
        </is>
      </c>
      <c r="G5406" t="n">
        <v>2.3</v>
      </c>
      <c r="H5406" t="n">
        <v>0</v>
      </c>
      <c r="I5406" t="n">
        <v>0</v>
      </c>
      <c r="J5406" t="n">
        <v>0</v>
      </c>
      <c r="K5406" t="n">
        <v>0</v>
      </c>
      <c r="L5406" t="n">
        <v>0</v>
      </c>
      <c r="M5406" t="n">
        <v>0</v>
      </c>
      <c r="N5406" t="n">
        <v>0</v>
      </c>
      <c r="O5406" t="n">
        <v>0</v>
      </c>
      <c r="P5406" t="n">
        <v>0</v>
      </c>
      <c r="Q5406" t="n">
        <v>0</v>
      </c>
      <c r="R5406" s="2" t="inlineStr"/>
    </row>
    <row r="5407" ht="15" customHeight="1">
      <c r="A5407" t="inlineStr">
        <is>
          <t>A 34432-2023</t>
        </is>
      </c>
      <c r="B5407" s="1" t="n">
        <v>45139</v>
      </c>
      <c r="C5407" s="1" t="n">
        <v>45884</v>
      </c>
      <c r="D5407" t="inlineStr">
        <is>
          <t>KALMAR LÄN</t>
        </is>
      </c>
      <c r="E5407" t="inlineStr">
        <is>
          <t>TORSÅS</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8975-2025</t>
        </is>
      </c>
      <c r="B5408" s="1" t="n">
        <v>45713.50678240741</v>
      </c>
      <c r="C5408" s="1" t="n">
        <v>45884</v>
      </c>
      <c r="D5408" t="inlineStr">
        <is>
          <t>KALMAR LÄN</t>
        </is>
      </c>
      <c r="E5408" t="inlineStr">
        <is>
          <t>TORSÅS</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12380-2024</t>
        </is>
      </c>
      <c r="B5409" s="1" t="n">
        <v>45379</v>
      </c>
      <c r="C5409" s="1" t="n">
        <v>45884</v>
      </c>
      <c r="D5409" t="inlineStr">
        <is>
          <t>KALMAR LÄN</t>
        </is>
      </c>
      <c r="E5409" t="inlineStr">
        <is>
          <t>NYBRO</t>
        </is>
      </c>
      <c r="G5409" t="n">
        <v>1.6</v>
      </c>
      <c r="H5409" t="n">
        <v>0</v>
      </c>
      <c r="I5409" t="n">
        <v>0</v>
      </c>
      <c r="J5409" t="n">
        <v>0</v>
      </c>
      <c r="K5409" t="n">
        <v>0</v>
      </c>
      <c r="L5409" t="n">
        <v>0</v>
      </c>
      <c r="M5409" t="n">
        <v>0</v>
      </c>
      <c r="N5409" t="n">
        <v>0</v>
      </c>
      <c r="O5409" t="n">
        <v>0</v>
      </c>
      <c r="P5409" t="n">
        <v>0</v>
      </c>
      <c r="Q5409" t="n">
        <v>0</v>
      </c>
      <c r="R5409" s="2" t="inlineStr"/>
    </row>
    <row r="5410" ht="15" customHeight="1">
      <c r="A5410" t="inlineStr">
        <is>
          <t>A 2350-2024</t>
        </is>
      </c>
      <c r="B5410" s="1" t="n">
        <v>45310.58383101852</v>
      </c>
      <c r="C5410" s="1" t="n">
        <v>45884</v>
      </c>
      <c r="D5410" t="inlineStr">
        <is>
          <t>KALMAR LÄN</t>
        </is>
      </c>
      <c r="E5410" t="inlineStr">
        <is>
          <t>EMMABODA</t>
        </is>
      </c>
      <c r="G5410" t="n">
        <v>3.1</v>
      </c>
      <c r="H5410" t="n">
        <v>0</v>
      </c>
      <c r="I5410" t="n">
        <v>0</v>
      </c>
      <c r="J5410" t="n">
        <v>0</v>
      </c>
      <c r="K5410" t="n">
        <v>0</v>
      </c>
      <c r="L5410" t="n">
        <v>0</v>
      </c>
      <c r="M5410" t="n">
        <v>0</v>
      </c>
      <c r="N5410" t="n">
        <v>0</v>
      </c>
      <c r="O5410" t="n">
        <v>0</v>
      </c>
      <c r="P5410" t="n">
        <v>0</v>
      </c>
      <c r="Q5410" t="n">
        <v>0</v>
      </c>
      <c r="R5410" s="2" t="inlineStr"/>
    </row>
    <row r="5411" ht="15" customHeight="1">
      <c r="A5411" t="inlineStr">
        <is>
          <t>A 39983-2024</t>
        </is>
      </c>
      <c r="B5411" s="1" t="n">
        <v>45553.61674768518</v>
      </c>
      <c r="C5411" s="1" t="n">
        <v>45884</v>
      </c>
      <c r="D5411" t="inlineStr">
        <is>
          <t>KALMAR LÄN</t>
        </is>
      </c>
      <c r="E5411" t="inlineStr">
        <is>
          <t>VÄSTERVIK</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58002-2020</t>
        </is>
      </c>
      <c r="B5412" s="1" t="n">
        <v>44144</v>
      </c>
      <c r="C5412" s="1" t="n">
        <v>45884</v>
      </c>
      <c r="D5412" t="inlineStr">
        <is>
          <t>KALMAR LÄN</t>
        </is>
      </c>
      <c r="E5412" t="inlineStr">
        <is>
          <t>KALMAR</t>
        </is>
      </c>
      <c r="G5412" t="n">
        <v>3.1</v>
      </c>
      <c r="H5412" t="n">
        <v>0</v>
      </c>
      <c r="I5412" t="n">
        <v>0</v>
      </c>
      <c r="J5412" t="n">
        <v>0</v>
      </c>
      <c r="K5412" t="n">
        <v>0</v>
      </c>
      <c r="L5412" t="n">
        <v>0</v>
      </c>
      <c r="M5412" t="n">
        <v>0</v>
      </c>
      <c r="N5412" t="n">
        <v>0</v>
      </c>
      <c r="O5412" t="n">
        <v>0</v>
      </c>
      <c r="P5412" t="n">
        <v>0</v>
      </c>
      <c r="Q5412" t="n">
        <v>0</v>
      </c>
      <c r="R5412" s="2" t="inlineStr"/>
    </row>
    <row r="5413" ht="15" customHeight="1">
      <c r="A5413" t="inlineStr">
        <is>
          <t>A 4762-2025</t>
        </is>
      </c>
      <c r="B5413" s="1" t="n">
        <v>45688.48016203703</v>
      </c>
      <c r="C5413" s="1" t="n">
        <v>45884</v>
      </c>
      <c r="D5413" t="inlineStr">
        <is>
          <t>KALMAR LÄN</t>
        </is>
      </c>
      <c r="E5413" t="inlineStr">
        <is>
          <t>KALMAR</t>
        </is>
      </c>
      <c r="G5413" t="n">
        <v>1.5</v>
      </c>
      <c r="H5413" t="n">
        <v>0</v>
      </c>
      <c r="I5413" t="n">
        <v>0</v>
      </c>
      <c r="J5413" t="n">
        <v>0</v>
      </c>
      <c r="K5413" t="n">
        <v>0</v>
      </c>
      <c r="L5413" t="n">
        <v>0</v>
      </c>
      <c r="M5413" t="n">
        <v>0</v>
      </c>
      <c r="N5413" t="n">
        <v>0</v>
      </c>
      <c r="O5413" t="n">
        <v>0</v>
      </c>
      <c r="P5413" t="n">
        <v>0</v>
      </c>
      <c r="Q5413" t="n">
        <v>0</v>
      </c>
      <c r="R5413" s="2" t="inlineStr"/>
    </row>
    <row r="5414" ht="15" customHeight="1">
      <c r="A5414" t="inlineStr">
        <is>
          <t>A 12328-2023</t>
        </is>
      </c>
      <c r="B5414" s="1" t="n">
        <v>44999.36128472222</v>
      </c>
      <c r="C5414" s="1" t="n">
        <v>45884</v>
      </c>
      <c r="D5414" t="inlineStr">
        <is>
          <t>KALMAR LÄN</t>
        </is>
      </c>
      <c r="E5414" t="inlineStr">
        <is>
          <t>HULTSFRED</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36014-2024</t>
        </is>
      </c>
      <c r="B5415" s="1" t="n">
        <v>45533.56108796296</v>
      </c>
      <c r="C5415" s="1" t="n">
        <v>45884</v>
      </c>
      <c r="D5415" t="inlineStr">
        <is>
          <t>KALMAR LÄN</t>
        </is>
      </c>
      <c r="E5415" t="inlineStr">
        <is>
          <t>VIMMERBY</t>
        </is>
      </c>
      <c r="G5415" t="n">
        <v>2.3</v>
      </c>
      <c r="H5415" t="n">
        <v>0</v>
      </c>
      <c r="I5415" t="n">
        <v>0</v>
      </c>
      <c r="J5415" t="n">
        <v>0</v>
      </c>
      <c r="K5415" t="n">
        <v>0</v>
      </c>
      <c r="L5415" t="n">
        <v>0</v>
      </c>
      <c r="M5415" t="n">
        <v>0</v>
      </c>
      <c r="N5415" t="n">
        <v>0</v>
      </c>
      <c r="O5415" t="n">
        <v>0</v>
      </c>
      <c r="P5415" t="n">
        <v>0</v>
      </c>
      <c r="Q5415" t="n">
        <v>0</v>
      </c>
      <c r="R5415" s="2" t="inlineStr"/>
    </row>
    <row r="5416" ht="15" customHeight="1">
      <c r="A5416" t="inlineStr">
        <is>
          <t>A 36030-2024</t>
        </is>
      </c>
      <c r="B5416" s="1" t="n">
        <v>45533.58302083334</v>
      </c>
      <c r="C5416" s="1" t="n">
        <v>45884</v>
      </c>
      <c r="D5416" t="inlineStr">
        <is>
          <t>KALMAR LÄN</t>
        </is>
      </c>
      <c r="E5416" t="inlineStr">
        <is>
          <t>VIMMERBY</t>
        </is>
      </c>
      <c r="F5416" t="inlineStr">
        <is>
          <t>Kommuner</t>
        </is>
      </c>
      <c r="G5416" t="n">
        <v>4</v>
      </c>
      <c r="H5416" t="n">
        <v>0</v>
      </c>
      <c r="I5416" t="n">
        <v>0</v>
      </c>
      <c r="J5416" t="n">
        <v>0</v>
      </c>
      <c r="K5416" t="n">
        <v>0</v>
      </c>
      <c r="L5416" t="n">
        <v>0</v>
      </c>
      <c r="M5416" t="n">
        <v>0</v>
      </c>
      <c r="N5416" t="n">
        <v>0</v>
      </c>
      <c r="O5416" t="n">
        <v>0</v>
      </c>
      <c r="P5416" t="n">
        <v>0</v>
      </c>
      <c r="Q5416" t="n">
        <v>0</v>
      </c>
      <c r="R5416" s="2" t="inlineStr"/>
    </row>
    <row r="5417" ht="15" customHeight="1">
      <c r="A5417" t="inlineStr">
        <is>
          <t>A 14167-2025</t>
        </is>
      </c>
      <c r="B5417" s="1" t="n">
        <v>45740.51246527778</v>
      </c>
      <c r="C5417" s="1" t="n">
        <v>45884</v>
      </c>
      <c r="D5417" t="inlineStr">
        <is>
          <t>KALMAR LÄN</t>
        </is>
      </c>
      <c r="E5417" t="inlineStr">
        <is>
          <t>EMMABODA</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5060-2025</t>
        </is>
      </c>
      <c r="B5418" s="1" t="n">
        <v>45691.47354166667</v>
      </c>
      <c r="C5418" s="1" t="n">
        <v>45884</v>
      </c>
      <c r="D5418" t="inlineStr">
        <is>
          <t>KALMAR LÄN</t>
        </is>
      </c>
      <c r="E5418" t="inlineStr">
        <is>
          <t>VÄSTERVIK</t>
        </is>
      </c>
      <c r="F5418" t="inlineStr">
        <is>
          <t>Holmen skog AB</t>
        </is>
      </c>
      <c r="G5418" t="n">
        <v>2.9</v>
      </c>
      <c r="H5418" t="n">
        <v>0</v>
      </c>
      <c r="I5418" t="n">
        <v>0</v>
      </c>
      <c r="J5418" t="n">
        <v>0</v>
      </c>
      <c r="K5418" t="n">
        <v>0</v>
      </c>
      <c r="L5418" t="n">
        <v>0</v>
      </c>
      <c r="M5418" t="n">
        <v>0</v>
      </c>
      <c r="N5418" t="n">
        <v>0</v>
      </c>
      <c r="O5418" t="n">
        <v>0</v>
      </c>
      <c r="P5418" t="n">
        <v>0</v>
      </c>
      <c r="Q5418" t="n">
        <v>0</v>
      </c>
      <c r="R5418" s="2" t="inlineStr"/>
    </row>
    <row r="5419" ht="15" customHeight="1">
      <c r="A5419" t="inlineStr">
        <is>
          <t>A 681-2025</t>
        </is>
      </c>
      <c r="B5419" s="1" t="n">
        <v>45664.88829861111</v>
      </c>
      <c r="C5419" s="1" t="n">
        <v>45884</v>
      </c>
      <c r="D5419" t="inlineStr">
        <is>
          <t>KALMAR LÄN</t>
        </is>
      </c>
      <c r="E5419" t="inlineStr">
        <is>
          <t>NYBRO</t>
        </is>
      </c>
      <c r="G5419" t="n">
        <v>2.5</v>
      </c>
      <c r="H5419" t="n">
        <v>0</v>
      </c>
      <c r="I5419" t="n">
        <v>0</v>
      </c>
      <c r="J5419" t="n">
        <v>0</v>
      </c>
      <c r="K5419" t="n">
        <v>0</v>
      </c>
      <c r="L5419" t="n">
        <v>0</v>
      </c>
      <c r="M5419" t="n">
        <v>0</v>
      </c>
      <c r="N5419" t="n">
        <v>0</v>
      </c>
      <c r="O5419" t="n">
        <v>0</v>
      </c>
      <c r="P5419" t="n">
        <v>0</v>
      </c>
      <c r="Q5419" t="n">
        <v>0</v>
      </c>
      <c r="R5419" s="2" t="inlineStr"/>
    </row>
    <row r="5420" ht="15" customHeight="1">
      <c r="A5420" t="inlineStr">
        <is>
          <t>A 59689-2021</t>
        </is>
      </c>
      <c r="B5420" s="1" t="n">
        <v>44494.39315972223</v>
      </c>
      <c r="C5420" s="1" t="n">
        <v>45884</v>
      </c>
      <c r="D5420" t="inlineStr">
        <is>
          <t>KALMAR LÄN</t>
        </is>
      </c>
      <c r="E5420" t="inlineStr">
        <is>
          <t>NYBRO</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32865-2023</t>
        </is>
      </c>
      <c r="B5421" s="1" t="n">
        <v>45124</v>
      </c>
      <c r="C5421" s="1" t="n">
        <v>45884</v>
      </c>
      <c r="D5421" t="inlineStr">
        <is>
          <t>KALMAR LÄN</t>
        </is>
      </c>
      <c r="E5421" t="inlineStr">
        <is>
          <t>VIMMERBY</t>
        </is>
      </c>
      <c r="G5421" t="n">
        <v>0.5</v>
      </c>
      <c r="H5421" t="n">
        <v>0</v>
      </c>
      <c r="I5421" t="n">
        <v>0</v>
      </c>
      <c r="J5421" t="n">
        <v>0</v>
      </c>
      <c r="K5421" t="n">
        <v>0</v>
      </c>
      <c r="L5421" t="n">
        <v>0</v>
      </c>
      <c r="M5421" t="n">
        <v>0</v>
      </c>
      <c r="N5421" t="n">
        <v>0</v>
      </c>
      <c r="O5421" t="n">
        <v>0</v>
      </c>
      <c r="P5421" t="n">
        <v>0</v>
      </c>
      <c r="Q5421" t="n">
        <v>0</v>
      </c>
      <c r="R5421" s="2" t="inlineStr"/>
    </row>
    <row r="5422" ht="15" customHeight="1">
      <c r="A5422" t="inlineStr">
        <is>
          <t>A 40929-2022</t>
        </is>
      </c>
      <c r="B5422" s="1" t="n">
        <v>44825.4336574074</v>
      </c>
      <c r="C5422" s="1" t="n">
        <v>45884</v>
      </c>
      <c r="D5422" t="inlineStr">
        <is>
          <t>KALMAR LÄN</t>
        </is>
      </c>
      <c r="E5422" t="inlineStr">
        <is>
          <t>VIMMERBY</t>
        </is>
      </c>
      <c r="G5422" t="n">
        <v>2.5</v>
      </c>
      <c r="H5422" t="n">
        <v>0</v>
      </c>
      <c r="I5422" t="n">
        <v>0</v>
      </c>
      <c r="J5422" t="n">
        <v>0</v>
      </c>
      <c r="K5422" t="n">
        <v>0</v>
      </c>
      <c r="L5422" t="n">
        <v>0</v>
      </c>
      <c r="M5422" t="n">
        <v>0</v>
      </c>
      <c r="N5422" t="n">
        <v>0</v>
      </c>
      <c r="O5422" t="n">
        <v>0</v>
      </c>
      <c r="P5422" t="n">
        <v>0</v>
      </c>
      <c r="Q5422" t="n">
        <v>0</v>
      </c>
      <c r="R5422" s="2" t="inlineStr"/>
    </row>
    <row r="5423" ht="15" customHeight="1">
      <c r="A5423" t="inlineStr">
        <is>
          <t>A 942-2024</t>
        </is>
      </c>
      <c r="B5423" s="1" t="n">
        <v>45301.53930555555</v>
      </c>
      <c r="C5423" s="1" t="n">
        <v>45884</v>
      </c>
      <c r="D5423" t="inlineStr">
        <is>
          <t>KALMAR LÄN</t>
        </is>
      </c>
      <c r="E5423" t="inlineStr">
        <is>
          <t>VÄSTERVIK</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59023-2024</t>
        </is>
      </c>
      <c r="B5424" s="1" t="n">
        <v>45636.68237268519</v>
      </c>
      <c r="C5424" s="1" t="n">
        <v>45884</v>
      </c>
      <c r="D5424" t="inlineStr">
        <is>
          <t>KALMAR LÄN</t>
        </is>
      </c>
      <c r="E5424" t="inlineStr">
        <is>
          <t>NYBRO</t>
        </is>
      </c>
      <c r="G5424" t="n">
        <v>5.2</v>
      </c>
      <c r="H5424" t="n">
        <v>0</v>
      </c>
      <c r="I5424" t="n">
        <v>0</v>
      </c>
      <c r="J5424" t="n">
        <v>0</v>
      </c>
      <c r="K5424" t="n">
        <v>0</v>
      </c>
      <c r="L5424" t="n">
        <v>0</v>
      </c>
      <c r="M5424" t="n">
        <v>0</v>
      </c>
      <c r="N5424" t="n">
        <v>0</v>
      </c>
      <c r="O5424" t="n">
        <v>0</v>
      </c>
      <c r="P5424" t="n">
        <v>0</v>
      </c>
      <c r="Q5424" t="n">
        <v>0</v>
      </c>
      <c r="R5424" s="2" t="inlineStr"/>
    </row>
    <row r="5425" ht="15" customHeight="1">
      <c r="A5425" t="inlineStr">
        <is>
          <t>A 59581-2024</t>
        </is>
      </c>
      <c r="B5425" s="1" t="n">
        <v>45638</v>
      </c>
      <c r="C5425" s="1" t="n">
        <v>45884</v>
      </c>
      <c r="D5425" t="inlineStr">
        <is>
          <t>KALMAR LÄN</t>
        </is>
      </c>
      <c r="E5425" t="inlineStr">
        <is>
          <t>HÖGSBY</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112-2023</t>
        </is>
      </c>
      <c r="B5426" s="1" t="n">
        <v>44928.4900462963</v>
      </c>
      <c r="C5426" s="1" t="n">
        <v>45884</v>
      </c>
      <c r="D5426" t="inlineStr">
        <is>
          <t>KALMAR LÄN</t>
        </is>
      </c>
      <c r="E5426" t="inlineStr">
        <is>
          <t>HULTSFRED</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144-2023</t>
        </is>
      </c>
      <c r="B5427" s="1" t="n">
        <v>44928</v>
      </c>
      <c r="C5427" s="1" t="n">
        <v>45884</v>
      </c>
      <c r="D5427" t="inlineStr">
        <is>
          <t>KALMAR LÄN</t>
        </is>
      </c>
      <c r="E5427" t="inlineStr">
        <is>
          <t>HULTSFRED</t>
        </is>
      </c>
      <c r="F5427" t="inlineStr">
        <is>
          <t>Sveaskog</t>
        </is>
      </c>
      <c r="G5427" t="n">
        <v>1.7</v>
      </c>
      <c r="H5427" t="n">
        <v>0</v>
      </c>
      <c r="I5427" t="n">
        <v>0</v>
      </c>
      <c r="J5427" t="n">
        <v>0</v>
      </c>
      <c r="K5427" t="n">
        <v>0</v>
      </c>
      <c r="L5427" t="n">
        <v>0</v>
      </c>
      <c r="M5427" t="n">
        <v>0</v>
      </c>
      <c r="N5427" t="n">
        <v>0</v>
      </c>
      <c r="O5427" t="n">
        <v>0</v>
      </c>
      <c r="P5427" t="n">
        <v>0</v>
      </c>
      <c r="Q5427" t="n">
        <v>0</v>
      </c>
      <c r="R5427" s="2" t="inlineStr"/>
    </row>
    <row r="5428" ht="15" customHeight="1">
      <c r="A5428" t="inlineStr">
        <is>
          <t>A 43828-2021</t>
        </is>
      </c>
      <c r="B5428" s="1" t="n">
        <v>44433</v>
      </c>
      <c r="C5428" s="1" t="n">
        <v>45884</v>
      </c>
      <c r="D5428" t="inlineStr">
        <is>
          <t>KALMAR LÄN</t>
        </is>
      </c>
      <c r="E5428" t="inlineStr">
        <is>
          <t>VÄSTERVIK</t>
        </is>
      </c>
      <c r="G5428" t="n">
        <v>0.9</v>
      </c>
      <c r="H5428" t="n">
        <v>0</v>
      </c>
      <c r="I5428" t="n">
        <v>0</v>
      </c>
      <c r="J5428" t="n">
        <v>0</v>
      </c>
      <c r="K5428" t="n">
        <v>0</v>
      </c>
      <c r="L5428" t="n">
        <v>0</v>
      </c>
      <c r="M5428" t="n">
        <v>0</v>
      </c>
      <c r="N5428" t="n">
        <v>0</v>
      </c>
      <c r="O5428" t="n">
        <v>0</v>
      </c>
      <c r="P5428" t="n">
        <v>0</v>
      </c>
      <c r="Q5428" t="n">
        <v>0</v>
      </c>
      <c r="R5428" s="2" t="inlineStr"/>
    </row>
    <row r="5429" ht="15" customHeight="1">
      <c r="A5429" t="inlineStr">
        <is>
          <t>A 14924-2023</t>
        </is>
      </c>
      <c r="B5429" s="1" t="n">
        <v>45015</v>
      </c>
      <c r="C5429" s="1" t="n">
        <v>45884</v>
      </c>
      <c r="D5429" t="inlineStr">
        <is>
          <t>KALMAR LÄN</t>
        </is>
      </c>
      <c r="E5429" t="inlineStr">
        <is>
          <t>MÖNSTERÅS</t>
        </is>
      </c>
      <c r="G5429" t="n">
        <v>3.1</v>
      </c>
      <c r="H5429" t="n">
        <v>0</v>
      </c>
      <c r="I5429" t="n">
        <v>0</v>
      </c>
      <c r="J5429" t="n">
        <v>0</v>
      </c>
      <c r="K5429" t="n">
        <v>0</v>
      </c>
      <c r="L5429" t="n">
        <v>0</v>
      </c>
      <c r="M5429" t="n">
        <v>0</v>
      </c>
      <c r="N5429" t="n">
        <v>0</v>
      </c>
      <c r="O5429" t="n">
        <v>0</v>
      </c>
      <c r="P5429" t="n">
        <v>0</v>
      </c>
      <c r="Q5429" t="n">
        <v>0</v>
      </c>
      <c r="R5429" s="2" t="inlineStr"/>
    </row>
    <row r="5430" ht="15" customHeight="1">
      <c r="A5430" t="inlineStr">
        <is>
          <t>A 16582-2025</t>
        </is>
      </c>
      <c r="B5430" s="1" t="n">
        <v>45752.7362037037</v>
      </c>
      <c r="C5430" s="1" t="n">
        <v>45884</v>
      </c>
      <c r="D5430" t="inlineStr">
        <is>
          <t>KALMAR LÄN</t>
        </is>
      </c>
      <c r="E5430" t="inlineStr">
        <is>
          <t>TORSÅS</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6314-2025</t>
        </is>
      </c>
      <c r="B5431" s="1" t="n">
        <v>45698.7259837963</v>
      </c>
      <c r="C5431" s="1" t="n">
        <v>45884</v>
      </c>
      <c r="D5431" t="inlineStr">
        <is>
          <t>KALMAR LÄN</t>
        </is>
      </c>
      <c r="E5431" t="inlineStr">
        <is>
          <t>VIMMERBY</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42743-2024</t>
        </is>
      </c>
      <c r="B5432" s="1" t="n">
        <v>45566.4808449074</v>
      </c>
      <c r="C5432" s="1" t="n">
        <v>45884</v>
      </c>
      <c r="D5432" t="inlineStr">
        <is>
          <t>KALMAR LÄN</t>
        </is>
      </c>
      <c r="E5432" t="inlineStr">
        <is>
          <t>HULTSFRED</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46395-2024</t>
        </is>
      </c>
      <c r="B5433" s="1" t="n">
        <v>45582.40756944445</v>
      </c>
      <c r="C5433" s="1" t="n">
        <v>45884</v>
      </c>
      <c r="D5433" t="inlineStr">
        <is>
          <t>KALMAR LÄN</t>
        </is>
      </c>
      <c r="E5433" t="inlineStr">
        <is>
          <t>KALMAR</t>
        </is>
      </c>
      <c r="G5433" t="n">
        <v>2.3</v>
      </c>
      <c r="H5433" t="n">
        <v>0</v>
      </c>
      <c r="I5433" t="n">
        <v>0</v>
      </c>
      <c r="J5433" t="n">
        <v>0</v>
      </c>
      <c r="K5433" t="n">
        <v>0</v>
      </c>
      <c r="L5433" t="n">
        <v>0</v>
      </c>
      <c r="M5433" t="n">
        <v>0</v>
      </c>
      <c r="N5433" t="n">
        <v>0</v>
      </c>
      <c r="O5433" t="n">
        <v>0</v>
      </c>
      <c r="P5433" t="n">
        <v>0</v>
      </c>
      <c r="Q5433" t="n">
        <v>0</v>
      </c>
      <c r="R5433" s="2" t="inlineStr"/>
    </row>
    <row r="5434" ht="15" customHeight="1">
      <c r="A5434" t="inlineStr">
        <is>
          <t>A 14467-2024</t>
        </is>
      </c>
      <c r="B5434" s="1" t="n">
        <v>45394</v>
      </c>
      <c r="C5434" s="1" t="n">
        <v>45884</v>
      </c>
      <c r="D5434" t="inlineStr">
        <is>
          <t>KALMAR LÄN</t>
        </is>
      </c>
      <c r="E5434" t="inlineStr">
        <is>
          <t>EMMABODA</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54806-2023</t>
        </is>
      </c>
      <c r="B5435" s="1" t="n">
        <v>45236.51583333333</v>
      </c>
      <c r="C5435" s="1" t="n">
        <v>45884</v>
      </c>
      <c r="D5435" t="inlineStr">
        <is>
          <t>KALMAR LÄN</t>
        </is>
      </c>
      <c r="E5435" t="inlineStr">
        <is>
          <t>KALMAR</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3344-2025</t>
        </is>
      </c>
      <c r="B5436" s="1" t="n">
        <v>45679</v>
      </c>
      <c r="C5436" s="1" t="n">
        <v>45884</v>
      </c>
      <c r="D5436" t="inlineStr">
        <is>
          <t>KALMAR LÄN</t>
        </is>
      </c>
      <c r="E5436" t="inlineStr">
        <is>
          <t>NYBRO</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53191-2023</t>
        </is>
      </c>
      <c r="B5437" s="1" t="n">
        <v>45229</v>
      </c>
      <c r="C5437" s="1" t="n">
        <v>45884</v>
      </c>
      <c r="D5437" t="inlineStr">
        <is>
          <t>KALMAR LÄN</t>
        </is>
      </c>
      <c r="E5437" t="inlineStr">
        <is>
          <t>HULTSFRED</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53196-2023</t>
        </is>
      </c>
      <c r="B5438" s="1" t="n">
        <v>45229.44927083333</v>
      </c>
      <c r="C5438" s="1" t="n">
        <v>45884</v>
      </c>
      <c r="D5438" t="inlineStr">
        <is>
          <t>KALMAR LÄN</t>
        </is>
      </c>
      <c r="E5438" t="inlineStr">
        <is>
          <t>KALMAR</t>
        </is>
      </c>
      <c r="G5438" t="n">
        <v>2.3</v>
      </c>
      <c r="H5438" t="n">
        <v>0</v>
      </c>
      <c r="I5438" t="n">
        <v>0</v>
      </c>
      <c r="J5438" t="n">
        <v>0</v>
      </c>
      <c r="K5438" t="n">
        <v>0</v>
      </c>
      <c r="L5438" t="n">
        <v>0</v>
      </c>
      <c r="M5438" t="n">
        <v>0</v>
      </c>
      <c r="N5438" t="n">
        <v>0</v>
      </c>
      <c r="O5438" t="n">
        <v>0</v>
      </c>
      <c r="P5438" t="n">
        <v>0</v>
      </c>
      <c r="Q5438" t="n">
        <v>0</v>
      </c>
      <c r="R5438" s="2" t="inlineStr"/>
    </row>
    <row r="5439" ht="15" customHeight="1">
      <c r="A5439" t="inlineStr">
        <is>
          <t>A 62455-2022</t>
        </is>
      </c>
      <c r="B5439" s="1" t="n">
        <v>44924</v>
      </c>
      <c r="C5439" s="1" t="n">
        <v>45884</v>
      </c>
      <c r="D5439" t="inlineStr">
        <is>
          <t>KALMAR LÄN</t>
        </is>
      </c>
      <c r="E5439" t="inlineStr">
        <is>
          <t>KALMAR</t>
        </is>
      </c>
      <c r="G5439" t="n">
        <v>3.1</v>
      </c>
      <c r="H5439" t="n">
        <v>0</v>
      </c>
      <c r="I5439" t="n">
        <v>0</v>
      </c>
      <c r="J5439" t="n">
        <v>0</v>
      </c>
      <c r="K5439" t="n">
        <v>0</v>
      </c>
      <c r="L5439" t="n">
        <v>0</v>
      </c>
      <c r="M5439" t="n">
        <v>0</v>
      </c>
      <c r="N5439" t="n">
        <v>0</v>
      </c>
      <c r="O5439" t="n">
        <v>0</v>
      </c>
      <c r="P5439" t="n">
        <v>0</v>
      </c>
      <c r="Q5439" t="n">
        <v>0</v>
      </c>
      <c r="R5439" s="2" t="inlineStr"/>
    </row>
    <row r="5440" ht="15" customHeight="1">
      <c r="A5440" t="inlineStr">
        <is>
          <t>A 32190-2023</t>
        </is>
      </c>
      <c r="B5440" s="1" t="n">
        <v>45119</v>
      </c>
      <c r="C5440" s="1" t="n">
        <v>45884</v>
      </c>
      <c r="D5440" t="inlineStr">
        <is>
          <t>KALMAR LÄN</t>
        </is>
      </c>
      <c r="E5440" t="inlineStr">
        <is>
          <t>KALMAR</t>
        </is>
      </c>
      <c r="G5440" t="n">
        <v>1.3</v>
      </c>
      <c r="H5440" t="n">
        <v>0</v>
      </c>
      <c r="I5440" t="n">
        <v>0</v>
      </c>
      <c r="J5440" t="n">
        <v>0</v>
      </c>
      <c r="K5440" t="n">
        <v>0</v>
      </c>
      <c r="L5440" t="n">
        <v>0</v>
      </c>
      <c r="M5440" t="n">
        <v>0</v>
      </c>
      <c r="N5440" t="n">
        <v>0</v>
      </c>
      <c r="O5440" t="n">
        <v>0</v>
      </c>
      <c r="P5440" t="n">
        <v>0</v>
      </c>
      <c r="Q5440" t="n">
        <v>0</v>
      </c>
      <c r="R5440" s="2" t="inlineStr"/>
    </row>
    <row r="5441" ht="15" customHeight="1">
      <c r="A5441" t="inlineStr">
        <is>
          <t>A 41694-2022</t>
        </is>
      </c>
      <c r="B5441" s="1" t="n">
        <v>44827</v>
      </c>
      <c r="C5441" s="1" t="n">
        <v>45884</v>
      </c>
      <c r="D5441" t="inlineStr">
        <is>
          <t>KALMAR LÄN</t>
        </is>
      </c>
      <c r="E5441" t="inlineStr">
        <is>
          <t>HULTSFRED</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7672-2024</t>
        </is>
      </c>
      <c r="B5442" s="1" t="n">
        <v>45348.83976851852</v>
      </c>
      <c r="C5442" s="1" t="n">
        <v>45884</v>
      </c>
      <c r="D5442" t="inlineStr">
        <is>
          <t>KALMAR LÄN</t>
        </is>
      </c>
      <c r="E5442" t="inlineStr">
        <is>
          <t>OSKARSHAMN</t>
        </is>
      </c>
      <c r="F5442" t="inlineStr">
        <is>
          <t>Sveaskog</t>
        </is>
      </c>
      <c r="G5442" t="n">
        <v>1.9</v>
      </c>
      <c r="H5442" t="n">
        <v>0</v>
      </c>
      <c r="I5442" t="n">
        <v>0</v>
      </c>
      <c r="J5442" t="n">
        <v>0</v>
      </c>
      <c r="K5442" t="n">
        <v>0</v>
      </c>
      <c r="L5442" t="n">
        <v>0</v>
      </c>
      <c r="M5442" t="n">
        <v>0</v>
      </c>
      <c r="N5442" t="n">
        <v>0</v>
      </c>
      <c r="O5442" t="n">
        <v>0</v>
      </c>
      <c r="P5442" t="n">
        <v>0</v>
      </c>
      <c r="Q5442" t="n">
        <v>0</v>
      </c>
      <c r="R5442" s="2" t="inlineStr"/>
    </row>
    <row r="5443" ht="15" customHeight="1">
      <c r="A5443" t="inlineStr">
        <is>
          <t>A 47270-2024</t>
        </is>
      </c>
      <c r="B5443" s="1" t="n">
        <v>45586</v>
      </c>
      <c r="C5443" s="1" t="n">
        <v>45884</v>
      </c>
      <c r="D5443" t="inlineStr">
        <is>
          <t>KALMAR LÄN</t>
        </is>
      </c>
      <c r="E5443" t="inlineStr">
        <is>
          <t>NYBRO</t>
        </is>
      </c>
      <c r="G5443" t="n">
        <v>0.5</v>
      </c>
      <c r="H5443" t="n">
        <v>0</v>
      </c>
      <c r="I5443" t="n">
        <v>0</v>
      </c>
      <c r="J5443" t="n">
        <v>0</v>
      </c>
      <c r="K5443" t="n">
        <v>0</v>
      </c>
      <c r="L5443" t="n">
        <v>0</v>
      </c>
      <c r="M5443" t="n">
        <v>0</v>
      </c>
      <c r="N5443" t="n">
        <v>0</v>
      </c>
      <c r="O5443" t="n">
        <v>0</v>
      </c>
      <c r="P5443" t="n">
        <v>0</v>
      </c>
      <c r="Q5443" t="n">
        <v>0</v>
      </c>
      <c r="R5443" s="2" t="inlineStr"/>
    </row>
    <row r="5444" ht="15" customHeight="1">
      <c r="A5444" t="inlineStr">
        <is>
          <t>A 42918-2021</t>
        </is>
      </c>
      <c r="B5444" s="1" t="n">
        <v>44431</v>
      </c>
      <c r="C5444" s="1" t="n">
        <v>45884</v>
      </c>
      <c r="D5444" t="inlineStr">
        <is>
          <t>KALMAR LÄN</t>
        </is>
      </c>
      <c r="E5444" t="inlineStr">
        <is>
          <t>VIMMERBY</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20201-2024</t>
        </is>
      </c>
      <c r="B5445" s="1" t="n">
        <v>45434.65105324074</v>
      </c>
      <c r="C5445" s="1" t="n">
        <v>45884</v>
      </c>
      <c r="D5445" t="inlineStr">
        <is>
          <t>KALMAR LÄN</t>
        </is>
      </c>
      <c r="E5445" t="inlineStr">
        <is>
          <t>MÖNSTERÅS</t>
        </is>
      </c>
      <c r="F5445" t="inlineStr">
        <is>
          <t>Kommuner</t>
        </is>
      </c>
      <c r="G5445" t="n">
        <v>2.2</v>
      </c>
      <c r="H5445" t="n">
        <v>0</v>
      </c>
      <c r="I5445" t="n">
        <v>0</v>
      </c>
      <c r="J5445" t="n">
        <v>0</v>
      </c>
      <c r="K5445" t="n">
        <v>0</v>
      </c>
      <c r="L5445" t="n">
        <v>0</v>
      </c>
      <c r="M5445" t="n">
        <v>0</v>
      </c>
      <c r="N5445" t="n">
        <v>0</v>
      </c>
      <c r="O5445" t="n">
        <v>0</v>
      </c>
      <c r="P5445" t="n">
        <v>0</v>
      </c>
      <c r="Q5445" t="n">
        <v>0</v>
      </c>
      <c r="R5445" s="2" t="inlineStr"/>
      <c r="U5445">
        <f>HYPERLINK("https://klasma.github.io/Logging_0861/knärot/A 20201-2024 karta knärot.png", "A 20201-2024")</f>
        <v/>
      </c>
      <c r="V5445">
        <f>HYPERLINK("https://klasma.github.io/Logging_0861/klagomål/A 20201-2024 FSC-klagomål.docx", "A 20201-2024")</f>
        <v/>
      </c>
      <c r="W5445">
        <f>HYPERLINK("https://klasma.github.io/Logging_0861/klagomålsmail/A 20201-2024 FSC-klagomål mail.docx", "A 20201-2024")</f>
        <v/>
      </c>
      <c r="X5445">
        <f>HYPERLINK("https://klasma.github.io/Logging_0861/tillsyn/A 20201-2024 tillsynsbegäran.docx", "A 20201-2024")</f>
        <v/>
      </c>
      <c r="Y5445">
        <f>HYPERLINK("https://klasma.github.io/Logging_0861/tillsynsmail/A 20201-2024 tillsynsbegäran mail.docx", "A 20201-2024")</f>
        <v/>
      </c>
    </row>
    <row r="5446" ht="15" customHeight="1">
      <c r="A5446" t="inlineStr">
        <is>
          <t>A 4885-2023</t>
        </is>
      </c>
      <c r="B5446" s="1" t="n">
        <v>44955</v>
      </c>
      <c r="C5446" s="1" t="n">
        <v>45884</v>
      </c>
      <c r="D5446" t="inlineStr">
        <is>
          <t>KALMAR LÄN</t>
        </is>
      </c>
      <c r="E5446" t="inlineStr">
        <is>
          <t>EMMABODA</t>
        </is>
      </c>
      <c r="G5446" t="n">
        <v>4.7</v>
      </c>
      <c r="H5446" t="n">
        <v>0</v>
      </c>
      <c r="I5446" t="n">
        <v>0</v>
      </c>
      <c r="J5446" t="n">
        <v>0</v>
      </c>
      <c r="K5446" t="n">
        <v>0</v>
      </c>
      <c r="L5446" t="n">
        <v>0</v>
      </c>
      <c r="M5446" t="n">
        <v>0</v>
      </c>
      <c r="N5446" t="n">
        <v>0</v>
      </c>
      <c r="O5446" t="n">
        <v>0</v>
      </c>
      <c r="P5446" t="n">
        <v>0</v>
      </c>
      <c r="Q5446" t="n">
        <v>0</v>
      </c>
      <c r="R5446" s="2" t="inlineStr"/>
    </row>
    <row r="5447" ht="15" customHeight="1">
      <c r="A5447" t="inlineStr">
        <is>
          <t>A 44215-2024</t>
        </is>
      </c>
      <c r="B5447" s="1" t="n">
        <v>45573.3758912037</v>
      </c>
      <c r="C5447" s="1" t="n">
        <v>45884</v>
      </c>
      <c r="D5447" t="inlineStr">
        <is>
          <t>KALMAR LÄN</t>
        </is>
      </c>
      <c r="E5447" t="inlineStr">
        <is>
          <t>EMMABODA</t>
        </is>
      </c>
      <c r="G5447" t="n">
        <v>2.6</v>
      </c>
      <c r="H5447" t="n">
        <v>0</v>
      </c>
      <c r="I5447" t="n">
        <v>0</v>
      </c>
      <c r="J5447" t="n">
        <v>0</v>
      </c>
      <c r="K5447" t="n">
        <v>0</v>
      </c>
      <c r="L5447" t="n">
        <v>0</v>
      </c>
      <c r="M5447" t="n">
        <v>0</v>
      </c>
      <c r="N5447" t="n">
        <v>0</v>
      </c>
      <c r="O5447" t="n">
        <v>0</v>
      </c>
      <c r="P5447" t="n">
        <v>0</v>
      </c>
      <c r="Q5447" t="n">
        <v>0</v>
      </c>
      <c r="R5447" s="2" t="inlineStr"/>
    </row>
    <row r="5448" ht="15" customHeight="1">
      <c r="A5448" t="inlineStr">
        <is>
          <t>A 51448-2024</t>
        </is>
      </c>
      <c r="B5448" s="1" t="n">
        <v>45603</v>
      </c>
      <c r="C5448" s="1" t="n">
        <v>45884</v>
      </c>
      <c r="D5448" t="inlineStr">
        <is>
          <t>KALMAR LÄN</t>
        </is>
      </c>
      <c r="E5448" t="inlineStr">
        <is>
          <t>NYBRO</t>
        </is>
      </c>
      <c r="G5448" t="n">
        <v>2.4</v>
      </c>
      <c r="H5448" t="n">
        <v>0</v>
      </c>
      <c r="I5448" t="n">
        <v>0</v>
      </c>
      <c r="J5448" t="n">
        <v>0</v>
      </c>
      <c r="K5448" t="n">
        <v>0</v>
      </c>
      <c r="L5448" t="n">
        <v>0</v>
      </c>
      <c r="M5448" t="n">
        <v>0</v>
      </c>
      <c r="N5448" t="n">
        <v>0</v>
      </c>
      <c r="O5448" t="n">
        <v>0</v>
      </c>
      <c r="P5448" t="n">
        <v>0</v>
      </c>
      <c r="Q5448" t="n">
        <v>0</v>
      </c>
      <c r="R5448" s="2" t="inlineStr"/>
    </row>
    <row r="5449" ht="15" customHeight="1">
      <c r="A5449" t="inlineStr">
        <is>
          <t>A 17650-2023</t>
        </is>
      </c>
      <c r="B5449" s="1" t="n">
        <v>45036.70215277778</v>
      </c>
      <c r="C5449" s="1" t="n">
        <v>45884</v>
      </c>
      <c r="D5449" t="inlineStr">
        <is>
          <t>KALMAR LÄN</t>
        </is>
      </c>
      <c r="E5449" t="inlineStr">
        <is>
          <t>VÄSTERVIK</t>
        </is>
      </c>
      <c r="G5449" t="n">
        <v>0.3</v>
      </c>
      <c r="H5449" t="n">
        <v>0</v>
      </c>
      <c r="I5449" t="n">
        <v>0</v>
      </c>
      <c r="J5449" t="n">
        <v>0</v>
      </c>
      <c r="K5449" t="n">
        <v>0</v>
      </c>
      <c r="L5449" t="n">
        <v>0</v>
      </c>
      <c r="M5449" t="n">
        <v>0</v>
      </c>
      <c r="N5449" t="n">
        <v>0</v>
      </c>
      <c r="O5449" t="n">
        <v>0</v>
      </c>
      <c r="P5449" t="n">
        <v>0</v>
      </c>
      <c r="Q5449" t="n">
        <v>0</v>
      </c>
      <c r="R5449" s="2" t="inlineStr"/>
    </row>
    <row r="5450" ht="15" customHeight="1">
      <c r="A5450" t="inlineStr">
        <is>
          <t>A 10704-2024</t>
        </is>
      </c>
      <c r="B5450" s="1" t="n">
        <v>45369.43166666666</v>
      </c>
      <c r="C5450" s="1" t="n">
        <v>45884</v>
      </c>
      <c r="D5450" t="inlineStr">
        <is>
          <t>KALMAR LÄN</t>
        </is>
      </c>
      <c r="E5450" t="inlineStr">
        <is>
          <t>TORSÅS</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50086-2023</t>
        </is>
      </c>
      <c r="B5451" s="1" t="n">
        <v>45215.59601851852</v>
      </c>
      <c r="C5451" s="1" t="n">
        <v>45884</v>
      </c>
      <c r="D5451" t="inlineStr">
        <is>
          <t>KALMAR LÄN</t>
        </is>
      </c>
      <c r="E5451" t="inlineStr">
        <is>
          <t>VÄSTERVIK</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50091-2023</t>
        </is>
      </c>
      <c r="B5452" s="1" t="n">
        <v>45215.60199074074</v>
      </c>
      <c r="C5452" s="1" t="n">
        <v>45884</v>
      </c>
      <c r="D5452" t="inlineStr">
        <is>
          <t>KALMAR LÄN</t>
        </is>
      </c>
      <c r="E5452" t="inlineStr">
        <is>
          <t>VIMMERBY</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36573-2023</t>
        </is>
      </c>
      <c r="B5453" s="1" t="n">
        <v>45153.44043981482</v>
      </c>
      <c r="C5453" s="1" t="n">
        <v>45884</v>
      </c>
      <c r="D5453" t="inlineStr">
        <is>
          <t>KALMAR LÄN</t>
        </is>
      </c>
      <c r="E5453" t="inlineStr">
        <is>
          <t>HÖGSBY</t>
        </is>
      </c>
      <c r="G5453" t="n">
        <v>2.7</v>
      </c>
      <c r="H5453" t="n">
        <v>0</v>
      </c>
      <c r="I5453" t="n">
        <v>0</v>
      </c>
      <c r="J5453" t="n">
        <v>0</v>
      </c>
      <c r="K5453" t="n">
        <v>0</v>
      </c>
      <c r="L5453" t="n">
        <v>0</v>
      </c>
      <c r="M5453" t="n">
        <v>0</v>
      </c>
      <c r="N5453" t="n">
        <v>0</v>
      </c>
      <c r="O5453" t="n">
        <v>0</v>
      </c>
      <c r="P5453" t="n">
        <v>0</v>
      </c>
      <c r="Q5453" t="n">
        <v>0</v>
      </c>
      <c r="R5453" s="2" t="inlineStr"/>
    </row>
    <row r="5454" ht="15" customHeight="1">
      <c r="A5454" t="inlineStr">
        <is>
          <t>A 36631-2023</t>
        </is>
      </c>
      <c r="B5454" s="1" t="n">
        <v>45153</v>
      </c>
      <c r="C5454" s="1" t="n">
        <v>45884</v>
      </c>
      <c r="D5454" t="inlineStr">
        <is>
          <t>KALMAR LÄN</t>
        </is>
      </c>
      <c r="E5454" t="inlineStr">
        <is>
          <t>KALMAR</t>
        </is>
      </c>
      <c r="G5454" t="n">
        <v>6.4</v>
      </c>
      <c r="H5454" t="n">
        <v>0</v>
      </c>
      <c r="I5454" t="n">
        <v>0</v>
      </c>
      <c r="J5454" t="n">
        <v>0</v>
      </c>
      <c r="K5454" t="n">
        <v>0</v>
      </c>
      <c r="L5454" t="n">
        <v>0</v>
      </c>
      <c r="M5454" t="n">
        <v>0</v>
      </c>
      <c r="N5454" t="n">
        <v>0</v>
      </c>
      <c r="O5454" t="n">
        <v>0</v>
      </c>
      <c r="P5454" t="n">
        <v>0</v>
      </c>
      <c r="Q5454" t="n">
        <v>0</v>
      </c>
      <c r="R5454" s="2" t="inlineStr"/>
    </row>
    <row r="5455" ht="15" customHeight="1">
      <c r="A5455" t="inlineStr">
        <is>
          <t>A 12951-2023</t>
        </is>
      </c>
      <c r="B5455" s="1" t="n">
        <v>45001.74619212963</v>
      </c>
      <c r="C5455" s="1" t="n">
        <v>45884</v>
      </c>
      <c r="D5455" t="inlineStr">
        <is>
          <t>KALMAR LÄN</t>
        </is>
      </c>
      <c r="E5455" t="inlineStr">
        <is>
          <t>TORSÅS</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12954-2023</t>
        </is>
      </c>
      <c r="B5456" s="1" t="n">
        <v>45001.75320601852</v>
      </c>
      <c r="C5456" s="1" t="n">
        <v>45884</v>
      </c>
      <c r="D5456" t="inlineStr">
        <is>
          <t>KALMAR LÄN</t>
        </is>
      </c>
      <c r="E5456" t="inlineStr">
        <is>
          <t>TORSÅS</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443-2024</t>
        </is>
      </c>
      <c r="B5457" s="1" t="n">
        <v>45296</v>
      </c>
      <c r="C5457" s="1" t="n">
        <v>45884</v>
      </c>
      <c r="D5457" t="inlineStr">
        <is>
          <t>KALMAR LÄN</t>
        </is>
      </c>
      <c r="E5457" t="inlineStr">
        <is>
          <t>NYBRO</t>
        </is>
      </c>
      <c r="G5457" t="n">
        <v>3.9</v>
      </c>
      <c r="H5457" t="n">
        <v>0</v>
      </c>
      <c r="I5457" t="n">
        <v>0</v>
      </c>
      <c r="J5457" t="n">
        <v>0</v>
      </c>
      <c r="K5457" t="n">
        <v>0</v>
      </c>
      <c r="L5457" t="n">
        <v>0</v>
      </c>
      <c r="M5457" t="n">
        <v>0</v>
      </c>
      <c r="N5457" t="n">
        <v>0</v>
      </c>
      <c r="O5457" t="n">
        <v>0</v>
      </c>
      <c r="P5457" t="n">
        <v>0</v>
      </c>
      <c r="Q5457" t="n">
        <v>0</v>
      </c>
      <c r="R5457" s="2" t="inlineStr"/>
    </row>
    <row r="5458" ht="15" customHeight="1">
      <c r="A5458" t="inlineStr">
        <is>
          <t>A 36008-2024</t>
        </is>
      </c>
      <c r="B5458" s="1" t="n">
        <v>45533.55362268518</v>
      </c>
      <c r="C5458" s="1" t="n">
        <v>45884</v>
      </c>
      <c r="D5458" t="inlineStr">
        <is>
          <t>KALMAR LÄN</t>
        </is>
      </c>
      <c r="E5458" t="inlineStr">
        <is>
          <t>VIMMERBY</t>
        </is>
      </c>
      <c r="G5458" t="n">
        <v>3.7</v>
      </c>
      <c r="H5458" t="n">
        <v>0</v>
      </c>
      <c r="I5458" t="n">
        <v>0</v>
      </c>
      <c r="J5458" t="n">
        <v>0</v>
      </c>
      <c r="K5458" t="n">
        <v>0</v>
      </c>
      <c r="L5458" t="n">
        <v>0</v>
      </c>
      <c r="M5458" t="n">
        <v>0</v>
      </c>
      <c r="N5458" t="n">
        <v>0</v>
      </c>
      <c r="O5458" t="n">
        <v>0</v>
      </c>
      <c r="P5458" t="n">
        <v>0</v>
      </c>
      <c r="Q5458" t="n">
        <v>0</v>
      </c>
      <c r="R5458" s="2" t="inlineStr"/>
    </row>
    <row r="5459" ht="15" customHeight="1">
      <c r="A5459" t="inlineStr">
        <is>
          <t>A 19187-2025</t>
        </is>
      </c>
      <c r="B5459" s="1" t="n">
        <v>45769.41255787037</v>
      </c>
      <c r="C5459" s="1" t="n">
        <v>45884</v>
      </c>
      <c r="D5459" t="inlineStr">
        <is>
          <t>KALMAR LÄN</t>
        </is>
      </c>
      <c r="E5459" t="inlineStr">
        <is>
          <t>HULTSFRED</t>
        </is>
      </c>
      <c r="F5459" t="inlineStr">
        <is>
          <t>Kyrkan</t>
        </is>
      </c>
      <c r="G5459" t="n">
        <v>5.7</v>
      </c>
      <c r="H5459" t="n">
        <v>0</v>
      </c>
      <c r="I5459" t="n">
        <v>0</v>
      </c>
      <c r="J5459" t="n">
        <v>0</v>
      </c>
      <c r="K5459" t="n">
        <v>0</v>
      </c>
      <c r="L5459" t="n">
        <v>0</v>
      </c>
      <c r="M5459" t="n">
        <v>0</v>
      </c>
      <c r="N5459" t="n">
        <v>0</v>
      </c>
      <c r="O5459" t="n">
        <v>0</v>
      </c>
      <c r="P5459" t="n">
        <v>0</v>
      </c>
      <c r="Q5459" t="n">
        <v>0</v>
      </c>
      <c r="R5459" s="2" t="inlineStr"/>
    </row>
    <row r="5460" ht="15" customHeight="1">
      <c r="A5460" t="inlineStr">
        <is>
          <t>A 59210-2022</t>
        </is>
      </c>
      <c r="B5460" s="1" t="n">
        <v>44904.51767361111</v>
      </c>
      <c r="C5460" s="1" t="n">
        <v>45884</v>
      </c>
      <c r="D5460" t="inlineStr">
        <is>
          <t>KALMAR LÄN</t>
        </is>
      </c>
      <c r="E5460" t="inlineStr">
        <is>
          <t>VÄSTERVIK</t>
        </is>
      </c>
      <c r="G5460" t="n">
        <v>21.2</v>
      </c>
      <c r="H5460" t="n">
        <v>0</v>
      </c>
      <c r="I5460" t="n">
        <v>0</v>
      </c>
      <c r="J5460" t="n">
        <v>0</v>
      </c>
      <c r="K5460" t="n">
        <v>0</v>
      </c>
      <c r="L5460" t="n">
        <v>0</v>
      </c>
      <c r="M5460" t="n">
        <v>0</v>
      </c>
      <c r="N5460" t="n">
        <v>0</v>
      </c>
      <c r="O5460" t="n">
        <v>0</v>
      </c>
      <c r="P5460" t="n">
        <v>0</v>
      </c>
      <c r="Q5460" t="n">
        <v>0</v>
      </c>
      <c r="R5460" s="2" t="inlineStr"/>
    </row>
    <row r="5461" ht="15" customHeight="1">
      <c r="A5461" t="inlineStr">
        <is>
          <t>A 57480-2024</t>
        </is>
      </c>
      <c r="B5461" s="1" t="n">
        <v>45630.35104166667</v>
      </c>
      <c r="C5461" s="1" t="n">
        <v>45884</v>
      </c>
      <c r="D5461" t="inlineStr">
        <is>
          <t>KALMAR LÄN</t>
        </is>
      </c>
      <c r="E5461" t="inlineStr">
        <is>
          <t>HULTSFRED</t>
        </is>
      </c>
      <c r="F5461" t="inlineStr">
        <is>
          <t>Sveaskog</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57483-2024</t>
        </is>
      </c>
      <c r="B5462" s="1" t="n">
        <v>45630.35287037037</v>
      </c>
      <c r="C5462" s="1" t="n">
        <v>45884</v>
      </c>
      <c r="D5462" t="inlineStr">
        <is>
          <t>KALMAR LÄN</t>
        </is>
      </c>
      <c r="E5462" t="inlineStr">
        <is>
          <t>HULTSFRED</t>
        </is>
      </c>
      <c r="F5462" t="inlineStr">
        <is>
          <t>Sveaskog</t>
        </is>
      </c>
      <c r="G5462" t="n">
        <v>2</v>
      </c>
      <c r="H5462" t="n">
        <v>0</v>
      </c>
      <c r="I5462" t="n">
        <v>0</v>
      </c>
      <c r="J5462" t="n">
        <v>0</v>
      </c>
      <c r="K5462" t="n">
        <v>0</v>
      </c>
      <c r="L5462" t="n">
        <v>0</v>
      </c>
      <c r="M5462" t="n">
        <v>0</v>
      </c>
      <c r="N5462" t="n">
        <v>0</v>
      </c>
      <c r="O5462" t="n">
        <v>0</v>
      </c>
      <c r="P5462" t="n">
        <v>0</v>
      </c>
      <c r="Q5462" t="n">
        <v>0</v>
      </c>
      <c r="R5462" s="2" t="inlineStr"/>
    </row>
    <row r="5463" ht="15" customHeight="1">
      <c r="A5463" t="inlineStr">
        <is>
          <t>A 59220-2022</t>
        </is>
      </c>
      <c r="B5463" s="1" t="n">
        <v>44904.53423611111</v>
      </c>
      <c r="C5463" s="1" t="n">
        <v>45884</v>
      </c>
      <c r="D5463" t="inlineStr">
        <is>
          <t>KALMAR LÄN</t>
        </is>
      </c>
      <c r="E5463" t="inlineStr">
        <is>
          <t>VÄSTERVIK</t>
        </is>
      </c>
      <c r="G5463" t="n">
        <v>1.3</v>
      </c>
      <c r="H5463" t="n">
        <v>0</v>
      </c>
      <c r="I5463" t="n">
        <v>0</v>
      </c>
      <c r="J5463" t="n">
        <v>0</v>
      </c>
      <c r="K5463" t="n">
        <v>0</v>
      </c>
      <c r="L5463" t="n">
        <v>0</v>
      </c>
      <c r="M5463" t="n">
        <v>0</v>
      </c>
      <c r="N5463" t="n">
        <v>0</v>
      </c>
      <c r="O5463" t="n">
        <v>0</v>
      </c>
      <c r="P5463" t="n">
        <v>0</v>
      </c>
      <c r="Q5463" t="n">
        <v>0</v>
      </c>
      <c r="R5463" s="2" t="inlineStr"/>
    </row>
    <row r="5464" ht="15" customHeight="1">
      <c r="A5464" t="inlineStr">
        <is>
          <t>A 56311-2024</t>
        </is>
      </c>
      <c r="B5464" s="1" t="n">
        <v>45624.70769675926</v>
      </c>
      <c r="C5464" s="1" t="n">
        <v>45884</v>
      </c>
      <c r="D5464" t="inlineStr">
        <is>
          <t>KALMAR LÄN</t>
        </is>
      </c>
      <c r="E5464" t="inlineStr">
        <is>
          <t>TORSÅS</t>
        </is>
      </c>
      <c r="G5464" t="n">
        <v>3.4</v>
      </c>
      <c r="H5464" t="n">
        <v>0</v>
      </c>
      <c r="I5464" t="n">
        <v>0</v>
      </c>
      <c r="J5464" t="n">
        <v>0</v>
      </c>
      <c r="K5464" t="n">
        <v>0</v>
      </c>
      <c r="L5464" t="n">
        <v>0</v>
      </c>
      <c r="M5464" t="n">
        <v>0</v>
      </c>
      <c r="N5464" t="n">
        <v>0</v>
      </c>
      <c r="O5464" t="n">
        <v>0</v>
      </c>
      <c r="P5464" t="n">
        <v>0</v>
      </c>
      <c r="Q5464" t="n">
        <v>0</v>
      </c>
      <c r="R5464" s="2" t="inlineStr"/>
    </row>
    <row r="5465" ht="15" customHeight="1">
      <c r="A5465" t="inlineStr">
        <is>
          <t>A 56358-2024</t>
        </is>
      </c>
      <c r="B5465" s="1" t="n">
        <v>45624.98180555556</v>
      </c>
      <c r="C5465" s="1" t="n">
        <v>45884</v>
      </c>
      <c r="D5465" t="inlineStr">
        <is>
          <t>KALMAR LÄN</t>
        </is>
      </c>
      <c r="E5465" t="inlineStr">
        <is>
          <t>HULTSFRED</t>
        </is>
      </c>
      <c r="G5465" t="n">
        <v>5.1</v>
      </c>
      <c r="H5465" t="n">
        <v>0</v>
      </c>
      <c r="I5465" t="n">
        <v>0</v>
      </c>
      <c r="J5465" t="n">
        <v>0</v>
      </c>
      <c r="K5465" t="n">
        <v>0</v>
      </c>
      <c r="L5465" t="n">
        <v>0</v>
      </c>
      <c r="M5465" t="n">
        <v>0</v>
      </c>
      <c r="N5465" t="n">
        <v>0</v>
      </c>
      <c r="O5465" t="n">
        <v>0</v>
      </c>
      <c r="P5465" t="n">
        <v>0</v>
      </c>
      <c r="Q5465" t="n">
        <v>0</v>
      </c>
      <c r="R5465" s="2" t="inlineStr"/>
    </row>
    <row r="5466" ht="15" customHeight="1">
      <c r="A5466" t="inlineStr">
        <is>
          <t>A 22643-2023</t>
        </is>
      </c>
      <c r="B5466" s="1" t="n">
        <v>45071</v>
      </c>
      <c r="C5466" s="1" t="n">
        <v>45884</v>
      </c>
      <c r="D5466" t="inlineStr">
        <is>
          <t>KALMAR LÄN</t>
        </is>
      </c>
      <c r="E5466" t="inlineStr">
        <is>
          <t>VIMMERBY</t>
        </is>
      </c>
      <c r="G5466" t="n">
        <v>3.9</v>
      </c>
      <c r="H5466" t="n">
        <v>0</v>
      </c>
      <c r="I5466" t="n">
        <v>0</v>
      </c>
      <c r="J5466" t="n">
        <v>0</v>
      </c>
      <c r="K5466" t="n">
        <v>0</v>
      </c>
      <c r="L5466" t="n">
        <v>0</v>
      </c>
      <c r="M5466" t="n">
        <v>0</v>
      </c>
      <c r="N5466" t="n">
        <v>0</v>
      </c>
      <c r="O5466" t="n">
        <v>0</v>
      </c>
      <c r="P5466" t="n">
        <v>0</v>
      </c>
      <c r="Q5466" t="n">
        <v>0</v>
      </c>
      <c r="R5466" s="2" t="inlineStr"/>
    </row>
    <row r="5467" ht="15" customHeight="1">
      <c r="A5467" t="inlineStr">
        <is>
          <t>A 36692-2023</t>
        </is>
      </c>
      <c r="B5467" s="1" t="n">
        <v>45153.62142361111</v>
      </c>
      <c r="C5467" s="1" t="n">
        <v>45884</v>
      </c>
      <c r="D5467" t="inlineStr">
        <is>
          <t>KALMAR LÄN</t>
        </is>
      </c>
      <c r="E5467" t="inlineStr">
        <is>
          <t>HULTSFRED</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1768-2024</t>
        </is>
      </c>
      <c r="B5468" s="1" t="n">
        <v>45307</v>
      </c>
      <c r="C5468" s="1" t="n">
        <v>45884</v>
      </c>
      <c r="D5468" t="inlineStr">
        <is>
          <t>KALMAR LÄN</t>
        </is>
      </c>
      <c r="E5468" t="inlineStr">
        <is>
          <t>HÖGSBY</t>
        </is>
      </c>
      <c r="G5468" t="n">
        <v>3.5</v>
      </c>
      <c r="H5468" t="n">
        <v>0</v>
      </c>
      <c r="I5468" t="n">
        <v>0</v>
      </c>
      <c r="J5468" t="n">
        <v>0</v>
      </c>
      <c r="K5468" t="n">
        <v>0</v>
      </c>
      <c r="L5468" t="n">
        <v>0</v>
      </c>
      <c r="M5468" t="n">
        <v>0</v>
      </c>
      <c r="N5468" t="n">
        <v>0</v>
      </c>
      <c r="O5468" t="n">
        <v>0</v>
      </c>
      <c r="P5468" t="n">
        <v>0</v>
      </c>
      <c r="Q5468" t="n">
        <v>0</v>
      </c>
      <c r="R5468" s="2" t="inlineStr"/>
    </row>
    <row r="5469" ht="15" customHeight="1">
      <c r="A5469" t="inlineStr">
        <is>
          <t>A 15067-2024</t>
        </is>
      </c>
      <c r="B5469" s="1" t="n">
        <v>45399.58237268519</v>
      </c>
      <c r="C5469" s="1" t="n">
        <v>45884</v>
      </c>
      <c r="D5469" t="inlineStr">
        <is>
          <t>KALMAR LÄN</t>
        </is>
      </c>
      <c r="E5469" t="inlineStr">
        <is>
          <t>MÖNSTERÅS</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13930-2025</t>
        </is>
      </c>
      <c r="B5470" s="1" t="n">
        <v>45737.66959490741</v>
      </c>
      <c r="C5470" s="1" t="n">
        <v>45884</v>
      </c>
      <c r="D5470" t="inlineStr">
        <is>
          <t>KALMAR LÄN</t>
        </is>
      </c>
      <c r="E5470" t="inlineStr">
        <is>
          <t>NYBRO</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19098-2023</t>
        </is>
      </c>
      <c r="B5471" s="1" t="n">
        <v>45048.435</v>
      </c>
      <c r="C5471" s="1" t="n">
        <v>45884</v>
      </c>
      <c r="D5471" t="inlineStr">
        <is>
          <t>KALMAR LÄN</t>
        </is>
      </c>
      <c r="E5471" t="inlineStr">
        <is>
          <t>EMMABODA</t>
        </is>
      </c>
      <c r="G5471" t="n">
        <v>2.8</v>
      </c>
      <c r="H5471" t="n">
        <v>0</v>
      </c>
      <c r="I5471" t="n">
        <v>0</v>
      </c>
      <c r="J5471" t="n">
        <v>0</v>
      </c>
      <c r="K5471" t="n">
        <v>0</v>
      </c>
      <c r="L5471" t="n">
        <v>0</v>
      </c>
      <c r="M5471" t="n">
        <v>0</v>
      </c>
      <c r="N5471" t="n">
        <v>0</v>
      </c>
      <c r="O5471" t="n">
        <v>0</v>
      </c>
      <c r="P5471" t="n">
        <v>0</v>
      </c>
      <c r="Q5471" t="n">
        <v>0</v>
      </c>
      <c r="R5471" s="2" t="inlineStr"/>
    </row>
    <row r="5472" ht="15" customHeight="1">
      <c r="A5472" t="inlineStr">
        <is>
          <t>A 48337-2022</t>
        </is>
      </c>
      <c r="B5472" s="1" t="n">
        <v>44858</v>
      </c>
      <c r="C5472" s="1" t="n">
        <v>45884</v>
      </c>
      <c r="D5472" t="inlineStr">
        <is>
          <t>KALMAR LÄN</t>
        </is>
      </c>
      <c r="E5472" t="inlineStr">
        <is>
          <t>KALMAR</t>
        </is>
      </c>
      <c r="G5472" t="n">
        <v>5.4</v>
      </c>
      <c r="H5472" t="n">
        <v>0</v>
      </c>
      <c r="I5472" t="n">
        <v>0</v>
      </c>
      <c r="J5472" t="n">
        <v>0</v>
      </c>
      <c r="K5472" t="n">
        <v>0</v>
      </c>
      <c r="L5472" t="n">
        <v>0</v>
      </c>
      <c r="M5472" t="n">
        <v>0</v>
      </c>
      <c r="N5472" t="n">
        <v>0</v>
      </c>
      <c r="O5472" t="n">
        <v>0</v>
      </c>
      <c r="P5472" t="n">
        <v>0</v>
      </c>
      <c r="Q5472" t="n">
        <v>0</v>
      </c>
      <c r="R5472" s="2" t="inlineStr"/>
    </row>
    <row r="5473" ht="15" customHeight="1">
      <c r="A5473" t="inlineStr">
        <is>
          <t>A 18669-2025</t>
        </is>
      </c>
      <c r="B5473" s="1" t="n">
        <v>45763.59436342592</v>
      </c>
      <c r="C5473" s="1" t="n">
        <v>45884</v>
      </c>
      <c r="D5473" t="inlineStr">
        <is>
          <t>KALMAR LÄN</t>
        </is>
      </c>
      <c r="E5473" t="inlineStr">
        <is>
          <t>VIMMERBY</t>
        </is>
      </c>
      <c r="G5473" t="n">
        <v>2.7</v>
      </c>
      <c r="H5473" t="n">
        <v>0</v>
      </c>
      <c r="I5473" t="n">
        <v>0</v>
      </c>
      <c r="J5473" t="n">
        <v>0</v>
      </c>
      <c r="K5473" t="n">
        <v>0</v>
      </c>
      <c r="L5473" t="n">
        <v>0</v>
      </c>
      <c r="M5473" t="n">
        <v>0</v>
      </c>
      <c r="N5473" t="n">
        <v>0</v>
      </c>
      <c r="O5473" t="n">
        <v>0</v>
      </c>
      <c r="P5473" t="n">
        <v>0</v>
      </c>
      <c r="Q5473" t="n">
        <v>0</v>
      </c>
      <c r="R5473" s="2" t="inlineStr"/>
    </row>
    <row r="5474" ht="15" customHeight="1">
      <c r="A5474" t="inlineStr">
        <is>
          <t>A 15913-2025</t>
        </is>
      </c>
      <c r="B5474" s="1" t="n">
        <v>45749.44238425926</v>
      </c>
      <c r="C5474" s="1" t="n">
        <v>45884</v>
      </c>
      <c r="D5474" t="inlineStr">
        <is>
          <t>KALMAR LÄN</t>
        </is>
      </c>
      <c r="E5474" t="inlineStr">
        <is>
          <t>EMMABODA</t>
        </is>
      </c>
      <c r="G5474" t="n">
        <v>2.6</v>
      </c>
      <c r="H5474" t="n">
        <v>0</v>
      </c>
      <c r="I5474" t="n">
        <v>0</v>
      </c>
      <c r="J5474" t="n">
        <v>0</v>
      </c>
      <c r="K5474" t="n">
        <v>0</v>
      </c>
      <c r="L5474" t="n">
        <v>0</v>
      </c>
      <c r="M5474" t="n">
        <v>0</v>
      </c>
      <c r="N5474" t="n">
        <v>0</v>
      </c>
      <c r="O5474" t="n">
        <v>0</v>
      </c>
      <c r="P5474" t="n">
        <v>0</v>
      </c>
      <c r="Q5474" t="n">
        <v>0</v>
      </c>
      <c r="R5474" s="2" t="inlineStr"/>
    </row>
    <row r="5475" ht="15" customHeight="1">
      <c r="A5475" t="inlineStr">
        <is>
          <t>A 6941-2025</t>
        </is>
      </c>
      <c r="B5475" s="1" t="n">
        <v>45701.46835648148</v>
      </c>
      <c r="C5475" s="1" t="n">
        <v>45884</v>
      </c>
      <c r="D5475" t="inlineStr">
        <is>
          <t>KALMAR LÄN</t>
        </is>
      </c>
      <c r="E5475" t="inlineStr">
        <is>
          <t>VÄSTERVIK</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45450-2023</t>
        </is>
      </c>
      <c r="B5476" s="1" t="n">
        <v>45194</v>
      </c>
      <c r="C5476" s="1" t="n">
        <v>45884</v>
      </c>
      <c r="D5476" t="inlineStr">
        <is>
          <t>KALMAR LÄN</t>
        </is>
      </c>
      <c r="E5476" t="inlineStr">
        <is>
          <t>VÄSTERVIK</t>
        </is>
      </c>
      <c r="F5476" t="inlineStr">
        <is>
          <t>Holmen skog AB</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45474-2023</t>
        </is>
      </c>
      <c r="B5477" s="1" t="n">
        <v>45194</v>
      </c>
      <c r="C5477" s="1" t="n">
        <v>45884</v>
      </c>
      <c r="D5477" t="inlineStr">
        <is>
          <t>KALMAR LÄN</t>
        </is>
      </c>
      <c r="E5477" t="inlineStr">
        <is>
          <t>VÄSTERVIK</t>
        </is>
      </c>
      <c r="F5477" t="inlineStr">
        <is>
          <t>Holmen skog AB</t>
        </is>
      </c>
      <c r="G5477" t="n">
        <v>1.9</v>
      </c>
      <c r="H5477" t="n">
        <v>0</v>
      </c>
      <c r="I5477" t="n">
        <v>0</v>
      </c>
      <c r="J5477" t="n">
        <v>0</v>
      </c>
      <c r="K5477" t="n">
        <v>0</v>
      </c>
      <c r="L5477" t="n">
        <v>0</v>
      </c>
      <c r="M5477" t="n">
        <v>0</v>
      </c>
      <c r="N5477" t="n">
        <v>0</v>
      </c>
      <c r="O5477" t="n">
        <v>0</v>
      </c>
      <c r="P5477" t="n">
        <v>0</v>
      </c>
      <c r="Q5477" t="n">
        <v>0</v>
      </c>
      <c r="R5477" s="2" t="inlineStr"/>
    </row>
    <row r="5478" ht="15" customHeight="1">
      <c r="A5478" t="inlineStr">
        <is>
          <t>A 38780-2021</t>
        </is>
      </c>
      <c r="B5478" s="1" t="n">
        <v>44410</v>
      </c>
      <c r="C5478" s="1" t="n">
        <v>45884</v>
      </c>
      <c r="D5478" t="inlineStr">
        <is>
          <t>KALMAR LÄN</t>
        </is>
      </c>
      <c r="E5478" t="inlineStr">
        <is>
          <t>VIMMERBY</t>
        </is>
      </c>
      <c r="G5478" t="n">
        <v>9.699999999999999</v>
      </c>
      <c r="H5478" t="n">
        <v>0</v>
      </c>
      <c r="I5478" t="n">
        <v>0</v>
      </c>
      <c r="J5478" t="n">
        <v>0</v>
      </c>
      <c r="K5478" t="n">
        <v>0</v>
      </c>
      <c r="L5478" t="n">
        <v>0</v>
      </c>
      <c r="M5478" t="n">
        <v>0</v>
      </c>
      <c r="N5478" t="n">
        <v>0</v>
      </c>
      <c r="O5478" t="n">
        <v>0</v>
      </c>
      <c r="P5478" t="n">
        <v>0</v>
      </c>
      <c r="Q5478" t="n">
        <v>0</v>
      </c>
      <c r="R5478" s="2" t="inlineStr"/>
    </row>
    <row r="5479" ht="15" customHeight="1">
      <c r="A5479" t="inlineStr">
        <is>
          <t>A 59837-2023</t>
        </is>
      </c>
      <c r="B5479" s="1" t="n">
        <v>45253</v>
      </c>
      <c r="C5479" s="1" t="n">
        <v>45884</v>
      </c>
      <c r="D5479" t="inlineStr">
        <is>
          <t>KALMAR LÄN</t>
        </is>
      </c>
      <c r="E5479" t="inlineStr">
        <is>
          <t>NYBRO</t>
        </is>
      </c>
      <c r="G5479" t="n">
        <v>2.1</v>
      </c>
      <c r="H5479" t="n">
        <v>0</v>
      </c>
      <c r="I5479" t="n">
        <v>0</v>
      </c>
      <c r="J5479" t="n">
        <v>0</v>
      </c>
      <c r="K5479" t="n">
        <v>0</v>
      </c>
      <c r="L5479" t="n">
        <v>0</v>
      </c>
      <c r="M5479" t="n">
        <v>0</v>
      </c>
      <c r="N5479" t="n">
        <v>0</v>
      </c>
      <c r="O5479" t="n">
        <v>0</v>
      </c>
      <c r="P5479" t="n">
        <v>0</v>
      </c>
      <c r="Q5479" t="n">
        <v>0</v>
      </c>
      <c r="R5479" s="2" t="inlineStr"/>
    </row>
    <row r="5480" ht="15" customHeight="1">
      <c r="A5480" t="inlineStr">
        <is>
          <t>A 19502-2025</t>
        </is>
      </c>
      <c r="B5480" s="1" t="n">
        <v>45769</v>
      </c>
      <c r="C5480" s="1" t="n">
        <v>45884</v>
      </c>
      <c r="D5480" t="inlineStr">
        <is>
          <t>KALMAR LÄN</t>
        </is>
      </c>
      <c r="E5480" t="inlineStr">
        <is>
          <t>VIMMERBY</t>
        </is>
      </c>
      <c r="G5480" t="n">
        <v>1.9</v>
      </c>
      <c r="H5480" t="n">
        <v>0</v>
      </c>
      <c r="I5480" t="n">
        <v>0</v>
      </c>
      <c r="J5480" t="n">
        <v>0</v>
      </c>
      <c r="K5480" t="n">
        <v>0</v>
      </c>
      <c r="L5480" t="n">
        <v>0</v>
      </c>
      <c r="M5480" t="n">
        <v>0</v>
      </c>
      <c r="N5480" t="n">
        <v>0</v>
      </c>
      <c r="O5480" t="n">
        <v>0</v>
      </c>
      <c r="P5480" t="n">
        <v>0</v>
      </c>
      <c r="Q5480" t="n">
        <v>0</v>
      </c>
      <c r="R5480" s="2" t="inlineStr"/>
    </row>
    <row r="5481" ht="15" customHeight="1">
      <c r="A5481" t="inlineStr">
        <is>
          <t>A 17072-2024</t>
        </is>
      </c>
      <c r="B5481" s="1" t="n">
        <v>45412</v>
      </c>
      <c r="C5481" s="1" t="n">
        <v>45884</v>
      </c>
      <c r="D5481" t="inlineStr">
        <is>
          <t>KALMAR LÄN</t>
        </is>
      </c>
      <c r="E5481" t="inlineStr">
        <is>
          <t>NYBRO</t>
        </is>
      </c>
      <c r="G5481" t="n">
        <v>2</v>
      </c>
      <c r="H5481" t="n">
        <v>0</v>
      </c>
      <c r="I5481" t="n">
        <v>0</v>
      </c>
      <c r="J5481" t="n">
        <v>0</v>
      </c>
      <c r="K5481" t="n">
        <v>0</v>
      </c>
      <c r="L5481" t="n">
        <v>0</v>
      </c>
      <c r="M5481" t="n">
        <v>0</v>
      </c>
      <c r="N5481" t="n">
        <v>0</v>
      </c>
      <c r="O5481" t="n">
        <v>0</v>
      </c>
      <c r="P5481" t="n">
        <v>0</v>
      </c>
      <c r="Q5481" t="n">
        <v>0</v>
      </c>
      <c r="R5481" s="2" t="inlineStr"/>
    </row>
    <row r="5482" ht="15" customHeight="1">
      <c r="A5482" t="inlineStr">
        <is>
          <t>A 16215-2023</t>
        </is>
      </c>
      <c r="B5482" s="1" t="n">
        <v>45028.37586805555</v>
      </c>
      <c r="C5482" s="1" t="n">
        <v>45884</v>
      </c>
      <c r="D5482" t="inlineStr">
        <is>
          <t>KALMAR LÄN</t>
        </is>
      </c>
      <c r="E5482" t="inlineStr">
        <is>
          <t>OSKARSHAMN</t>
        </is>
      </c>
      <c r="G5482" t="n">
        <v>4.2</v>
      </c>
      <c r="H5482" t="n">
        <v>0</v>
      </c>
      <c r="I5482" t="n">
        <v>0</v>
      </c>
      <c r="J5482" t="n">
        <v>0</v>
      </c>
      <c r="K5482" t="n">
        <v>0</v>
      </c>
      <c r="L5482" t="n">
        <v>0</v>
      </c>
      <c r="M5482" t="n">
        <v>0</v>
      </c>
      <c r="N5482" t="n">
        <v>0</v>
      </c>
      <c r="O5482" t="n">
        <v>0</v>
      </c>
      <c r="P5482" t="n">
        <v>0</v>
      </c>
      <c r="Q5482" t="n">
        <v>0</v>
      </c>
      <c r="R5482" s="2" t="inlineStr"/>
    </row>
    <row r="5483" ht="15" customHeight="1">
      <c r="A5483" t="inlineStr">
        <is>
          <t>A 16622-2025</t>
        </is>
      </c>
      <c r="B5483" s="1" t="n">
        <v>45754.33641203704</v>
      </c>
      <c r="C5483" s="1" t="n">
        <v>45884</v>
      </c>
      <c r="D5483" t="inlineStr">
        <is>
          <t>KALMAR LÄN</t>
        </is>
      </c>
      <c r="E5483" t="inlineStr">
        <is>
          <t>VIMMERBY</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19799-2025</t>
        </is>
      </c>
      <c r="B5484" s="1" t="n">
        <v>45771.4483912037</v>
      </c>
      <c r="C5484" s="1" t="n">
        <v>45884</v>
      </c>
      <c r="D5484" t="inlineStr">
        <is>
          <t>KALMAR LÄN</t>
        </is>
      </c>
      <c r="E5484" t="inlineStr">
        <is>
          <t>KALMAR</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19836-2025</t>
        </is>
      </c>
      <c r="B5485" s="1" t="n">
        <v>45771.4725925926</v>
      </c>
      <c r="C5485" s="1" t="n">
        <v>45884</v>
      </c>
      <c r="D5485" t="inlineStr">
        <is>
          <t>KALMAR LÄN</t>
        </is>
      </c>
      <c r="E5485" t="inlineStr">
        <is>
          <t>HULTSFRED</t>
        </is>
      </c>
      <c r="F5485" t="inlineStr">
        <is>
          <t>Sveaskog</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17511-2024</t>
        </is>
      </c>
      <c r="B5486" s="1" t="n">
        <v>45415.57682870371</v>
      </c>
      <c r="C5486" s="1" t="n">
        <v>45884</v>
      </c>
      <c r="D5486" t="inlineStr">
        <is>
          <t>KALMAR LÄN</t>
        </is>
      </c>
      <c r="E5486" t="inlineStr">
        <is>
          <t>VIMMERBY</t>
        </is>
      </c>
      <c r="G5486" t="n">
        <v>5.3</v>
      </c>
      <c r="H5486" t="n">
        <v>0</v>
      </c>
      <c r="I5486" t="n">
        <v>0</v>
      </c>
      <c r="J5486" t="n">
        <v>0</v>
      </c>
      <c r="K5486" t="n">
        <v>0</v>
      </c>
      <c r="L5486" t="n">
        <v>0</v>
      </c>
      <c r="M5486" t="n">
        <v>0</v>
      </c>
      <c r="N5486" t="n">
        <v>0</v>
      </c>
      <c r="O5486" t="n">
        <v>0</v>
      </c>
      <c r="P5486" t="n">
        <v>0</v>
      </c>
      <c r="Q5486" t="n">
        <v>0</v>
      </c>
      <c r="R5486" s="2" t="inlineStr"/>
    </row>
    <row r="5487" ht="15" customHeight="1">
      <c r="A5487" t="inlineStr">
        <is>
          <t>A 41976-2022</t>
        </is>
      </c>
      <c r="B5487" s="1" t="n">
        <v>44830.4331712963</v>
      </c>
      <c r="C5487" s="1" t="n">
        <v>45884</v>
      </c>
      <c r="D5487" t="inlineStr">
        <is>
          <t>KALMAR LÄN</t>
        </is>
      </c>
      <c r="E5487" t="inlineStr">
        <is>
          <t>HULTSFRED</t>
        </is>
      </c>
      <c r="G5487" t="n">
        <v>2</v>
      </c>
      <c r="H5487" t="n">
        <v>0</v>
      </c>
      <c r="I5487" t="n">
        <v>0</v>
      </c>
      <c r="J5487" t="n">
        <v>0</v>
      </c>
      <c r="K5487" t="n">
        <v>0</v>
      </c>
      <c r="L5487" t="n">
        <v>0</v>
      </c>
      <c r="M5487" t="n">
        <v>0</v>
      </c>
      <c r="N5487" t="n">
        <v>0</v>
      </c>
      <c r="O5487" t="n">
        <v>0</v>
      </c>
      <c r="P5487" t="n">
        <v>0</v>
      </c>
      <c r="Q5487" t="n">
        <v>0</v>
      </c>
      <c r="R5487" s="2" t="inlineStr"/>
    </row>
    <row r="5488" ht="15" customHeight="1">
      <c r="A5488" t="inlineStr">
        <is>
          <t>A 43705-2023</t>
        </is>
      </c>
      <c r="B5488" s="1" t="n">
        <v>45187.42854166667</v>
      </c>
      <c r="C5488" s="1" t="n">
        <v>45884</v>
      </c>
      <c r="D5488" t="inlineStr">
        <is>
          <t>KALMAR LÄN</t>
        </is>
      </c>
      <c r="E5488" t="inlineStr">
        <is>
          <t>VIMMERBY</t>
        </is>
      </c>
      <c r="G5488" t="n">
        <v>1.2</v>
      </c>
      <c r="H5488" t="n">
        <v>0</v>
      </c>
      <c r="I5488" t="n">
        <v>0</v>
      </c>
      <c r="J5488" t="n">
        <v>0</v>
      </c>
      <c r="K5488" t="n">
        <v>0</v>
      </c>
      <c r="L5488" t="n">
        <v>0</v>
      </c>
      <c r="M5488" t="n">
        <v>0</v>
      </c>
      <c r="N5488" t="n">
        <v>0</v>
      </c>
      <c r="O5488" t="n">
        <v>0</v>
      </c>
      <c r="P5488" t="n">
        <v>0</v>
      </c>
      <c r="Q5488" t="n">
        <v>0</v>
      </c>
      <c r="R5488" s="2" t="inlineStr"/>
    </row>
    <row r="5489" ht="15" customHeight="1">
      <c r="A5489" t="inlineStr">
        <is>
          <t>A 43731-2023</t>
        </is>
      </c>
      <c r="B5489" s="1" t="n">
        <v>45187.45348379629</v>
      </c>
      <c r="C5489" s="1" t="n">
        <v>45884</v>
      </c>
      <c r="D5489" t="inlineStr">
        <is>
          <t>KALMAR LÄN</t>
        </is>
      </c>
      <c r="E5489" t="inlineStr">
        <is>
          <t>NYBRO</t>
        </is>
      </c>
      <c r="G5489" t="n">
        <v>3</v>
      </c>
      <c r="H5489" t="n">
        <v>0</v>
      </c>
      <c r="I5489" t="n">
        <v>0</v>
      </c>
      <c r="J5489" t="n">
        <v>0</v>
      </c>
      <c r="K5489" t="n">
        <v>0</v>
      </c>
      <c r="L5489" t="n">
        <v>0</v>
      </c>
      <c r="M5489" t="n">
        <v>0</v>
      </c>
      <c r="N5489" t="n">
        <v>0</v>
      </c>
      <c r="O5489" t="n">
        <v>0</v>
      </c>
      <c r="P5489" t="n">
        <v>0</v>
      </c>
      <c r="Q5489" t="n">
        <v>0</v>
      </c>
      <c r="R5489" s="2" t="inlineStr"/>
    </row>
    <row r="5490" ht="15" customHeight="1">
      <c r="A5490" t="inlineStr">
        <is>
          <t>A 50727-2023</t>
        </is>
      </c>
      <c r="B5490" s="1" t="n">
        <v>45217.5747337963</v>
      </c>
      <c r="C5490" s="1" t="n">
        <v>45884</v>
      </c>
      <c r="D5490" t="inlineStr">
        <is>
          <t>KALMAR LÄN</t>
        </is>
      </c>
      <c r="E5490" t="inlineStr">
        <is>
          <t>HÖGSBY</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42655-2023</t>
        </is>
      </c>
      <c r="B5491" s="1" t="n">
        <v>45181.53854166667</v>
      </c>
      <c r="C5491" s="1" t="n">
        <v>45884</v>
      </c>
      <c r="D5491" t="inlineStr">
        <is>
          <t>KALMAR LÄN</t>
        </is>
      </c>
      <c r="E5491" t="inlineStr">
        <is>
          <t>KALMAR</t>
        </is>
      </c>
      <c r="G5491" t="n">
        <v>5</v>
      </c>
      <c r="H5491" t="n">
        <v>0</v>
      </c>
      <c r="I5491" t="n">
        <v>0</v>
      </c>
      <c r="J5491" t="n">
        <v>0</v>
      </c>
      <c r="K5491" t="n">
        <v>0</v>
      </c>
      <c r="L5491" t="n">
        <v>0</v>
      </c>
      <c r="M5491" t="n">
        <v>0</v>
      </c>
      <c r="N5491" t="n">
        <v>0</v>
      </c>
      <c r="O5491" t="n">
        <v>0</v>
      </c>
      <c r="P5491" t="n">
        <v>0</v>
      </c>
      <c r="Q5491" t="n">
        <v>0</v>
      </c>
      <c r="R5491" s="2" t="inlineStr"/>
    </row>
    <row r="5492" ht="15" customHeight="1">
      <c r="A5492" t="inlineStr">
        <is>
          <t>A 20826-2025</t>
        </is>
      </c>
      <c r="B5492" s="1" t="n">
        <v>45776</v>
      </c>
      <c r="C5492" s="1" t="n">
        <v>45884</v>
      </c>
      <c r="D5492" t="inlineStr">
        <is>
          <t>KALMAR LÄN</t>
        </is>
      </c>
      <c r="E5492" t="inlineStr">
        <is>
          <t>HULTSFRED</t>
        </is>
      </c>
      <c r="G5492" t="n">
        <v>5.4</v>
      </c>
      <c r="H5492" t="n">
        <v>0</v>
      </c>
      <c r="I5492" t="n">
        <v>0</v>
      </c>
      <c r="J5492" t="n">
        <v>0</v>
      </c>
      <c r="K5492" t="n">
        <v>0</v>
      </c>
      <c r="L5492" t="n">
        <v>0</v>
      </c>
      <c r="M5492" t="n">
        <v>0</v>
      </c>
      <c r="N5492" t="n">
        <v>0</v>
      </c>
      <c r="O5492" t="n">
        <v>0</v>
      </c>
      <c r="P5492" t="n">
        <v>0</v>
      </c>
      <c r="Q5492" t="n">
        <v>0</v>
      </c>
      <c r="R5492" s="2" t="inlineStr"/>
    </row>
    <row r="5493" ht="15" customHeight="1">
      <c r="A5493" t="inlineStr">
        <is>
          <t>A 8151-2024</t>
        </is>
      </c>
      <c r="B5493" s="1" t="n">
        <v>45351.58540509259</v>
      </c>
      <c r="C5493" s="1" t="n">
        <v>45884</v>
      </c>
      <c r="D5493" t="inlineStr">
        <is>
          <t>KALMAR LÄN</t>
        </is>
      </c>
      <c r="E5493" t="inlineStr">
        <is>
          <t>EMMABODA</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14962-2025</t>
        </is>
      </c>
      <c r="B5494" s="1" t="n">
        <v>45743</v>
      </c>
      <c r="C5494" s="1" t="n">
        <v>45884</v>
      </c>
      <c r="D5494" t="inlineStr">
        <is>
          <t>KALMAR LÄN</t>
        </is>
      </c>
      <c r="E5494" t="inlineStr">
        <is>
          <t>EMMABODA</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2357-2025</t>
        </is>
      </c>
      <c r="B5495" s="1" t="n">
        <v>45673.68859953704</v>
      </c>
      <c r="C5495" s="1" t="n">
        <v>45884</v>
      </c>
      <c r="D5495" t="inlineStr">
        <is>
          <t>KALMAR LÄN</t>
        </is>
      </c>
      <c r="E5495" t="inlineStr">
        <is>
          <t>VÄSTERVIK</t>
        </is>
      </c>
      <c r="G5495" t="n">
        <v>2.6</v>
      </c>
      <c r="H5495" t="n">
        <v>0</v>
      </c>
      <c r="I5495" t="n">
        <v>0</v>
      </c>
      <c r="J5495" t="n">
        <v>0</v>
      </c>
      <c r="K5495" t="n">
        <v>0</v>
      </c>
      <c r="L5495" t="n">
        <v>0</v>
      </c>
      <c r="M5495" t="n">
        <v>0</v>
      </c>
      <c r="N5495" t="n">
        <v>0</v>
      </c>
      <c r="O5495" t="n">
        <v>0</v>
      </c>
      <c r="P5495" t="n">
        <v>0</v>
      </c>
      <c r="Q5495" t="n">
        <v>0</v>
      </c>
      <c r="R5495" s="2" t="inlineStr"/>
    </row>
    <row r="5496" ht="15" customHeight="1">
      <c r="A5496" t="inlineStr">
        <is>
          <t>A 7424-2022</t>
        </is>
      </c>
      <c r="B5496" s="1" t="n">
        <v>44606.73197916667</v>
      </c>
      <c r="C5496" s="1" t="n">
        <v>45884</v>
      </c>
      <c r="D5496" t="inlineStr">
        <is>
          <t>KALMAR LÄN</t>
        </is>
      </c>
      <c r="E5496" t="inlineStr">
        <is>
          <t>NYBRO</t>
        </is>
      </c>
      <c r="G5496" t="n">
        <v>6.2</v>
      </c>
      <c r="H5496" t="n">
        <v>0</v>
      </c>
      <c r="I5496" t="n">
        <v>0</v>
      </c>
      <c r="J5496" t="n">
        <v>0</v>
      </c>
      <c r="K5496" t="n">
        <v>0</v>
      </c>
      <c r="L5496" t="n">
        <v>0</v>
      </c>
      <c r="M5496" t="n">
        <v>0</v>
      </c>
      <c r="N5496" t="n">
        <v>0</v>
      </c>
      <c r="O5496" t="n">
        <v>0</v>
      </c>
      <c r="P5496" t="n">
        <v>0</v>
      </c>
      <c r="Q5496" t="n">
        <v>0</v>
      </c>
      <c r="R5496" s="2" t="inlineStr"/>
    </row>
    <row r="5497" ht="15" customHeight="1">
      <c r="A5497" t="inlineStr">
        <is>
          <t>A 36367-2024</t>
        </is>
      </c>
      <c r="B5497" s="1" t="n">
        <v>45534.66148148148</v>
      </c>
      <c r="C5497" s="1" t="n">
        <v>45884</v>
      </c>
      <c r="D5497" t="inlineStr">
        <is>
          <t>KALMAR LÄN</t>
        </is>
      </c>
      <c r="E5497" t="inlineStr">
        <is>
          <t>EMMABODA</t>
        </is>
      </c>
      <c r="G5497" t="n">
        <v>3.9</v>
      </c>
      <c r="H5497" t="n">
        <v>0</v>
      </c>
      <c r="I5497" t="n">
        <v>0</v>
      </c>
      <c r="J5497" t="n">
        <v>0</v>
      </c>
      <c r="K5497" t="n">
        <v>0</v>
      </c>
      <c r="L5497" t="n">
        <v>0</v>
      </c>
      <c r="M5497" t="n">
        <v>0</v>
      </c>
      <c r="N5497" t="n">
        <v>0</v>
      </c>
      <c r="O5497" t="n">
        <v>0</v>
      </c>
      <c r="P5497" t="n">
        <v>0</v>
      </c>
      <c r="Q5497" t="n">
        <v>0</v>
      </c>
      <c r="R5497" s="2" t="inlineStr"/>
    </row>
    <row r="5498" ht="15" customHeight="1">
      <c r="A5498" t="inlineStr">
        <is>
          <t>A 3612-2022</t>
        </is>
      </c>
      <c r="B5498" s="1" t="n">
        <v>44586.39371527778</v>
      </c>
      <c r="C5498" s="1" t="n">
        <v>45884</v>
      </c>
      <c r="D5498" t="inlineStr">
        <is>
          <t>KALMAR LÄN</t>
        </is>
      </c>
      <c r="E5498" t="inlineStr">
        <is>
          <t>NYBRO</t>
        </is>
      </c>
      <c r="G5498" t="n">
        <v>1.5</v>
      </c>
      <c r="H5498" t="n">
        <v>0</v>
      </c>
      <c r="I5498" t="n">
        <v>0</v>
      </c>
      <c r="J5498" t="n">
        <v>0</v>
      </c>
      <c r="K5498" t="n">
        <v>0</v>
      </c>
      <c r="L5498" t="n">
        <v>0</v>
      </c>
      <c r="M5498" t="n">
        <v>0</v>
      </c>
      <c r="N5498" t="n">
        <v>0</v>
      </c>
      <c r="O5498" t="n">
        <v>0</v>
      </c>
      <c r="P5498" t="n">
        <v>0</v>
      </c>
      <c r="Q5498" t="n">
        <v>0</v>
      </c>
      <c r="R5498" s="2" t="inlineStr"/>
    </row>
    <row r="5499" ht="15" customHeight="1">
      <c r="A5499" t="inlineStr">
        <is>
          <t>A 20645-2025</t>
        </is>
      </c>
      <c r="B5499" s="1" t="n">
        <v>45776</v>
      </c>
      <c r="C5499" s="1" t="n">
        <v>45884</v>
      </c>
      <c r="D5499" t="inlineStr">
        <is>
          <t>KALMAR LÄN</t>
        </is>
      </c>
      <c r="E5499" t="inlineStr">
        <is>
          <t>MÖNSTERÅS</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16792-2025</t>
        </is>
      </c>
      <c r="B5500" s="1" t="n">
        <v>45754</v>
      </c>
      <c r="C5500" s="1" t="n">
        <v>45884</v>
      </c>
      <c r="D5500" t="inlineStr">
        <is>
          <t>KALMAR LÄN</t>
        </is>
      </c>
      <c r="E5500" t="inlineStr">
        <is>
          <t>OSKARSHAMN</t>
        </is>
      </c>
      <c r="G5500" t="n">
        <v>2.6</v>
      </c>
      <c r="H5500" t="n">
        <v>0</v>
      </c>
      <c r="I5500" t="n">
        <v>0</v>
      </c>
      <c r="J5500" t="n">
        <v>0</v>
      </c>
      <c r="K5500" t="n">
        <v>0</v>
      </c>
      <c r="L5500" t="n">
        <v>0</v>
      </c>
      <c r="M5500" t="n">
        <v>0</v>
      </c>
      <c r="N5500" t="n">
        <v>0</v>
      </c>
      <c r="O5500" t="n">
        <v>0</v>
      </c>
      <c r="P5500" t="n">
        <v>0</v>
      </c>
      <c r="Q5500" t="n">
        <v>0</v>
      </c>
      <c r="R5500" s="2" t="inlineStr"/>
    </row>
    <row r="5501" ht="15" customHeight="1">
      <c r="A5501" t="inlineStr">
        <is>
          <t>A 16794-2025</t>
        </is>
      </c>
      <c r="B5501" s="1" t="n">
        <v>45754</v>
      </c>
      <c r="C5501" s="1" t="n">
        <v>45884</v>
      </c>
      <c r="D5501" t="inlineStr">
        <is>
          <t>KALMAR LÄN</t>
        </is>
      </c>
      <c r="E5501" t="inlineStr">
        <is>
          <t>OSKARSHAMN</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61285-2022</t>
        </is>
      </c>
      <c r="B5502" s="1" t="n">
        <v>44915.61998842593</v>
      </c>
      <c r="C5502" s="1" t="n">
        <v>45884</v>
      </c>
      <c r="D5502" t="inlineStr">
        <is>
          <t>KALMAR LÄN</t>
        </is>
      </c>
      <c r="E5502" t="inlineStr">
        <is>
          <t>KALMAR</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49953-2023</t>
        </is>
      </c>
      <c r="B5503" s="1" t="n">
        <v>45215</v>
      </c>
      <c r="C5503" s="1" t="n">
        <v>45884</v>
      </c>
      <c r="D5503" t="inlineStr">
        <is>
          <t>KALMAR LÄN</t>
        </is>
      </c>
      <c r="E5503" t="inlineStr">
        <is>
          <t>EMMABODA</t>
        </is>
      </c>
      <c r="G5503" t="n">
        <v>1.9</v>
      </c>
      <c r="H5503" t="n">
        <v>0</v>
      </c>
      <c r="I5503" t="n">
        <v>0</v>
      </c>
      <c r="J5503" t="n">
        <v>0</v>
      </c>
      <c r="K5503" t="n">
        <v>0</v>
      </c>
      <c r="L5503" t="n">
        <v>0</v>
      </c>
      <c r="M5503" t="n">
        <v>0</v>
      </c>
      <c r="N5503" t="n">
        <v>0</v>
      </c>
      <c r="O5503" t="n">
        <v>0</v>
      </c>
      <c r="P5503" t="n">
        <v>0</v>
      </c>
      <c r="Q5503" t="n">
        <v>0</v>
      </c>
      <c r="R5503" s="2" t="inlineStr"/>
    </row>
    <row r="5504" ht="15" customHeight="1">
      <c r="A5504" t="inlineStr">
        <is>
          <t>A 4583-2023</t>
        </is>
      </c>
      <c r="B5504" s="1" t="n">
        <v>44956</v>
      </c>
      <c r="C5504" s="1" t="n">
        <v>45884</v>
      </c>
      <c r="D5504" t="inlineStr">
        <is>
          <t>KALMAR LÄN</t>
        </is>
      </c>
      <c r="E5504" t="inlineStr">
        <is>
          <t>VÄSTERVIK</t>
        </is>
      </c>
      <c r="G5504" t="n">
        <v>2.2</v>
      </c>
      <c r="H5504" t="n">
        <v>0</v>
      </c>
      <c r="I5504" t="n">
        <v>0</v>
      </c>
      <c r="J5504" t="n">
        <v>0</v>
      </c>
      <c r="K5504" t="n">
        <v>0</v>
      </c>
      <c r="L5504" t="n">
        <v>0</v>
      </c>
      <c r="M5504" t="n">
        <v>0</v>
      </c>
      <c r="N5504" t="n">
        <v>0</v>
      </c>
      <c r="O5504" t="n">
        <v>0</v>
      </c>
      <c r="P5504" t="n">
        <v>0</v>
      </c>
      <c r="Q5504" t="n">
        <v>0</v>
      </c>
      <c r="R5504" s="2" t="inlineStr"/>
    </row>
    <row r="5505" ht="15" customHeight="1">
      <c r="A5505" t="inlineStr">
        <is>
          <t>A 17734-2025</t>
        </is>
      </c>
      <c r="B5505" s="1" t="n">
        <v>45758</v>
      </c>
      <c r="C5505" s="1" t="n">
        <v>45884</v>
      </c>
      <c r="D5505" t="inlineStr">
        <is>
          <t>KALMAR LÄN</t>
        </is>
      </c>
      <c r="E5505" t="inlineStr">
        <is>
          <t>KALMAR</t>
        </is>
      </c>
      <c r="G5505" t="n">
        <v>3.6</v>
      </c>
      <c r="H5505" t="n">
        <v>0</v>
      </c>
      <c r="I5505" t="n">
        <v>0</v>
      </c>
      <c r="J5505" t="n">
        <v>0</v>
      </c>
      <c r="K5505" t="n">
        <v>0</v>
      </c>
      <c r="L5505" t="n">
        <v>0</v>
      </c>
      <c r="M5505" t="n">
        <v>0</v>
      </c>
      <c r="N5505" t="n">
        <v>0</v>
      </c>
      <c r="O5505" t="n">
        <v>0</v>
      </c>
      <c r="P5505" t="n">
        <v>0</v>
      </c>
      <c r="Q5505" t="n">
        <v>0</v>
      </c>
      <c r="R5505" s="2" t="inlineStr"/>
    </row>
    <row r="5506" ht="15" customHeight="1">
      <c r="A5506" t="inlineStr">
        <is>
          <t>A 40569-2021</t>
        </is>
      </c>
      <c r="B5506" s="1" t="n">
        <v>44420</v>
      </c>
      <c r="C5506" s="1" t="n">
        <v>45884</v>
      </c>
      <c r="D5506" t="inlineStr">
        <is>
          <t>KALMAR LÄN</t>
        </is>
      </c>
      <c r="E5506" t="inlineStr">
        <is>
          <t>TORSÅS</t>
        </is>
      </c>
      <c r="G5506" t="n">
        <v>6.1</v>
      </c>
      <c r="H5506" t="n">
        <v>0</v>
      </c>
      <c r="I5506" t="n">
        <v>0</v>
      </c>
      <c r="J5506" t="n">
        <v>0</v>
      </c>
      <c r="K5506" t="n">
        <v>0</v>
      </c>
      <c r="L5506" t="n">
        <v>0</v>
      </c>
      <c r="M5506" t="n">
        <v>0</v>
      </c>
      <c r="N5506" t="n">
        <v>0</v>
      </c>
      <c r="O5506" t="n">
        <v>0</v>
      </c>
      <c r="P5506" t="n">
        <v>0</v>
      </c>
      <c r="Q5506" t="n">
        <v>0</v>
      </c>
      <c r="R5506" s="2" t="inlineStr"/>
    </row>
    <row r="5507" ht="15" customHeight="1">
      <c r="A5507" t="inlineStr">
        <is>
          <t>A 38705-2024</t>
        </is>
      </c>
      <c r="B5507" s="1" t="n">
        <v>45547.37052083333</v>
      </c>
      <c r="C5507" s="1" t="n">
        <v>45884</v>
      </c>
      <c r="D5507" t="inlineStr">
        <is>
          <t>KALMAR LÄN</t>
        </is>
      </c>
      <c r="E5507" t="inlineStr">
        <is>
          <t>HULTSFRED</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60851-2022</t>
        </is>
      </c>
      <c r="B5508" s="1" t="n">
        <v>44914.51458333333</v>
      </c>
      <c r="C5508" s="1" t="n">
        <v>45884</v>
      </c>
      <c r="D5508" t="inlineStr">
        <is>
          <t>KALMAR LÄN</t>
        </is>
      </c>
      <c r="E5508" t="inlineStr">
        <is>
          <t>KALMAR</t>
        </is>
      </c>
      <c r="G5508" t="n">
        <v>1.8</v>
      </c>
      <c r="H5508" t="n">
        <v>0</v>
      </c>
      <c r="I5508" t="n">
        <v>0</v>
      </c>
      <c r="J5508" t="n">
        <v>0</v>
      </c>
      <c r="K5508" t="n">
        <v>0</v>
      </c>
      <c r="L5508" t="n">
        <v>0</v>
      </c>
      <c r="M5508" t="n">
        <v>0</v>
      </c>
      <c r="N5508" t="n">
        <v>0</v>
      </c>
      <c r="O5508" t="n">
        <v>0</v>
      </c>
      <c r="P5508" t="n">
        <v>0</v>
      </c>
      <c r="Q5508" t="n">
        <v>0</v>
      </c>
      <c r="R5508" s="2" t="inlineStr"/>
    </row>
    <row r="5509" ht="15" customHeight="1">
      <c r="A5509" t="inlineStr">
        <is>
          <t>A 54209-2021</t>
        </is>
      </c>
      <c r="B5509" s="1" t="n">
        <v>44470</v>
      </c>
      <c r="C5509" s="1" t="n">
        <v>45884</v>
      </c>
      <c r="D5509" t="inlineStr">
        <is>
          <t>KALMAR LÄN</t>
        </is>
      </c>
      <c r="E5509" t="inlineStr">
        <is>
          <t>HULTSFRED</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14129-2025</t>
        </is>
      </c>
      <c r="B5510" s="1" t="n">
        <v>45740</v>
      </c>
      <c r="C5510" s="1" t="n">
        <v>45884</v>
      </c>
      <c r="D5510" t="inlineStr">
        <is>
          <t>KALMAR LÄN</t>
        </is>
      </c>
      <c r="E5510" t="inlineStr">
        <is>
          <t>OSKARSHAMN</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39521-2024</t>
        </is>
      </c>
      <c r="B5511" s="1" t="n">
        <v>45551</v>
      </c>
      <c r="C5511" s="1" t="n">
        <v>45884</v>
      </c>
      <c r="D5511" t="inlineStr">
        <is>
          <t>KALMAR LÄN</t>
        </is>
      </c>
      <c r="E5511" t="inlineStr">
        <is>
          <t>EMMABODA</t>
        </is>
      </c>
      <c r="G5511" t="n">
        <v>2.4</v>
      </c>
      <c r="H5511" t="n">
        <v>0</v>
      </c>
      <c r="I5511" t="n">
        <v>0</v>
      </c>
      <c r="J5511" t="n">
        <v>0</v>
      </c>
      <c r="K5511" t="n">
        <v>0</v>
      </c>
      <c r="L5511" t="n">
        <v>0</v>
      </c>
      <c r="M5511" t="n">
        <v>0</v>
      </c>
      <c r="N5511" t="n">
        <v>0</v>
      </c>
      <c r="O5511" t="n">
        <v>0</v>
      </c>
      <c r="P5511" t="n">
        <v>0</v>
      </c>
      <c r="Q5511" t="n">
        <v>0</v>
      </c>
      <c r="R5511" s="2" t="inlineStr"/>
    </row>
    <row r="5512" ht="15" customHeight="1">
      <c r="A5512" t="inlineStr">
        <is>
          <t>A 6223-2022</t>
        </is>
      </c>
      <c r="B5512" s="1" t="n">
        <v>44600</v>
      </c>
      <c r="C5512" s="1" t="n">
        <v>45884</v>
      </c>
      <c r="D5512" t="inlineStr">
        <is>
          <t>KALMAR LÄN</t>
        </is>
      </c>
      <c r="E5512" t="inlineStr">
        <is>
          <t>MÖNSTERÅS</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38170-2024</t>
        </is>
      </c>
      <c r="B5513" s="1" t="n">
        <v>45545.46103009259</v>
      </c>
      <c r="C5513" s="1" t="n">
        <v>45884</v>
      </c>
      <c r="D5513" t="inlineStr">
        <is>
          <t>KALMAR LÄN</t>
        </is>
      </c>
      <c r="E5513" t="inlineStr">
        <is>
          <t>NYBRO</t>
        </is>
      </c>
      <c r="G5513" t="n">
        <v>3.7</v>
      </c>
      <c r="H5513" t="n">
        <v>0</v>
      </c>
      <c r="I5513" t="n">
        <v>0</v>
      </c>
      <c r="J5513" t="n">
        <v>0</v>
      </c>
      <c r="K5513" t="n">
        <v>0</v>
      </c>
      <c r="L5513" t="n">
        <v>0</v>
      </c>
      <c r="M5513" t="n">
        <v>0</v>
      </c>
      <c r="N5513" t="n">
        <v>0</v>
      </c>
      <c r="O5513" t="n">
        <v>0</v>
      </c>
      <c r="P5513" t="n">
        <v>0</v>
      </c>
      <c r="Q5513" t="n">
        <v>0</v>
      </c>
      <c r="R5513" s="2" t="inlineStr"/>
    </row>
    <row r="5514" ht="15" customHeight="1">
      <c r="A5514" t="inlineStr">
        <is>
          <t>A 21026-2025</t>
        </is>
      </c>
      <c r="B5514" s="1" t="n">
        <v>45777.51607638889</v>
      </c>
      <c r="C5514" s="1" t="n">
        <v>45884</v>
      </c>
      <c r="D5514" t="inlineStr">
        <is>
          <t>KALMAR LÄN</t>
        </is>
      </c>
      <c r="E5514" t="inlineStr">
        <is>
          <t>EMMABODA</t>
        </is>
      </c>
      <c r="G5514" t="n">
        <v>2.2</v>
      </c>
      <c r="H5514" t="n">
        <v>0</v>
      </c>
      <c r="I5514" t="n">
        <v>0</v>
      </c>
      <c r="J5514" t="n">
        <v>0</v>
      </c>
      <c r="K5514" t="n">
        <v>0</v>
      </c>
      <c r="L5514" t="n">
        <v>0</v>
      </c>
      <c r="M5514" t="n">
        <v>0</v>
      </c>
      <c r="N5514" t="n">
        <v>0</v>
      </c>
      <c r="O5514" t="n">
        <v>0</v>
      </c>
      <c r="P5514" t="n">
        <v>0</v>
      </c>
      <c r="Q5514" t="n">
        <v>0</v>
      </c>
      <c r="R5514" s="2" t="inlineStr"/>
    </row>
    <row r="5515" ht="15" customHeight="1">
      <c r="A5515" t="inlineStr">
        <is>
          <t>A 22974-2024</t>
        </is>
      </c>
      <c r="B5515" s="1" t="n">
        <v>45449.73532407408</v>
      </c>
      <c r="C5515" s="1" t="n">
        <v>45884</v>
      </c>
      <c r="D5515" t="inlineStr">
        <is>
          <t>KALMAR LÄN</t>
        </is>
      </c>
      <c r="E5515" t="inlineStr">
        <is>
          <t>NYBRO</t>
        </is>
      </c>
      <c r="G5515" t="n">
        <v>8.4</v>
      </c>
      <c r="H5515" t="n">
        <v>0</v>
      </c>
      <c r="I5515" t="n">
        <v>0</v>
      </c>
      <c r="J5515" t="n">
        <v>0</v>
      </c>
      <c r="K5515" t="n">
        <v>0</v>
      </c>
      <c r="L5515" t="n">
        <v>0</v>
      </c>
      <c r="M5515" t="n">
        <v>0</v>
      </c>
      <c r="N5515" t="n">
        <v>0</v>
      </c>
      <c r="O5515" t="n">
        <v>0</v>
      </c>
      <c r="P5515" t="n">
        <v>0</v>
      </c>
      <c r="Q5515" t="n">
        <v>0</v>
      </c>
      <c r="R5515" s="2" t="inlineStr"/>
    </row>
    <row r="5516" ht="15" customHeight="1">
      <c r="A5516" t="inlineStr">
        <is>
          <t>A 9367-2025</t>
        </is>
      </c>
      <c r="B5516" s="1" t="n">
        <v>45715.32221064815</v>
      </c>
      <c r="C5516" s="1" t="n">
        <v>45884</v>
      </c>
      <c r="D5516" t="inlineStr">
        <is>
          <t>KALMAR LÄN</t>
        </is>
      </c>
      <c r="E5516" t="inlineStr">
        <is>
          <t>MÖNSTERÅS</t>
        </is>
      </c>
      <c r="G5516" t="n">
        <v>15.2</v>
      </c>
      <c r="H5516" t="n">
        <v>0</v>
      </c>
      <c r="I5516" t="n">
        <v>0</v>
      </c>
      <c r="J5516" t="n">
        <v>0</v>
      </c>
      <c r="K5516" t="n">
        <v>0</v>
      </c>
      <c r="L5516" t="n">
        <v>0</v>
      </c>
      <c r="M5516" t="n">
        <v>0</v>
      </c>
      <c r="N5516" t="n">
        <v>0</v>
      </c>
      <c r="O5516" t="n">
        <v>0</v>
      </c>
      <c r="P5516" t="n">
        <v>0</v>
      </c>
      <c r="Q5516" t="n">
        <v>0</v>
      </c>
      <c r="R5516" s="2" t="inlineStr"/>
    </row>
    <row r="5517" ht="15" customHeight="1">
      <c r="A5517" t="inlineStr">
        <is>
          <t>A 20887-2025</t>
        </is>
      </c>
      <c r="B5517" s="1" t="n">
        <v>45777.3700462963</v>
      </c>
      <c r="C5517" s="1" t="n">
        <v>45884</v>
      </c>
      <c r="D5517" t="inlineStr">
        <is>
          <t>KALMAR LÄN</t>
        </is>
      </c>
      <c r="E5517" t="inlineStr">
        <is>
          <t>EMMABODA</t>
        </is>
      </c>
      <c r="G5517" t="n">
        <v>1.4</v>
      </c>
      <c r="H5517" t="n">
        <v>0</v>
      </c>
      <c r="I5517" t="n">
        <v>0</v>
      </c>
      <c r="J5517" t="n">
        <v>0</v>
      </c>
      <c r="K5517" t="n">
        <v>0</v>
      </c>
      <c r="L5517" t="n">
        <v>0</v>
      </c>
      <c r="M5517" t="n">
        <v>0</v>
      </c>
      <c r="N5517" t="n">
        <v>0</v>
      </c>
      <c r="O5517" t="n">
        <v>0</v>
      </c>
      <c r="P5517" t="n">
        <v>0</v>
      </c>
      <c r="Q5517" t="n">
        <v>0</v>
      </c>
      <c r="R5517" s="2" t="inlineStr"/>
    </row>
    <row r="5518" ht="15" customHeight="1">
      <c r="A5518" t="inlineStr">
        <is>
          <t>A 14273-2024</t>
        </is>
      </c>
      <c r="B5518" s="1" t="n">
        <v>45393.58290509259</v>
      </c>
      <c r="C5518" s="1" t="n">
        <v>45884</v>
      </c>
      <c r="D5518" t="inlineStr">
        <is>
          <t>KALMAR LÄN</t>
        </is>
      </c>
      <c r="E5518" t="inlineStr">
        <is>
          <t>HÖGSBY</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7753-2025</t>
        </is>
      </c>
      <c r="B5519" s="1" t="n">
        <v>45706.50239583333</v>
      </c>
      <c r="C5519" s="1" t="n">
        <v>45884</v>
      </c>
      <c r="D5519" t="inlineStr">
        <is>
          <t>KALMAR LÄN</t>
        </is>
      </c>
      <c r="E5519" t="inlineStr">
        <is>
          <t>HULTSFRED</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10260-2023</t>
        </is>
      </c>
      <c r="B5520" s="1" t="n">
        <v>44986.71053240741</v>
      </c>
      <c r="C5520" s="1" t="n">
        <v>45884</v>
      </c>
      <c r="D5520" t="inlineStr">
        <is>
          <t>KALMAR LÄN</t>
        </is>
      </c>
      <c r="E5520" t="inlineStr">
        <is>
          <t>TORSÅS</t>
        </is>
      </c>
      <c r="G5520" t="n">
        <v>1.6</v>
      </c>
      <c r="H5520" t="n">
        <v>0</v>
      </c>
      <c r="I5520" t="n">
        <v>0</v>
      </c>
      <c r="J5520" t="n">
        <v>0</v>
      </c>
      <c r="K5520" t="n">
        <v>0</v>
      </c>
      <c r="L5520" t="n">
        <v>0</v>
      </c>
      <c r="M5520" t="n">
        <v>0</v>
      </c>
      <c r="N5520" t="n">
        <v>0</v>
      </c>
      <c r="O5520" t="n">
        <v>0</v>
      </c>
      <c r="P5520" t="n">
        <v>0</v>
      </c>
      <c r="Q5520" t="n">
        <v>0</v>
      </c>
      <c r="R5520" s="2" t="inlineStr"/>
    </row>
    <row r="5521" ht="15" customHeight="1">
      <c r="A5521" t="inlineStr">
        <is>
          <t>A 59052-2022</t>
        </is>
      </c>
      <c r="B5521" s="1" t="n">
        <v>44904</v>
      </c>
      <c r="C5521" s="1" t="n">
        <v>45884</v>
      </c>
      <c r="D5521" t="inlineStr">
        <is>
          <t>KALMAR LÄN</t>
        </is>
      </c>
      <c r="E5521" t="inlineStr">
        <is>
          <t>NYBRO</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29020-2024</t>
        </is>
      </c>
      <c r="B5522" s="1" t="n">
        <v>45481.58048611111</v>
      </c>
      <c r="C5522" s="1" t="n">
        <v>45884</v>
      </c>
      <c r="D5522" t="inlineStr">
        <is>
          <t>KALMAR LÄN</t>
        </is>
      </c>
      <c r="E5522" t="inlineStr">
        <is>
          <t>VIMMERBY</t>
        </is>
      </c>
      <c r="G5522" t="n">
        <v>2.3</v>
      </c>
      <c r="H5522" t="n">
        <v>0</v>
      </c>
      <c r="I5522" t="n">
        <v>0</v>
      </c>
      <c r="J5522" t="n">
        <v>0</v>
      </c>
      <c r="K5522" t="n">
        <v>0</v>
      </c>
      <c r="L5522" t="n">
        <v>0</v>
      </c>
      <c r="M5522" t="n">
        <v>0</v>
      </c>
      <c r="N5522" t="n">
        <v>0</v>
      </c>
      <c r="O5522" t="n">
        <v>0</v>
      </c>
      <c r="P5522" t="n">
        <v>0</v>
      </c>
      <c r="Q5522" t="n">
        <v>0</v>
      </c>
      <c r="R5522" s="2" t="inlineStr"/>
    </row>
    <row r="5523" ht="15" customHeight="1">
      <c r="A5523" t="inlineStr">
        <is>
          <t>A 14880-2025</t>
        </is>
      </c>
      <c r="B5523" s="1" t="n">
        <v>45743.46313657407</v>
      </c>
      <c r="C5523" s="1" t="n">
        <v>45884</v>
      </c>
      <c r="D5523" t="inlineStr">
        <is>
          <t>KALMAR LÄN</t>
        </is>
      </c>
      <c r="E5523" t="inlineStr">
        <is>
          <t>EMMABODA</t>
        </is>
      </c>
      <c r="G5523" t="n">
        <v>1.9</v>
      </c>
      <c r="H5523" t="n">
        <v>0</v>
      </c>
      <c r="I5523" t="n">
        <v>0</v>
      </c>
      <c r="J5523" t="n">
        <v>0</v>
      </c>
      <c r="K5523" t="n">
        <v>0</v>
      </c>
      <c r="L5523" t="n">
        <v>0</v>
      </c>
      <c r="M5523" t="n">
        <v>0</v>
      </c>
      <c r="N5523" t="n">
        <v>0</v>
      </c>
      <c r="O5523" t="n">
        <v>0</v>
      </c>
      <c r="P5523" t="n">
        <v>0</v>
      </c>
      <c r="Q5523" t="n">
        <v>0</v>
      </c>
      <c r="R5523" s="2" t="inlineStr"/>
    </row>
    <row r="5524" ht="15" customHeight="1">
      <c r="A5524" t="inlineStr">
        <is>
          <t>A 55101-2021</t>
        </is>
      </c>
      <c r="B5524" s="1" t="n">
        <v>44474</v>
      </c>
      <c r="C5524" s="1" t="n">
        <v>45884</v>
      </c>
      <c r="D5524" t="inlineStr">
        <is>
          <t>KALMAR LÄN</t>
        </is>
      </c>
      <c r="E5524" t="inlineStr">
        <is>
          <t>TORSÅS</t>
        </is>
      </c>
      <c r="G5524" t="n">
        <v>5.3</v>
      </c>
      <c r="H5524" t="n">
        <v>0</v>
      </c>
      <c r="I5524" t="n">
        <v>0</v>
      </c>
      <c r="J5524" t="n">
        <v>0</v>
      </c>
      <c r="K5524" t="n">
        <v>0</v>
      </c>
      <c r="L5524" t="n">
        <v>0</v>
      </c>
      <c r="M5524" t="n">
        <v>0</v>
      </c>
      <c r="N5524" t="n">
        <v>0</v>
      </c>
      <c r="O5524" t="n">
        <v>0</v>
      </c>
      <c r="P5524" t="n">
        <v>0</v>
      </c>
      <c r="Q5524" t="n">
        <v>0</v>
      </c>
      <c r="R5524" s="2" t="inlineStr"/>
    </row>
    <row r="5525" ht="15" customHeight="1">
      <c r="A5525" t="inlineStr">
        <is>
          <t>A 57216-2022</t>
        </is>
      </c>
      <c r="B5525" s="1" t="n">
        <v>44895.65763888889</v>
      </c>
      <c r="C5525" s="1" t="n">
        <v>45884</v>
      </c>
      <c r="D5525" t="inlineStr">
        <is>
          <t>KALMAR LÄN</t>
        </is>
      </c>
      <c r="E5525" t="inlineStr">
        <is>
          <t>KALMAR</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55300-2021</t>
        </is>
      </c>
      <c r="B5526" s="1" t="n">
        <v>44475</v>
      </c>
      <c r="C5526" s="1" t="n">
        <v>45884</v>
      </c>
      <c r="D5526" t="inlineStr">
        <is>
          <t>KALMAR LÄN</t>
        </is>
      </c>
      <c r="E5526" t="inlineStr">
        <is>
          <t>VIMMERBY</t>
        </is>
      </c>
      <c r="G5526" t="n">
        <v>3.4</v>
      </c>
      <c r="H5526" t="n">
        <v>0</v>
      </c>
      <c r="I5526" t="n">
        <v>0</v>
      </c>
      <c r="J5526" t="n">
        <v>0</v>
      </c>
      <c r="K5526" t="n">
        <v>0</v>
      </c>
      <c r="L5526" t="n">
        <v>0</v>
      </c>
      <c r="M5526" t="n">
        <v>0</v>
      </c>
      <c r="N5526" t="n">
        <v>0</v>
      </c>
      <c r="O5526" t="n">
        <v>0</v>
      </c>
      <c r="P5526" t="n">
        <v>0</v>
      </c>
      <c r="Q5526" t="n">
        <v>0</v>
      </c>
      <c r="R5526" s="2" t="inlineStr"/>
    </row>
    <row r="5527" ht="15" customHeight="1">
      <c r="A5527" t="inlineStr">
        <is>
          <t>A 31957-2023</t>
        </is>
      </c>
      <c r="B5527" s="1" t="n">
        <v>45119.38265046296</v>
      </c>
      <c r="C5527" s="1" t="n">
        <v>45884</v>
      </c>
      <c r="D5527" t="inlineStr">
        <is>
          <t>KALMAR LÄN</t>
        </is>
      </c>
      <c r="E5527" t="inlineStr">
        <is>
          <t>OSKARSHAMN</t>
        </is>
      </c>
      <c r="G5527" t="n">
        <v>1.5</v>
      </c>
      <c r="H5527" t="n">
        <v>0</v>
      </c>
      <c r="I5527" t="n">
        <v>0</v>
      </c>
      <c r="J5527" t="n">
        <v>0</v>
      </c>
      <c r="K5527" t="n">
        <v>0</v>
      </c>
      <c r="L5527" t="n">
        <v>0</v>
      </c>
      <c r="M5527" t="n">
        <v>0</v>
      </c>
      <c r="N5527" t="n">
        <v>0</v>
      </c>
      <c r="O5527" t="n">
        <v>0</v>
      </c>
      <c r="P5527" t="n">
        <v>0</v>
      </c>
      <c r="Q5527" t="n">
        <v>0</v>
      </c>
      <c r="R5527" s="2" t="inlineStr"/>
    </row>
    <row r="5528" ht="15" customHeight="1">
      <c r="A5528" t="inlineStr">
        <is>
          <t>A 9124-2025</t>
        </is>
      </c>
      <c r="B5528" s="1" t="n">
        <v>45713.87648148148</v>
      </c>
      <c r="C5528" s="1" t="n">
        <v>45884</v>
      </c>
      <c r="D5528" t="inlineStr">
        <is>
          <t>KALMAR LÄN</t>
        </is>
      </c>
      <c r="E5528" t="inlineStr">
        <is>
          <t>TORSÅS</t>
        </is>
      </c>
      <c r="G5528" t="n">
        <v>4.2</v>
      </c>
      <c r="H5528" t="n">
        <v>0</v>
      </c>
      <c r="I5528" t="n">
        <v>0</v>
      </c>
      <c r="J5528" t="n">
        <v>0</v>
      </c>
      <c r="K5528" t="n">
        <v>0</v>
      </c>
      <c r="L5528" t="n">
        <v>0</v>
      </c>
      <c r="M5528" t="n">
        <v>0</v>
      </c>
      <c r="N5528" t="n">
        <v>0</v>
      </c>
      <c r="O5528" t="n">
        <v>0</v>
      </c>
      <c r="P5528" t="n">
        <v>0</v>
      </c>
      <c r="Q5528" t="n">
        <v>0</v>
      </c>
      <c r="R5528" s="2" t="inlineStr"/>
    </row>
    <row r="5529" ht="15" customHeight="1">
      <c r="A5529" t="inlineStr">
        <is>
          <t>A 20889-2025</t>
        </is>
      </c>
      <c r="B5529" s="1" t="n">
        <v>45777.37217592593</v>
      </c>
      <c r="C5529" s="1" t="n">
        <v>45884</v>
      </c>
      <c r="D5529" t="inlineStr">
        <is>
          <t>KALMAR LÄN</t>
        </is>
      </c>
      <c r="E5529" t="inlineStr">
        <is>
          <t>EMMABODA</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30406-2023</t>
        </is>
      </c>
      <c r="B5530" s="1" t="n">
        <v>45111.48787037037</v>
      </c>
      <c r="C5530" s="1" t="n">
        <v>45884</v>
      </c>
      <c r="D5530" t="inlineStr">
        <is>
          <t>KALMAR LÄN</t>
        </is>
      </c>
      <c r="E5530" t="inlineStr">
        <is>
          <t>VIMMERBY</t>
        </is>
      </c>
      <c r="G5530" t="n">
        <v>2.4</v>
      </c>
      <c r="H5530" t="n">
        <v>0</v>
      </c>
      <c r="I5530" t="n">
        <v>0</v>
      </c>
      <c r="J5530" t="n">
        <v>0</v>
      </c>
      <c r="K5530" t="n">
        <v>0</v>
      </c>
      <c r="L5530" t="n">
        <v>0</v>
      </c>
      <c r="M5530" t="n">
        <v>0</v>
      </c>
      <c r="N5530" t="n">
        <v>0</v>
      </c>
      <c r="O5530" t="n">
        <v>0</v>
      </c>
      <c r="P5530" t="n">
        <v>0</v>
      </c>
      <c r="Q5530" t="n">
        <v>0</v>
      </c>
      <c r="R5530" s="2" t="inlineStr"/>
    </row>
    <row r="5531" ht="15" customHeight="1">
      <c r="A5531" t="inlineStr">
        <is>
          <t>A 532-2024</t>
        </is>
      </c>
      <c r="B5531" s="1" t="n">
        <v>45299.48002314815</v>
      </c>
      <c r="C5531" s="1" t="n">
        <v>45884</v>
      </c>
      <c r="D5531" t="inlineStr">
        <is>
          <t>KALMAR LÄN</t>
        </is>
      </c>
      <c r="E5531" t="inlineStr">
        <is>
          <t>TORSÅS</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13817-2024</t>
        </is>
      </c>
      <c r="B5532" s="1" t="n">
        <v>45391.41976851852</v>
      </c>
      <c r="C5532" s="1" t="n">
        <v>45884</v>
      </c>
      <c r="D5532" t="inlineStr">
        <is>
          <t>KALMAR LÄN</t>
        </is>
      </c>
      <c r="E5532" t="inlineStr">
        <is>
          <t>VIMMERBY</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26208-2024</t>
        </is>
      </c>
      <c r="B5533" s="1" t="n">
        <v>45468.59137731481</v>
      </c>
      <c r="C5533" s="1" t="n">
        <v>45884</v>
      </c>
      <c r="D5533" t="inlineStr">
        <is>
          <t>KALMAR LÄN</t>
        </is>
      </c>
      <c r="E5533" t="inlineStr">
        <is>
          <t>OSKARSHAMN</t>
        </is>
      </c>
      <c r="F5533" t="inlineStr">
        <is>
          <t>Kommuner</t>
        </is>
      </c>
      <c r="G5533" t="n">
        <v>2.9</v>
      </c>
      <c r="H5533" t="n">
        <v>0</v>
      </c>
      <c r="I5533" t="n">
        <v>0</v>
      </c>
      <c r="J5533" t="n">
        <v>0</v>
      </c>
      <c r="K5533" t="n">
        <v>0</v>
      </c>
      <c r="L5533" t="n">
        <v>0</v>
      </c>
      <c r="M5533" t="n">
        <v>0</v>
      </c>
      <c r="N5533" t="n">
        <v>0</v>
      </c>
      <c r="O5533" t="n">
        <v>0</v>
      </c>
      <c r="P5533" t="n">
        <v>0</v>
      </c>
      <c r="Q5533" t="n">
        <v>0</v>
      </c>
      <c r="R5533" s="2" t="inlineStr"/>
    </row>
    <row r="5534" ht="15" customHeight="1">
      <c r="A5534" t="inlineStr">
        <is>
          <t>A 26555-2024</t>
        </is>
      </c>
      <c r="B5534" s="1" t="n">
        <v>45469.6294212963</v>
      </c>
      <c r="C5534" s="1" t="n">
        <v>45884</v>
      </c>
      <c r="D5534" t="inlineStr">
        <is>
          <t>KALMAR LÄN</t>
        </is>
      </c>
      <c r="E5534" t="inlineStr">
        <is>
          <t>OSKARSHAMN</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21015-2025</t>
        </is>
      </c>
      <c r="B5535" s="1" t="n">
        <v>45777.50200231482</v>
      </c>
      <c r="C5535" s="1" t="n">
        <v>45884</v>
      </c>
      <c r="D5535" t="inlineStr">
        <is>
          <t>KALMAR LÄN</t>
        </is>
      </c>
      <c r="E5535" t="inlineStr">
        <is>
          <t>VÄSTERVIK</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33980-2024</t>
        </is>
      </c>
      <c r="B5536" s="1" t="n">
        <v>45523.52064814815</v>
      </c>
      <c r="C5536" s="1" t="n">
        <v>45884</v>
      </c>
      <c r="D5536" t="inlineStr">
        <is>
          <t>KALMAR LÄN</t>
        </is>
      </c>
      <c r="E5536" t="inlineStr">
        <is>
          <t>EMMABODA</t>
        </is>
      </c>
      <c r="G5536" t="n">
        <v>1.8</v>
      </c>
      <c r="H5536" t="n">
        <v>0</v>
      </c>
      <c r="I5536" t="n">
        <v>0</v>
      </c>
      <c r="J5536" t="n">
        <v>0</v>
      </c>
      <c r="K5536" t="n">
        <v>0</v>
      </c>
      <c r="L5536" t="n">
        <v>0</v>
      </c>
      <c r="M5536" t="n">
        <v>0</v>
      </c>
      <c r="N5536" t="n">
        <v>0</v>
      </c>
      <c r="O5536" t="n">
        <v>0</v>
      </c>
      <c r="P5536" t="n">
        <v>0</v>
      </c>
      <c r="Q5536" t="n">
        <v>0</v>
      </c>
      <c r="R5536" s="2" t="inlineStr"/>
    </row>
    <row r="5537" ht="15" customHeight="1">
      <c r="A5537" t="inlineStr">
        <is>
          <t>A 26549-2024</t>
        </is>
      </c>
      <c r="B5537" s="1" t="n">
        <v>45469.6204050926</v>
      </c>
      <c r="C5537" s="1" t="n">
        <v>45884</v>
      </c>
      <c r="D5537" t="inlineStr">
        <is>
          <t>KALMAR LÄN</t>
        </is>
      </c>
      <c r="E5537" t="inlineStr">
        <is>
          <t>OSKARSHAMN</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1653-2025</t>
        </is>
      </c>
      <c r="B5538" s="1" t="n">
        <v>45670.65835648148</v>
      </c>
      <c r="C5538" s="1" t="n">
        <v>45884</v>
      </c>
      <c r="D5538" t="inlineStr">
        <is>
          <t>KALMAR LÄN</t>
        </is>
      </c>
      <c r="E5538" t="inlineStr">
        <is>
          <t>MÖNSTERÅS</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26578-2021</t>
        </is>
      </c>
      <c r="B5539" s="1" t="n">
        <v>44348</v>
      </c>
      <c r="C5539" s="1" t="n">
        <v>45884</v>
      </c>
      <c r="D5539" t="inlineStr">
        <is>
          <t>KALMAR LÄN</t>
        </is>
      </c>
      <c r="E5539" t="inlineStr">
        <is>
          <t>NYBRO</t>
        </is>
      </c>
      <c r="F5539" t="inlineStr">
        <is>
          <t>Sveaskog</t>
        </is>
      </c>
      <c r="G5539" t="n">
        <v>4.1</v>
      </c>
      <c r="H5539" t="n">
        <v>0</v>
      </c>
      <c r="I5539" t="n">
        <v>0</v>
      </c>
      <c r="J5539" t="n">
        <v>0</v>
      </c>
      <c r="K5539" t="n">
        <v>0</v>
      </c>
      <c r="L5539" t="n">
        <v>0</v>
      </c>
      <c r="M5539" t="n">
        <v>0</v>
      </c>
      <c r="N5539" t="n">
        <v>0</v>
      </c>
      <c r="O5539" t="n">
        <v>0</v>
      </c>
      <c r="P5539" t="n">
        <v>0</v>
      </c>
      <c r="Q5539" t="n">
        <v>0</v>
      </c>
      <c r="R5539" s="2" t="inlineStr"/>
    </row>
    <row r="5540" ht="15" customHeight="1">
      <c r="A5540" t="inlineStr">
        <is>
          <t>A 20611-2025</t>
        </is>
      </c>
      <c r="B5540" s="1" t="n">
        <v>45775.89869212963</v>
      </c>
      <c r="C5540" s="1" t="n">
        <v>45884</v>
      </c>
      <c r="D5540" t="inlineStr">
        <is>
          <t>KALMAR LÄN</t>
        </is>
      </c>
      <c r="E5540" t="inlineStr">
        <is>
          <t>KALMAR</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63471-2023</t>
        </is>
      </c>
      <c r="B5541" s="1" t="n">
        <v>45274.63337962963</v>
      </c>
      <c r="C5541" s="1" t="n">
        <v>45884</v>
      </c>
      <c r="D5541" t="inlineStr">
        <is>
          <t>KALMAR LÄN</t>
        </is>
      </c>
      <c r="E5541" t="inlineStr">
        <is>
          <t>MÖNSTERÅS</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40814-2024</t>
        </is>
      </c>
      <c r="B5542" s="1" t="n">
        <v>45558.55011574074</v>
      </c>
      <c r="C5542" s="1" t="n">
        <v>45884</v>
      </c>
      <c r="D5542" t="inlineStr">
        <is>
          <t>KALMAR LÄN</t>
        </is>
      </c>
      <c r="E5542" t="inlineStr">
        <is>
          <t>KALMAR</t>
        </is>
      </c>
      <c r="F5542" t="inlineStr">
        <is>
          <t>Sveaskog</t>
        </is>
      </c>
      <c r="G5542" t="n">
        <v>2.1</v>
      </c>
      <c r="H5542" t="n">
        <v>0</v>
      </c>
      <c r="I5542" t="n">
        <v>0</v>
      </c>
      <c r="J5542" t="n">
        <v>0</v>
      </c>
      <c r="K5542" t="n">
        <v>0</v>
      </c>
      <c r="L5542" t="n">
        <v>0</v>
      </c>
      <c r="M5542" t="n">
        <v>0</v>
      </c>
      <c r="N5542" t="n">
        <v>0</v>
      </c>
      <c r="O5542" t="n">
        <v>0</v>
      </c>
      <c r="P5542" t="n">
        <v>0</v>
      </c>
      <c r="Q5542" t="n">
        <v>0</v>
      </c>
      <c r="R5542" s="2" t="inlineStr"/>
    </row>
    <row r="5543" ht="15" customHeight="1">
      <c r="A5543" t="inlineStr">
        <is>
          <t>A 22435-2023</t>
        </is>
      </c>
      <c r="B5543" s="1" t="n">
        <v>45070</v>
      </c>
      <c r="C5543" s="1" t="n">
        <v>45884</v>
      </c>
      <c r="D5543" t="inlineStr">
        <is>
          <t>KALMAR LÄN</t>
        </is>
      </c>
      <c r="E5543" t="inlineStr">
        <is>
          <t>NYBRO</t>
        </is>
      </c>
      <c r="G5543" t="n">
        <v>1.4</v>
      </c>
      <c r="H5543" t="n">
        <v>0</v>
      </c>
      <c r="I5543" t="n">
        <v>0</v>
      </c>
      <c r="J5543" t="n">
        <v>0</v>
      </c>
      <c r="K5543" t="n">
        <v>0</v>
      </c>
      <c r="L5543" t="n">
        <v>0</v>
      </c>
      <c r="M5543" t="n">
        <v>0</v>
      </c>
      <c r="N5543" t="n">
        <v>0</v>
      </c>
      <c r="O5543" t="n">
        <v>0</v>
      </c>
      <c r="P5543" t="n">
        <v>0</v>
      </c>
      <c r="Q5543" t="n">
        <v>0</v>
      </c>
      <c r="R5543" s="2" t="inlineStr"/>
    </row>
    <row r="5544" ht="15" customHeight="1">
      <c r="A5544" t="inlineStr">
        <is>
          <t>A 8632-2025</t>
        </is>
      </c>
      <c r="B5544" s="1" t="n">
        <v>45711.74442129629</v>
      </c>
      <c r="C5544" s="1" t="n">
        <v>45884</v>
      </c>
      <c r="D5544" t="inlineStr">
        <is>
          <t>KALMAR LÄN</t>
        </is>
      </c>
      <c r="E5544" t="inlineStr">
        <is>
          <t>MÖNSTERÅS</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37320-2022</t>
        </is>
      </c>
      <c r="B5545" s="1" t="n">
        <v>44809.32202546296</v>
      </c>
      <c r="C5545" s="1" t="n">
        <v>45884</v>
      </c>
      <c r="D5545" t="inlineStr">
        <is>
          <t>KALMAR LÄN</t>
        </is>
      </c>
      <c r="E5545" t="inlineStr">
        <is>
          <t>HÖGSBY</t>
        </is>
      </c>
      <c r="G5545" t="n">
        <v>2</v>
      </c>
      <c r="H5545" t="n">
        <v>0</v>
      </c>
      <c r="I5545" t="n">
        <v>0</v>
      </c>
      <c r="J5545" t="n">
        <v>0</v>
      </c>
      <c r="K5545" t="n">
        <v>0</v>
      </c>
      <c r="L5545" t="n">
        <v>0</v>
      </c>
      <c r="M5545" t="n">
        <v>0</v>
      </c>
      <c r="N5545" t="n">
        <v>0</v>
      </c>
      <c r="O5545" t="n">
        <v>0</v>
      </c>
      <c r="P5545" t="n">
        <v>0</v>
      </c>
      <c r="Q5545" t="n">
        <v>0</v>
      </c>
      <c r="R5545" s="2" t="inlineStr"/>
    </row>
    <row r="5546" ht="15" customHeight="1">
      <c r="A5546" t="inlineStr">
        <is>
          <t>A 44179-2022</t>
        </is>
      </c>
      <c r="B5546" s="1" t="n">
        <v>44839.4528125</v>
      </c>
      <c r="C5546" s="1" t="n">
        <v>45884</v>
      </c>
      <c r="D5546" t="inlineStr">
        <is>
          <t>KALMAR LÄN</t>
        </is>
      </c>
      <c r="E5546" t="inlineStr">
        <is>
          <t>VIMMERBY</t>
        </is>
      </c>
      <c r="G5546" t="n">
        <v>2.8</v>
      </c>
      <c r="H5546" t="n">
        <v>0</v>
      </c>
      <c r="I5546" t="n">
        <v>0</v>
      </c>
      <c r="J5546" t="n">
        <v>0</v>
      </c>
      <c r="K5546" t="n">
        <v>0</v>
      </c>
      <c r="L5546" t="n">
        <v>0</v>
      </c>
      <c r="M5546" t="n">
        <v>0</v>
      </c>
      <c r="N5546" t="n">
        <v>0</v>
      </c>
      <c r="O5546" t="n">
        <v>0</v>
      </c>
      <c r="P5546" t="n">
        <v>0</v>
      </c>
      <c r="Q5546" t="n">
        <v>0</v>
      </c>
      <c r="R5546" s="2" t="inlineStr"/>
    </row>
    <row r="5547" ht="15" customHeight="1">
      <c r="A5547" t="inlineStr">
        <is>
          <t>A 24601-2024</t>
        </is>
      </c>
      <c r="B5547" s="1" t="n">
        <v>45460.47599537037</v>
      </c>
      <c r="C5547" s="1" t="n">
        <v>45884</v>
      </c>
      <c r="D5547" t="inlineStr">
        <is>
          <t>KALMAR LÄN</t>
        </is>
      </c>
      <c r="E5547" t="inlineStr">
        <is>
          <t>HÖGSBY</t>
        </is>
      </c>
      <c r="F5547" t="inlineStr">
        <is>
          <t>Sveaskog</t>
        </is>
      </c>
      <c r="G5547" t="n">
        <v>14.7</v>
      </c>
      <c r="H5547" t="n">
        <v>0</v>
      </c>
      <c r="I5547" t="n">
        <v>0</v>
      </c>
      <c r="J5547" t="n">
        <v>0</v>
      </c>
      <c r="K5547" t="n">
        <v>0</v>
      </c>
      <c r="L5547" t="n">
        <v>0</v>
      </c>
      <c r="M5547" t="n">
        <v>0</v>
      </c>
      <c r="N5547" t="n">
        <v>0</v>
      </c>
      <c r="O5547" t="n">
        <v>0</v>
      </c>
      <c r="P5547" t="n">
        <v>0</v>
      </c>
      <c r="Q5547" t="n">
        <v>0</v>
      </c>
      <c r="R5547" s="2" t="inlineStr"/>
    </row>
    <row r="5548" ht="15" customHeight="1">
      <c r="A5548" t="inlineStr">
        <is>
          <t>A 21064-2025</t>
        </is>
      </c>
      <c r="B5548" s="1" t="n">
        <v>45777.58511574074</v>
      </c>
      <c r="C5548" s="1" t="n">
        <v>45884</v>
      </c>
      <c r="D5548" t="inlineStr">
        <is>
          <t>KALMAR LÄN</t>
        </is>
      </c>
      <c r="E5548" t="inlineStr">
        <is>
          <t>EMMABODA</t>
        </is>
      </c>
      <c r="G5548" t="n">
        <v>2.8</v>
      </c>
      <c r="H5548" t="n">
        <v>0</v>
      </c>
      <c r="I5548" t="n">
        <v>0</v>
      </c>
      <c r="J5548" t="n">
        <v>0</v>
      </c>
      <c r="K5548" t="n">
        <v>0</v>
      </c>
      <c r="L5548" t="n">
        <v>0</v>
      </c>
      <c r="M5548" t="n">
        <v>0</v>
      </c>
      <c r="N5548" t="n">
        <v>0</v>
      </c>
      <c r="O5548" t="n">
        <v>0</v>
      </c>
      <c r="P5548" t="n">
        <v>0</v>
      </c>
      <c r="Q5548" t="n">
        <v>0</v>
      </c>
      <c r="R5548" s="2" t="inlineStr"/>
    </row>
    <row r="5549" ht="15" customHeight="1">
      <c r="A5549" t="inlineStr">
        <is>
          <t>A 45893-2024</t>
        </is>
      </c>
      <c r="B5549" s="1" t="n">
        <v>45580.42582175926</v>
      </c>
      <c r="C5549" s="1" t="n">
        <v>45884</v>
      </c>
      <c r="D5549" t="inlineStr">
        <is>
          <t>KALMAR LÄN</t>
        </is>
      </c>
      <c r="E5549" t="inlineStr">
        <is>
          <t>OSKARSHAMN</t>
        </is>
      </c>
      <c r="G5549" t="n">
        <v>2.9</v>
      </c>
      <c r="H5549" t="n">
        <v>0</v>
      </c>
      <c r="I5549" t="n">
        <v>0</v>
      </c>
      <c r="J5549" t="n">
        <v>0</v>
      </c>
      <c r="K5549" t="n">
        <v>0</v>
      </c>
      <c r="L5549" t="n">
        <v>0</v>
      </c>
      <c r="M5549" t="n">
        <v>0</v>
      </c>
      <c r="N5549" t="n">
        <v>0</v>
      </c>
      <c r="O5549" t="n">
        <v>0</v>
      </c>
      <c r="P5549" t="n">
        <v>0</v>
      </c>
      <c r="Q5549" t="n">
        <v>0</v>
      </c>
      <c r="R5549" s="2" t="inlineStr"/>
    </row>
    <row r="5550" ht="15" customHeight="1">
      <c r="A5550" t="inlineStr">
        <is>
          <t>A 16692-2025</t>
        </is>
      </c>
      <c r="B5550" s="1" t="n">
        <v>45754.4621412037</v>
      </c>
      <c r="C5550" s="1" t="n">
        <v>45884</v>
      </c>
      <c r="D5550" t="inlineStr">
        <is>
          <t>KALMAR LÄN</t>
        </is>
      </c>
      <c r="E5550" t="inlineStr">
        <is>
          <t>VÄSTERVIK</t>
        </is>
      </c>
      <c r="F5550" t="inlineStr">
        <is>
          <t>Sveaskog</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39363-2024</t>
        </is>
      </c>
      <c r="B5551" s="1" t="n">
        <v>45551.46702546296</v>
      </c>
      <c r="C5551" s="1" t="n">
        <v>45884</v>
      </c>
      <c r="D5551" t="inlineStr">
        <is>
          <t>KALMAR LÄN</t>
        </is>
      </c>
      <c r="E5551" t="inlineStr">
        <is>
          <t>KALMAR</t>
        </is>
      </c>
      <c r="G5551" t="n">
        <v>1.8</v>
      </c>
      <c r="H5551" t="n">
        <v>0</v>
      </c>
      <c r="I5551" t="n">
        <v>0</v>
      </c>
      <c r="J5551" t="n">
        <v>0</v>
      </c>
      <c r="K5551" t="n">
        <v>0</v>
      </c>
      <c r="L5551" t="n">
        <v>0</v>
      </c>
      <c r="M5551" t="n">
        <v>0</v>
      </c>
      <c r="N5551" t="n">
        <v>0</v>
      </c>
      <c r="O5551" t="n">
        <v>0</v>
      </c>
      <c r="P5551" t="n">
        <v>0</v>
      </c>
      <c r="Q5551" t="n">
        <v>0</v>
      </c>
      <c r="R5551" s="2" t="inlineStr"/>
    </row>
    <row r="5552" ht="15" customHeight="1">
      <c r="A5552" t="inlineStr">
        <is>
          <t>A 24779-2022</t>
        </is>
      </c>
      <c r="B5552" s="1" t="n">
        <v>44728.36835648148</v>
      </c>
      <c r="C5552" s="1" t="n">
        <v>45884</v>
      </c>
      <c r="D5552" t="inlineStr">
        <is>
          <t>KALMAR LÄN</t>
        </is>
      </c>
      <c r="E5552" t="inlineStr">
        <is>
          <t>EMMABODA</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26061-2023</t>
        </is>
      </c>
      <c r="B5553" s="1" t="n">
        <v>45091</v>
      </c>
      <c r="C5553" s="1" t="n">
        <v>45884</v>
      </c>
      <c r="D5553" t="inlineStr">
        <is>
          <t>KALMAR LÄN</t>
        </is>
      </c>
      <c r="E5553" t="inlineStr">
        <is>
          <t>MÖNSTERÅS</t>
        </is>
      </c>
      <c r="G5553" t="n">
        <v>2.6</v>
      </c>
      <c r="H5553" t="n">
        <v>0</v>
      </c>
      <c r="I5553" t="n">
        <v>0</v>
      </c>
      <c r="J5553" t="n">
        <v>0</v>
      </c>
      <c r="K5553" t="n">
        <v>0</v>
      </c>
      <c r="L5553" t="n">
        <v>0</v>
      </c>
      <c r="M5553" t="n">
        <v>0</v>
      </c>
      <c r="N5553" t="n">
        <v>0</v>
      </c>
      <c r="O5553" t="n">
        <v>0</v>
      </c>
      <c r="P5553" t="n">
        <v>0</v>
      </c>
      <c r="Q5553" t="n">
        <v>0</v>
      </c>
      <c r="R5553" s="2" t="inlineStr"/>
    </row>
    <row r="5554" ht="15" customHeight="1">
      <c r="A5554" t="inlineStr">
        <is>
          <t>A 20913-2024</t>
        </is>
      </c>
      <c r="B5554" s="1" t="n">
        <v>45439.49431712963</v>
      </c>
      <c r="C5554" s="1" t="n">
        <v>45884</v>
      </c>
      <c r="D5554" t="inlineStr">
        <is>
          <t>KALMAR LÄN</t>
        </is>
      </c>
      <c r="E5554" t="inlineStr">
        <is>
          <t>KALMAR</t>
        </is>
      </c>
      <c r="G5554" t="n">
        <v>3.6</v>
      </c>
      <c r="H5554" t="n">
        <v>0</v>
      </c>
      <c r="I5554" t="n">
        <v>0</v>
      </c>
      <c r="J5554" t="n">
        <v>0</v>
      </c>
      <c r="K5554" t="n">
        <v>0</v>
      </c>
      <c r="L5554" t="n">
        <v>0</v>
      </c>
      <c r="M5554" t="n">
        <v>0</v>
      </c>
      <c r="N5554" t="n">
        <v>0</v>
      </c>
      <c r="O5554" t="n">
        <v>0</v>
      </c>
      <c r="P5554" t="n">
        <v>0</v>
      </c>
      <c r="Q5554" t="n">
        <v>0</v>
      </c>
      <c r="R5554" s="2" t="inlineStr"/>
    </row>
    <row r="5555" ht="15" customHeight="1">
      <c r="A5555" t="inlineStr">
        <is>
          <t>A 50586-2024</t>
        </is>
      </c>
      <c r="B5555" s="1" t="n">
        <v>45601.6175</v>
      </c>
      <c r="C5555" s="1" t="n">
        <v>45884</v>
      </c>
      <c r="D5555" t="inlineStr">
        <is>
          <t>KALMAR LÄN</t>
        </is>
      </c>
      <c r="E5555" t="inlineStr">
        <is>
          <t>NYBRO</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13997-2021</t>
        </is>
      </c>
      <c r="B5556" s="1" t="n">
        <v>44277</v>
      </c>
      <c r="C5556" s="1" t="n">
        <v>45884</v>
      </c>
      <c r="D5556" t="inlineStr">
        <is>
          <t>KALMAR LÄN</t>
        </is>
      </c>
      <c r="E5556" t="inlineStr">
        <is>
          <t>NYBRO</t>
        </is>
      </c>
      <c r="G5556" t="n">
        <v>5.2</v>
      </c>
      <c r="H5556" t="n">
        <v>0</v>
      </c>
      <c r="I5556" t="n">
        <v>0</v>
      </c>
      <c r="J5556" t="n">
        <v>0</v>
      </c>
      <c r="K5556" t="n">
        <v>0</v>
      </c>
      <c r="L5556" t="n">
        <v>0</v>
      </c>
      <c r="M5556" t="n">
        <v>0</v>
      </c>
      <c r="N5556" t="n">
        <v>0</v>
      </c>
      <c r="O5556" t="n">
        <v>0</v>
      </c>
      <c r="P5556" t="n">
        <v>0</v>
      </c>
      <c r="Q5556" t="n">
        <v>0</v>
      </c>
      <c r="R5556" s="2" t="inlineStr"/>
    </row>
    <row r="5557" ht="15" customHeight="1">
      <c r="A5557" t="inlineStr">
        <is>
          <t>A 27966-2024</t>
        </is>
      </c>
      <c r="B5557" s="1" t="n">
        <v>45476.37739583333</v>
      </c>
      <c r="C5557" s="1" t="n">
        <v>45884</v>
      </c>
      <c r="D5557" t="inlineStr">
        <is>
          <t>KALMAR LÄN</t>
        </is>
      </c>
      <c r="E5557" t="inlineStr">
        <is>
          <t>NYBRO</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30173-2024</t>
        </is>
      </c>
      <c r="B5558" s="1" t="n">
        <v>45489.67844907408</v>
      </c>
      <c r="C5558" s="1" t="n">
        <v>45884</v>
      </c>
      <c r="D5558" t="inlineStr">
        <is>
          <t>KALMAR LÄN</t>
        </is>
      </c>
      <c r="E5558" t="inlineStr">
        <is>
          <t>NYBRO</t>
        </is>
      </c>
      <c r="G5558" t="n">
        <v>2.2</v>
      </c>
      <c r="H5558" t="n">
        <v>0</v>
      </c>
      <c r="I5558" t="n">
        <v>0</v>
      </c>
      <c r="J5558" t="n">
        <v>0</v>
      </c>
      <c r="K5558" t="n">
        <v>0</v>
      </c>
      <c r="L5558" t="n">
        <v>0</v>
      </c>
      <c r="M5558" t="n">
        <v>0</v>
      </c>
      <c r="N5558" t="n">
        <v>0</v>
      </c>
      <c r="O5558" t="n">
        <v>0</v>
      </c>
      <c r="P5558" t="n">
        <v>0</v>
      </c>
      <c r="Q5558" t="n">
        <v>0</v>
      </c>
      <c r="R5558" s="2" t="inlineStr"/>
    </row>
    <row r="5559" ht="15" customHeight="1">
      <c r="A5559" t="inlineStr">
        <is>
          <t>A 3321-2023</t>
        </is>
      </c>
      <c r="B5559" s="1" t="n">
        <v>44949.42457175926</v>
      </c>
      <c r="C5559" s="1" t="n">
        <v>45884</v>
      </c>
      <c r="D5559" t="inlineStr">
        <is>
          <t>KALMAR LÄN</t>
        </is>
      </c>
      <c r="E5559" t="inlineStr">
        <is>
          <t>EMMABODA</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57001-2024</t>
        </is>
      </c>
      <c r="B5560" s="1" t="n">
        <v>45628.72706018519</v>
      </c>
      <c r="C5560" s="1" t="n">
        <v>45884</v>
      </c>
      <c r="D5560" t="inlineStr">
        <is>
          <t>KALMAR LÄN</t>
        </is>
      </c>
      <c r="E5560" t="inlineStr">
        <is>
          <t>HULTSFRED</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21964-2024</t>
        </is>
      </c>
      <c r="B5561" s="1" t="n">
        <v>45443.49804398148</v>
      </c>
      <c r="C5561" s="1" t="n">
        <v>45884</v>
      </c>
      <c r="D5561" t="inlineStr">
        <is>
          <t>KALMAR LÄN</t>
        </is>
      </c>
      <c r="E5561" t="inlineStr">
        <is>
          <t>KALMAR</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52755-2022</t>
        </is>
      </c>
      <c r="B5562" s="1" t="n">
        <v>44875.27736111111</v>
      </c>
      <c r="C5562" s="1" t="n">
        <v>45884</v>
      </c>
      <c r="D5562" t="inlineStr">
        <is>
          <t>KALMAR LÄN</t>
        </is>
      </c>
      <c r="E5562" t="inlineStr">
        <is>
          <t>VIMMERBY</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50352-2023</t>
        </is>
      </c>
      <c r="B5563" s="1" t="n">
        <v>45216</v>
      </c>
      <c r="C5563" s="1" t="n">
        <v>45884</v>
      </c>
      <c r="D5563" t="inlineStr">
        <is>
          <t>KALMAR LÄN</t>
        </is>
      </c>
      <c r="E5563" t="inlineStr">
        <is>
          <t>MÖNSTERÅS</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55501-2023</t>
        </is>
      </c>
      <c r="B5564" s="1" t="n">
        <v>45238</v>
      </c>
      <c r="C5564" s="1" t="n">
        <v>45884</v>
      </c>
      <c r="D5564" t="inlineStr">
        <is>
          <t>KALMAR LÄN</t>
        </is>
      </c>
      <c r="E5564" t="inlineStr">
        <is>
          <t>HULTSFRED</t>
        </is>
      </c>
      <c r="F5564" t="inlineStr">
        <is>
          <t>Kyrkan</t>
        </is>
      </c>
      <c r="G5564" t="n">
        <v>2.9</v>
      </c>
      <c r="H5564" t="n">
        <v>0</v>
      </c>
      <c r="I5564" t="n">
        <v>0</v>
      </c>
      <c r="J5564" t="n">
        <v>0</v>
      </c>
      <c r="K5564" t="n">
        <v>0</v>
      </c>
      <c r="L5564" t="n">
        <v>0</v>
      </c>
      <c r="M5564" t="n">
        <v>0</v>
      </c>
      <c r="N5564" t="n">
        <v>0</v>
      </c>
      <c r="O5564" t="n">
        <v>0</v>
      </c>
      <c r="P5564" t="n">
        <v>0</v>
      </c>
      <c r="Q5564" t="n">
        <v>0</v>
      </c>
      <c r="R5564" s="2" t="inlineStr"/>
    </row>
    <row r="5565" ht="15" customHeight="1">
      <c r="A5565" t="inlineStr">
        <is>
          <t>A 57688-2024</t>
        </is>
      </c>
      <c r="B5565" s="1" t="n">
        <v>45630.65180555556</v>
      </c>
      <c r="C5565" s="1" t="n">
        <v>45884</v>
      </c>
      <c r="D5565" t="inlineStr">
        <is>
          <t>KALMAR LÄN</t>
        </is>
      </c>
      <c r="E5565" t="inlineStr">
        <is>
          <t>VÄSTERVIK</t>
        </is>
      </c>
      <c r="G5565" t="n">
        <v>3.1</v>
      </c>
      <c r="H5565" t="n">
        <v>0</v>
      </c>
      <c r="I5565" t="n">
        <v>0</v>
      </c>
      <c r="J5565" t="n">
        <v>0</v>
      </c>
      <c r="K5565" t="n">
        <v>0</v>
      </c>
      <c r="L5565" t="n">
        <v>0</v>
      </c>
      <c r="M5565" t="n">
        <v>0</v>
      </c>
      <c r="N5565" t="n">
        <v>0</v>
      </c>
      <c r="O5565" t="n">
        <v>0</v>
      </c>
      <c r="P5565" t="n">
        <v>0</v>
      </c>
      <c r="Q5565" t="n">
        <v>0</v>
      </c>
      <c r="R5565" s="2" t="inlineStr"/>
    </row>
    <row r="5566" ht="15" customHeight="1">
      <c r="A5566" t="inlineStr">
        <is>
          <t>A 15270-2025</t>
        </is>
      </c>
      <c r="B5566" s="1" t="n">
        <v>45744</v>
      </c>
      <c r="C5566" s="1" t="n">
        <v>45884</v>
      </c>
      <c r="D5566" t="inlineStr">
        <is>
          <t>KALMAR LÄN</t>
        </is>
      </c>
      <c r="E5566" t="inlineStr">
        <is>
          <t>HULTSFRED</t>
        </is>
      </c>
      <c r="G5566" t="n">
        <v>1.9</v>
      </c>
      <c r="H5566" t="n">
        <v>0</v>
      </c>
      <c r="I5566" t="n">
        <v>0</v>
      </c>
      <c r="J5566" t="n">
        <v>0</v>
      </c>
      <c r="K5566" t="n">
        <v>0</v>
      </c>
      <c r="L5566" t="n">
        <v>0</v>
      </c>
      <c r="M5566" t="n">
        <v>0</v>
      </c>
      <c r="N5566" t="n">
        <v>0</v>
      </c>
      <c r="O5566" t="n">
        <v>0</v>
      </c>
      <c r="P5566" t="n">
        <v>0</v>
      </c>
      <c r="Q5566" t="n">
        <v>0</v>
      </c>
      <c r="R5566" s="2" t="inlineStr"/>
    </row>
    <row r="5567" ht="15" customHeight="1">
      <c r="A5567" t="inlineStr">
        <is>
          <t>A 28254-2024</t>
        </is>
      </c>
      <c r="B5567" s="1" t="n">
        <v>45477.42023148148</v>
      </c>
      <c r="C5567" s="1" t="n">
        <v>45884</v>
      </c>
      <c r="D5567" t="inlineStr">
        <is>
          <t>KALMAR LÄN</t>
        </is>
      </c>
      <c r="E5567" t="inlineStr">
        <is>
          <t>HULTSFRED</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35998-2024</t>
        </is>
      </c>
      <c r="B5568" s="1" t="n">
        <v>45533.54429398148</v>
      </c>
      <c r="C5568" s="1" t="n">
        <v>45884</v>
      </c>
      <c r="D5568" t="inlineStr">
        <is>
          <t>KALMAR LÄN</t>
        </is>
      </c>
      <c r="E5568" t="inlineStr">
        <is>
          <t>VIMMERBY</t>
        </is>
      </c>
      <c r="G5568" t="n">
        <v>8.6</v>
      </c>
      <c r="H5568" t="n">
        <v>0</v>
      </c>
      <c r="I5568" t="n">
        <v>0</v>
      </c>
      <c r="J5568" t="n">
        <v>0</v>
      </c>
      <c r="K5568" t="n">
        <v>0</v>
      </c>
      <c r="L5568" t="n">
        <v>0</v>
      </c>
      <c r="M5568" t="n">
        <v>0</v>
      </c>
      <c r="N5568" t="n">
        <v>0</v>
      </c>
      <c r="O5568" t="n">
        <v>0</v>
      </c>
      <c r="P5568" t="n">
        <v>0</v>
      </c>
      <c r="Q5568" t="n">
        <v>0</v>
      </c>
      <c r="R5568" s="2" t="inlineStr"/>
    </row>
    <row r="5569" ht="15" customHeight="1">
      <c r="A5569" t="inlineStr">
        <is>
          <t>A 34078-2024</t>
        </is>
      </c>
      <c r="B5569" s="1" t="n">
        <v>45523.65054398148</v>
      </c>
      <c r="C5569" s="1" t="n">
        <v>45884</v>
      </c>
      <c r="D5569" t="inlineStr">
        <is>
          <t>KALMAR LÄN</t>
        </is>
      </c>
      <c r="E5569" t="inlineStr">
        <is>
          <t>HÖGSBY</t>
        </is>
      </c>
      <c r="G5569" t="n">
        <v>2.3</v>
      </c>
      <c r="H5569" t="n">
        <v>0</v>
      </c>
      <c r="I5569" t="n">
        <v>0</v>
      </c>
      <c r="J5569" t="n">
        <v>0</v>
      </c>
      <c r="K5569" t="n">
        <v>0</v>
      </c>
      <c r="L5569" t="n">
        <v>0</v>
      </c>
      <c r="M5569" t="n">
        <v>0</v>
      </c>
      <c r="N5569" t="n">
        <v>0</v>
      </c>
      <c r="O5569" t="n">
        <v>0</v>
      </c>
      <c r="P5569" t="n">
        <v>0</v>
      </c>
      <c r="Q5569" t="n">
        <v>0</v>
      </c>
      <c r="R5569" s="2" t="inlineStr"/>
    </row>
    <row r="5570" ht="15" customHeight="1">
      <c r="A5570" t="inlineStr">
        <is>
          <t>A 39278-2024</t>
        </is>
      </c>
      <c r="B5570" s="1" t="n">
        <v>45551.35216435185</v>
      </c>
      <c r="C5570" s="1" t="n">
        <v>45884</v>
      </c>
      <c r="D5570" t="inlineStr">
        <is>
          <t>KALMAR LÄN</t>
        </is>
      </c>
      <c r="E5570" t="inlineStr">
        <is>
          <t>VÄSTERVIK</t>
        </is>
      </c>
      <c r="G5570" t="n">
        <v>2.9</v>
      </c>
      <c r="H5570" t="n">
        <v>0</v>
      </c>
      <c r="I5570" t="n">
        <v>0</v>
      </c>
      <c r="J5570" t="n">
        <v>0</v>
      </c>
      <c r="K5570" t="n">
        <v>0</v>
      </c>
      <c r="L5570" t="n">
        <v>0</v>
      </c>
      <c r="M5570" t="n">
        <v>0</v>
      </c>
      <c r="N5570" t="n">
        <v>0</v>
      </c>
      <c r="O5570" t="n">
        <v>0</v>
      </c>
      <c r="P5570" t="n">
        <v>0</v>
      </c>
      <c r="Q5570" t="n">
        <v>0</v>
      </c>
      <c r="R5570" s="2" t="inlineStr"/>
    </row>
    <row r="5571" ht="15" customHeight="1">
      <c r="A5571" t="inlineStr">
        <is>
          <t>A 39350-2024</t>
        </is>
      </c>
      <c r="B5571" s="1" t="n">
        <v>45551.45412037037</v>
      </c>
      <c r="C5571" s="1" t="n">
        <v>45884</v>
      </c>
      <c r="D5571" t="inlineStr">
        <is>
          <t>KALMAR LÄN</t>
        </is>
      </c>
      <c r="E5571" t="inlineStr">
        <is>
          <t>KALMAR</t>
        </is>
      </c>
      <c r="G5571" t="n">
        <v>3.6</v>
      </c>
      <c r="H5571" t="n">
        <v>0</v>
      </c>
      <c r="I5571" t="n">
        <v>0</v>
      </c>
      <c r="J5571" t="n">
        <v>0</v>
      </c>
      <c r="K5571" t="n">
        <v>0</v>
      </c>
      <c r="L5571" t="n">
        <v>0</v>
      </c>
      <c r="M5571" t="n">
        <v>0</v>
      </c>
      <c r="N5571" t="n">
        <v>0</v>
      </c>
      <c r="O5571" t="n">
        <v>0</v>
      </c>
      <c r="P5571" t="n">
        <v>0</v>
      </c>
      <c r="Q5571" t="n">
        <v>0</v>
      </c>
      <c r="R5571" s="2" t="inlineStr"/>
    </row>
    <row r="5572" ht="15" customHeight="1">
      <c r="A5572" t="inlineStr">
        <is>
          <t>A 10418-2025</t>
        </is>
      </c>
      <c r="B5572" s="1" t="n">
        <v>45720.63856481481</v>
      </c>
      <c r="C5572" s="1" t="n">
        <v>45884</v>
      </c>
      <c r="D5572" t="inlineStr">
        <is>
          <t>KALMAR LÄN</t>
        </is>
      </c>
      <c r="E5572" t="inlineStr">
        <is>
          <t>HÖGSBY</t>
        </is>
      </c>
      <c r="G5572" t="n">
        <v>3.2</v>
      </c>
      <c r="H5572" t="n">
        <v>0</v>
      </c>
      <c r="I5572" t="n">
        <v>0</v>
      </c>
      <c r="J5572" t="n">
        <v>0</v>
      </c>
      <c r="K5572" t="n">
        <v>0</v>
      </c>
      <c r="L5572" t="n">
        <v>0</v>
      </c>
      <c r="M5572" t="n">
        <v>0</v>
      </c>
      <c r="N5572" t="n">
        <v>0</v>
      </c>
      <c r="O5572" t="n">
        <v>0</v>
      </c>
      <c r="P5572" t="n">
        <v>0</v>
      </c>
      <c r="Q5572" t="n">
        <v>0</v>
      </c>
      <c r="R5572" s="2" t="inlineStr"/>
    </row>
    <row r="5573" ht="15" customHeight="1">
      <c r="A5573" t="inlineStr">
        <is>
          <t>A 27507-2024</t>
        </is>
      </c>
      <c r="B5573" s="1" t="n">
        <v>45474.5287962963</v>
      </c>
      <c r="C5573" s="1" t="n">
        <v>45884</v>
      </c>
      <c r="D5573" t="inlineStr">
        <is>
          <t>KALMAR LÄN</t>
        </is>
      </c>
      <c r="E5573" t="inlineStr">
        <is>
          <t>TORSÅS</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60141-2023</t>
        </is>
      </c>
      <c r="B5574" s="1" t="n">
        <v>45258.50520833334</v>
      </c>
      <c r="C5574" s="1" t="n">
        <v>45884</v>
      </c>
      <c r="D5574" t="inlineStr">
        <is>
          <t>KALMAR LÄN</t>
        </is>
      </c>
      <c r="E5574" t="inlineStr">
        <is>
          <t>EMMABODA</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60143-2023</t>
        </is>
      </c>
      <c r="B5575" s="1" t="n">
        <v>45258</v>
      </c>
      <c r="C5575" s="1" t="n">
        <v>45884</v>
      </c>
      <c r="D5575" t="inlineStr">
        <is>
          <t>KALMAR LÄN</t>
        </is>
      </c>
      <c r="E5575" t="inlineStr">
        <is>
          <t>EMMABODA</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57626-2023</t>
        </is>
      </c>
      <c r="B5576" s="1" t="n">
        <v>45246</v>
      </c>
      <c r="C5576" s="1" t="n">
        <v>45884</v>
      </c>
      <c r="D5576" t="inlineStr">
        <is>
          <t>KALMAR LÄN</t>
        </is>
      </c>
      <c r="E5576" t="inlineStr">
        <is>
          <t>KALMAR</t>
        </is>
      </c>
      <c r="G5576" t="n">
        <v>2.6</v>
      </c>
      <c r="H5576" t="n">
        <v>0</v>
      </c>
      <c r="I5576" t="n">
        <v>0</v>
      </c>
      <c r="J5576" t="n">
        <v>0</v>
      </c>
      <c r="K5576" t="n">
        <v>0</v>
      </c>
      <c r="L5576" t="n">
        <v>0</v>
      </c>
      <c r="M5576" t="n">
        <v>0</v>
      </c>
      <c r="N5576" t="n">
        <v>0</v>
      </c>
      <c r="O5576" t="n">
        <v>0</v>
      </c>
      <c r="P5576" t="n">
        <v>0</v>
      </c>
      <c r="Q5576" t="n">
        <v>0</v>
      </c>
      <c r="R5576" s="2" t="inlineStr"/>
    </row>
    <row r="5577" ht="15" customHeight="1">
      <c r="A5577" t="inlineStr">
        <is>
          <t>A 4089-2025</t>
        </is>
      </c>
      <c r="B5577" s="1" t="n">
        <v>45684.66949074074</v>
      </c>
      <c r="C5577" s="1" t="n">
        <v>45884</v>
      </c>
      <c r="D5577" t="inlineStr">
        <is>
          <t>KALMAR LÄN</t>
        </is>
      </c>
      <c r="E5577" t="inlineStr">
        <is>
          <t>EMMABODA</t>
        </is>
      </c>
      <c r="G5577" t="n">
        <v>2.9</v>
      </c>
      <c r="H5577" t="n">
        <v>0</v>
      </c>
      <c r="I5577" t="n">
        <v>0</v>
      </c>
      <c r="J5577" t="n">
        <v>0</v>
      </c>
      <c r="K5577" t="n">
        <v>0</v>
      </c>
      <c r="L5577" t="n">
        <v>0</v>
      </c>
      <c r="M5577" t="n">
        <v>0</v>
      </c>
      <c r="N5577" t="n">
        <v>0</v>
      </c>
      <c r="O5577" t="n">
        <v>0</v>
      </c>
      <c r="P5577" t="n">
        <v>0</v>
      </c>
      <c r="Q5577" t="n">
        <v>0</v>
      </c>
      <c r="R5577" s="2" t="inlineStr"/>
    </row>
    <row r="5578" ht="15" customHeight="1">
      <c r="A5578" t="inlineStr">
        <is>
          <t>A 5771-2025</t>
        </is>
      </c>
      <c r="B5578" s="1" t="n">
        <v>45694.59543981482</v>
      </c>
      <c r="C5578" s="1" t="n">
        <v>45884</v>
      </c>
      <c r="D5578" t="inlineStr">
        <is>
          <t>KALMAR LÄN</t>
        </is>
      </c>
      <c r="E5578" t="inlineStr">
        <is>
          <t>TORSÅS</t>
        </is>
      </c>
      <c r="G5578" t="n">
        <v>3.9</v>
      </c>
      <c r="H5578" t="n">
        <v>0</v>
      </c>
      <c r="I5578" t="n">
        <v>0</v>
      </c>
      <c r="J5578" t="n">
        <v>0</v>
      </c>
      <c r="K5578" t="n">
        <v>0</v>
      </c>
      <c r="L5578" t="n">
        <v>0</v>
      </c>
      <c r="M5578" t="n">
        <v>0</v>
      </c>
      <c r="N5578" t="n">
        <v>0</v>
      </c>
      <c r="O5578" t="n">
        <v>0</v>
      </c>
      <c r="P5578" t="n">
        <v>0</v>
      </c>
      <c r="Q5578" t="n">
        <v>0</v>
      </c>
      <c r="R5578" s="2" t="inlineStr"/>
    </row>
    <row r="5579" ht="15" customHeight="1">
      <c r="A5579" t="inlineStr">
        <is>
          <t>A 56254-2024</t>
        </is>
      </c>
      <c r="B5579" s="1" t="n">
        <v>45624.64013888889</v>
      </c>
      <c r="C5579" s="1" t="n">
        <v>45884</v>
      </c>
      <c r="D5579" t="inlineStr">
        <is>
          <t>KALMAR LÄN</t>
        </is>
      </c>
      <c r="E5579" t="inlineStr">
        <is>
          <t>EMMABODA</t>
        </is>
      </c>
      <c r="G5579" t="n">
        <v>2.4</v>
      </c>
      <c r="H5579" t="n">
        <v>0</v>
      </c>
      <c r="I5579" t="n">
        <v>0</v>
      </c>
      <c r="J5579" t="n">
        <v>0</v>
      </c>
      <c r="K5579" t="n">
        <v>0</v>
      </c>
      <c r="L5579" t="n">
        <v>0</v>
      </c>
      <c r="M5579" t="n">
        <v>0</v>
      </c>
      <c r="N5579" t="n">
        <v>0</v>
      </c>
      <c r="O5579" t="n">
        <v>0</v>
      </c>
      <c r="P5579" t="n">
        <v>0</v>
      </c>
      <c r="Q5579" t="n">
        <v>0</v>
      </c>
      <c r="R5579" s="2" t="inlineStr"/>
    </row>
    <row r="5580" ht="15" customHeight="1">
      <c r="A5580" t="inlineStr">
        <is>
          <t>A 7797-2023</t>
        </is>
      </c>
      <c r="B5580" s="1" t="n">
        <v>44973.43075231482</v>
      </c>
      <c r="C5580" s="1" t="n">
        <v>45884</v>
      </c>
      <c r="D5580" t="inlineStr">
        <is>
          <t>KALMAR LÄN</t>
        </is>
      </c>
      <c r="E5580" t="inlineStr">
        <is>
          <t>VIMMERBY</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41581-2024</t>
        </is>
      </c>
      <c r="B5581" s="1" t="n">
        <v>45560.55587962963</v>
      </c>
      <c r="C5581" s="1" t="n">
        <v>45884</v>
      </c>
      <c r="D5581" t="inlineStr">
        <is>
          <t>KALMAR LÄN</t>
        </is>
      </c>
      <c r="E5581" t="inlineStr">
        <is>
          <t>MÖNSTERÅS</t>
        </is>
      </c>
      <c r="G5581" t="n">
        <v>2.7</v>
      </c>
      <c r="H5581" t="n">
        <v>0</v>
      </c>
      <c r="I5581" t="n">
        <v>0</v>
      </c>
      <c r="J5581" t="n">
        <v>0</v>
      </c>
      <c r="K5581" t="n">
        <v>0</v>
      </c>
      <c r="L5581" t="n">
        <v>0</v>
      </c>
      <c r="M5581" t="n">
        <v>0</v>
      </c>
      <c r="N5581" t="n">
        <v>0</v>
      </c>
      <c r="O5581" t="n">
        <v>0</v>
      </c>
      <c r="P5581" t="n">
        <v>0</v>
      </c>
      <c r="Q5581" t="n">
        <v>0</v>
      </c>
      <c r="R5581" s="2" t="inlineStr"/>
    </row>
    <row r="5582" ht="15" customHeight="1">
      <c r="A5582" t="inlineStr">
        <is>
          <t>A 62403-2023</t>
        </is>
      </c>
      <c r="B5582" s="1" t="n">
        <v>45268.36550925926</v>
      </c>
      <c r="C5582" s="1" t="n">
        <v>45884</v>
      </c>
      <c r="D5582" t="inlineStr">
        <is>
          <t>KALMAR LÄN</t>
        </is>
      </c>
      <c r="E5582" t="inlineStr">
        <is>
          <t>OSKARSHAMN</t>
        </is>
      </c>
      <c r="F5582" t="inlineStr">
        <is>
          <t>Sveaskog</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29539-2024</t>
        </is>
      </c>
      <c r="B5583" s="1" t="n">
        <v>45484.49533564815</v>
      </c>
      <c r="C5583" s="1" t="n">
        <v>45884</v>
      </c>
      <c r="D5583" t="inlineStr">
        <is>
          <t>KALMAR LÄN</t>
        </is>
      </c>
      <c r="E5583" t="inlineStr">
        <is>
          <t>EMMABODA</t>
        </is>
      </c>
      <c r="G5583" t="n">
        <v>2.3</v>
      </c>
      <c r="H5583" t="n">
        <v>0</v>
      </c>
      <c r="I5583" t="n">
        <v>0</v>
      </c>
      <c r="J5583" t="n">
        <v>0</v>
      </c>
      <c r="K5583" t="n">
        <v>0</v>
      </c>
      <c r="L5583" t="n">
        <v>0</v>
      </c>
      <c r="M5583" t="n">
        <v>0</v>
      </c>
      <c r="N5583" t="n">
        <v>0</v>
      </c>
      <c r="O5583" t="n">
        <v>0</v>
      </c>
      <c r="P5583" t="n">
        <v>0</v>
      </c>
      <c r="Q5583" t="n">
        <v>0</v>
      </c>
      <c r="R5583" s="2" t="inlineStr"/>
    </row>
    <row r="5584" ht="15" customHeight="1">
      <c r="A5584" t="inlineStr">
        <is>
          <t>A 14854-2025</t>
        </is>
      </c>
      <c r="B5584" s="1" t="n">
        <v>45743.40881944444</v>
      </c>
      <c r="C5584" s="1" t="n">
        <v>45884</v>
      </c>
      <c r="D5584" t="inlineStr">
        <is>
          <t>KALMAR LÄN</t>
        </is>
      </c>
      <c r="E5584" t="inlineStr">
        <is>
          <t>VIMMERBY</t>
        </is>
      </c>
      <c r="G5584" t="n">
        <v>6.1</v>
      </c>
      <c r="H5584" t="n">
        <v>0</v>
      </c>
      <c r="I5584" t="n">
        <v>0</v>
      </c>
      <c r="J5584" t="n">
        <v>0</v>
      </c>
      <c r="K5584" t="n">
        <v>0</v>
      </c>
      <c r="L5584" t="n">
        <v>0</v>
      </c>
      <c r="M5584" t="n">
        <v>0</v>
      </c>
      <c r="N5584" t="n">
        <v>0</v>
      </c>
      <c r="O5584" t="n">
        <v>0</v>
      </c>
      <c r="P5584" t="n">
        <v>0</v>
      </c>
      <c r="Q5584" t="n">
        <v>0</v>
      </c>
      <c r="R5584" s="2" t="inlineStr"/>
    </row>
    <row r="5585" ht="15" customHeight="1">
      <c r="A5585" t="inlineStr">
        <is>
          <t>A 50309-2024</t>
        </is>
      </c>
      <c r="B5585" s="1" t="n">
        <v>45600.65333333334</v>
      </c>
      <c r="C5585" s="1" t="n">
        <v>45884</v>
      </c>
      <c r="D5585" t="inlineStr">
        <is>
          <t>KALMAR LÄN</t>
        </is>
      </c>
      <c r="E5585" t="inlineStr">
        <is>
          <t>EMMABODA</t>
        </is>
      </c>
      <c r="G5585" t="n">
        <v>3.1</v>
      </c>
      <c r="H5585" t="n">
        <v>0</v>
      </c>
      <c r="I5585" t="n">
        <v>0</v>
      </c>
      <c r="J5585" t="n">
        <v>0</v>
      </c>
      <c r="K5585" t="n">
        <v>0</v>
      </c>
      <c r="L5585" t="n">
        <v>0</v>
      </c>
      <c r="M5585" t="n">
        <v>0</v>
      </c>
      <c r="N5585" t="n">
        <v>0</v>
      </c>
      <c r="O5585" t="n">
        <v>0</v>
      </c>
      <c r="P5585" t="n">
        <v>0</v>
      </c>
      <c r="Q5585" t="n">
        <v>0</v>
      </c>
      <c r="R5585" s="2" t="inlineStr"/>
    </row>
    <row r="5586" ht="15" customHeight="1">
      <c r="A5586" t="inlineStr">
        <is>
          <t>A 9424-2023</t>
        </is>
      </c>
      <c r="B5586" s="1" t="n">
        <v>44981.49157407408</v>
      </c>
      <c r="C5586" s="1" t="n">
        <v>45884</v>
      </c>
      <c r="D5586" t="inlineStr">
        <is>
          <t>KALMAR LÄN</t>
        </is>
      </c>
      <c r="E5586" t="inlineStr">
        <is>
          <t>HÖGSBY</t>
        </is>
      </c>
      <c r="F5586" t="inlineStr">
        <is>
          <t>Övriga Aktiebolag</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35371-2022</t>
        </is>
      </c>
      <c r="B5587" s="1" t="n">
        <v>44798.56335648148</v>
      </c>
      <c r="C5587" s="1" t="n">
        <v>45884</v>
      </c>
      <c r="D5587" t="inlineStr">
        <is>
          <t>KALMAR LÄN</t>
        </is>
      </c>
      <c r="E5587" t="inlineStr">
        <is>
          <t>NYBRO</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51510-2024</t>
        </is>
      </c>
      <c r="B5588" s="1" t="n">
        <v>45604.55837962963</v>
      </c>
      <c r="C5588" s="1" t="n">
        <v>45884</v>
      </c>
      <c r="D5588" t="inlineStr">
        <is>
          <t>KALMAR LÄN</t>
        </is>
      </c>
      <c r="E5588" t="inlineStr">
        <is>
          <t>VÄSTERVIK</t>
        </is>
      </c>
      <c r="F5588" t="inlineStr">
        <is>
          <t>Övriga Aktiebolag</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21278-2025</t>
        </is>
      </c>
      <c r="B5589" s="1" t="n">
        <v>45779.64450231481</v>
      </c>
      <c r="C5589" s="1" t="n">
        <v>45884</v>
      </c>
      <c r="D5589" t="inlineStr">
        <is>
          <t>KALMAR LÄN</t>
        </is>
      </c>
      <c r="E5589" t="inlineStr">
        <is>
          <t>KALMAR</t>
        </is>
      </c>
      <c r="G5589" t="n">
        <v>2.2</v>
      </c>
      <c r="H5589" t="n">
        <v>0</v>
      </c>
      <c r="I5589" t="n">
        <v>0</v>
      </c>
      <c r="J5589" t="n">
        <v>0</v>
      </c>
      <c r="K5589" t="n">
        <v>0</v>
      </c>
      <c r="L5589" t="n">
        <v>0</v>
      </c>
      <c r="M5589" t="n">
        <v>0</v>
      </c>
      <c r="N5589" t="n">
        <v>0</v>
      </c>
      <c r="O5589" t="n">
        <v>0</v>
      </c>
      <c r="P5589" t="n">
        <v>0</v>
      </c>
      <c r="Q5589" t="n">
        <v>0</v>
      </c>
      <c r="R5589" s="2" t="inlineStr"/>
    </row>
    <row r="5590" ht="15" customHeight="1">
      <c r="A5590" t="inlineStr">
        <is>
          <t>A 12785-2025</t>
        </is>
      </c>
      <c r="B5590" s="1" t="n">
        <v>45733.60050925926</v>
      </c>
      <c r="C5590" s="1" t="n">
        <v>45884</v>
      </c>
      <c r="D5590" t="inlineStr">
        <is>
          <t>KALMAR LÄN</t>
        </is>
      </c>
      <c r="E5590" t="inlineStr">
        <is>
          <t>NYBRO</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21189-2025</t>
        </is>
      </c>
      <c r="B5591" s="1" t="n">
        <v>45779.45815972222</v>
      </c>
      <c r="C5591" s="1" t="n">
        <v>45884</v>
      </c>
      <c r="D5591" t="inlineStr">
        <is>
          <t>KALMAR LÄN</t>
        </is>
      </c>
      <c r="E5591" t="inlineStr">
        <is>
          <t>EMMABODA</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21191-2025</t>
        </is>
      </c>
      <c r="B5592" s="1" t="n">
        <v>45779.46054398148</v>
      </c>
      <c r="C5592" s="1" t="n">
        <v>45884</v>
      </c>
      <c r="D5592" t="inlineStr">
        <is>
          <t>KALMAR LÄN</t>
        </is>
      </c>
      <c r="E5592" t="inlineStr">
        <is>
          <t>EMMABODA</t>
        </is>
      </c>
      <c r="G5592" t="n">
        <v>7.8</v>
      </c>
      <c r="H5592" t="n">
        <v>0</v>
      </c>
      <c r="I5592" t="n">
        <v>0</v>
      </c>
      <c r="J5592" t="n">
        <v>0</v>
      </c>
      <c r="K5592" t="n">
        <v>0</v>
      </c>
      <c r="L5592" t="n">
        <v>0</v>
      </c>
      <c r="M5592" t="n">
        <v>0</v>
      </c>
      <c r="N5592" t="n">
        <v>0</v>
      </c>
      <c r="O5592" t="n">
        <v>0</v>
      </c>
      <c r="P5592" t="n">
        <v>0</v>
      </c>
      <c r="Q5592" t="n">
        <v>0</v>
      </c>
      <c r="R5592" s="2" t="inlineStr"/>
    </row>
    <row r="5593" ht="15" customHeight="1">
      <c r="A5593" t="inlineStr">
        <is>
          <t>A 12217-2021</t>
        </is>
      </c>
      <c r="B5593" s="1" t="n">
        <v>44266.66663194444</v>
      </c>
      <c r="C5593" s="1" t="n">
        <v>45884</v>
      </c>
      <c r="D5593" t="inlineStr">
        <is>
          <t>KALMAR LÄN</t>
        </is>
      </c>
      <c r="E5593" t="inlineStr">
        <is>
          <t>NYBRO</t>
        </is>
      </c>
      <c r="G5593" t="n">
        <v>4.5</v>
      </c>
      <c r="H5593" t="n">
        <v>0</v>
      </c>
      <c r="I5593" t="n">
        <v>0</v>
      </c>
      <c r="J5593" t="n">
        <v>0</v>
      </c>
      <c r="K5593" t="n">
        <v>0</v>
      </c>
      <c r="L5593" t="n">
        <v>0</v>
      </c>
      <c r="M5593" t="n">
        <v>0</v>
      </c>
      <c r="N5593" t="n">
        <v>0</v>
      </c>
      <c r="O5593" t="n">
        <v>0</v>
      </c>
      <c r="P5593" t="n">
        <v>0</v>
      </c>
      <c r="Q5593" t="n">
        <v>0</v>
      </c>
      <c r="R5593" s="2" t="inlineStr"/>
    </row>
    <row r="5594" ht="15" customHeight="1">
      <c r="A5594" t="inlineStr">
        <is>
          <t>A 4448-2024</t>
        </is>
      </c>
      <c r="B5594" s="1" t="n">
        <v>45327.50098379629</v>
      </c>
      <c r="C5594" s="1" t="n">
        <v>45884</v>
      </c>
      <c r="D5594" t="inlineStr">
        <is>
          <t>KALMAR LÄN</t>
        </is>
      </c>
      <c r="E5594" t="inlineStr">
        <is>
          <t>KALMAR</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21471-2025</t>
        </is>
      </c>
      <c r="B5595" s="1" t="n">
        <v>45782.59019675926</v>
      </c>
      <c r="C5595" s="1" t="n">
        <v>45884</v>
      </c>
      <c r="D5595" t="inlineStr">
        <is>
          <t>KALMAR LÄN</t>
        </is>
      </c>
      <c r="E5595" t="inlineStr">
        <is>
          <t>KALMAR</t>
        </is>
      </c>
      <c r="F5595" t="inlineStr">
        <is>
          <t>Sveaskog</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47335-2024</t>
        </is>
      </c>
      <c r="B5596" s="1" t="n">
        <v>45587.39587962963</v>
      </c>
      <c r="C5596" s="1" t="n">
        <v>45884</v>
      </c>
      <c r="D5596" t="inlineStr">
        <is>
          <t>KALMAR LÄN</t>
        </is>
      </c>
      <c r="E5596" t="inlineStr">
        <is>
          <t>NYBRO</t>
        </is>
      </c>
      <c r="G5596" t="n">
        <v>8.699999999999999</v>
      </c>
      <c r="H5596" t="n">
        <v>0</v>
      </c>
      <c r="I5596" t="n">
        <v>0</v>
      </c>
      <c r="J5596" t="n">
        <v>0</v>
      </c>
      <c r="K5596" t="n">
        <v>0</v>
      </c>
      <c r="L5596" t="n">
        <v>0</v>
      </c>
      <c r="M5596" t="n">
        <v>0</v>
      </c>
      <c r="N5596" t="n">
        <v>0</v>
      </c>
      <c r="O5596" t="n">
        <v>0</v>
      </c>
      <c r="P5596" t="n">
        <v>0</v>
      </c>
      <c r="Q5596" t="n">
        <v>0</v>
      </c>
      <c r="R5596" s="2" t="inlineStr"/>
    </row>
    <row r="5597" ht="15" customHeight="1">
      <c r="A5597" t="inlineStr">
        <is>
          <t>A 21802-2025</t>
        </is>
      </c>
      <c r="B5597" s="1" t="n">
        <v>45783.68928240741</v>
      </c>
      <c r="C5597" s="1" t="n">
        <v>45884</v>
      </c>
      <c r="D5597" t="inlineStr">
        <is>
          <t>KALMAR LÄN</t>
        </is>
      </c>
      <c r="E5597" t="inlineStr">
        <is>
          <t>EMMABODA</t>
        </is>
      </c>
      <c r="G5597" t="n">
        <v>1.5</v>
      </c>
      <c r="H5597" t="n">
        <v>0</v>
      </c>
      <c r="I5597" t="n">
        <v>0</v>
      </c>
      <c r="J5597" t="n">
        <v>0</v>
      </c>
      <c r="K5597" t="n">
        <v>0</v>
      </c>
      <c r="L5597" t="n">
        <v>0</v>
      </c>
      <c r="M5597" t="n">
        <v>0</v>
      </c>
      <c r="N5597" t="n">
        <v>0</v>
      </c>
      <c r="O5597" t="n">
        <v>0</v>
      </c>
      <c r="P5597" t="n">
        <v>0</v>
      </c>
      <c r="Q5597" t="n">
        <v>0</v>
      </c>
      <c r="R5597" s="2" t="inlineStr"/>
    </row>
    <row r="5598" ht="15" customHeight="1">
      <c r="A5598" t="inlineStr">
        <is>
          <t>A 5201-2025</t>
        </is>
      </c>
      <c r="B5598" s="1" t="n">
        <v>45691</v>
      </c>
      <c r="C5598" s="1" t="n">
        <v>45884</v>
      </c>
      <c r="D5598" t="inlineStr">
        <is>
          <t>KALMAR LÄN</t>
        </is>
      </c>
      <c r="E5598" t="inlineStr">
        <is>
          <t>OSKARSHAMN</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17432-2024</t>
        </is>
      </c>
      <c r="B5599" s="1" t="n">
        <v>45415.32408564815</v>
      </c>
      <c r="C5599" s="1" t="n">
        <v>45884</v>
      </c>
      <c r="D5599" t="inlineStr">
        <is>
          <t>KALMAR LÄN</t>
        </is>
      </c>
      <c r="E5599" t="inlineStr">
        <is>
          <t>NYBRO</t>
        </is>
      </c>
      <c r="G5599" t="n">
        <v>0</v>
      </c>
      <c r="H5599" t="n">
        <v>0</v>
      </c>
      <c r="I5599" t="n">
        <v>0</v>
      </c>
      <c r="J5599" t="n">
        <v>0</v>
      </c>
      <c r="K5599" t="n">
        <v>0</v>
      </c>
      <c r="L5599" t="n">
        <v>0</v>
      </c>
      <c r="M5599" t="n">
        <v>0</v>
      </c>
      <c r="N5599" t="n">
        <v>0</v>
      </c>
      <c r="O5599" t="n">
        <v>0</v>
      </c>
      <c r="P5599" t="n">
        <v>0</v>
      </c>
      <c r="Q5599" t="n">
        <v>0</v>
      </c>
      <c r="R5599" s="2" t="inlineStr"/>
    </row>
    <row r="5600" ht="15" customHeight="1">
      <c r="A5600" t="inlineStr">
        <is>
          <t>A 29351-2023</t>
        </is>
      </c>
      <c r="B5600" s="1" t="n">
        <v>45106.2610300926</v>
      </c>
      <c r="C5600" s="1" t="n">
        <v>45884</v>
      </c>
      <c r="D5600" t="inlineStr">
        <is>
          <t>KALMAR LÄN</t>
        </is>
      </c>
      <c r="E5600" t="inlineStr">
        <is>
          <t>VIMMERBY</t>
        </is>
      </c>
      <c r="G5600" t="n">
        <v>0.4</v>
      </c>
      <c r="H5600" t="n">
        <v>0</v>
      </c>
      <c r="I5600" t="n">
        <v>0</v>
      </c>
      <c r="J5600" t="n">
        <v>0</v>
      </c>
      <c r="K5600" t="n">
        <v>0</v>
      </c>
      <c r="L5600" t="n">
        <v>0</v>
      </c>
      <c r="M5600" t="n">
        <v>0</v>
      </c>
      <c r="N5600" t="n">
        <v>0</v>
      </c>
      <c r="O5600" t="n">
        <v>0</v>
      </c>
      <c r="P5600" t="n">
        <v>0</v>
      </c>
      <c r="Q5600" t="n">
        <v>0</v>
      </c>
      <c r="R5600" s="2" t="inlineStr"/>
    </row>
    <row r="5601" ht="15" customHeight="1">
      <c r="A5601" t="inlineStr">
        <is>
          <t>A 578-2023</t>
        </is>
      </c>
      <c r="B5601" s="1" t="n">
        <v>44930.5281712963</v>
      </c>
      <c r="C5601" s="1" t="n">
        <v>45884</v>
      </c>
      <c r="D5601" t="inlineStr">
        <is>
          <t>KALMAR LÄN</t>
        </is>
      </c>
      <c r="E5601" t="inlineStr">
        <is>
          <t>EMMABODA</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7630-2025</t>
        </is>
      </c>
      <c r="B5602" s="1" t="n">
        <v>45705.74418981482</v>
      </c>
      <c r="C5602" s="1" t="n">
        <v>45884</v>
      </c>
      <c r="D5602" t="inlineStr">
        <is>
          <t>KALMAR LÄN</t>
        </is>
      </c>
      <c r="E5602" t="inlineStr">
        <is>
          <t>VIMMERBY</t>
        </is>
      </c>
      <c r="G5602" t="n">
        <v>2.5</v>
      </c>
      <c r="H5602" t="n">
        <v>0</v>
      </c>
      <c r="I5602" t="n">
        <v>0</v>
      </c>
      <c r="J5602" t="n">
        <v>0</v>
      </c>
      <c r="K5602" t="n">
        <v>0</v>
      </c>
      <c r="L5602" t="n">
        <v>0</v>
      </c>
      <c r="M5602" t="n">
        <v>0</v>
      </c>
      <c r="N5602" t="n">
        <v>0</v>
      </c>
      <c r="O5602" t="n">
        <v>0</v>
      </c>
      <c r="P5602" t="n">
        <v>0</v>
      </c>
      <c r="Q5602" t="n">
        <v>0</v>
      </c>
      <c r="R5602" s="2" t="inlineStr"/>
    </row>
    <row r="5603" ht="15" customHeight="1">
      <c r="A5603" t="inlineStr">
        <is>
          <t>A 18349-2023</t>
        </is>
      </c>
      <c r="B5603" s="1" t="n">
        <v>45041.69135416667</v>
      </c>
      <c r="C5603" s="1" t="n">
        <v>45884</v>
      </c>
      <c r="D5603" t="inlineStr">
        <is>
          <t>KALMAR LÄN</t>
        </is>
      </c>
      <c r="E5603" t="inlineStr">
        <is>
          <t>OSKARSHAMN</t>
        </is>
      </c>
      <c r="G5603" t="n">
        <v>2.3</v>
      </c>
      <c r="H5603" t="n">
        <v>0</v>
      </c>
      <c r="I5603" t="n">
        <v>0</v>
      </c>
      <c r="J5603" t="n">
        <v>0</v>
      </c>
      <c r="K5603" t="n">
        <v>0</v>
      </c>
      <c r="L5603" t="n">
        <v>0</v>
      </c>
      <c r="M5603" t="n">
        <v>0</v>
      </c>
      <c r="N5603" t="n">
        <v>0</v>
      </c>
      <c r="O5603" t="n">
        <v>0</v>
      </c>
      <c r="P5603" t="n">
        <v>0</v>
      </c>
      <c r="Q5603" t="n">
        <v>0</v>
      </c>
      <c r="R5603" s="2" t="inlineStr"/>
    </row>
    <row r="5604" ht="15" customHeight="1">
      <c r="A5604" t="inlineStr">
        <is>
          <t>A 21660-2025</t>
        </is>
      </c>
      <c r="B5604" s="1" t="n">
        <v>45783.45542824074</v>
      </c>
      <c r="C5604" s="1" t="n">
        <v>45884</v>
      </c>
      <c r="D5604" t="inlineStr">
        <is>
          <t>KALMAR LÄN</t>
        </is>
      </c>
      <c r="E5604" t="inlineStr">
        <is>
          <t>VÄSTERVIK</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21661-2025</t>
        </is>
      </c>
      <c r="B5605" s="1" t="n">
        <v>45783.45644675926</v>
      </c>
      <c r="C5605" s="1" t="n">
        <v>45884</v>
      </c>
      <c r="D5605" t="inlineStr">
        <is>
          <t>KALMAR LÄN</t>
        </is>
      </c>
      <c r="E5605" t="inlineStr">
        <is>
          <t>VÄSTERVIK</t>
        </is>
      </c>
      <c r="G5605" t="n">
        <v>3.5</v>
      </c>
      <c r="H5605" t="n">
        <v>0</v>
      </c>
      <c r="I5605" t="n">
        <v>0</v>
      </c>
      <c r="J5605" t="n">
        <v>0</v>
      </c>
      <c r="K5605" t="n">
        <v>0</v>
      </c>
      <c r="L5605" t="n">
        <v>0</v>
      </c>
      <c r="M5605" t="n">
        <v>0</v>
      </c>
      <c r="N5605" t="n">
        <v>0</v>
      </c>
      <c r="O5605" t="n">
        <v>0</v>
      </c>
      <c r="P5605" t="n">
        <v>0</v>
      </c>
      <c r="Q5605" t="n">
        <v>0</v>
      </c>
      <c r="R5605" s="2" t="inlineStr"/>
    </row>
    <row r="5606" ht="15" customHeight="1">
      <c r="A5606" t="inlineStr">
        <is>
          <t>A 1024-2024</t>
        </is>
      </c>
      <c r="B5606" s="1" t="n">
        <v>45301.68237268519</v>
      </c>
      <c r="C5606" s="1" t="n">
        <v>45884</v>
      </c>
      <c r="D5606" t="inlineStr">
        <is>
          <t>KALMAR LÄN</t>
        </is>
      </c>
      <c r="E5606" t="inlineStr">
        <is>
          <t>VIMMERBY</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21804-2025</t>
        </is>
      </c>
      <c r="B5607" s="1" t="n">
        <v>45783.6937962963</v>
      </c>
      <c r="C5607" s="1" t="n">
        <v>45884</v>
      </c>
      <c r="D5607" t="inlineStr">
        <is>
          <t>KALMAR LÄN</t>
        </is>
      </c>
      <c r="E5607" t="inlineStr">
        <is>
          <t>EMMABODA</t>
        </is>
      </c>
      <c r="G5607" t="n">
        <v>1.7</v>
      </c>
      <c r="H5607" t="n">
        <v>0</v>
      </c>
      <c r="I5607" t="n">
        <v>0</v>
      </c>
      <c r="J5607" t="n">
        <v>0</v>
      </c>
      <c r="K5607" t="n">
        <v>0</v>
      </c>
      <c r="L5607" t="n">
        <v>0</v>
      </c>
      <c r="M5607" t="n">
        <v>0</v>
      </c>
      <c r="N5607" t="n">
        <v>0</v>
      </c>
      <c r="O5607" t="n">
        <v>0</v>
      </c>
      <c r="P5607" t="n">
        <v>0</v>
      </c>
      <c r="Q5607" t="n">
        <v>0</v>
      </c>
      <c r="R5607" s="2" t="inlineStr"/>
    </row>
    <row r="5608" ht="15" customHeight="1">
      <c r="A5608" t="inlineStr">
        <is>
          <t>A 8440-2023</t>
        </is>
      </c>
      <c r="B5608" s="1" t="n">
        <v>44977.46979166667</v>
      </c>
      <c r="C5608" s="1" t="n">
        <v>45884</v>
      </c>
      <c r="D5608" t="inlineStr">
        <is>
          <t>KALMAR LÄN</t>
        </is>
      </c>
      <c r="E5608" t="inlineStr">
        <is>
          <t>VÄSTERVIK</t>
        </is>
      </c>
      <c r="G5608" t="n">
        <v>5.5</v>
      </c>
      <c r="H5608" t="n">
        <v>0</v>
      </c>
      <c r="I5608" t="n">
        <v>0</v>
      </c>
      <c r="J5608" t="n">
        <v>0</v>
      </c>
      <c r="K5608" t="n">
        <v>0</v>
      </c>
      <c r="L5608" t="n">
        <v>0</v>
      </c>
      <c r="M5608" t="n">
        <v>0</v>
      </c>
      <c r="N5608" t="n">
        <v>0</v>
      </c>
      <c r="O5608" t="n">
        <v>0</v>
      </c>
      <c r="P5608" t="n">
        <v>0</v>
      </c>
      <c r="Q5608" t="n">
        <v>0</v>
      </c>
      <c r="R5608" s="2" t="inlineStr"/>
    </row>
    <row r="5609" ht="15" customHeight="1">
      <c r="A5609" t="inlineStr">
        <is>
          <t>A 8489-2023</t>
        </is>
      </c>
      <c r="B5609" s="1" t="n">
        <v>44977</v>
      </c>
      <c r="C5609" s="1" t="n">
        <v>45884</v>
      </c>
      <c r="D5609" t="inlineStr">
        <is>
          <t>KALMAR LÄN</t>
        </is>
      </c>
      <c r="E5609" t="inlineStr">
        <is>
          <t>NYBRO</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8495-2023</t>
        </is>
      </c>
      <c r="B5610" s="1" t="n">
        <v>44977.54047453704</v>
      </c>
      <c r="C5610" s="1" t="n">
        <v>45884</v>
      </c>
      <c r="D5610" t="inlineStr">
        <is>
          <t>KALMAR LÄN</t>
        </is>
      </c>
      <c r="E5610" t="inlineStr">
        <is>
          <t>NYBRO</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10643-2025</t>
        </is>
      </c>
      <c r="B5611" s="1" t="n">
        <v>45721</v>
      </c>
      <c r="C5611" s="1" t="n">
        <v>45884</v>
      </c>
      <c r="D5611" t="inlineStr">
        <is>
          <t>KALMAR LÄN</t>
        </is>
      </c>
      <c r="E5611" t="inlineStr">
        <is>
          <t>NYBRO</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21458-2025</t>
        </is>
      </c>
      <c r="B5612" s="1" t="n">
        <v>45782.56037037037</v>
      </c>
      <c r="C5612" s="1" t="n">
        <v>45884</v>
      </c>
      <c r="D5612" t="inlineStr">
        <is>
          <t>KALMAR LÄN</t>
        </is>
      </c>
      <c r="E5612" t="inlineStr">
        <is>
          <t>KALMAR</t>
        </is>
      </c>
      <c r="G5612" t="n">
        <v>2.7</v>
      </c>
      <c r="H5612" t="n">
        <v>0</v>
      </c>
      <c r="I5612" t="n">
        <v>0</v>
      </c>
      <c r="J5612" t="n">
        <v>0</v>
      </c>
      <c r="K5612" t="n">
        <v>0</v>
      </c>
      <c r="L5612" t="n">
        <v>0</v>
      </c>
      <c r="M5612" t="n">
        <v>0</v>
      </c>
      <c r="N5612" t="n">
        <v>0</v>
      </c>
      <c r="O5612" t="n">
        <v>0</v>
      </c>
      <c r="P5612" t="n">
        <v>0</v>
      </c>
      <c r="Q5612" t="n">
        <v>0</v>
      </c>
      <c r="R5612" s="2" t="inlineStr"/>
      <c r="U5612">
        <f>HYPERLINK("https://klasma.github.io/Logging_0880/knärot/A 21458-2025 karta knärot.png", "A 21458-2025")</f>
        <v/>
      </c>
      <c r="V5612">
        <f>HYPERLINK("https://klasma.github.io/Logging_0880/klagomål/A 21458-2025 FSC-klagomål.docx", "A 21458-2025")</f>
        <v/>
      </c>
      <c r="W5612">
        <f>HYPERLINK("https://klasma.github.io/Logging_0880/klagomålsmail/A 21458-2025 FSC-klagomål mail.docx", "A 21458-2025")</f>
        <v/>
      </c>
      <c r="X5612">
        <f>HYPERLINK("https://klasma.github.io/Logging_0880/tillsyn/A 21458-2025 tillsynsbegäran.docx", "A 21458-2025")</f>
        <v/>
      </c>
      <c r="Y5612">
        <f>HYPERLINK("https://klasma.github.io/Logging_0880/tillsynsmail/A 21458-2025 tillsynsbegäran mail.docx", "A 21458-2025")</f>
        <v/>
      </c>
    </row>
    <row r="5613" ht="15" customHeight="1">
      <c r="A5613" t="inlineStr">
        <is>
          <t>A 15292-2024</t>
        </is>
      </c>
      <c r="B5613" s="1" t="n">
        <v>45400.62210648148</v>
      </c>
      <c r="C5613" s="1" t="n">
        <v>45884</v>
      </c>
      <c r="D5613" t="inlineStr">
        <is>
          <t>KALMAR LÄN</t>
        </is>
      </c>
      <c r="E5613" t="inlineStr">
        <is>
          <t>EMMABODA</t>
        </is>
      </c>
      <c r="G5613" t="n">
        <v>2.2</v>
      </c>
      <c r="H5613" t="n">
        <v>0</v>
      </c>
      <c r="I5613" t="n">
        <v>0</v>
      </c>
      <c r="J5613" t="n">
        <v>0</v>
      </c>
      <c r="K5613" t="n">
        <v>0</v>
      </c>
      <c r="L5613" t="n">
        <v>0</v>
      </c>
      <c r="M5613" t="n">
        <v>0</v>
      </c>
      <c r="N5613" t="n">
        <v>0</v>
      </c>
      <c r="O5613" t="n">
        <v>0</v>
      </c>
      <c r="P5613" t="n">
        <v>0</v>
      </c>
      <c r="Q5613" t="n">
        <v>0</v>
      </c>
      <c r="R5613" s="2" t="inlineStr"/>
    </row>
    <row r="5614" ht="15" customHeight="1">
      <c r="A5614" t="inlineStr">
        <is>
          <t>A 59298-2022</t>
        </is>
      </c>
      <c r="B5614" s="1" t="n">
        <v>44904</v>
      </c>
      <c r="C5614" s="1" t="n">
        <v>45884</v>
      </c>
      <c r="D5614" t="inlineStr">
        <is>
          <t>KALMAR LÄN</t>
        </is>
      </c>
      <c r="E5614" t="inlineStr">
        <is>
          <t>MÖNSTERÅS</t>
        </is>
      </c>
      <c r="G5614" t="n">
        <v>2.6</v>
      </c>
      <c r="H5614" t="n">
        <v>0</v>
      </c>
      <c r="I5614" t="n">
        <v>0</v>
      </c>
      <c r="J5614" t="n">
        <v>0</v>
      </c>
      <c r="K5614" t="n">
        <v>0</v>
      </c>
      <c r="L5614" t="n">
        <v>0</v>
      </c>
      <c r="M5614" t="n">
        <v>0</v>
      </c>
      <c r="N5614" t="n">
        <v>0</v>
      </c>
      <c r="O5614" t="n">
        <v>0</v>
      </c>
      <c r="P5614" t="n">
        <v>0</v>
      </c>
      <c r="Q5614" t="n">
        <v>0</v>
      </c>
      <c r="R5614" s="2" t="inlineStr"/>
    </row>
    <row r="5615" ht="15" customHeight="1">
      <c r="A5615" t="inlineStr">
        <is>
          <t>A 21365-2025</t>
        </is>
      </c>
      <c r="B5615" s="1" t="n">
        <v>45782.44434027778</v>
      </c>
      <c r="C5615" s="1" t="n">
        <v>45884</v>
      </c>
      <c r="D5615" t="inlineStr">
        <is>
          <t>KALMAR LÄN</t>
        </is>
      </c>
      <c r="E5615" t="inlineStr">
        <is>
          <t>OSKARSHAMN</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20102-2022</t>
        </is>
      </c>
      <c r="B5616" s="1" t="n">
        <v>44698.34013888889</v>
      </c>
      <c r="C5616" s="1" t="n">
        <v>45884</v>
      </c>
      <c r="D5616" t="inlineStr">
        <is>
          <t>KALMAR LÄN</t>
        </is>
      </c>
      <c r="E5616" t="inlineStr">
        <is>
          <t>EMMABODA</t>
        </is>
      </c>
      <c r="G5616" t="n">
        <v>1.7</v>
      </c>
      <c r="H5616" t="n">
        <v>0</v>
      </c>
      <c r="I5616" t="n">
        <v>0</v>
      </c>
      <c r="J5616" t="n">
        <v>0</v>
      </c>
      <c r="K5616" t="n">
        <v>0</v>
      </c>
      <c r="L5616" t="n">
        <v>0</v>
      </c>
      <c r="M5616" t="n">
        <v>0</v>
      </c>
      <c r="N5616" t="n">
        <v>0</v>
      </c>
      <c r="O5616" t="n">
        <v>0</v>
      </c>
      <c r="P5616" t="n">
        <v>0</v>
      </c>
      <c r="Q5616" t="n">
        <v>0</v>
      </c>
      <c r="R5616" s="2" t="inlineStr"/>
    </row>
    <row r="5617" ht="15" customHeight="1">
      <c r="A5617" t="inlineStr">
        <is>
          <t>A 17605-2023</t>
        </is>
      </c>
      <c r="B5617" s="1" t="n">
        <v>45035</v>
      </c>
      <c r="C5617" s="1" t="n">
        <v>45884</v>
      </c>
      <c r="D5617" t="inlineStr">
        <is>
          <t>KALMAR LÄN</t>
        </is>
      </c>
      <c r="E5617" t="inlineStr">
        <is>
          <t>NYBRO</t>
        </is>
      </c>
      <c r="G5617" t="n">
        <v>15.1</v>
      </c>
      <c r="H5617" t="n">
        <v>0</v>
      </c>
      <c r="I5617" t="n">
        <v>0</v>
      </c>
      <c r="J5617" t="n">
        <v>0</v>
      </c>
      <c r="K5617" t="n">
        <v>0</v>
      </c>
      <c r="L5617" t="n">
        <v>0</v>
      </c>
      <c r="M5617" t="n">
        <v>0</v>
      </c>
      <c r="N5617" t="n">
        <v>0</v>
      </c>
      <c r="O5617" t="n">
        <v>0</v>
      </c>
      <c r="P5617" t="n">
        <v>0</v>
      </c>
      <c r="Q5617" t="n">
        <v>0</v>
      </c>
      <c r="R5617" s="2" t="inlineStr"/>
    </row>
    <row r="5618" ht="15" customHeight="1">
      <c r="A5618" t="inlineStr">
        <is>
          <t>A 17216-2023</t>
        </is>
      </c>
      <c r="B5618" s="1" t="n">
        <v>45034.93412037037</v>
      </c>
      <c r="C5618" s="1" t="n">
        <v>45884</v>
      </c>
      <c r="D5618" t="inlineStr">
        <is>
          <t>KALMAR LÄN</t>
        </is>
      </c>
      <c r="E5618" t="inlineStr">
        <is>
          <t>HÖGSBY</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59940-2022</t>
        </is>
      </c>
      <c r="B5619" s="1" t="n">
        <v>44909</v>
      </c>
      <c r="C5619" s="1" t="n">
        <v>45884</v>
      </c>
      <c r="D5619" t="inlineStr">
        <is>
          <t>KALMAR LÄN</t>
        </is>
      </c>
      <c r="E5619" t="inlineStr">
        <is>
          <t>NYBRO</t>
        </is>
      </c>
      <c r="G5619" t="n">
        <v>2.3</v>
      </c>
      <c r="H5619" t="n">
        <v>0</v>
      </c>
      <c r="I5619" t="n">
        <v>0</v>
      </c>
      <c r="J5619" t="n">
        <v>0</v>
      </c>
      <c r="K5619" t="n">
        <v>0</v>
      </c>
      <c r="L5619" t="n">
        <v>0</v>
      </c>
      <c r="M5619" t="n">
        <v>0</v>
      </c>
      <c r="N5619" t="n">
        <v>0</v>
      </c>
      <c r="O5619" t="n">
        <v>0</v>
      </c>
      <c r="P5619" t="n">
        <v>0</v>
      </c>
      <c r="Q5619" t="n">
        <v>0</v>
      </c>
      <c r="R5619" s="2" t="inlineStr"/>
    </row>
    <row r="5620" ht="15" customHeight="1">
      <c r="A5620" t="inlineStr">
        <is>
          <t>A 50127-2023</t>
        </is>
      </c>
      <c r="B5620" s="1" t="n">
        <v>45215.65043981482</v>
      </c>
      <c r="C5620" s="1" t="n">
        <v>45884</v>
      </c>
      <c r="D5620" t="inlineStr">
        <is>
          <t>KALMAR LÄN</t>
        </is>
      </c>
      <c r="E5620" t="inlineStr">
        <is>
          <t>VÄSTERVIK</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2713-2024</t>
        </is>
      </c>
      <c r="B5621" s="1" t="n">
        <v>45314</v>
      </c>
      <c r="C5621" s="1" t="n">
        <v>45884</v>
      </c>
      <c r="D5621" t="inlineStr">
        <is>
          <t>KALMAR LÄN</t>
        </is>
      </c>
      <c r="E5621" t="inlineStr">
        <is>
          <t>MÖNSTERÅS</t>
        </is>
      </c>
      <c r="G5621" t="n">
        <v>7.4</v>
      </c>
      <c r="H5621" t="n">
        <v>0</v>
      </c>
      <c r="I5621" t="n">
        <v>0</v>
      </c>
      <c r="J5621" t="n">
        <v>0</v>
      </c>
      <c r="K5621" t="n">
        <v>0</v>
      </c>
      <c r="L5621" t="n">
        <v>0</v>
      </c>
      <c r="M5621" t="n">
        <v>0</v>
      </c>
      <c r="N5621" t="n">
        <v>0</v>
      </c>
      <c r="O5621" t="n">
        <v>0</v>
      </c>
      <c r="P5621" t="n">
        <v>0</v>
      </c>
      <c r="Q5621" t="n">
        <v>0</v>
      </c>
      <c r="R5621" s="2" t="inlineStr"/>
    </row>
    <row r="5622" ht="15" customHeight="1">
      <c r="A5622" t="inlineStr">
        <is>
          <t>A 14727-2025</t>
        </is>
      </c>
      <c r="B5622" s="1" t="n">
        <v>45742</v>
      </c>
      <c r="C5622" s="1" t="n">
        <v>45884</v>
      </c>
      <c r="D5622" t="inlineStr">
        <is>
          <t>KALMAR LÄN</t>
        </is>
      </c>
      <c r="E5622" t="inlineStr">
        <is>
          <t>OSKARSHAMN</t>
        </is>
      </c>
      <c r="G5622" t="n">
        <v>1.5</v>
      </c>
      <c r="H5622" t="n">
        <v>0</v>
      </c>
      <c r="I5622" t="n">
        <v>0</v>
      </c>
      <c r="J5622" t="n">
        <v>0</v>
      </c>
      <c r="K5622" t="n">
        <v>0</v>
      </c>
      <c r="L5622" t="n">
        <v>0</v>
      </c>
      <c r="M5622" t="n">
        <v>0</v>
      </c>
      <c r="N5622" t="n">
        <v>0</v>
      </c>
      <c r="O5622" t="n">
        <v>0</v>
      </c>
      <c r="P5622" t="n">
        <v>0</v>
      </c>
      <c r="Q5622" t="n">
        <v>0</v>
      </c>
      <c r="R5622" s="2" t="inlineStr"/>
    </row>
    <row r="5623" ht="15" customHeight="1">
      <c r="A5623" t="inlineStr">
        <is>
          <t>A 10787-2025</t>
        </is>
      </c>
      <c r="B5623" s="1" t="n">
        <v>45722.48915509259</v>
      </c>
      <c r="C5623" s="1" t="n">
        <v>45884</v>
      </c>
      <c r="D5623" t="inlineStr">
        <is>
          <t>KALMAR LÄN</t>
        </is>
      </c>
      <c r="E5623" t="inlineStr">
        <is>
          <t>VIMMERBY</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10808-2025</t>
        </is>
      </c>
      <c r="B5624" s="1" t="n">
        <v>45722.53427083333</v>
      </c>
      <c r="C5624" s="1" t="n">
        <v>45884</v>
      </c>
      <c r="D5624" t="inlineStr">
        <is>
          <t>KALMAR LÄN</t>
        </is>
      </c>
      <c r="E5624" t="inlineStr">
        <is>
          <t>VÄSTERVIK</t>
        </is>
      </c>
      <c r="G5624" t="n">
        <v>2.2</v>
      </c>
      <c r="H5624" t="n">
        <v>0</v>
      </c>
      <c r="I5624" t="n">
        <v>0</v>
      </c>
      <c r="J5624" t="n">
        <v>0</v>
      </c>
      <c r="K5624" t="n">
        <v>0</v>
      </c>
      <c r="L5624" t="n">
        <v>0</v>
      </c>
      <c r="M5624" t="n">
        <v>0</v>
      </c>
      <c r="N5624" t="n">
        <v>0</v>
      </c>
      <c r="O5624" t="n">
        <v>0</v>
      </c>
      <c r="P5624" t="n">
        <v>0</v>
      </c>
      <c r="Q5624" t="n">
        <v>0</v>
      </c>
      <c r="R5624" s="2" t="inlineStr"/>
    </row>
    <row r="5625" ht="15" customHeight="1">
      <c r="A5625" t="inlineStr">
        <is>
          <t>A 43548-2022</t>
        </is>
      </c>
      <c r="B5625" s="1" t="n">
        <v>44837.43305555556</v>
      </c>
      <c r="C5625" s="1" t="n">
        <v>45884</v>
      </c>
      <c r="D5625" t="inlineStr">
        <is>
          <t>KALMAR LÄN</t>
        </is>
      </c>
      <c r="E5625" t="inlineStr">
        <is>
          <t>OSKARSHAMN</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4461-2025</t>
        </is>
      </c>
      <c r="B5626" s="1" t="n">
        <v>45686</v>
      </c>
      <c r="C5626" s="1" t="n">
        <v>45884</v>
      </c>
      <c r="D5626" t="inlineStr">
        <is>
          <t>KALMAR LÄN</t>
        </is>
      </c>
      <c r="E5626" t="inlineStr">
        <is>
          <t>VÄSTERVIK</t>
        </is>
      </c>
      <c r="G5626" t="n">
        <v>0.8</v>
      </c>
      <c r="H5626" t="n">
        <v>0</v>
      </c>
      <c r="I5626" t="n">
        <v>0</v>
      </c>
      <c r="J5626" t="n">
        <v>0</v>
      </c>
      <c r="K5626" t="n">
        <v>0</v>
      </c>
      <c r="L5626" t="n">
        <v>0</v>
      </c>
      <c r="M5626" t="n">
        <v>0</v>
      </c>
      <c r="N5626" t="n">
        <v>0</v>
      </c>
      <c r="O5626" t="n">
        <v>0</v>
      </c>
      <c r="P5626" t="n">
        <v>0</v>
      </c>
      <c r="Q5626" t="n">
        <v>0</v>
      </c>
      <c r="R5626" s="2" t="inlineStr"/>
      <c r="U5626">
        <f>HYPERLINK("https://klasma.github.io/Logging_0883/knärot/A 4461-2025 karta knärot.png", "A 4461-2025")</f>
        <v/>
      </c>
      <c r="V5626">
        <f>HYPERLINK("https://klasma.github.io/Logging_0883/klagomål/A 4461-2025 FSC-klagomål.docx", "A 4461-2025")</f>
        <v/>
      </c>
      <c r="W5626">
        <f>HYPERLINK("https://klasma.github.io/Logging_0883/klagomålsmail/A 4461-2025 FSC-klagomål mail.docx", "A 4461-2025")</f>
        <v/>
      </c>
      <c r="X5626">
        <f>HYPERLINK("https://klasma.github.io/Logging_0883/tillsyn/A 4461-2025 tillsynsbegäran.docx", "A 4461-2025")</f>
        <v/>
      </c>
      <c r="Y5626">
        <f>HYPERLINK("https://klasma.github.io/Logging_0883/tillsynsmail/A 4461-2025 tillsynsbegäran mail.docx", "A 4461-2025")</f>
        <v/>
      </c>
    </row>
    <row r="5627" ht="15" customHeight="1">
      <c r="A5627" t="inlineStr">
        <is>
          <t>A 19899-2025</t>
        </is>
      </c>
      <c r="B5627" s="1" t="n">
        <v>45771.58767361111</v>
      </c>
      <c r="C5627" s="1" t="n">
        <v>45884</v>
      </c>
      <c r="D5627" t="inlineStr">
        <is>
          <t>KALMAR LÄN</t>
        </is>
      </c>
      <c r="E5627" t="inlineStr">
        <is>
          <t>HULTSFRED</t>
        </is>
      </c>
      <c r="G5627" t="n">
        <v>6</v>
      </c>
      <c r="H5627" t="n">
        <v>0</v>
      </c>
      <c r="I5627" t="n">
        <v>0</v>
      </c>
      <c r="J5627" t="n">
        <v>0</v>
      </c>
      <c r="K5627" t="n">
        <v>0</v>
      </c>
      <c r="L5627" t="n">
        <v>0</v>
      </c>
      <c r="M5627" t="n">
        <v>0</v>
      </c>
      <c r="N5627" t="n">
        <v>0</v>
      </c>
      <c r="O5627" t="n">
        <v>0</v>
      </c>
      <c r="P5627" t="n">
        <v>0</v>
      </c>
      <c r="Q5627" t="n">
        <v>0</v>
      </c>
      <c r="R5627" s="2" t="inlineStr"/>
    </row>
    <row r="5628" ht="15" customHeight="1">
      <c r="A5628" t="inlineStr">
        <is>
          <t>A 25816-2023</t>
        </is>
      </c>
      <c r="B5628" s="1" t="n">
        <v>45090.53722222222</v>
      </c>
      <c r="C5628" s="1" t="n">
        <v>45884</v>
      </c>
      <c r="D5628" t="inlineStr">
        <is>
          <t>KALMAR LÄN</t>
        </is>
      </c>
      <c r="E5628" t="inlineStr">
        <is>
          <t>NYBRO</t>
        </is>
      </c>
      <c r="G5628" t="n">
        <v>2.1</v>
      </c>
      <c r="H5628" t="n">
        <v>0</v>
      </c>
      <c r="I5628" t="n">
        <v>0</v>
      </c>
      <c r="J5628" t="n">
        <v>0</v>
      </c>
      <c r="K5628" t="n">
        <v>0</v>
      </c>
      <c r="L5628" t="n">
        <v>0</v>
      </c>
      <c r="M5628" t="n">
        <v>0</v>
      </c>
      <c r="N5628" t="n">
        <v>0</v>
      </c>
      <c r="O5628" t="n">
        <v>0</v>
      </c>
      <c r="P5628" t="n">
        <v>0</v>
      </c>
      <c r="Q5628" t="n">
        <v>0</v>
      </c>
      <c r="R5628" s="2" t="inlineStr"/>
    </row>
    <row r="5629" ht="15" customHeight="1">
      <c r="A5629" t="inlineStr">
        <is>
          <t>A 6216-2024</t>
        </is>
      </c>
      <c r="B5629" s="1" t="n">
        <v>45337.6346875</v>
      </c>
      <c r="C5629" s="1" t="n">
        <v>45884</v>
      </c>
      <c r="D5629" t="inlineStr">
        <is>
          <t>KALMAR LÄN</t>
        </is>
      </c>
      <c r="E5629" t="inlineStr">
        <is>
          <t>HÖGSBY</t>
        </is>
      </c>
      <c r="G5629" t="n">
        <v>1.6</v>
      </c>
      <c r="H5629" t="n">
        <v>0</v>
      </c>
      <c r="I5629" t="n">
        <v>0</v>
      </c>
      <c r="J5629" t="n">
        <v>0</v>
      </c>
      <c r="K5629" t="n">
        <v>0</v>
      </c>
      <c r="L5629" t="n">
        <v>0</v>
      </c>
      <c r="M5629" t="n">
        <v>0</v>
      </c>
      <c r="N5629" t="n">
        <v>0</v>
      </c>
      <c r="O5629" t="n">
        <v>0</v>
      </c>
      <c r="P5629" t="n">
        <v>0</v>
      </c>
      <c r="Q5629" t="n">
        <v>0</v>
      </c>
      <c r="R5629" s="2" t="inlineStr"/>
    </row>
    <row r="5630" ht="15" customHeight="1">
      <c r="A5630" t="inlineStr">
        <is>
          <t>A 21803-2025</t>
        </is>
      </c>
      <c r="B5630" s="1" t="n">
        <v>45783.69173611111</v>
      </c>
      <c r="C5630" s="1" t="n">
        <v>45884</v>
      </c>
      <c r="D5630" t="inlineStr">
        <is>
          <t>KALMAR LÄN</t>
        </is>
      </c>
      <c r="E5630" t="inlineStr">
        <is>
          <t>EMMABODA</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784-2025</t>
        </is>
      </c>
      <c r="B5631" s="1" t="n">
        <v>45665.49780092593</v>
      </c>
      <c r="C5631" s="1" t="n">
        <v>45884</v>
      </c>
      <c r="D5631" t="inlineStr">
        <is>
          <t>KALMAR LÄN</t>
        </is>
      </c>
      <c r="E5631" t="inlineStr">
        <is>
          <t>TORSÅS</t>
        </is>
      </c>
      <c r="G5631" t="n">
        <v>1.9</v>
      </c>
      <c r="H5631" t="n">
        <v>0</v>
      </c>
      <c r="I5631" t="n">
        <v>0</v>
      </c>
      <c r="J5631" t="n">
        <v>0</v>
      </c>
      <c r="K5631" t="n">
        <v>0</v>
      </c>
      <c r="L5631" t="n">
        <v>0</v>
      </c>
      <c r="M5631" t="n">
        <v>0</v>
      </c>
      <c r="N5631" t="n">
        <v>0</v>
      </c>
      <c r="O5631" t="n">
        <v>0</v>
      </c>
      <c r="P5631" t="n">
        <v>0</v>
      </c>
      <c r="Q5631" t="n">
        <v>0</v>
      </c>
      <c r="R5631" s="2" t="inlineStr"/>
    </row>
    <row r="5632" ht="15" customHeight="1">
      <c r="A5632" t="inlineStr">
        <is>
          <t>A 10462-2023</t>
        </is>
      </c>
      <c r="B5632" s="1" t="n">
        <v>44987</v>
      </c>
      <c r="C5632" s="1" t="n">
        <v>45884</v>
      </c>
      <c r="D5632" t="inlineStr">
        <is>
          <t>KALMAR LÄN</t>
        </is>
      </c>
      <c r="E5632" t="inlineStr">
        <is>
          <t>OSKARSHAMN</t>
        </is>
      </c>
      <c r="F5632" t="inlineStr">
        <is>
          <t>Kommuner</t>
        </is>
      </c>
      <c r="G5632" t="n">
        <v>0.4</v>
      </c>
      <c r="H5632" t="n">
        <v>0</v>
      </c>
      <c r="I5632" t="n">
        <v>0</v>
      </c>
      <c r="J5632" t="n">
        <v>0</v>
      </c>
      <c r="K5632" t="n">
        <v>0</v>
      </c>
      <c r="L5632" t="n">
        <v>0</v>
      </c>
      <c r="M5632" t="n">
        <v>0</v>
      </c>
      <c r="N5632" t="n">
        <v>0</v>
      </c>
      <c r="O5632" t="n">
        <v>0</v>
      </c>
      <c r="P5632" t="n">
        <v>0</v>
      </c>
      <c r="Q5632" t="n">
        <v>0</v>
      </c>
      <c r="R5632" s="2" t="inlineStr"/>
    </row>
    <row r="5633" ht="15" customHeight="1">
      <c r="A5633" t="inlineStr">
        <is>
          <t>A 21379-2025</t>
        </is>
      </c>
      <c r="B5633" s="1" t="n">
        <v>45782.455</v>
      </c>
      <c r="C5633" s="1" t="n">
        <v>45884</v>
      </c>
      <c r="D5633" t="inlineStr">
        <is>
          <t>KALMAR LÄN</t>
        </is>
      </c>
      <c r="E5633" t="inlineStr">
        <is>
          <t>EMMABODA</t>
        </is>
      </c>
      <c r="G5633" t="n">
        <v>5.7</v>
      </c>
      <c r="H5633" t="n">
        <v>0</v>
      </c>
      <c r="I5633" t="n">
        <v>0</v>
      </c>
      <c r="J5633" t="n">
        <v>0</v>
      </c>
      <c r="K5633" t="n">
        <v>0</v>
      </c>
      <c r="L5633" t="n">
        <v>0</v>
      </c>
      <c r="M5633" t="n">
        <v>0</v>
      </c>
      <c r="N5633" t="n">
        <v>0</v>
      </c>
      <c r="O5633" t="n">
        <v>0</v>
      </c>
      <c r="P5633" t="n">
        <v>0</v>
      </c>
      <c r="Q5633" t="n">
        <v>0</v>
      </c>
      <c r="R5633" s="2" t="inlineStr"/>
    </row>
    <row r="5634" ht="15" customHeight="1">
      <c r="A5634" t="inlineStr">
        <is>
          <t>A 21383-2025</t>
        </is>
      </c>
      <c r="B5634" s="1" t="n">
        <v>45782.46638888889</v>
      </c>
      <c r="C5634" s="1" t="n">
        <v>45884</v>
      </c>
      <c r="D5634" t="inlineStr">
        <is>
          <t>KALMAR LÄN</t>
        </is>
      </c>
      <c r="E5634" t="inlineStr">
        <is>
          <t>OSKARSHAMN</t>
        </is>
      </c>
      <c r="F5634" t="inlineStr">
        <is>
          <t>Kyrkan</t>
        </is>
      </c>
      <c r="G5634" t="n">
        <v>8.6</v>
      </c>
      <c r="H5634" t="n">
        <v>0</v>
      </c>
      <c r="I5634" t="n">
        <v>0</v>
      </c>
      <c r="J5634" t="n">
        <v>0</v>
      </c>
      <c r="K5634" t="n">
        <v>0</v>
      </c>
      <c r="L5634" t="n">
        <v>0</v>
      </c>
      <c r="M5634" t="n">
        <v>0</v>
      </c>
      <c r="N5634" t="n">
        <v>0</v>
      </c>
      <c r="O5634" t="n">
        <v>0</v>
      </c>
      <c r="P5634" t="n">
        <v>0</v>
      </c>
      <c r="Q5634" t="n">
        <v>0</v>
      </c>
      <c r="R5634" s="2" t="inlineStr"/>
    </row>
    <row r="5635" ht="15" customHeight="1">
      <c r="A5635" t="inlineStr">
        <is>
          <t>A 10102-2022</t>
        </is>
      </c>
      <c r="B5635" s="1" t="n">
        <v>44621</v>
      </c>
      <c r="C5635" s="1" t="n">
        <v>45884</v>
      </c>
      <c r="D5635" t="inlineStr">
        <is>
          <t>KALMAR LÄN</t>
        </is>
      </c>
      <c r="E5635" t="inlineStr">
        <is>
          <t>OSKARSHAMN</t>
        </is>
      </c>
      <c r="G5635" t="n">
        <v>5.3</v>
      </c>
      <c r="H5635" t="n">
        <v>0</v>
      </c>
      <c r="I5635" t="n">
        <v>0</v>
      </c>
      <c r="J5635" t="n">
        <v>0</v>
      </c>
      <c r="K5635" t="n">
        <v>0</v>
      </c>
      <c r="L5635" t="n">
        <v>0</v>
      </c>
      <c r="M5635" t="n">
        <v>0</v>
      </c>
      <c r="N5635" t="n">
        <v>0</v>
      </c>
      <c r="O5635" t="n">
        <v>0</v>
      </c>
      <c r="P5635" t="n">
        <v>0</v>
      </c>
      <c r="Q5635" t="n">
        <v>0</v>
      </c>
      <c r="R5635" s="2" t="inlineStr"/>
    </row>
    <row r="5636" ht="15" customHeight="1">
      <c r="A5636" t="inlineStr">
        <is>
          <t>A 10114-2022</t>
        </is>
      </c>
      <c r="B5636" s="1" t="n">
        <v>44621</v>
      </c>
      <c r="C5636" s="1" t="n">
        <v>45884</v>
      </c>
      <c r="D5636" t="inlineStr">
        <is>
          <t>KALMAR LÄN</t>
        </is>
      </c>
      <c r="E5636" t="inlineStr">
        <is>
          <t>NYBRO</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16236-2023</t>
        </is>
      </c>
      <c r="B5637" s="1" t="n">
        <v>45028</v>
      </c>
      <c r="C5637" s="1" t="n">
        <v>45884</v>
      </c>
      <c r="D5637" t="inlineStr">
        <is>
          <t>KALMAR LÄN</t>
        </is>
      </c>
      <c r="E5637" t="inlineStr">
        <is>
          <t>EMMABODA</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12652-2022</t>
        </is>
      </c>
      <c r="B5638" s="1" t="n">
        <v>44641</v>
      </c>
      <c r="C5638" s="1" t="n">
        <v>45884</v>
      </c>
      <c r="D5638" t="inlineStr">
        <is>
          <t>KALMAR LÄN</t>
        </is>
      </c>
      <c r="E5638" t="inlineStr">
        <is>
          <t>VÄSTERVIK</t>
        </is>
      </c>
      <c r="F5638" t="inlineStr">
        <is>
          <t>Holmen skog AB</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40141-2024</t>
        </is>
      </c>
      <c r="B5639" s="1" t="n">
        <v>45554</v>
      </c>
      <c r="C5639" s="1" t="n">
        <v>45884</v>
      </c>
      <c r="D5639" t="inlineStr">
        <is>
          <t>KALMAR LÄN</t>
        </is>
      </c>
      <c r="E5639" t="inlineStr">
        <is>
          <t>EMMABODA</t>
        </is>
      </c>
      <c r="F5639" t="inlineStr">
        <is>
          <t>Kyrkan</t>
        </is>
      </c>
      <c r="G5639" t="n">
        <v>2.5</v>
      </c>
      <c r="H5639" t="n">
        <v>0</v>
      </c>
      <c r="I5639" t="n">
        <v>0</v>
      </c>
      <c r="J5639" t="n">
        <v>0</v>
      </c>
      <c r="K5639" t="n">
        <v>0</v>
      </c>
      <c r="L5639" t="n">
        <v>0</v>
      </c>
      <c r="M5639" t="n">
        <v>0</v>
      </c>
      <c r="N5639" t="n">
        <v>0</v>
      </c>
      <c r="O5639" t="n">
        <v>0</v>
      </c>
      <c r="P5639" t="n">
        <v>0</v>
      </c>
      <c r="Q5639" t="n">
        <v>0</v>
      </c>
      <c r="R5639" s="2" t="inlineStr"/>
    </row>
    <row r="5640" ht="15" customHeight="1">
      <c r="A5640" t="inlineStr">
        <is>
          <t>A 2380-2022</t>
        </is>
      </c>
      <c r="B5640" s="1" t="n">
        <v>44579.36934027778</v>
      </c>
      <c r="C5640" s="1" t="n">
        <v>45884</v>
      </c>
      <c r="D5640" t="inlineStr">
        <is>
          <t>KALMAR LÄN</t>
        </is>
      </c>
      <c r="E5640" t="inlineStr">
        <is>
          <t>NYBRO</t>
        </is>
      </c>
      <c r="G5640" t="n">
        <v>8.4</v>
      </c>
      <c r="H5640" t="n">
        <v>0</v>
      </c>
      <c r="I5640" t="n">
        <v>0</v>
      </c>
      <c r="J5640" t="n">
        <v>0</v>
      </c>
      <c r="K5640" t="n">
        <v>0</v>
      </c>
      <c r="L5640" t="n">
        <v>0</v>
      </c>
      <c r="M5640" t="n">
        <v>0</v>
      </c>
      <c r="N5640" t="n">
        <v>0</v>
      </c>
      <c r="O5640" t="n">
        <v>0</v>
      </c>
      <c r="P5640" t="n">
        <v>0</v>
      </c>
      <c r="Q5640" t="n">
        <v>0</v>
      </c>
      <c r="R5640" s="2" t="inlineStr"/>
    </row>
    <row r="5641" ht="15" customHeight="1">
      <c r="A5641" t="inlineStr">
        <is>
          <t>A 39411-2024</t>
        </is>
      </c>
      <c r="B5641" s="1" t="n">
        <v>45551.56715277778</v>
      </c>
      <c r="C5641" s="1" t="n">
        <v>45884</v>
      </c>
      <c r="D5641" t="inlineStr">
        <is>
          <t>KALMAR LÄN</t>
        </is>
      </c>
      <c r="E5641" t="inlineStr">
        <is>
          <t>EMMABODA</t>
        </is>
      </c>
      <c r="F5641" t="inlineStr">
        <is>
          <t>Sveaskog</t>
        </is>
      </c>
      <c r="G5641" t="n">
        <v>2.2</v>
      </c>
      <c r="H5641" t="n">
        <v>0</v>
      </c>
      <c r="I5641" t="n">
        <v>0</v>
      </c>
      <c r="J5641" t="n">
        <v>0</v>
      </c>
      <c r="K5641" t="n">
        <v>0</v>
      </c>
      <c r="L5641" t="n">
        <v>0</v>
      </c>
      <c r="M5641" t="n">
        <v>0</v>
      </c>
      <c r="N5641" t="n">
        <v>0</v>
      </c>
      <c r="O5641" t="n">
        <v>0</v>
      </c>
      <c r="P5641" t="n">
        <v>0</v>
      </c>
      <c r="Q5641" t="n">
        <v>0</v>
      </c>
      <c r="R5641" s="2" t="inlineStr"/>
    </row>
    <row r="5642" ht="15" customHeight="1">
      <c r="A5642" t="inlineStr">
        <is>
          <t>A 21496-2025</t>
        </is>
      </c>
      <c r="B5642" s="1" t="n">
        <v>45782.59994212963</v>
      </c>
      <c r="C5642" s="1" t="n">
        <v>45884</v>
      </c>
      <c r="D5642" t="inlineStr">
        <is>
          <t>KALMAR LÄN</t>
        </is>
      </c>
      <c r="E5642" t="inlineStr">
        <is>
          <t>KALMAR</t>
        </is>
      </c>
      <c r="F5642" t="inlineStr">
        <is>
          <t>Sveaskog</t>
        </is>
      </c>
      <c r="G5642" t="n">
        <v>6.7</v>
      </c>
      <c r="H5642" t="n">
        <v>0</v>
      </c>
      <c r="I5642" t="n">
        <v>0</v>
      </c>
      <c r="J5642" t="n">
        <v>0</v>
      </c>
      <c r="K5642" t="n">
        <v>0</v>
      </c>
      <c r="L5642" t="n">
        <v>0</v>
      </c>
      <c r="M5642" t="n">
        <v>0</v>
      </c>
      <c r="N5642" t="n">
        <v>0</v>
      </c>
      <c r="O5642" t="n">
        <v>0</v>
      </c>
      <c r="P5642" t="n">
        <v>0</v>
      </c>
      <c r="Q5642" t="n">
        <v>0</v>
      </c>
      <c r="R5642" s="2" t="inlineStr"/>
    </row>
    <row r="5643" ht="15" customHeight="1">
      <c r="A5643" t="inlineStr">
        <is>
          <t>A 21503-2025</t>
        </is>
      </c>
      <c r="B5643" s="1" t="n">
        <v>45782.61456018518</v>
      </c>
      <c r="C5643" s="1" t="n">
        <v>45884</v>
      </c>
      <c r="D5643" t="inlineStr">
        <is>
          <t>KALMAR LÄN</t>
        </is>
      </c>
      <c r="E5643" t="inlineStr">
        <is>
          <t>VÄSTERVIK</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17753-2023</t>
        </is>
      </c>
      <c r="B5644" s="1" t="n">
        <v>45037</v>
      </c>
      <c r="C5644" s="1" t="n">
        <v>45884</v>
      </c>
      <c r="D5644" t="inlineStr">
        <is>
          <t>KALMAR LÄN</t>
        </is>
      </c>
      <c r="E5644" t="inlineStr">
        <is>
          <t>MÖNSTERÅS</t>
        </is>
      </c>
      <c r="G5644" t="n">
        <v>3.3</v>
      </c>
      <c r="H5644" t="n">
        <v>0</v>
      </c>
      <c r="I5644" t="n">
        <v>0</v>
      </c>
      <c r="J5644" t="n">
        <v>0</v>
      </c>
      <c r="K5644" t="n">
        <v>0</v>
      </c>
      <c r="L5644" t="n">
        <v>0</v>
      </c>
      <c r="M5644" t="n">
        <v>0</v>
      </c>
      <c r="N5644" t="n">
        <v>0</v>
      </c>
      <c r="O5644" t="n">
        <v>0</v>
      </c>
      <c r="P5644" t="n">
        <v>0</v>
      </c>
      <c r="Q5644" t="n">
        <v>0</v>
      </c>
      <c r="R5644" s="2" t="inlineStr"/>
    </row>
    <row r="5645" ht="15" customHeight="1">
      <c r="A5645" t="inlineStr">
        <is>
          <t>A 21569-2025</t>
        </is>
      </c>
      <c r="B5645" s="1" t="n">
        <v>45782.74405092592</v>
      </c>
      <c r="C5645" s="1" t="n">
        <v>45884</v>
      </c>
      <c r="D5645" t="inlineStr">
        <is>
          <t>KALMAR LÄN</t>
        </is>
      </c>
      <c r="E5645" t="inlineStr">
        <is>
          <t>HÖGSBY</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55289-2023</t>
        </is>
      </c>
      <c r="B5646" s="1" t="n">
        <v>45237.76106481482</v>
      </c>
      <c r="C5646" s="1" t="n">
        <v>45884</v>
      </c>
      <c r="D5646" t="inlineStr">
        <is>
          <t>KALMAR LÄN</t>
        </is>
      </c>
      <c r="E5646" t="inlineStr">
        <is>
          <t>VÄSTERVIK</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29350-2023</t>
        </is>
      </c>
      <c r="B5647" s="1" t="n">
        <v>45106</v>
      </c>
      <c r="C5647" s="1" t="n">
        <v>45884</v>
      </c>
      <c r="D5647" t="inlineStr">
        <is>
          <t>KALMAR LÄN</t>
        </is>
      </c>
      <c r="E5647" t="inlineStr">
        <is>
          <t>VIMMERBY</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21628-2025</t>
        </is>
      </c>
      <c r="B5648" s="1" t="n">
        <v>45783.42328703704</v>
      </c>
      <c r="C5648" s="1" t="n">
        <v>45884</v>
      </c>
      <c r="D5648" t="inlineStr">
        <is>
          <t>KALMAR LÄN</t>
        </is>
      </c>
      <c r="E5648" t="inlineStr">
        <is>
          <t>KALMAR</t>
        </is>
      </c>
      <c r="G5648" t="n">
        <v>4.4</v>
      </c>
      <c r="H5648" t="n">
        <v>0</v>
      </c>
      <c r="I5648" t="n">
        <v>0</v>
      </c>
      <c r="J5648" t="n">
        <v>0</v>
      </c>
      <c r="K5648" t="n">
        <v>0</v>
      </c>
      <c r="L5648" t="n">
        <v>0</v>
      </c>
      <c r="M5648" t="n">
        <v>0</v>
      </c>
      <c r="N5648" t="n">
        <v>0</v>
      </c>
      <c r="O5648" t="n">
        <v>0</v>
      </c>
      <c r="P5648" t="n">
        <v>0</v>
      </c>
      <c r="Q5648" t="n">
        <v>0</v>
      </c>
      <c r="R5648" s="2" t="inlineStr"/>
    </row>
    <row r="5649" ht="15" customHeight="1">
      <c r="A5649" t="inlineStr">
        <is>
          <t>A 40050-2022</t>
        </is>
      </c>
      <c r="B5649" s="1" t="n">
        <v>44820.44106481481</v>
      </c>
      <c r="C5649" s="1" t="n">
        <v>45884</v>
      </c>
      <c r="D5649" t="inlineStr">
        <is>
          <t>KALMAR LÄN</t>
        </is>
      </c>
      <c r="E5649" t="inlineStr">
        <is>
          <t>VÄSTERVIK</t>
        </is>
      </c>
      <c r="G5649" t="n">
        <v>1.8</v>
      </c>
      <c r="H5649" t="n">
        <v>0</v>
      </c>
      <c r="I5649" t="n">
        <v>0</v>
      </c>
      <c r="J5649" t="n">
        <v>0</v>
      </c>
      <c r="K5649" t="n">
        <v>0</v>
      </c>
      <c r="L5649" t="n">
        <v>0</v>
      </c>
      <c r="M5649" t="n">
        <v>0</v>
      </c>
      <c r="N5649" t="n">
        <v>0</v>
      </c>
      <c r="O5649" t="n">
        <v>0</v>
      </c>
      <c r="P5649" t="n">
        <v>0</v>
      </c>
      <c r="Q5649" t="n">
        <v>0</v>
      </c>
      <c r="R5649" s="2" t="inlineStr"/>
    </row>
    <row r="5650" ht="15" customHeight="1">
      <c r="A5650" t="inlineStr">
        <is>
          <t>A 14068-2024</t>
        </is>
      </c>
      <c r="B5650" s="1" t="n">
        <v>45392.57063657408</v>
      </c>
      <c r="C5650" s="1" t="n">
        <v>45884</v>
      </c>
      <c r="D5650" t="inlineStr">
        <is>
          <t>KALMAR LÄN</t>
        </is>
      </c>
      <c r="E5650" t="inlineStr">
        <is>
          <t>EMMABODA</t>
        </is>
      </c>
      <c r="G5650" t="n">
        <v>2.2</v>
      </c>
      <c r="H5650" t="n">
        <v>0</v>
      </c>
      <c r="I5650" t="n">
        <v>0</v>
      </c>
      <c r="J5650" t="n">
        <v>0</v>
      </c>
      <c r="K5650" t="n">
        <v>0</v>
      </c>
      <c r="L5650" t="n">
        <v>0</v>
      </c>
      <c r="M5650" t="n">
        <v>0</v>
      </c>
      <c r="N5650" t="n">
        <v>0</v>
      </c>
      <c r="O5650" t="n">
        <v>0</v>
      </c>
      <c r="P5650" t="n">
        <v>0</v>
      </c>
      <c r="Q5650" t="n">
        <v>0</v>
      </c>
      <c r="R5650" s="2" t="inlineStr"/>
    </row>
    <row r="5651" ht="15" customHeight="1">
      <c r="A5651" t="inlineStr">
        <is>
          <t>A 14085-2024</t>
        </is>
      </c>
      <c r="B5651" s="1" t="n">
        <v>45392.59135416667</v>
      </c>
      <c r="C5651" s="1" t="n">
        <v>45884</v>
      </c>
      <c r="D5651" t="inlineStr">
        <is>
          <t>KALMAR LÄN</t>
        </is>
      </c>
      <c r="E5651" t="inlineStr">
        <is>
          <t>NYBRO</t>
        </is>
      </c>
      <c r="G5651" t="n">
        <v>1.9</v>
      </c>
      <c r="H5651" t="n">
        <v>0</v>
      </c>
      <c r="I5651" t="n">
        <v>0</v>
      </c>
      <c r="J5651" t="n">
        <v>0</v>
      </c>
      <c r="K5651" t="n">
        <v>0</v>
      </c>
      <c r="L5651" t="n">
        <v>0</v>
      </c>
      <c r="M5651" t="n">
        <v>0</v>
      </c>
      <c r="N5651" t="n">
        <v>0</v>
      </c>
      <c r="O5651" t="n">
        <v>0</v>
      </c>
      <c r="P5651" t="n">
        <v>0</v>
      </c>
      <c r="Q5651" t="n">
        <v>0</v>
      </c>
      <c r="R5651" s="2" t="inlineStr"/>
    </row>
    <row r="5652" ht="15" customHeight="1">
      <c r="A5652" t="inlineStr">
        <is>
          <t>A 14822-2025</t>
        </is>
      </c>
      <c r="B5652" s="1" t="n">
        <v>45743.3609375</v>
      </c>
      <c r="C5652" s="1" t="n">
        <v>45884</v>
      </c>
      <c r="D5652" t="inlineStr">
        <is>
          <t>KALMAR LÄN</t>
        </is>
      </c>
      <c r="E5652" t="inlineStr">
        <is>
          <t>HULTSFRED</t>
        </is>
      </c>
      <c r="G5652" t="n">
        <v>3</v>
      </c>
      <c r="H5652" t="n">
        <v>0</v>
      </c>
      <c r="I5652" t="n">
        <v>0</v>
      </c>
      <c r="J5652" t="n">
        <v>0</v>
      </c>
      <c r="K5652" t="n">
        <v>0</v>
      </c>
      <c r="L5652" t="n">
        <v>0</v>
      </c>
      <c r="M5652" t="n">
        <v>0</v>
      </c>
      <c r="N5652" t="n">
        <v>0</v>
      </c>
      <c r="O5652" t="n">
        <v>0</v>
      </c>
      <c r="P5652" t="n">
        <v>0</v>
      </c>
      <c r="Q5652" t="n">
        <v>0</v>
      </c>
      <c r="R5652" s="2" t="inlineStr"/>
    </row>
    <row r="5653" ht="15" customHeight="1">
      <c r="A5653" t="inlineStr">
        <is>
          <t>A 14855-2025</t>
        </is>
      </c>
      <c r="B5653" s="1" t="n">
        <v>45743.41148148148</v>
      </c>
      <c r="C5653" s="1" t="n">
        <v>45884</v>
      </c>
      <c r="D5653" t="inlineStr">
        <is>
          <t>KALMAR LÄN</t>
        </is>
      </c>
      <c r="E5653" t="inlineStr">
        <is>
          <t>VIMMERBY</t>
        </is>
      </c>
      <c r="G5653" t="n">
        <v>1.2</v>
      </c>
      <c r="H5653" t="n">
        <v>0</v>
      </c>
      <c r="I5653" t="n">
        <v>0</v>
      </c>
      <c r="J5653" t="n">
        <v>0</v>
      </c>
      <c r="K5653" t="n">
        <v>0</v>
      </c>
      <c r="L5653" t="n">
        <v>0</v>
      </c>
      <c r="M5653" t="n">
        <v>0</v>
      </c>
      <c r="N5653" t="n">
        <v>0</v>
      </c>
      <c r="O5653" t="n">
        <v>0</v>
      </c>
      <c r="P5653" t="n">
        <v>0</v>
      </c>
      <c r="Q5653" t="n">
        <v>0</v>
      </c>
      <c r="R5653" s="2" t="inlineStr"/>
    </row>
    <row r="5654" ht="15" customHeight="1">
      <c r="A5654" t="inlineStr">
        <is>
          <t>A 3601-2024</t>
        </is>
      </c>
      <c r="B5654" s="1" t="n">
        <v>45320</v>
      </c>
      <c r="C5654" s="1" t="n">
        <v>45884</v>
      </c>
      <c r="D5654" t="inlineStr">
        <is>
          <t>KALMAR LÄN</t>
        </is>
      </c>
      <c r="E5654" t="inlineStr">
        <is>
          <t>OSKARSHAMN</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21657-2025</t>
        </is>
      </c>
      <c r="B5655" s="1" t="n">
        <v>45783.45325231482</v>
      </c>
      <c r="C5655" s="1" t="n">
        <v>45884</v>
      </c>
      <c r="D5655" t="inlineStr">
        <is>
          <t>KALMAR LÄN</t>
        </is>
      </c>
      <c r="E5655" t="inlineStr">
        <is>
          <t>VÄSTERVIK</t>
        </is>
      </c>
      <c r="F5655" t="inlineStr">
        <is>
          <t>Sveaskog</t>
        </is>
      </c>
      <c r="G5655" t="n">
        <v>5.8</v>
      </c>
      <c r="H5655" t="n">
        <v>0</v>
      </c>
      <c r="I5655" t="n">
        <v>0</v>
      </c>
      <c r="J5655" t="n">
        <v>0</v>
      </c>
      <c r="K5655" t="n">
        <v>0</v>
      </c>
      <c r="L5655" t="n">
        <v>0</v>
      </c>
      <c r="M5655" t="n">
        <v>0</v>
      </c>
      <c r="N5655" t="n">
        <v>0</v>
      </c>
      <c r="O5655" t="n">
        <v>0</v>
      </c>
      <c r="P5655" t="n">
        <v>0</v>
      </c>
      <c r="Q5655" t="n">
        <v>0</v>
      </c>
      <c r="R5655" s="2" t="inlineStr"/>
    </row>
    <row r="5656" ht="15" customHeight="1">
      <c r="A5656" t="inlineStr">
        <is>
          <t>A 21642-2025</t>
        </is>
      </c>
      <c r="B5656" s="1" t="n">
        <v>45783.43402777778</v>
      </c>
      <c r="C5656" s="1" t="n">
        <v>45884</v>
      </c>
      <c r="D5656" t="inlineStr">
        <is>
          <t>KALMAR LÄN</t>
        </is>
      </c>
      <c r="E5656" t="inlineStr">
        <is>
          <t>HULTSFRED</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34672-2022</t>
        </is>
      </c>
      <c r="B5657" s="1" t="n">
        <v>44795.48444444445</v>
      </c>
      <c r="C5657" s="1" t="n">
        <v>45884</v>
      </c>
      <c r="D5657" t="inlineStr">
        <is>
          <t>KALMAR LÄN</t>
        </is>
      </c>
      <c r="E5657" t="inlineStr">
        <is>
          <t>VÄSTERVIK</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46561-2022</t>
        </is>
      </c>
      <c r="B5658" s="1" t="n">
        <v>44848</v>
      </c>
      <c r="C5658" s="1" t="n">
        <v>45884</v>
      </c>
      <c r="D5658" t="inlineStr">
        <is>
          <t>KALMAR LÄN</t>
        </is>
      </c>
      <c r="E5658" t="inlineStr">
        <is>
          <t>VÄSTERVIK</t>
        </is>
      </c>
      <c r="F5658" t="inlineStr">
        <is>
          <t>Sveaskog</t>
        </is>
      </c>
      <c r="G5658" t="n">
        <v>2.9</v>
      </c>
      <c r="H5658" t="n">
        <v>0</v>
      </c>
      <c r="I5658" t="n">
        <v>0</v>
      </c>
      <c r="J5658" t="n">
        <v>0</v>
      </c>
      <c r="K5658" t="n">
        <v>0</v>
      </c>
      <c r="L5658" t="n">
        <v>0</v>
      </c>
      <c r="M5658" t="n">
        <v>0</v>
      </c>
      <c r="N5658" t="n">
        <v>0</v>
      </c>
      <c r="O5658" t="n">
        <v>0</v>
      </c>
      <c r="P5658" t="n">
        <v>0</v>
      </c>
      <c r="Q5658" t="n">
        <v>0</v>
      </c>
      <c r="R5658" s="2" t="inlineStr"/>
    </row>
    <row r="5659" ht="15" customHeight="1">
      <c r="A5659" t="inlineStr">
        <is>
          <t>A 61862-2022</t>
        </is>
      </c>
      <c r="B5659" s="1" t="n">
        <v>44917</v>
      </c>
      <c r="C5659" s="1" t="n">
        <v>45884</v>
      </c>
      <c r="D5659" t="inlineStr">
        <is>
          <t>KALMAR LÄN</t>
        </is>
      </c>
      <c r="E5659" t="inlineStr">
        <is>
          <t>OSKARSHAMN</t>
        </is>
      </c>
      <c r="G5659" t="n">
        <v>4.9</v>
      </c>
      <c r="H5659" t="n">
        <v>0</v>
      </c>
      <c r="I5659" t="n">
        <v>0</v>
      </c>
      <c r="J5659" t="n">
        <v>0</v>
      </c>
      <c r="K5659" t="n">
        <v>0</v>
      </c>
      <c r="L5659" t="n">
        <v>0</v>
      </c>
      <c r="M5659" t="n">
        <v>0</v>
      </c>
      <c r="N5659" t="n">
        <v>0</v>
      </c>
      <c r="O5659" t="n">
        <v>0</v>
      </c>
      <c r="P5659" t="n">
        <v>0</v>
      </c>
      <c r="Q5659" t="n">
        <v>0</v>
      </c>
      <c r="R5659" s="2" t="inlineStr"/>
    </row>
    <row r="5660" ht="15" customHeight="1">
      <c r="A5660" t="inlineStr">
        <is>
          <t>A 19824-2024</t>
        </is>
      </c>
      <c r="B5660" s="1" t="n">
        <v>45433</v>
      </c>
      <c r="C5660" s="1" t="n">
        <v>45884</v>
      </c>
      <c r="D5660" t="inlineStr">
        <is>
          <t>KALMAR LÄN</t>
        </is>
      </c>
      <c r="E5660" t="inlineStr">
        <is>
          <t>OSKARSHAMN</t>
        </is>
      </c>
      <c r="G5660" t="n">
        <v>0.5</v>
      </c>
      <c r="H5660" t="n">
        <v>0</v>
      </c>
      <c r="I5660" t="n">
        <v>0</v>
      </c>
      <c r="J5660" t="n">
        <v>0</v>
      </c>
      <c r="K5660" t="n">
        <v>0</v>
      </c>
      <c r="L5660" t="n">
        <v>0</v>
      </c>
      <c r="M5660" t="n">
        <v>0</v>
      </c>
      <c r="N5660" t="n">
        <v>0</v>
      </c>
      <c r="O5660" t="n">
        <v>0</v>
      </c>
      <c r="P5660" t="n">
        <v>0</v>
      </c>
      <c r="Q5660" t="n">
        <v>0</v>
      </c>
      <c r="R5660" s="2" t="inlineStr"/>
    </row>
    <row r="5661" ht="15" customHeight="1">
      <c r="A5661" t="inlineStr">
        <is>
          <t>A 43601-2024</t>
        </is>
      </c>
      <c r="B5661" s="1" t="n">
        <v>45569.44684027778</v>
      </c>
      <c r="C5661" s="1" t="n">
        <v>45884</v>
      </c>
      <c r="D5661" t="inlineStr">
        <is>
          <t>KALMAR LÄN</t>
        </is>
      </c>
      <c r="E5661" t="inlineStr">
        <is>
          <t>VIMMERBY</t>
        </is>
      </c>
      <c r="G5661" t="n">
        <v>0.5</v>
      </c>
      <c r="H5661" t="n">
        <v>0</v>
      </c>
      <c r="I5661" t="n">
        <v>0</v>
      </c>
      <c r="J5661" t="n">
        <v>0</v>
      </c>
      <c r="K5661" t="n">
        <v>0</v>
      </c>
      <c r="L5661" t="n">
        <v>0</v>
      </c>
      <c r="M5661" t="n">
        <v>0</v>
      </c>
      <c r="N5661" t="n">
        <v>0</v>
      </c>
      <c r="O5661" t="n">
        <v>0</v>
      </c>
      <c r="P5661" t="n">
        <v>0</v>
      </c>
      <c r="Q5661" t="n">
        <v>0</v>
      </c>
      <c r="R5661" s="2" t="inlineStr"/>
    </row>
    <row r="5662" ht="15" customHeight="1">
      <c r="A5662" t="inlineStr">
        <is>
          <t>A 1987-2023</t>
        </is>
      </c>
      <c r="B5662" s="1" t="n">
        <v>44939.49839120371</v>
      </c>
      <c r="C5662" s="1" t="n">
        <v>45884</v>
      </c>
      <c r="D5662" t="inlineStr">
        <is>
          <t>KALMAR LÄN</t>
        </is>
      </c>
      <c r="E5662" t="inlineStr">
        <is>
          <t>KALMAR</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19943-2023</t>
        </is>
      </c>
      <c r="B5663" s="1" t="n">
        <v>45054.50784722222</v>
      </c>
      <c r="C5663" s="1" t="n">
        <v>45884</v>
      </c>
      <c r="D5663" t="inlineStr">
        <is>
          <t>KALMAR LÄN</t>
        </is>
      </c>
      <c r="E5663" t="inlineStr">
        <is>
          <t>TORSÅS</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22014-2023</t>
        </is>
      </c>
      <c r="B5664" s="1" t="n">
        <v>45069</v>
      </c>
      <c r="C5664" s="1" t="n">
        <v>45884</v>
      </c>
      <c r="D5664" t="inlineStr">
        <is>
          <t>KALMAR LÄN</t>
        </is>
      </c>
      <c r="E5664" t="inlineStr">
        <is>
          <t>KALMAR</t>
        </is>
      </c>
      <c r="G5664" t="n">
        <v>1.6</v>
      </c>
      <c r="H5664" t="n">
        <v>0</v>
      </c>
      <c r="I5664" t="n">
        <v>0</v>
      </c>
      <c r="J5664" t="n">
        <v>0</v>
      </c>
      <c r="K5664" t="n">
        <v>0</v>
      </c>
      <c r="L5664" t="n">
        <v>0</v>
      </c>
      <c r="M5664" t="n">
        <v>0</v>
      </c>
      <c r="N5664" t="n">
        <v>0</v>
      </c>
      <c r="O5664" t="n">
        <v>0</v>
      </c>
      <c r="P5664" t="n">
        <v>0</v>
      </c>
      <c r="Q5664" t="n">
        <v>0</v>
      </c>
      <c r="R5664" s="2" t="inlineStr"/>
    </row>
    <row r="5665" ht="15" customHeight="1">
      <c r="A5665" t="inlineStr">
        <is>
          <t>A 4520-2024</t>
        </is>
      </c>
      <c r="B5665" s="1" t="n">
        <v>45327</v>
      </c>
      <c r="C5665" s="1" t="n">
        <v>45884</v>
      </c>
      <c r="D5665" t="inlineStr">
        <is>
          <t>KALMAR LÄN</t>
        </is>
      </c>
      <c r="E5665" t="inlineStr">
        <is>
          <t>VÄSTERVIK</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22171-2025</t>
        </is>
      </c>
      <c r="B5666" s="1" t="n">
        <v>45785.59967592593</v>
      </c>
      <c r="C5666" s="1" t="n">
        <v>45884</v>
      </c>
      <c r="D5666" t="inlineStr">
        <is>
          <t>KALMAR LÄN</t>
        </is>
      </c>
      <c r="E5666" t="inlineStr">
        <is>
          <t>KALMAR</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11352-2024</t>
        </is>
      </c>
      <c r="B5667" s="1" t="n">
        <v>45372.34578703704</v>
      </c>
      <c r="C5667" s="1" t="n">
        <v>45884</v>
      </c>
      <c r="D5667" t="inlineStr">
        <is>
          <t>KALMAR LÄN</t>
        </is>
      </c>
      <c r="E5667" t="inlineStr">
        <is>
          <t>NYBRO</t>
        </is>
      </c>
      <c r="G5667" t="n">
        <v>1.5</v>
      </c>
      <c r="H5667" t="n">
        <v>0</v>
      </c>
      <c r="I5667" t="n">
        <v>0</v>
      </c>
      <c r="J5667" t="n">
        <v>0</v>
      </c>
      <c r="K5667" t="n">
        <v>0</v>
      </c>
      <c r="L5667" t="n">
        <v>0</v>
      </c>
      <c r="M5667" t="n">
        <v>0</v>
      </c>
      <c r="N5667" t="n">
        <v>0</v>
      </c>
      <c r="O5667" t="n">
        <v>0</v>
      </c>
      <c r="P5667" t="n">
        <v>0</v>
      </c>
      <c r="Q5667" t="n">
        <v>0</v>
      </c>
      <c r="R5667" s="2" t="inlineStr"/>
    </row>
    <row r="5668" ht="15" customHeight="1">
      <c r="A5668" t="inlineStr">
        <is>
          <t>A 22801-2024</t>
        </is>
      </c>
      <c r="B5668" s="1" t="n">
        <v>45448.51262731481</v>
      </c>
      <c r="C5668" s="1" t="n">
        <v>45884</v>
      </c>
      <c r="D5668" t="inlineStr">
        <is>
          <t>KALMAR LÄN</t>
        </is>
      </c>
      <c r="E5668" t="inlineStr">
        <is>
          <t>OSKARSHAMN</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11471-2024</t>
        </is>
      </c>
      <c r="B5669" s="1" t="n">
        <v>45372</v>
      </c>
      <c r="C5669" s="1" t="n">
        <v>45884</v>
      </c>
      <c r="D5669" t="inlineStr">
        <is>
          <t>KALMAR LÄN</t>
        </is>
      </c>
      <c r="E5669" t="inlineStr">
        <is>
          <t>OSKARSHAMN</t>
        </is>
      </c>
      <c r="G5669" t="n">
        <v>2.8</v>
      </c>
      <c r="H5669" t="n">
        <v>0</v>
      </c>
      <c r="I5669" t="n">
        <v>0</v>
      </c>
      <c r="J5669" t="n">
        <v>0</v>
      </c>
      <c r="K5669" t="n">
        <v>0</v>
      </c>
      <c r="L5669" t="n">
        <v>0</v>
      </c>
      <c r="M5669" t="n">
        <v>0</v>
      </c>
      <c r="N5669" t="n">
        <v>0</v>
      </c>
      <c r="O5669" t="n">
        <v>0</v>
      </c>
      <c r="P5669" t="n">
        <v>0</v>
      </c>
      <c r="Q5669" t="n">
        <v>0</v>
      </c>
      <c r="R5669" s="2" t="inlineStr"/>
    </row>
    <row r="5670" ht="15" customHeight="1">
      <c r="A5670" t="inlineStr">
        <is>
          <t>A 35913-2023</t>
        </is>
      </c>
      <c r="B5670" s="1" t="n">
        <v>45148</v>
      </c>
      <c r="C5670" s="1" t="n">
        <v>45884</v>
      </c>
      <c r="D5670" t="inlineStr">
        <is>
          <t>KALMAR LÄN</t>
        </is>
      </c>
      <c r="E5670" t="inlineStr">
        <is>
          <t>VIMMERBY</t>
        </is>
      </c>
      <c r="G5670" t="n">
        <v>6.9</v>
      </c>
      <c r="H5670" t="n">
        <v>0</v>
      </c>
      <c r="I5670" t="n">
        <v>0</v>
      </c>
      <c r="J5670" t="n">
        <v>0</v>
      </c>
      <c r="K5670" t="n">
        <v>0</v>
      </c>
      <c r="L5670" t="n">
        <v>0</v>
      </c>
      <c r="M5670" t="n">
        <v>0</v>
      </c>
      <c r="N5670" t="n">
        <v>0</v>
      </c>
      <c r="O5670" t="n">
        <v>0</v>
      </c>
      <c r="P5670" t="n">
        <v>0</v>
      </c>
      <c r="Q5670" t="n">
        <v>0</v>
      </c>
      <c r="R5670" s="2" t="inlineStr"/>
    </row>
    <row r="5671" ht="15" customHeight="1">
      <c r="A5671" t="inlineStr">
        <is>
          <t>A 35960-2023</t>
        </is>
      </c>
      <c r="B5671" s="1" t="n">
        <v>45148.84990740741</v>
      </c>
      <c r="C5671" s="1" t="n">
        <v>45884</v>
      </c>
      <c r="D5671" t="inlineStr">
        <is>
          <t>KALMAR LÄN</t>
        </is>
      </c>
      <c r="E5671" t="inlineStr">
        <is>
          <t>VÄSTERVIK</t>
        </is>
      </c>
      <c r="F5671" t="inlineStr">
        <is>
          <t>Sveaskog</t>
        </is>
      </c>
      <c r="G5671" t="n">
        <v>1.9</v>
      </c>
      <c r="H5671" t="n">
        <v>0</v>
      </c>
      <c r="I5671" t="n">
        <v>0</v>
      </c>
      <c r="J5671" t="n">
        <v>0</v>
      </c>
      <c r="K5671" t="n">
        <v>0</v>
      </c>
      <c r="L5671" t="n">
        <v>0</v>
      </c>
      <c r="M5671" t="n">
        <v>0</v>
      </c>
      <c r="N5671" t="n">
        <v>0</v>
      </c>
      <c r="O5671" t="n">
        <v>0</v>
      </c>
      <c r="P5671" t="n">
        <v>0</v>
      </c>
      <c r="Q5671" t="n">
        <v>0</v>
      </c>
      <c r="R5671" s="2" t="inlineStr"/>
    </row>
    <row r="5672" ht="15" customHeight="1">
      <c r="A5672" t="inlineStr">
        <is>
          <t>A 16119-2025</t>
        </is>
      </c>
      <c r="B5672" s="1" t="n">
        <v>45750.40331018518</v>
      </c>
      <c r="C5672" s="1" t="n">
        <v>45884</v>
      </c>
      <c r="D5672" t="inlineStr">
        <is>
          <t>KALMAR LÄN</t>
        </is>
      </c>
      <c r="E5672" t="inlineStr">
        <is>
          <t>NYBRO</t>
        </is>
      </c>
      <c r="F5672" t="inlineStr">
        <is>
          <t>Kommuner</t>
        </is>
      </c>
      <c r="G5672" t="n">
        <v>4.3</v>
      </c>
      <c r="H5672" t="n">
        <v>0</v>
      </c>
      <c r="I5672" t="n">
        <v>0</v>
      </c>
      <c r="J5672" t="n">
        <v>0</v>
      </c>
      <c r="K5672" t="n">
        <v>0</v>
      </c>
      <c r="L5672" t="n">
        <v>0</v>
      </c>
      <c r="M5672" t="n">
        <v>0</v>
      </c>
      <c r="N5672" t="n">
        <v>0</v>
      </c>
      <c r="O5672" t="n">
        <v>0</v>
      </c>
      <c r="P5672" t="n">
        <v>0</v>
      </c>
      <c r="Q5672" t="n">
        <v>0</v>
      </c>
      <c r="R5672" s="2" t="inlineStr"/>
    </row>
    <row r="5673" ht="15" customHeight="1">
      <c r="A5673" t="inlineStr">
        <is>
          <t>A 7669-2024</t>
        </is>
      </c>
      <c r="B5673" s="1" t="n">
        <v>45348.82498842593</v>
      </c>
      <c r="C5673" s="1" t="n">
        <v>45884</v>
      </c>
      <c r="D5673" t="inlineStr">
        <is>
          <t>KALMAR LÄN</t>
        </is>
      </c>
      <c r="E5673" t="inlineStr">
        <is>
          <t>BORGHOLM</t>
        </is>
      </c>
      <c r="G5673" t="n">
        <v>2.3</v>
      </c>
      <c r="H5673" t="n">
        <v>0</v>
      </c>
      <c r="I5673" t="n">
        <v>0</v>
      </c>
      <c r="J5673" t="n">
        <v>0</v>
      </c>
      <c r="K5673" t="n">
        <v>0</v>
      </c>
      <c r="L5673" t="n">
        <v>0</v>
      </c>
      <c r="M5673" t="n">
        <v>0</v>
      </c>
      <c r="N5673" t="n">
        <v>0</v>
      </c>
      <c r="O5673" t="n">
        <v>0</v>
      </c>
      <c r="P5673" t="n">
        <v>0</v>
      </c>
      <c r="Q5673" t="n">
        <v>0</v>
      </c>
      <c r="R5673" s="2" t="inlineStr"/>
    </row>
    <row r="5674" ht="15" customHeight="1">
      <c r="A5674" t="inlineStr">
        <is>
          <t>A 9624-2024</t>
        </is>
      </c>
      <c r="B5674" s="1" t="n">
        <v>45361.90282407407</v>
      </c>
      <c r="C5674" s="1" t="n">
        <v>45884</v>
      </c>
      <c r="D5674" t="inlineStr">
        <is>
          <t>KALMAR LÄN</t>
        </is>
      </c>
      <c r="E5674" t="inlineStr">
        <is>
          <t>VIMMERBY</t>
        </is>
      </c>
      <c r="G5674" t="n">
        <v>3.8</v>
      </c>
      <c r="H5674" t="n">
        <v>0</v>
      </c>
      <c r="I5674" t="n">
        <v>0</v>
      </c>
      <c r="J5674" t="n">
        <v>0</v>
      </c>
      <c r="K5674" t="n">
        <v>0</v>
      </c>
      <c r="L5674" t="n">
        <v>0</v>
      </c>
      <c r="M5674" t="n">
        <v>0</v>
      </c>
      <c r="N5674" t="n">
        <v>0</v>
      </c>
      <c r="O5674" t="n">
        <v>0</v>
      </c>
      <c r="P5674" t="n">
        <v>0</v>
      </c>
      <c r="Q5674" t="n">
        <v>0</v>
      </c>
      <c r="R5674" s="2" t="inlineStr"/>
    </row>
    <row r="5675" ht="15" customHeight="1">
      <c r="A5675" t="inlineStr">
        <is>
          <t>A 3938-2023</t>
        </is>
      </c>
      <c r="B5675" s="1" t="n">
        <v>44952.35775462963</v>
      </c>
      <c r="C5675" s="1" t="n">
        <v>45884</v>
      </c>
      <c r="D5675" t="inlineStr">
        <is>
          <t>KALMAR LÄN</t>
        </is>
      </c>
      <c r="E5675" t="inlineStr">
        <is>
          <t>VIMMERBY</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22153-2025</t>
        </is>
      </c>
      <c r="B5676" s="1" t="n">
        <v>45785.57039351852</v>
      </c>
      <c r="C5676" s="1" t="n">
        <v>45884</v>
      </c>
      <c r="D5676" t="inlineStr">
        <is>
          <t>KALMAR LÄN</t>
        </is>
      </c>
      <c r="E5676" t="inlineStr">
        <is>
          <t>NYBRO</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22042-2025</t>
        </is>
      </c>
      <c r="B5677" s="1" t="n">
        <v>45785.33315972222</v>
      </c>
      <c r="C5677" s="1" t="n">
        <v>45884</v>
      </c>
      <c r="D5677" t="inlineStr">
        <is>
          <t>KALMAR LÄN</t>
        </is>
      </c>
      <c r="E5677" t="inlineStr">
        <is>
          <t>NYBRO</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22034-2025</t>
        </is>
      </c>
      <c r="B5678" s="1" t="n">
        <v>45785.30056712963</v>
      </c>
      <c r="C5678" s="1" t="n">
        <v>45884</v>
      </c>
      <c r="D5678" t="inlineStr">
        <is>
          <t>KALMAR LÄN</t>
        </is>
      </c>
      <c r="E5678" t="inlineStr">
        <is>
          <t>TORSÅS</t>
        </is>
      </c>
      <c r="G5678" t="n">
        <v>3.6</v>
      </c>
      <c r="H5678" t="n">
        <v>0</v>
      </c>
      <c r="I5678" t="n">
        <v>0</v>
      </c>
      <c r="J5678" t="n">
        <v>0</v>
      </c>
      <c r="K5678" t="n">
        <v>0</v>
      </c>
      <c r="L5678" t="n">
        <v>0</v>
      </c>
      <c r="M5678" t="n">
        <v>0</v>
      </c>
      <c r="N5678" t="n">
        <v>0</v>
      </c>
      <c r="O5678" t="n">
        <v>0</v>
      </c>
      <c r="P5678" t="n">
        <v>0</v>
      </c>
      <c r="Q5678" t="n">
        <v>0</v>
      </c>
      <c r="R5678" s="2" t="inlineStr"/>
    </row>
    <row r="5679" ht="15" customHeight="1">
      <c r="A5679" t="inlineStr">
        <is>
          <t>A 22103-2025</t>
        </is>
      </c>
      <c r="B5679" s="1" t="n">
        <v>45785.48605324074</v>
      </c>
      <c r="C5679" s="1" t="n">
        <v>45884</v>
      </c>
      <c r="D5679" t="inlineStr">
        <is>
          <t>KALMAR LÄN</t>
        </is>
      </c>
      <c r="E5679" t="inlineStr">
        <is>
          <t>HÖGSBY</t>
        </is>
      </c>
      <c r="G5679" t="n">
        <v>3.4</v>
      </c>
      <c r="H5679" t="n">
        <v>0</v>
      </c>
      <c r="I5679" t="n">
        <v>0</v>
      </c>
      <c r="J5679" t="n">
        <v>0</v>
      </c>
      <c r="K5679" t="n">
        <v>0</v>
      </c>
      <c r="L5679" t="n">
        <v>0</v>
      </c>
      <c r="M5679" t="n">
        <v>0</v>
      </c>
      <c r="N5679" t="n">
        <v>0</v>
      </c>
      <c r="O5679" t="n">
        <v>0</v>
      </c>
      <c r="P5679" t="n">
        <v>0</v>
      </c>
      <c r="Q5679" t="n">
        <v>0</v>
      </c>
      <c r="R5679" s="2" t="inlineStr"/>
    </row>
    <row r="5680" ht="15" customHeight="1">
      <c r="A5680" t="inlineStr">
        <is>
          <t>A 8981-2025</t>
        </is>
      </c>
      <c r="B5680" s="1" t="n">
        <v>45713.53284722222</v>
      </c>
      <c r="C5680" s="1" t="n">
        <v>45884</v>
      </c>
      <c r="D5680" t="inlineStr">
        <is>
          <t>KALMAR LÄN</t>
        </is>
      </c>
      <c r="E5680" t="inlineStr">
        <is>
          <t>MÖNSTERÅS</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57654-2023</t>
        </is>
      </c>
      <c r="B5681" s="1" t="n">
        <v>45246.60998842592</v>
      </c>
      <c r="C5681" s="1" t="n">
        <v>45884</v>
      </c>
      <c r="D5681" t="inlineStr">
        <is>
          <t>KALMAR LÄN</t>
        </is>
      </c>
      <c r="E5681" t="inlineStr">
        <is>
          <t>KALMAR</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57658-2023</t>
        </is>
      </c>
      <c r="B5682" s="1" t="n">
        <v>45246.61422453704</v>
      </c>
      <c r="C5682" s="1" t="n">
        <v>45884</v>
      </c>
      <c r="D5682" t="inlineStr">
        <is>
          <t>KALMAR LÄN</t>
        </is>
      </c>
      <c r="E5682" t="inlineStr">
        <is>
          <t>KALMAR</t>
        </is>
      </c>
      <c r="G5682" t="n">
        <v>2.3</v>
      </c>
      <c r="H5682" t="n">
        <v>0</v>
      </c>
      <c r="I5682" t="n">
        <v>0</v>
      </c>
      <c r="J5682" t="n">
        <v>0</v>
      </c>
      <c r="K5682" t="n">
        <v>0</v>
      </c>
      <c r="L5682" t="n">
        <v>0</v>
      </c>
      <c r="M5682" t="n">
        <v>0</v>
      </c>
      <c r="N5682" t="n">
        <v>0</v>
      </c>
      <c r="O5682" t="n">
        <v>0</v>
      </c>
      <c r="P5682" t="n">
        <v>0</v>
      </c>
      <c r="Q5682" t="n">
        <v>0</v>
      </c>
      <c r="R5682" s="2" t="inlineStr"/>
    </row>
    <row r="5683" ht="15" customHeight="1">
      <c r="A5683" t="inlineStr">
        <is>
          <t>A 22151-2025</t>
        </is>
      </c>
      <c r="B5683" s="1" t="n">
        <v>45785.5658912037</v>
      </c>
      <c r="C5683" s="1" t="n">
        <v>45884</v>
      </c>
      <c r="D5683" t="inlineStr">
        <is>
          <t>KALMAR LÄN</t>
        </is>
      </c>
      <c r="E5683" t="inlineStr">
        <is>
          <t>NYBRO</t>
        </is>
      </c>
      <c r="G5683" t="n">
        <v>0.9</v>
      </c>
      <c r="H5683" t="n">
        <v>0</v>
      </c>
      <c r="I5683" t="n">
        <v>0</v>
      </c>
      <c r="J5683" t="n">
        <v>0</v>
      </c>
      <c r="K5683" t="n">
        <v>0</v>
      </c>
      <c r="L5683" t="n">
        <v>0</v>
      </c>
      <c r="M5683" t="n">
        <v>0</v>
      </c>
      <c r="N5683" t="n">
        <v>0</v>
      </c>
      <c r="O5683" t="n">
        <v>0</v>
      </c>
      <c r="P5683" t="n">
        <v>0</v>
      </c>
      <c r="Q5683" t="n">
        <v>0</v>
      </c>
      <c r="R5683" s="2" t="inlineStr"/>
    </row>
    <row r="5684" ht="15" customHeight="1">
      <c r="A5684" t="inlineStr">
        <is>
          <t>A 58045-2023</t>
        </is>
      </c>
      <c r="B5684" s="1" t="n">
        <v>45247</v>
      </c>
      <c r="C5684" s="1" t="n">
        <v>45884</v>
      </c>
      <c r="D5684" t="inlineStr">
        <is>
          <t>KALMAR LÄN</t>
        </is>
      </c>
      <c r="E5684" t="inlineStr">
        <is>
          <t>HÖGSBY</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58095-2023</t>
        </is>
      </c>
      <c r="B5685" s="1" t="n">
        <v>45248.819375</v>
      </c>
      <c r="C5685" s="1" t="n">
        <v>45884</v>
      </c>
      <c r="D5685" t="inlineStr">
        <is>
          <t>KALMAR LÄN</t>
        </is>
      </c>
      <c r="E5685" t="inlineStr">
        <is>
          <t>HULTSFRED</t>
        </is>
      </c>
      <c r="G5685" t="n">
        <v>0.4</v>
      </c>
      <c r="H5685" t="n">
        <v>0</v>
      </c>
      <c r="I5685" t="n">
        <v>0</v>
      </c>
      <c r="J5685" t="n">
        <v>0</v>
      </c>
      <c r="K5685" t="n">
        <v>0</v>
      </c>
      <c r="L5685" t="n">
        <v>0</v>
      </c>
      <c r="M5685" t="n">
        <v>0</v>
      </c>
      <c r="N5685" t="n">
        <v>0</v>
      </c>
      <c r="O5685" t="n">
        <v>0</v>
      </c>
      <c r="P5685" t="n">
        <v>0</v>
      </c>
      <c r="Q5685" t="n">
        <v>0</v>
      </c>
      <c r="R5685" s="2" t="inlineStr"/>
    </row>
    <row r="5686" ht="15" customHeight="1">
      <c r="A5686" t="inlineStr">
        <is>
          <t>A 22055-2025</t>
        </is>
      </c>
      <c r="B5686" s="1" t="n">
        <v>45785.36744212963</v>
      </c>
      <c r="C5686" s="1" t="n">
        <v>45884</v>
      </c>
      <c r="D5686" t="inlineStr">
        <is>
          <t>KALMAR LÄN</t>
        </is>
      </c>
      <c r="E5686" t="inlineStr">
        <is>
          <t>KALMAR</t>
        </is>
      </c>
      <c r="G5686" t="n">
        <v>4</v>
      </c>
      <c r="H5686" t="n">
        <v>0</v>
      </c>
      <c r="I5686" t="n">
        <v>0</v>
      </c>
      <c r="J5686" t="n">
        <v>0</v>
      </c>
      <c r="K5686" t="n">
        <v>0</v>
      </c>
      <c r="L5686" t="n">
        <v>0</v>
      </c>
      <c r="M5686" t="n">
        <v>0</v>
      </c>
      <c r="N5686" t="n">
        <v>0</v>
      </c>
      <c r="O5686" t="n">
        <v>0</v>
      </c>
      <c r="P5686" t="n">
        <v>0</v>
      </c>
      <c r="Q5686" t="n">
        <v>0</v>
      </c>
      <c r="R5686" s="2" t="inlineStr"/>
    </row>
    <row r="5687" ht="15" customHeight="1">
      <c r="A5687" t="inlineStr">
        <is>
          <t>A 22014-2025</t>
        </is>
      </c>
      <c r="B5687" s="1" t="n">
        <v>45784.74996527778</v>
      </c>
      <c r="C5687" s="1" t="n">
        <v>45884</v>
      </c>
      <c r="D5687" t="inlineStr">
        <is>
          <t>KALMAR LÄN</t>
        </is>
      </c>
      <c r="E5687" t="inlineStr">
        <is>
          <t>VIMMERBY</t>
        </is>
      </c>
      <c r="G5687" t="n">
        <v>1.6</v>
      </c>
      <c r="H5687" t="n">
        <v>0</v>
      </c>
      <c r="I5687" t="n">
        <v>0</v>
      </c>
      <c r="J5687" t="n">
        <v>0</v>
      </c>
      <c r="K5687" t="n">
        <v>0</v>
      </c>
      <c r="L5687" t="n">
        <v>0</v>
      </c>
      <c r="M5687" t="n">
        <v>0</v>
      </c>
      <c r="N5687" t="n">
        <v>0</v>
      </c>
      <c r="O5687" t="n">
        <v>0</v>
      </c>
      <c r="P5687" t="n">
        <v>0</v>
      </c>
      <c r="Q5687" t="n">
        <v>0</v>
      </c>
      <c r="R5687" s="2" t="inlineStr"/>
    </row>
    <row r="5688" ht="15" customHeight="1">
      <c r="A5688" t="inlineStr">
        <is>
          <t>A 36247-2022</t>
        </is>
      </c>
      <c r="B5688" s="1" t="n">
        <v>44803</v>
      </c>
      <c r="C5688" s="1" t="n">
        <v>45884</v>
      </c>
      <c r="D5688" t="inlineStr">
        <is>
          <t>KALMAR LÄN</t>
        </is>
      </c>
      <c r="E5688" t="inlineStr">
        <is>
          <t>NYBRO</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72819-2021</t>
        </is>
      </c>
      <c r="B5689" s="1" t="n">
        <v>44547</v>
      </c>
      <c r="C5689" s="1" t="n">
        <v>45884</v>
      </c>
      <c r="D5689" t="inlineStr">
        <is>
          <t>KALMAR LÄN</t>
        </is>
      </c>
      <c r="E5689" t="inlineStr">
        <is>
          <t>OSKARSHAMN</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44839-2022</t>
        </is>
      </c>
      <c r="B5690" s="1" t="n">
        <v>44841</v>
      </c>
      <c r="C5690" s="1" t="n">
        <v>45884</v>
      </c>
      <c r="D5690" t="inlineStr">
        <is>
          <t>KALMAR LÄN</t>
        </is>
      </c>
      <c r="E5690" t="inlineStr">
        <is>
          <t>TORSÅS</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49485-2022</t>
        </is>
      </c>
      <c r="B5691" s="1" t="n">
        <v>44861.83449074074</v>
      </c>
      <c r="C5691" s="1" t="n">
        <v>45884</v>
      </c>
      <c r="D5691" t="inlineStr">
        <is>
          <t>KALMAR LÄN</t>
        </is>
      </c>
      <c r="E5691" t="inlineStr">
        <is>
          <t>HÖGSBY</t>
        </is>
      </c>
      <c r="G5691" t="n">
        <v>2.6</v>
      </c>
      <c r="H5691" t="n">
        <v>0</v>
      </c>
      <c r="I5691" t="n">
        <v>0</v>
      </c>
      <c r="J5691" t="n">
        <v>0</v>
      </c>
      <c r="K5691" t="n">
        <v>0</v>
      </c>
      <c r="L5691" t="n">
        <v>0</v>
      </c>
      <c r="M5691" t="n">
        <v>0</v>
      </c>
      <c r="N5691" t="n">
        <v>0</v>
      </c>
      <c r="O5691" t="n">
        <v>0</v>
      </c>
      <c r="P5691" t="n">
        <v>0</v>
      </c>
      <c r="Q5691" t="n">
        <v>0</v>
      </c>
      <c r="R5691" s="2" t="inlineStr"/>
    </row>
    <row r="5692" ht="15" customHeight="1">
      <c r="A5692" t="inlineStr">
        <is>
          <t>A 39053-2024</t>
        </is>
      </c>
      <c r="B5692" s="1" t="n">
        <v>45548</v>
      </c>
      <c r="C5692" s="1" t="n">
        <v>45884</v>
      </c>
      <c r="D5692" t="inlineStr">
        <is>
          <t>KALMAR LÄN</t>
        </is>
      </c>
      <c r="E5692" t="inlineStr">
        <is>
          <t>VIMMERBY</t>
        </is>
      </c>
      <c r="G5692" t="n">
        <v>5</v>
      </c>
      <c r="H5692" t="n">
        <v>0</v>
      </c>
      <c r="I5692" t="n">
        <v>0</v>
      </c>
      <c r="J5692" t="n">
        <v>0</v>
      </c>
      <c r="K5692" t="n">
        <v>0</v>
      </c>
      <c r="L5692" t="n">
        <v>0</v>
      </c>
      <c r="M5692" t="n">
        <v>0</v>
      </c>
      <c r="N5692" t="n">
        <v>0</v>
      </c>
      <c r="O5692" t="n">
        <v>0</v>
      </c>
      <c r="P5692" t="n">
        <v>0</v>
      </c>
      <c r="Q5692" t="n">
        <v>0</v>
      </c>
      <c r="R5692" s="2" t="inlineStr"/>
    </row>
    <row r="5693" ht="15" customHeight="1">
      <c r="A5693" t="inlineStr">
        <is>
          <t>A 35490-2024</t>
        </is>
      </c>
      <c r="B5693" s="1" t="n">
        <v>45531.50122685185</v>
      </c>
      <c r="C5693" s="1" t="n">
        <v>45884</v>
      </c>
      <c r="D5693" t="inlineStr">
        <is>
          <t>KALMAR LÄN</t>
        </is>
      </c>
      <c r="E5693" t="inlineStr">
        <is>
          <t>EMMABODA</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21938-2025</t>
        </is>
      </c>
      <c r="B5694" s="1" t="n">
        <v>45784</v>
      </c>
      <c r="C5694" s="1" t="n">
        <v>45884</v>
      </c>
      <c r="D5694" t="inlineStr">
        <is>
          <t>KALMAR LÄN</t>
        </is>
      </c>
      <c r="E5694" t="inlineStr">
        <is>
          <t>OSKARSHAMN</t>
        </is>
      </c>
      <c r="G5694" t="n">
        <v>3.5</v>
      </c>
      <c r="H5694" t="n">
        <v>0</v>
      </c>
      <c r="I5694" t="n">
        <v>0</v>
      </c>
      <c r="J5694" t="n">
        <v>0</v>
      </c>
      <c r="K5694" t="n">
        <v>0</v>
      </c>
      <c r="L5694" t="n">
        <v>0</v>
      </c>
      <c r="M5694" t="n">
        <v>0</v>
      </c>
      <c r="N5694" t="n">
        <v>0</v>
      </c>
      <c r="O5694" t="n">
        <v>0</v>
      </c>
      <c r="P5694" t="n">
        <v>0</v>
      </c>
      <c r="Q5694" t="n">
        <v>0</v>
      </c>
      <c r="R5694" s="2" t="inlineStr"/>
    </row>
    <row r="5695" ht="15" customHeight="1">
      <c r="A5695" t="inlineStr">
        <is>
          <t>A 21942-2025</t>
        </is>
      </c>
      <c r="B5695" s="1" t="n">
        <v>45784</v>
      </c>
      <c r="C5695" s="1" t="n">
        <v>45884</v>
      </c>
      <c r="D5695" t="inlineStr">
        <is>
          <t>KALMAR LÄN</t>
        </is>
      </c>
      <c r="E5695" t="inlineStr">
        <is>
          <t>OSKARSHAMN</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45689-2021</t>
        </is>
      </c>
      <c r="B5696" s="1" t="n">
        <v>44441</v>
      </c>
      <c r="C5696" s="1" t="n">
        <v>45884</v>
      </c>
      <c r="D5696" t="inlineStr">
        <is>
          <t>KALMAR LÄN</t>
        </is>
      </c>
      <c r="E5696" t="inlineStr">
        <is>
          <t>MÖNSTERÅS</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40009-2023</t>
        </is>
      </c>
      <c r="B5697" s="1" t="n">
        <v>45168.62385416667</v>
      </c>
      <c r="C5697" s="1" t="n">
        <v>45884</v>
      </c>
      <c r="D5697" t="inlineStr">
        <is>
          <t>KALMAR LÄN</t>
        </is>
      </c>
      <c r="E5697" t="inlineStr">
        <is>
          <t>HULTSFRED</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57916-2022</t>
        </is>
      </c>
      <c r="B5698" s="1" t="n">
        <v>44900.36804398148</v>
      </c>
      <c r="C5698" s="1" t="n">
        <v>45884</v>
      </c>
      <c r="D5698" t="inlineStr">
        <is>
          <t>KALMAR LÄN</t>
        </is>
      </c>
      <c r="E5698" t="inlineStr">
        <is>
          <t>EMMABODA</t>
        </is>
      </c>
      <c r="G5698" t="n">
        <v>4</v>
      </c>
      <c r="H5698" t="n">
        <v>0</v>
      </c>
      <c r="I5698" t="n">
        <v>0</v>
      </c>
      <c r="J5698" t="n">
        <v>0</v>
      </c>
      <c r="K5698" t="n">
        <v>0</v>
      </c>
      <c r="L5698" t="n">
        <v>0</v>
      </c>
      <c r="M5698" t="n">
        <v>0</v>
      </c>
      <c r="N5698" t="n">
        <v>0</v>
      </c>
      <c r="O5698" t="n">
        <v>0</v>
      </c>
      <c r="P5698" t="n">
        <v>0</v>
      </c>
      <c r="Q5698" t="n">
        <v>0</v>
      </c>
      <c r="R5698" s="2" t="inlineStr"/>
    </row>
    <row r="5699" ht="15" customHeight="1">
      <c r="A5699" t="inlineStr">
        <is>
          <t>A 22232-2025</t>
        </is>
      </c>
      <c r="B5699" s="1" t="n">
        <v>45785.66829861111</v>
      </c>
      <c r="C5699" s="1" t="n">
        <v>45884</v>
      </c>
      <c r="D5699" t="inlineStr">
        <is>
          <t>KALMAR LÄN</t>
        </is>
      </c>
      <c r="E5699" t="inlineStr">
        <is>
          <t>TORSÅS</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22259-2025</t>
        </is>
      </c>
      <c r="B5700" s="1" t="n">
        <v>45785.73490740741</v>
      </c>
      <c r="C5700" s="1" t="n">
        <v>45884</v>
      </c>
      <c r="D5700" t="inlineStr">
        <is>
          <t>KALMAR LÄN</t>
        </is>
      </c>
      <c r="E5700" t="inlineStr">
        <is>
          <t>KALMAR</t>
        </is>
      </c>
      <c r="G5700" t="n">
        <v>2.3</v>
      </c>
      <c r="H5700" t="n">
        <v>0</v>
      </c>
      <c r="I5700" t="n">
        <v>0</v>
      </c>
      <c r="J5700" t="n">
        <v>0</v>
      </c>
      <c r="K5700" t="n">
        <v>0</v>
      </c>
      <c r="L5700" t="n">
        <v>0</v>
      </c>
      <c r="M5700" t="n">
        <v>0</v>
      </c>
      <c r="N5700" t="n">
        <v>0</v>
      </c>
      <c r="O5700" t="n">
        <v>0</v>
      </c>
      <c r="P5700" t="n">
        <v>0</v>
      </c>
      <c r="Q5700" t="n">
        <v>0</v>
      </c>
      <c r="R5700" s="2" t="inlineStr"/>
    </row>
    <row r="5701" ht="15" customHeight="1">
      <c r="A5701" t="inlineStr">
        <is>
          <t>A 7750-2023</t>
        </is>
      </c>
      <c r="B5701" s="1" t="n">
        <v>44973.36293981481</v>
      </c>
      <c r="C5701" s="1" t="n">
        <v>45884</v>
      </c>
      <c r="D5701" t="inlineStr">
        <is>
          <t>KALMAR LÄN</t>
        </is>
      </c>
      <c r="E5701" t="inlineStr">
        <is>
          <t>KALMAR</t>
        </is>
      </c>
      <c r="G5701" t="n">
        <v>0.4</v>
      </c>
      <c r="H5701" t="n">
        <v>0</v>
      </c>
      <c r="I5701" t="n">
        <v>0</v>
      </c>
      <c r="J5701" t="n">
        <v>0</v>
      </c>
      <c r="K5701" t="n">
        <v>0</v>
      </c>
      <c r="L5701" t="n">
        <v>0</v>
      </c>
      <c r="M5701" t="n">
        <v>0</v>
      </c>
      <c r="N5701" t="n">
        <v>0</v>
      </c>
      <c r="O5701" t="n">
        <v>0</v>
      </c>
      <c r="P5701" t="n">
        <v>0</v>
      </c>
      <c r="Q5701" t="n">
        <v>0</v>
      </c>
      <c r="R5701" s="2" t="inlineStr"/>
    </row>
    <row r="5702" ht="15" customHeight="1">
      <c r="A5702" t="inlineStr">
        <is>
          <t>A 12265-2024</t>
        </is>
      </c>
      <c r="B5702" s="1" t="n">
        <v>45378.46670138889</v>
      </c>
      <c r="C5702" s="1" t="n">
        <v>45884</v>
      </c>
      <c r="D5702" t="inlineStr">
        <is>
          <t>KALMAR LÄN</t>
        </is>
      </c>
      <c r="E5702" t="inlineStr">
        <is>
          <t>KALMAR</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29782-2023</t>
        </is>
      </c>
      <c r="B5703" s="1" t="n">
        <v>45107</v>
      </c>
      <c r="C5703" s="1" t="n">
        <v>45884</v>
      </c>
      <c r="D5703" t="inlineStr">
        <is>
          <t>KALMAR LÄN</t>
        </is>
      </c>
      <c r="E5703" t="inlineStr">
        <is>
          <t>EMMABODA</t>
        </is>
      </c>
      <c r="G5703" t="n">
        <v>7.4</v>
      </c>
      <c r="H5703" t="n">
        <v>0</v>
      </c>
      <c r="I5703" t="n">
        <v>0</v>
      </c>
      <c r="J5703" t="n">
        <v>0</v>
      </c>
      <c r="K5703" t="n">
        <v>0</v>
      </c>
      <c r="L5703" t="n">
        <v>0</v>
      </c>
      <c r="M5703" t="n">
        <v>0</v>
      </c>
      <c r="N5703" t="n">
        <v>0</v>
      </c>
      <c r="O5703" t="n">
        <v>0</v>
      </c>
      <c r="P5703" t="n">
        <v>0</v>
      </c>
      <c r="Q5703" t="n">
        <v>0</v>
      </c>
      <c r="R5703" s="2" t="inlineStr"/>
    </row>
    <row r="5704" ht="15" customHeight="1">
      <c r="A5704" t="inlineStr">
        <is>
          <t>A 46192-2023</t>
        </is>
      </c>
      <c r="B5704" s="1" t="n">
        <v>45196</v>
      </c>
      <c r="C5704" s="1" t="n">
        <v>45884</v>
      </c>
      <c r="D5704" t="inlineStr">
        <is>
          <t>KALMAR LÄN</t>
        </is>
      </c>
      <c r="E5704" t="inlineStr">
        <is>
          <t>EMMABODA</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22145-2024</t>
        </is>
      </c>
      <c r="B5705" s="1" t="n">
        <v>45445.3777662037</v>
      </c>
      <c r="C5705" s="1" t="n">
        <v>45884</v>
      </c>
      <c r="D5705" t="inlineStr">
        <is>
          <t>KALMAR LÄN</t>
        </is>
      </c>
      <c r="E5705" t="inlineStr">
        <is>
          <t>EMMABODA</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14451-2024</t>
        </is>
      </c>
      <c r="B5706" s="1" t="n">
        <v>45394.50028935185</v>
      </c>
      <c r="C5706" s="1" t="n">
        <v>45884</v>
      </c>
      <c r="D5706" t="inlineStr">
        <is>
          <t>KALMAR LÄN</t>
        </is>
      </c>
      <c r="E5706" t="inlineStr">
        <is>
          <t>VIMMERBY</t>
        </is>
      </c>
      <c r="G5706" t="n">
        <v>1.9</v>
      </c>
      <c r="H5706" t="n">
        <v>0</v>
      </c>
      <c r="I5706" t="n">
        <v>0</v>
      </c>
      <c r="J5706" t="n">
        <v>0</v>
      </c>
      <c r="K5706" t="n">
        <v>0</v>
      </c>
      <c r="L5706" t="n">
        <v>0</v>
      </c>
      <c r="M5706" t="n">
        <v>0</v>
      </c>
      <c r="N5706" t="n">
        <v>0</v>
      </c>
      <c r="O5706" t="n">
        <v>0</v>
      </c>
      <c r="P5706" t="n">
        <v>0</v>
      </c>
      <c r="Q5706" t="n">
        <v>0</v>
      </c>
      <c r="R5706" s="2" t="inlineStr"/>
    </row>
    <row r="5707" ht="15" customHeight="1">
      <c r="A5707" t="inlineStr">
        <is>
          <t>A 59053-2022</t>
        </is>
      </c>
      <c r="B5707" s="1" t="n">
        <v>44904</v>
      </c>
      <c r="C5707" s="1" t="n">
        <v>45884</v>
      </c>
      <c r="D5707" t="inlineStr">
        <is>
          <t>KALMAR LÄN</t>
        </is>
      </c>
      <c r="E5707" t="inlineStr">
        <is>
          <t>NYBRO</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59054-2022</t>
        </is>
      </c>
      <c r="B5708" s="1" t="n">
        <v>44904</v>
      </c>
      <c r="C5708" s="1" t="n">
        <v>45884</v>
      </c>
      <c r="D5708" t="inlineStr">
        <is>
          <t>KALMAR LÄN</t>
        </is>
      </c>
      <c r="E5708" t="inlineStr">
        <is>
          <t>NYBRO</t>
        </is>
      </c>
      <c r="G5708" t="n">
        <v>1.9</v>
      </c>
      <c r="H5708" t="n">
        <v>0</v>
      </c>
      <c r="I5708" t="n">
        <v>0</v>
      </c>
      <c r="J5708" t="n">
        <v>0</v>
      </c>
      <c r="K5708" t="n">
        <v>0</v>
      </c>
      <c r="L5708" t="n">
        <v>0</v>
      </c>
      <c r="M5708" t="n">
        <v>0</v>
      </c>
      <c r="N5708" t="n">
        <v>0</v>
      </c>
      <c r="O5708" t="n">
        <v>0</v>
      </c>
      <c r="P5708" t="n">
        <v>0</v>
      </c>
      <c r="Q5708" t="n">
        <v>0</v>
      </c>
      <c r="R5708" s="2" t="inlineStr"/>
    </row>
    <row r="5709" ht="15" customHeight="1">
      <c r="A5709" t="inlineStr">
        <is>
          <t>A 3291-2024</t>
        </is>
      </c>
      <c r="B5709" s="1" t="n">
        <v>45317.45069444444</v>
      </c>
      <c r="C5709" s="1" t="n">
        <v>45884</v>
      </c>
      <c r="D5709" t="inlineStr">
        <is>
          <t>KALMAR LÄN</t>
        </is>
      </c>
      <c r="E5709" t="inlineStr">
        <is>
          <t>EMMABODA</t>
        </is>
      </c>
      <c r="G5709" t="n">
        <v>3.1</v>
      </c>
      <c r="H5709" t="n">
        <v>0</v>
      </c>
      <c r="I5709" t="n">
        <v>0</v>
      </c>
      <c r="J5709" t="n">
        <v>0</v>
      </c>
      <c r="K5709" t="n">
        <v>0</v>
      </c>
      <c r="L5709" t="n">
        <v>0</v>
      </c>
      <c r="M5709" t="n">
        <v>0</v>
      </c>
      <c r="N5709" t="n">
        <v>0</v>
      </c>
      <c r="O5709" t="n">
        <v>0</v>
      </c>
      <c r="P5709" t="n">
        <v>0</v>
      </c>
      <c r="Q5709" t="n">
        <v>0</v>
      </c>
      <c r="R5709" s="2" t="inlineStr"/>
    </row>
    <row r="5710" ht="15" customHeight="1">
      <c r="A5710" t="inlineStr">
        <is>
          <t>A 41674-2024</t>
        </is>
      </c>
      <c r="B5710" s="1" t="n">
        <v>45560.65891203703</v>
      </c>
      <c r="C5710" s="1" t="n">
        <v>45884</v>
      </c>
      <c r="D5710" t="inlineStr">
        <is>
          <t>KALMAR LÄN</t>
        </is>
      </c>
      <c r="E5710" t="inlineStr">
        <is>
          <t>NYBRO</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24127-2023</t>
        </is>
      </c>
      <c r="B5711" s="1" t="n">
        <v>45079.49798611111</v>
      </c>
      <c r="C5711" s="1" t="n">
        <v>45884</v>
      </c>
      <c r="D5711" t="inlineStr">
        <is>
          <t>KALMAR LÄN</t>
        </is>
      </c>
      <c r="E5711" t="inlineStr">
        <is>
          <t>NYBRO</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2906-2023</t>
        </is>
      </c>
      <c r="B5712" s="1" t="n">
        <v>44945</v>
      </c>
      <c r="C5712" s="1" t="n">
        <v>45884</v>
      </c>
      <c r="D5712" t="inlineStr">
        <is>
          <t>KALMAR LÄN</t>
        </is>
      </c>
      <c r="E5712" t="inlineStr">
        <is>
          <t>OSKARSHAMN</t>
        </is>
      </c>
      <c r="G5712" t="n">
        <v>9.1</v>
      </c>
      <c r="H5712" t="n">
        <v>0</v>
      </c>
      <c r="I5712" t="n">
        <v>0</v>
      </c>
      <c r="J5712" t="n">
        <v>0</v>
      </c>
      <c r="K5712" t="n">
        <v>0</v>
      </c>
      <c r="L5712" t="n">
        <v>0</v>
      </c>
      <c r="M5712" t="n">
        <v>0</v>
      </c>
      <c r="N5712" t="n">
        <v>0</v>
      </c>
      <c r="O5712" t="n">
        <v>0</v>
      </c>
      <c r="P5712" t="n">
        <v>0</v>
      </c>
      <c r="Q5712" t="n">
        <v>0</v>
      </c>
      <c r="R5712" s="2" t="inlineStr"/>
    </row>
    <row r="5713" ht="15" customHeight="1">
      <c r="A5713" t="inlineStr">
        <is>
          <t>A 3666-2022</t>
        </is>
      </c>
      <c r="B5713" s="1" t="n">
        <v>44586</v>
      </c>
      <c r="C5713" s="1" t="n">
        <v>45884</v>
      </c>
      <c r="D5713" t="inlineStr">
        <is>
          <t>KALMAR LÄN</t>
        </is>
      </c>
      <c r="E5713" t="inlineStr">
        <is>
          <t>EMMABODA</t>
        </is>
      </c>
      <c r="G5713" t="n">
        <v>1.7</v>
      </c>
      <c r="H5713" t="n">
        <v>0</v>
      </c>
      <c r="I5713" t="n">
        <v>0</v>
      </c>
      <c r="J5713" t="n">
        <v>0</v>
      </c>
      <c r="K5713" t="n">
        <v>0</v>
      </c>
      <c r="L5713" t="n">
        <v>0</v>
      </c>
      <c r="M5713" t="n">
        <v>0</v>
      </c>
      <c r="N5713" t="n">
        <v>0</v>
      </c>
      <c r="O5713" t="n">
        <v>0</v>
      </c>
      <c r="P5713" t="n">
        <v>0</v>
      </c>
      <c r="Q5713" t="n">
        <v>0</v>
      </c>
      <c r="R5713" s="2" t="inlineStr"/>
    </row>
    <row r="5714" ht="15" customHeight="1">
      <c r="A5714" t="inlineStr">
        <is>
          <t>A 7090-2024</t>
        </is>
      </c>
      <c r="B5714" s="1" t="n">
        <v>45343.80621527778</v>
      </c>
      <c r="C5714" s="1" t="n">
        <v>45884</v>
      </c>
      <c r="D5714" t="inlineStr">
        <is>
          <t>KALMAR LÄN</t>
        </is>
      </c>
      <c r="E5714" t="inlineStr">
        <is>
          <t>VÄSTERVIK</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44711-2023</t>
        </is>
      </c>
      <c r="B5715" s="1" t="n">
        <v>45190.33980324074</v>
      </c>
      <c r="C5715" s="1" t="n">
        <v>45884</v>
      </c>
      <c r="D5715" t="inlineStr">
        <is>
          <t>KALMAR LÄN</t>
        </is>
      </c>
      <c r="E5715" t="inlineStr">
        <is>
          <t>KALMAR</t>
        </is>
      </c>
      <c r="G5715" t="n">
        <v>0.4</v>
      </c>
      <c r="H5715" t="n">
        <v>0</v>
      </c>
      <c r="I5715" t="n">
        <v>0</v>
      </c>
      <c r="J5715" t="n">
        <v>0</v>
      </c>
      <c r="K5715" t="n">
        <v>0</v>
      </c>
      <c r="L5715" t="n">
        <v>0</v>
      </c>
      <c r="M5715" t="n">
        <v>0</v>
      </c>
      <c r="N5715" t="n">
        <v>0</v>
      </c>
      <c r="O5715" t="n">
        <v>0</v>
      </c>
      <c r="P5715" t="n">
        <v>0</v>
      </c>
      <c r="Q5715" t="n">
        <v>0</v>
      </c>
      <c r="R5715" s="2" t="inlineStr"/>
    </row>
    <row r="5716" ht="15" customHeight="1">
      <c r="A5716" t="inlineStr">
        <is>
          <t>A 44715-2023</t>
        </is>
      </c>
      <c r="B5716" s="1" t="n">
        <v>45190.34791666667</v>
      </c>
      <c r="C5716" s="1" t="n">
        <v>45884</v>
      </c>
      <c r="D5716" t="inlineStr">
        <is>
          <t>KALMAR LÄN</t>
        </is>
      </c>
      <c r="E5716" t="inlineStr">
        <is>
          <t>HULTSFRED</t>
        </is>
      </c>
      <c r="G5716" t="n">
        <v>1.7</v>
      </c>
      <c r="H5716" t="n">
        <v>0</v>
      </c>
      <c r="I5716" t="n">
        <v>0</v>
      </c>
      <c r="J5716" t="n">
        <v>0</v>
      </c>
      <c r="K5716" t="n">
        <v>0</v>
      </c>
      <c r="L5716" t="n">
        <v>0</v>
      </c>
      <c r="M5716" t="n">
        <v>0</v>
      </c>
      <c r="N5716" t="n">
        <v>0</v>
      </c>
      <c r="O5716" t="n">
        <v>0</v>
      </c>
      <c r="P5716" t="n">
        <v>0</v>
      </c>
      <c r="Q5716" t="n">
        <v>0</v>
      </c>
      <c r="R5716" s="2" t="inlineStr"/>
    </row>
    <row r="5717" ht="15" customHeight="1">
      <c r="A5717" t="inlineStr">
        <is>
          <t>A 22224-2025</t>
        </is>
      </c>
      <c r="B5717" s="1" t="n">
        <v>45785.66111111111</v>
      </c>
      <c r="C5717" s="1" t="n">
        <v>45884</v>
      </c>
      <c r="D5717" t="inlineStr">
        <is>
          <t>KALMAR LÄN</t>
        </is>
      </c>
      <c r="E5717" t="inlineStr">
        <is>
          <t>TORSÅS</t>
        </is>
      </c>
      <c r="G5717" t="n">
        <v>2.5</v>
      </c>
      <c r="H5717" t="n">
        <v>0</v>
      </c>
      <c r="I5717" t="n">
        <v>0</v>
      </c>
      <c r="J5717" t="n">
        <v>0</v>
      </c>
      <c r="K5717" t="n">
        <v>0</v>
      </c>
      <c r="L5717" t="n">
        <v>0</v>
      </c>
      <c r="M5717" t="n">
        <v>0</v>
      </c>
      <c r="N5717" t="n">
        <v>0</v>
      </c>
      <c r="O5717" t="n">
        <v>0</v>
      </c>
      <c r="P5717" t="n">
        <v>0</v>
      </c>
      <c r="Q5717" t="n">
        <v>0</v>
      </c>
      <c r="R5717" s="2" t="inlineStr"/>
    </row>
    <row r="5718" ht="15" customHeight="1">
      <c r="A5718" t="inlineStr">
        <is>
          <t>A 22227-2025</t>
        </is>
      </c>
      <c r="B5718" s="1" t="n">
        <v>45785.66358796296</v>
      </c>
      <c r="C5718" s="1" t="n">
        <v>45884</v>
      </c>
      <c r="D5718" t="inlineStr">
        <is>
          <t>KALMAR LÄN</t>
        </is>
      </c>
      <c r="E5718" t="inlineStr">
        <is>
          <t>TORSÅS</t>
        </is>
      </c>
      <c r="G5718" t="n">
        <v>2.9</v>
      </c>
      <c r="H5718" t="n">
        <v>0</v>
      </c>
      <c r="I5718" t="n">
        <v>0</v>
      </c>
      <c r="J5718" t="n">
        <v>0</v>
      </c>
      <c r="K5718" t="n">
        <v>0</v>
      </c>
      <c r="L5718" t="n">
        <v>0</v>
      </c>
      <c r="M5718" t="n">
        <v>0</v>
      </c>
      <c r="N5718" t="n">
        <v>0</v>
      </c>
      <c r="O5718" t="n">
        <v>0</v>
      </c>
      <c r="P5718" t="n">
        <v>0</v>
      </c>
      <c r="Q5718" t="n">
        <v>0</v>
      </c>
      <c r="R5718" s="2" t="inlineStr"/>
    </row>
    <row r="5719" ht="15" customHeight="1">
      <c r="A5719" t="inlineStr">
        <is>
          <t>A 592-2025</t>
        </is>
      </c>
      <c r="B5719" s="1" t="n">
        <v>45664.58763888889</v>
      </c>
      <c r="C5719" s="1" t="n">
        <v>45884</v>
      </c>
      <c r="D5719" t="inlineStr">
        <is>
          <t>KALMAR LÄN</t>
        </is>
      </c>
      <c r="E5719" t="inlineStr">
        <is>
          <t>KALMAR</t>
        </is>
      </c>
      <c r="G5719" t="n">
        <v>2.4</v>
      </c>
      <c r="H5719" t="n">
        <v>0</v>
      </c>
      <c r="I5719" t="n">
        <v>0</v>
      </c>
      <c r="J5719" t="n">
        <v>0</v>
      </c>
      <c r="K5719" t="n">
        <v>0</v>
      </c>
      <c r="L5719" t="n">
        <v>0</v>
      </c>
      <c r="M5719" t="n">
        <v>0</v>
      </c>
      <c r="N5719" t="n">
        <v>0</v>
      </c>
      <c r="O5719" t="n">
        <v>0</v>
      </c>
      <c r="P5719" t="n">
        <v>0</v>
      </c>
      <c r="Q5719" t="n">
        <v>0</v>
      </c>
      <c r="R5719" s="2" t="inlineStr"/>
    </row>
    <row r="5720" ht="15" customHeight="1">
      <c r="A5720" t="inlineStr">
        <is>
          <t>A 41633-2023</t>
        </is>
      </c>
      <c r="B5720" s="1" t="n">
        <v>45175</v>
      </c>
      <c r="C5720" s="1" t="n">
        <v>45884</v>
      </c>
      <c r="D5720" t="inlineStr">
        <is>
          <t>KALMAR LÄN</t>
        </is>
      </c>
      <c r="E5720" t="inlineStr">
        <is>
          <t>KALMAR</t>
        </is>
      </c>
      <c r="G5720" t="n">
        <v>2</v>
      </c>
      <c r="H5720" t="n">
        <v>0</v>
      </c>
      <c r="I5720" t="n">
        <v>0</v>
      </c>
      <c r="J5720" t="n">
        <v>0</v>
      </c>
      <c r="K5720" t="n">
        <v>0</v>
      </c>
      <c r="L5720" t="n">
        <v>0</v>
      </c>
      <c r="M5720" t="n">
        <v>0</v>
      </c>
      <c r="N5720" t="n">
        <v>0</v>
      </c>
      <c r="O5720" t="n">
        <v>0</v>
      </c>
      <c r="P5720" t="n">
        <v>0</v>
      </c>
      <c r="Q5720" t="n">
        <v>0</v>
      </c>
      <c r="R5720" s="2" t="inlineStr"/>
    </row>
    <row r="5721" ht="15" customHeight="1">
      <c r="A5721" t="inlineStr">
        <is>
          <t>A 47946-2023</t>
        </is>
      </c>
      <c r="B5721" s="1" t="n">
        <v>45204.56902777778</v>
      </c>
      <c r="C5721" s="1" t="n">
        <v>45884</v>
      </c>
      <c r="D5721" t="inlineStr">
        <is>
          <t>KALMAR LÄN</t>
        </is>
      </c>
      <c r="E5721" t="inlineStr">
        <is>
          <t>OSKARSHAMN</t>
        </is>
      </c>
      <c r="G5721" t="n">
        <v>2.4</v>
      </c>
      <c r="H5721" t="n">
        <v>0</v>
      </c>
      <c r="I5721" t="n">
        <v>0</v>
      </c>
      <c r="J5721" t="n">
        <v>0</v>
      </c>
      <c r="K5721" t="n">
        <v>0</v>
      </c>
      <c r="L5721" t="n">
        <v>0</v>
      </c>
      <c r="M5721" t="n">
        <v>0</v>
      </c>
      <c r="N5721" t="n">
        <v>0</v>
      </c>
      <c r="O5721" t="n">
        <v>0</v>
      </c>
      <c r="P5721" t="n">
        <v>0</v>
      </c>
      <c r="Q5721" t="n">
        <v>0</v>
      </c>
      <c r="R5721" s="2" t="inlineStr"/>
    </row>
    <row r="5722" ht="15" customHeight="1">
      <c r="A5722" t="inlineStr">
        <is>
          <t>A 34205-2023</t>
        </is>
      </c>
      <c r="B5722" s="1" t="n">
        <v>45138</v>
      </c>
      <c r="C5722" s="1" t="n">
        <v>45884</v>
      </c>
      <c r="D5722" t="inlineStr">
        <is>
          <t>KALMAR LÄN</t>
        </is>
      </c>
      <c r="E5722" t="inlineStr">
        <is>
          <t>VIMMERBY</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49892-2024</t>
        </is>
      </c>
      <c r="B5723" s="1" t="n">
        <v>45597.52</v>
      </c>
      <c r="C5723" s="1" t="n">
        <v>45884</v>
      </c>
      <c r="D5723" t="inlineStr">
        <is>
          <t>KALMAR LÄN</t>
        </is>
      </c>
      <c r="E5723" t="inlineStr">
        <is>
          <t>MÖNSTERÅS</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18587-2025</t>
        </is>
      </c>
      <c r="B5724" s="1" t="n">
        <v>45763</v>
      </c>
      <c r="C5724" s="1" t="n">
        <v>45884</v>
      </c>
      <c r="D5724" t="inlineStr">
        <is>
          <t>KALMAR LÄN</t>
        </is>
      </c>
      <c r="E5724" t="inlineStr">
        <is>
          <t>NYBRO</t>
        </is>
      </c>
      <c r="G5724" t="n">
        <v>30</v>
      </c>
      <c r="H5724" t="n">
        <v>0</v>
      </c>
      <c r="I5724" t="n">
        <v>0</v>
      </c>
      <c r="J5724" t="n">
        <v>0</v>
      </c>
      <c r="K5724" t="n">
        <v>0</v>
      </c>
      <c r="L5724" t="n">
        <v>0</v>
      </c>
      <c r="M5724" t="n">
        <v>0</v>
      </c>
      <c r="N5724" t="n">
        <v>0</v>
      </c>
      <c r="O5724" t="n">
        <v>0</v>
      </c>
      <c r="P5724" t="n">
        <v>0</v>
      </c>
      <c r="Q5724" t="n">
        <v>0</v>
      </c>
      <c r="R5724" s="2" t="inlineStr"/>
    </row>
    <row r="5725" ht="15" customHeight="1">
      <c r="A5725" t="inlineStr">
        <is>
          <t>A 46282-2023</t>
        </is>
      </c>
      <c r="B5725" s="1" t="n">
        <v>45197</v>
      </c>
      <c r="C5725" s="1" t="n">
        <v>45884</v>
      </c>
      <c r="D5725" t="inlineStr">
        <is>
          <t>KALMAR LÄN</t>
        </is>
      </c>
      <c r="E5725" t="inlineStr">
        <is>
          <t>NYBRO</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40977-2023</t>
        </is>
      </c>
      <c r="B5726" s="1" t="n">
        <v>45173</v>
      </c>
      <c r="C5726" s="1" t="n">
        <v>45884</v>
      </c>
      <c r="D5726" t="inlineStr">
        <is>
          <t>KALMAR LÄN</t>
        </is>
      </c>
      <c r="E5726" t="inlineStr">
        <is>
          <t>VÄSTERVIK</t>
        </is>
      </c>
      <c r="F5726" t="inlineStr">
        <is>
          <t>Holmen skog AB</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40986-2023</t>
        </is>
      </c>
      <c r="B5727" s="1" t="n">
        <v>45173.50910879629</v>
      </c>
      <c r="C5727" s="1" t="n">
        <v>45884</v>
      </c>
      <c r="D5727" t="inlineStr">
        <is>
          <t>KALMAR LÄN</t>
        </is>
      </c>
      <c r="E5727" t="inlineStr">
        <is>
          <t>KALMAR</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10388-2023</t>
        </is>
      </c>
      <c r="B5728" s="1" t="n">
        <v>44981</v>
      </c>
      <c r="C5728" s="1" t="n">
        <v>45884</v>
      </c>
      <c r="D5728" t="inlineStr">
        <is>
          <t>KALMAR LÄN</t>
        </is>
      </c>
      <c r="E5728" t="inlineStr">
        <is>
          <t>MÖNSTERÅS</t>
        </is>
      </c>
      <c r="G5728" t="n">
        <v>1.5</v>
      </c>
      <c r="H5728" t="n">
        <v>0</v>
      </c>
      <c r="I5728" t="n">
        <v>0</v>
      </c>
      <c r="J5728" t="n">
        <v>0</v>
      </c>
      <c r="K5728" t="n">
        <v>0</v>
      </c>
      <c r="L5728" t="n">
        <v>0</v>
      </c>
      <c r="M5728" t="n">
        <v>0</v>
      </c>
      <c r="N5728" t="n">
        <v>0</v>
      </c>
      <c r="O5728" t="n">
        <v>0</v>
      </c>
      <c r="P5728" t="n">
        <v>0</v>
      </c>
      <c r="Q5728" t="n">
        <v>0</v>
      </c>
      <c r="R5728" s="2" t="inlineStr"/>
    </row>
    <row r="5729" ht="15" customHeight="1">
      <c r="A5729" t="inlineStr">
        <is>
          <t>A 10404-2023</t>
        </is>
      </c>
      <c r="B5729" s="1" t="n">
        <v>44987.48240740741</v>
      </c>
      <c r="C5729" s="1" t="n">
        <v>45884</v>
      </c>
      <c r="D5729" t="inlineStr">
        <is>
          <t>KALMAR LÄN</t>
        </is>
      </c>
      <c r="E5729" t="inlineStr">
        <is>
          <t>OSKARSHAMN</t>
        </is>
      </c>
      <c r="G5729" t="n">
        <v>1.8</v>
      </c>
      <c r="H5729" t="n">
        <v>0</v>
      </c>
      <c r="I5729" t="n">
        <v>0</v>
      </c>
      <c r="J5729" t="n">
        <v>0</v>
      </c>
      <c r="K5729" t="n">
        <v>0</v>
      </c>
      <c r="L5729" t="n">
        <v>0</v>
      </c>
      <c r="M5729" t="n">
        <v>0</v>
      </c>
      <c r="N5729" t="n">
        <v>0</v>
      </c>
      <c r="O5729" t="n">
        <v>0</v>
      </c>
      <c r="P5729" t="n">
        <v>0</v>
      </c>
      <c r="Q5729" t="n">
        <v>0</v>
      </c>
      <c r="R5729" s="2" t="inlineStr"/>
    </row>
    <row r="5730" ht="15" customHeight="1">
      <c r="A5730" t="inlineStr">
        <is>
          <t>A 26442-2024</t>
        </is>
      </c>
      <c r="B5730" s="1" t="n">
        <v>45469.49331018519</v>
      </c>
      <c r="C5730" s="1" t="n">
        <v>45884</v>
      </c>
      <c r="D5730" t="inlineStr">
        <is>
          <t>KALMAR LÄN</t>
        </is>
      </c>
      <c r="E5730" t="inlineStr">
        <is>
          <t>NYBRO</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17155-2025</t>
        </is>
      </c>
      <c r="B5731" s="1" t="n">
        <v>45756.33833333333</v>
      </c>
      <c r="C5731" s="1" t="n">
        <v>45884</v>
      </c>
      <c r="D5731" t="inlineStr">
        <is>
          <t>KALMAR LÄN</t>
        </is>
      </c>
      <c r="E5731" t="inlineStr">
        <is>
          <t>KALMAR</t>
        </is>
      </c>
      <c r="G5731" t="n">
        <v>5.2</v>
      </c>
      <c r="H5731" t="n">
        <v>0</v>
      </c>
      <c r="I5731" t="n">
        <v>0</v>
      </c>
      <c r="J5731" t="n">
        <v>0</v>
      </c>
      <c r="K5731" t="n">
        <v>0</v>
      </c>
      <c r="L5731" t="n">
        <v>0</v>
      </c>
      <c r="M5731" t="n">
        <v>0</v>
      </c>
      <c r="N5731" t="n">
        <v>0</v>
      </c>
      <c r="O5731" t="n">
        <v>0</v>
      </c>
      <c r="P5731" t="n">
        <v>0</v>
      </c>
      <c r="Q5731" t="n">
        <v>0</v>
      </c>
      <c r="R5731" s="2" t="inlineStr"/>
    </row>
    <row r="5732" ht="15" customHeight="1">
      <c r="A5732" t="inlineStr">
        <is>
          <t>A 63047-2023</t>
        </is>
      </c>
      <c r="B5732" s="1" t="n">
        <v>45272</v>
      </c>
      <c r="C5732" s="1" t="n">
        <v>45884</v>
      </c>
      <c r="D5732" t="inlineStr">
        <is>
          <t>KALMAR LÄN</t>
        </is>
      </c>
      <c r="E5732" t="inlineStr">
        <is>
          <t>MÖNSTERÅS</t>
        </is>
      </c>
      <c r="G5732" t="n">
        <v>3.6</v>
      </c>
      <c r="H5732" t="n">
        <v>0</v>
      </c>
      <c r="I5732" t="n">
        <v>0</v>
      </c>
      <c r="J5732" t="n">
        <v>0</v>
      </c>
      <c r="K5732" t="n">
        <v>0</v>
      </c>
      <c r="L5732" t="n">
        <v>0</v>
      </c>
      <c r="M5732" t="n">
        <v>0</v>
      </c>
      <c r="N5732" t="n">
        <v>0</v>
      </c>
      <c r="O5732" t="n">
        <v>0</v>
      </c>
      <c r="P5732" t="n">
        <v>0</v>
      </c>
      <c r="Q5732" t="n">
        <v>0</v>
      </c>
      <c r="R5732" s="2" t="inlineStr"/>
    </row>
    <row r="5733" ht="15" customHeight="1">
      <c r="A5733" t="inlineStr">
        <is>
          <t>A 6756-2021</t>
        </is>
      </c>
      <c r="B5733" s="1" t="n">
        <v>44236</v>
      </c>
      <c r="C5733" s="1" t="n">
        <v>45884</v>
      </c>
      <c r="D5733" t="inlineStr">
        <is>
          <t>KALMAR LÄN</t>
        </is>
      </c>
      <c r="E5733" t="inlineStr">
        <is>
          <t>KALMAR</t>
        </is>
      </c>
      <c r="G5733" t="n">
        <v>3.1</v>
      </c>
      <c r="H5733" t="n">
        <v>0</v>
      </c>
      <c r="I5733" t="n">
        <v>0</v>
      </c>
      <c r="J5733" t="n">
        <v>0</v>
      </c>
      <c r="K5733" t="n">
        <v>0</v>
      </c>
      <c r="L5733" t="n">
        <v>0</v>
      </c>
      <c r="M5733" t="n">
        <v>0</v>
      </c>
      <c r="N5733" t="n">
        <v>0</v>
      </c>
      <c r="O5733" t="n">
        <v>0</v>
      </c>
      <c r="P5733" t="n">
        <v>0</v>
      </c>
      <c r="Q5733" t="n">
        <v>0</v>
      </c>
      <c r="R5733" s="2" t="inlineStr"/>
    </row>
    <row r="5734" ht="15" customHeight="1">
      <c r="A5734" t="inlineStr">
        <is>
          <t>A 21937-2025</t>
        </is>
      </c>
      <c r="B5734" s="1" t="n">
        <v>45784</v>
      </c>
      <c r="C5734" s="1" t="n">
        <v>45884</v>
      </c>
      <c r="D5734" t="inlineStr">
        <is>
          <t>KALMAR LÄN</t>
        </is>
      </c>
      <c r="E5734" t="inlineStr">
        <is>
          <t>OSKARSHAMN</t>
        </is>
      </c>
      <c r="G5734" t="n">
        <v>2.7</v>
      </c>
      <c r="H5734" t="n">
        <v>0</v>
      </c>
      <c r="I5734" t="n">
        <v>0</v>
      </c>
      <c r="J5734" t="n">
        <v>0</v>
      </c>
      <c r="K5734" t="n">
        <v>0</v>
      </c>
      <c r="L5734" t="n">
        <v>0</v>
      </c>
      <c r="M5734" t="n">
        <v>0</v>
      </c>
      <c r="N5734" t="n">
        <v>0</v>
      </c>
      <c r="O5734" t="n">
        <v>0</v>
      </c>
      <c r="P5734" t="n">
        <v>0</v>
      </c>
      <c r="Q5734" t="n">
        <v>0</v>
      </c>
      <c r="R5734" s="2" t="inlineStr"/>
    </row>
    <row r="5735" ht="15" customHeight="1">
      <c r="A5735" t="inlineStr">
        <is>
          <t>A 21941-2025</t>
        </is>
      </c>
      <c r="B5735" s="1" t="n">
        <v>45784</v>
      </c>
      <c r="C5735" s="1" t="n">
        <v>45884</v>
      </c>
      <c r="D5735" t="inlineStr">
        <is>
          <t>KALMAR LÄN</t>
        </is>
      </c>
      <c r="E5735" t="inlineStr">
        <is>
          <t>OSKARSHAMN</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21991-2025</t>
        </is>
      </c>
      <c r="B5736" s="1" t="n">
        <v>45784.6615625</v>
      </c>
      <c r="C5736" s="1" t="n">
        <v>45884</v>
      </c>
      <c r="D5736" t="inlineStr">
        <is>
          <t>KALMAR LÄN</t>
        </is>
      </c>
      <c r="E5736" t="inlineStr">
        <is>
          <t>VÄSTERVIK</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39169-2024</t>
        </is>
      </c>
      <c r="B5737" s="1" t="n">
        <v>45548</v>
      </c>
      <c r="C5737" s="1" t="n">
        <v>45884</v>
      </c>
      <c r="D5737" t="inlineStr">
        <is>
          <t>KALMAR LÄN</t>
        </is>
      </c>
      <c r="E5737" t="inlineStr">
        <is>
          <t>EMMABODA</t>
        </is>
      </c>
      <c r="G5737" t="n">
        <v>2.1</v>
      </c>
      <c r="H5737" t="n">
        <v>0</v>
      </c>
      <c r="I5737" t="n">
        <v>0</v>
      </c>
      <c r="J5737" t="n">
        <v>0</v>
      </c>
      <c r="K5737" t="n">
        <v>0</v>
      </c>
      <c r="L5737" t="n">
        <v>0</v>
      </c>
      <c r="M5737" t="n">
        <v>0</v>
      </c>
      <c r="N5737" t="n">
        <v>0</v>
      </c>
      <c r="O5737" t="n">
        <v>0</v>
      </c>
      <c r="P5737" t="n">
        <v>0</v>
      </c>
      <c r="Q5737" t="n">
        <v>0</v>
      </c>
      <c r="R5737" s="2" t="inlineStr"/>
    </row>
    <row r="5738" ht="15" customHeight="1">
      <c r="A5738" t="inlineStr">
        <is>
          <t>A 17527-2024</t>
        </is>
      </c>
      <c r="B5738" s="1" t="n">
        <v>45415.60552083333</v>
      </c>
      <c r="C5738" s="1" t="n">
        <v>45884</v>
      </c>
      <c r="D5738" t="inlineStr">
        <is>
          <t>KALMAR LÄN</t>
        </is>
      </c>
      <c r="E5738" t="inlineStr">
        <is>
          <t>EMMABODA</t>
        </is>
      </c>
      <c r="G5738" t="n">
        <v>2.2</v>
      </c>
      <c r="H5738" t="n">
        <v>0</v>
      </c>
      <c r="I5738" t="n">
        <v>0</v>
      </c>
      <c r="J5738" t="n">
        <v>0</v>
      </c>
      <c r="K5738" t="n">
        <v>0</v>
      </c>
      <c r="L5738" t="n">
        <v>0</v>
      </c>
      <c r="M5738" t="n">
        <v>0</v>
      </c>
      <c r="N5738" t="n">
        <v>0</v>
      </c>
      <c r="O5738" t="n">
        <v>0</v>
      </c>
      <c r="P5738" t="n">
        <v>0</v>
      </c>
      <c r="Q5738" t="n">
        <v>0</v>
      </c>
      <c r="R5738" s="2" t="inlineStr"/>
    </row>
    <row r="5739" ht="15" customHeight="1">
      <c r="A5739" t="inlineStr">
        <is>
          <t>A 53649-2023</t>
        </is>
      </c>
      <c r="B5739" s="1" t="n">
        <v>45230.60619212963</v>
      </c>
      <c r="C5739" s="1" t="n">
        <v>45884</v>
      </c>
      <c r="D5739" t="inlineStr">
        <is>
          <t>KALMAR LÄN</t>
        </is>
      </c>
      <c r="E5739" t="inlineStr">
        <is>
          <t>NYBRO</t>
        </is>
      </c>
      <c r="G5739" t="n">
        <v>2.5</v>
      </c>
      <c r="H5739" t="n">
        <v>0</v>
      </c>
      <c r="I5739" t="n">
        <v>0</v>
      </c>
      <c r="J5739" t="n">
        <v>0</v>
      </c>
      <c r="K5739" t="n">
        <v>0</v>
      </c>
      <c r="L5739" t="n">
        <v>0</v>
      </c>
      <c r="M5739" t="n">
        <v>0</v>
      </c>
      <c r="N5739" t="n">
        <v>0</v>
      </c>
      <c r="O5739" t="n">
        <v>0</v>
      </c>
      <c r="P5739" t="n">
        <v>0</v>
      </c>
      <c r="Q5739" t="n">
        <v>0</v>
      </c>
      <c r="R5739" s="2" t="inlineStr"/>
    </row>
    <row r="5740" ht="15" customHeight="1">
      <c r="A5740" t="inlineStr">
        <is>
          <t>A 59413-2024</t>
        </is>
      </c>
      <c r="B5740" s="1" t="n">
        <v>45638</v>
      </c>
      <c r="C5740" s="1" t="n">
        <v>45884</v>
      </c>
      <c r="D5740" t="inlineStr">
        <is>
          <t>KALMAR LÄN</t>
        </is>
      </c>
      <c r="E5740" t="inlineStr">
        <is>
          <t>EMMABODA</t>
        </is>
      </c>
      <c r="G5740" t="n">
        <v>3</v>
      </c>
      <c r="H5740" t="n">
        <v>0</v>
      </c>
      <c r="I5740" t="n">
        <v>0</v>
      </c>
      <c r="J5740" t="n">
        <v>0</v>
      </c>
      <c r="K5740" t="n">
        <v>0</v>
      </c>
      <c r="L5740" t="n">
        <v>0</v>
      </c>
      <c r="M5740" t="n">
        <v>0</v>
      </c>
      <c r="N5740" t="n">
        <v>0</v>
      </c>
      <c r="O5740" t="n">
        <v>0</v>
      </c>
      <c r="P5740" t="n">
        <v>0</v>
      </c>
      <c r="Q5740" t="n">
        <v>0</v>
      </c>
      <c r="R5740" s="2" t="inlineStr"/>
    </row>
    <row r="5741" ht="15" customHeight="1">
      <c r="A5741" t="inlineStr">
        <is>
          <t>A 50977-2022</t>
        </is>
      </c>
      <c r="B5741" s="1" t="n">
        <v>44867.83456018518</v>
      </c>
      <c r="C5741" s="1" t="n">
        <v>45884</v>
      </c>
      <c r="D5741" t="inlineStr">
        <is>
          <t>KALMAR LÄN</t>
        </is>
      </c>
      <c r="E5741" t="inlineStr">
        <is>
          <t>NYBRO</t>
        </is>
      </c>
      <c r="G5741" t="n">
        <v>15.2</v>
      </c>
      <c r="H5741" t="n">
        <v>0</v>
      </c>
      <c r="I5741" t="n">
        <v>0</v>
      </c>
      <c r="J5741" t="n">
        <v>0</v>
      </c>
      <c r="K5741" t="n">
        <v>0</v>
      </c>
      <c r="L5741" t="n">
        <v>0</v>
      </c>
      <c r="M5741" t="n">
        <v>0</v>
      </c>
      <c r="N5741" t="n">
        <v>0</v>
      </c>
      <c r="O5741" t="n">
        <v>0</v>
      </c>
      <c r="P5741" t="n">
        <v>0</v>
      </c>
      <c r="Q5741" t="n">
        <v>0</v>
      </c>
      <c r="R5741" s="2" t="inlineStr"/>
    </row>
    <row r="5742" ht="15" customHeight="1">
      <c r="A5742" t="inlineStr">
        <is>
          <t>A 28037-2024</t>
        </is>
      </c>
      <c r="B5742" s="1" t="n">
        <v>45476</v>
      </c>
      <c r="C5742" s="1" t="n">
        <v>45884</v>
      </c>
      <c r="D5742" t="inlineStr">
        <is>
          <t>KALMAR LÄN</t>
        </is>
      </c>
      <c r="E5742" t="inlineStr">
        <is>
          <t>VÄSTERVIK</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61105-2024</t>
        </is>
      </c>
      <c r="B5743" s="1" t="n">
        <v>45645.55591435185</v>
      </c>
      <c r="C5743" s="1" t="n">
        <v>45884</v>
      </c>
      <c r="D5743" t="inlineStr">
        <is>
          <t>KALMAR LÄN</t>
        </is>
      </c>
      <c r="E5743" t="inlineStr">
        <is>
          <t>TORSÅS</t>
        </is>
      </c>
      <c r="G5743" t="n">
        <v>2.2</v>
      </c>
      <c r="H5743" t="n">
        <v>0</v>
      </c>
      <c r="I5743" t="n">
        <v>0</v>
      </c>
      <c r="J5743" t="n">
        <v>0</v>
      </c>
      <c r="K5743" t="n">
        <v>0</v>
      </c>
      <c r="L5743" t="n">
        <v>0</v>
      </c>
      <c r="M5743" t="n">
        <v>0</v>
      </c>
      <c r="N5743" t="n">
        <v>0</v>
      </c>
      <c r="O5743" t="n">
        <v>0</v>
      </c>
      <c r="P5743" t="n">
        <v>0</v>
      </c>
      <c r="Q5743" t="n">
        <v>0</v>
      </c>
      <c r="R5743" s="2" t="inlineStr"/>
    </row>
    <row r="5744" ht="15" customHeight="1">
      <c r="A5744" t="inlineStr">
        <is>
          <t>A 19117-2025</t>
        </is>
      </c>
      <c r="B5744" s="1" t="n">
        <v>45768.76059027778</v>
      </c>
      <c r="C5744" s="1" t="n">
        <v>45884</v>
      </c>
      <c r="D5744" t="inlineStr">
        <is>
          <t>KALMAR LÄN</t>
        </is>
      </c>
      <c r="E5744" t="inlineStr">
        <is>
          <t>KALMAR</t>
        </is>
      </c>
      <c r="G5744" t="n">
        <v>2.9</v>
      </c>
      <c r="H5744" t="n">
        <v>0</v>
      </c>
      <c r="I5744" t="n">
        <v>0</v>
      </c>
      <c r="J5744" t="n">
        <v>0</v>
      </c>
      <c r="K5744" t="n">
        <v>0</v>
      </c>
      <c r="L5744" t="n">
        <v>0</v>
      </c>
      <c r="M5744" t="n">
        <v>0</v>
      </c>
      <c r="N5744" t="n">
        <v>0</v>
      </c>
      <c r="O5744" t="n">
        <v>0</v>
      </c>
      <c r="P5744" t="n">
        <v>0</v>
      </c>
      <c r="Q5744" t="n">
        <v>0</v>
      </c>
      <c r="R5744" s="2" t="inlineStr"/>
    </row>
    <row r="5745" ht="15" customHeight="1">
      <c r="A5745" t="inlineStr">
        <is>
          <t>A 61749-2024</t>
        </is>
      </c>
      <c r="B5745" s="1" t="n">
        <v>45649.39033564815</v>
      </c>
      <c r="C5745" s="1" t="n">
        <v>45884</v>
      </c>
      <c r="D5745" t="inlineStr">
        <is>
          <t>KALMAR LÄN</t>
        </is>
      </c>
      <c r="E5745" t="inlineStr">
        <is>
          <t>MÖNSTERÅS</t>
        </is>
      </c>
      <c r="F5745" t="inlineStr">
        <is>
          <t>Övriga Aktiebolag</t>
        </is>
      </c>
      <c r="G5745" t="n">
        <v>2.7</v>
      </c>
      <c r="H5745" t="n">
        <v>0</v>
      </c>
      <c r="I5745" t="n">
        <v>0</v>
      </c>
      <c r="J5745" t="n">
        <v>0</v>
      </c>
      <c r="K5745" t="n">
        <v>0</v>
      </c>
      <c r="L5745" t="n">
        <v>0</v>
      </c>
      <c r="M5745" t="n">
        <v>0</v>
      </c>
      <c r="N5745" t="n">
        <v>0</v>
      </c>
      <c r="O5745" t="n">
        <v>0</v>
      </c>
      <c r="P5745" t="n">
        <v>0</v>
      </c>
      <c r="Q5745" t="n">
        <v>0</v>
      </c>
      <c r="R5745" s="2" t="inlineStr"/>
    </row>
    <row r="5746" ht="15" customHeight="1">
      <c r="A5746" t="inlineStr">
        <is>
          <t>A 43583-2023</t>
        </is>
      </c>
      <c r="B5746" s="1" t="n">
        <v>45184</v>
      </c>
      <c r="C5746" s="1" t="n">
        <v>45884</v>
      </c>
      <c r="D5746" t="inlineStr">
        <is>
          <t>KALMAR LÄN</t>
        </is>
      </c>
      <c r="E5746" t="inlineStr">
        <is>
          <t>MÖNSTERÅS</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17123-2023</t>
        </is>
      </c>
      <c r="B5747" s="1" t="n">
        <v>45034</v>
      </c>
      <c r="C5747" s="1" t="n">
        <v>45884</v>
      </c>
      <c r="D5747" t="inlineStr">
        <is>
          <t>KALMAR LÄN</t>
        </is>
      </c>
      <c r="E5747" t="inlineStr">
        <is>
          <t>MÖNSTERÅS</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36607-2024</t>
        </is>
      </c>
      <c r="B5748" s="1" t="n">
        <v>45537.57107638889</v>
      </c>
      <c r="C5748" s="1" t="n">
        <v>45884</v>
      </c>
      <c r="D5748" t="inlineStr">
        <is>
          <t>KALMAR LÄN</t>
        </is>
      </c>
      <c r="E5748" t="inlineStr">
        <is>
          <t>MÖNSTERÅS</t>
        </is>
      </c>
      <c r="G5748" t="n">
        <v>5.8</v>
      </c>
      <c r="H5748" t="n">
        <v>0</v>
      </c>
      <c r="I5748" t="n">
        <v>0</v>
      </c>
      <c r="J5748" t="n">
        <v>0</v>
      </c>
      <c r="K5748" t="n">
        <v>0</v>
      </c>
      <c r="L5748" t="n">
        <v>0</v>
      </c>
      <c r="M5748" t="n">
        <v>0</v>
      </c>
      <c r="N5748" t="n">
        <v>0</v>
      </c>
      <c r="O5748" t="n">
        <v>0</v>
      </c>
      <c r="P5748" t="n">
        <v>0</v>
      </c>
      <c r="Q5748" t="n">
        <v>0</v>
      </c>
      <c r="R5748" s="2" t="inlineStr"/>
    </row>
    <row r="5749" ht="15" customHeight="1">
      <c r="A5749" t="inlineStr">
        <is>
          <t>A 49909-2022</t>
        </is>
      </c>
      <c r="B5749" s="1" t="n">
        <v>44865</v>
      </c>
      <c r="C5749" s="1" t="n">
        <v>45884</v>
      </c>
      <c r="D5749" t="inlineStr">
        <is>
          <t>KALMAR LÄN</t>
        </is>
      </c>
      <c r="E5749" t="inlineStr">
        <is>
          <t>OSKARSHAMN</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2671-2024</t>
        </is>
      </c>
      <c r="B5750" s="1" t="n">
        <v>45314</v>
      </c>
      <c r="C5750" s="1" t="n">
        <v>45884</v>
      </c>
      <c r="D5750" t="inlineStr">
        <is>
          <t>KALMAR LÄN</t>
        </is>
      </c>
      <c r="E5750" t="inlineStr">
        <is>
          <t>MÖNSTERÅS</t>
        </is>
      </c>
      <c r="G5750" t="n">
        <v>4.9</v>
      </c>
      <c r="H5750" t="n">
        <v>0</v>
      </c>
      <c r="I5750" t="n">
        <v>0</v>
      </c>
      <c r="J5750" t="n">
        <v>0</v>
      </c>
      <c r="K5750" t="n">
        <v>0</v>
      </c>
      <c r="L5750" t="n">
        <v>0</v>
      </c>
      <c r="M5750" t="n">
        <v>0</v>
      </c>
      <c r="N5750" t="n">
        <v>0</v>
      </c>
      <c r="O5750" t="n">
        <v>0</v>
      </c>
      <c r="P5750" t="n">
        <v>0</v>
      </c>
      <c r="Q5750" t="n">
        <v>0</v>
      </c>
      <c r="R5750" s="2" t="inlineStr"/>
    </row>
    <row r="5751" ht="15" customHeight="1">
      <c r="A5751" t="inlineStr">
        <is>
          <t>A 459-2025</t>
        </is>
      </c>
      <c r="B5751" s="1" t="n">
        <v>45664.40896990741</v>
      </c>
      <c r="C5751" s="1" t="n">
        <v>45884</v>
      </c>
      <c r="D5751" t="inlineStr">
        <is>
          <t>KALMAR LÄN</t>
        </is>
      </c>
      <c r="E5751" t="inlineStr">
        <is>
          <t>KALMAR</t>
        </is>
      </c>
      <c r="G5751" t="n">
        <v>1.5</v>
      </c>
      <c r="H5751" t="n">
        <v>0</v>
      </c>
      <c r="I5751" t="n">
        <v>0</v>
      </c>
      <c r="J5751" t="n">
        <v>0</v>
      </c>
      <c r="K5751" t="n">
        <v>0</v>
      </c>
      <c r="L5751" t="n">
        <v>0</v>
      </c>
      <c r="M5751" t="n">
        <v>0</v>
      </c>
      <c r="N5751" t="n">
        <v>0</v>
      </c>
      <c r="O5751" t="n">
        <v>0</v>
      </c>
      <c r="P5751" t="n">
        <v>0</v>
      </c>
      <c r="Q5751" t="n">
        <v>0</v>
      </c>
      <c r="R5751" s="2" t="inlineStr"/>
    </row>
    <row r="5752" ht="15" customHeight="1">
      <c r="A5752" t="inlineStr">
        <is>
          <t>A 54085-2024</t>
        </is>
      </c>
      <c r="B5752" s="1" t="n">
        <v>45615</v>
      </c>
      <c r="C5752" s="1" t="n">
        <v>45884</v>
      </c>
      <c r="D5752" t="inlineStr">
        <is>
          <t>KALMAR LÄN</t>
        </is>
      </c>
      <c r="E5752" t="inlineStr">
        <is>
          <t>EMMABODA</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38123-2023</t>
        </is>
      </c>
      <c r="B5753" s="1" t="n">
        <v>45161</v>
      </c>
      <c r="C5753" s="1" t="n">
        <v>45884</v>
      </c>
      <c r="D5753" t="inlineStr">
        <is>
          <t>KALMAR LÄN</t>
        </is>
      </c>
      <c r="E5753" t="inlineStr">
        <is>
          <t>EMMABODA</t>
        </is>
      </c>
      <c r="F5753" t="inlineStr">
        <is>
          <t>Kommuner</t>
        </is>
      </c>
      <c r="G5753" t="n">
        <v>2.6</v>
      </c>
      <c r="H5753" t="n">
        <v>0</v>
      </c>
      <c r="I5753" t="n">
        <v>0</v>
      </c>
      <c r="J5753" t="n">
        <v>0</v>
      </c>
      <c r="K5753" t="n">
        <v>0</v>
      </c>
      <c r="L5753" t="n">
        <v>0</v>
      </c>
      <c r="M5753" t="n">
        <v>0</v>
      </c>
      <c r="N5753" t="n">
        <v>0</v>
      </c>
      <c r="O5753" t="n">
        <v>0</v>
      </c>
      <c r="P5753" t="n">
        <v>0</v>
      </c>
      <c r="Q5753" t="n">
        <v>0</v>
      </c>
      <c r="R5753" s="2" t="inlineStr"/>
    </row>
    <row r="5754" ht="15" customHeight="1">
      <c r="A5754" t="inlineStr">
        <is>
          <t>A 42463-2022</t>
        </is>
      </c>
      <c r="B5754" s="1" t="n">
        <v>44831</v>
      </c>
      <c r="C5754" s="1" t="n">
        <v>45884</v>
      </c>
      <c r="D5754" t="inlineStr">
        <is>
          <t>KALMAR LÄN</t>
        </is>
      </c>
      <c r="E5754" t="inlineStr">
        <is>
          <t>KALMAR</t>
        </is>
      </c>
      <c r="F5754" t="inlineStr">
        <is>
          <t>Sveaskog</t>
        </is>
      </c>
      <c r="G5754" t="n">
        <v>3.1</v>
      </c>
      <c r="H5754" t="n">
        <v>0</v>
      </c>
      <c r="I5754" t="n">
        <v>0</v>
      </c>
      <c r="J5754" t="n">
        <v>0</v>
      </c>
      <c r="K5754" t="n">
        <v>0</v>
      </c>
      <c r="L5754" t="n">
        <v>0</v>
      </c>
      <c r="M5754" t="n">
        <v>0</v>
      </c>
      <c r="N5754" t="n">
        <v>0</v>
      </c>
      <c r="O5754" t="n">
        <v>0</v>
      </c>
      <c r="P5754" t="n">
        <v>0</v>
      </c>
      <c r="Q5754" t="n">
        <v>0</v>
      </c>
      <c r="R5754" s="2" t="inlineStr"/>
    </row>
    <row r="5755" ht="15" customHeight="1">
      <c r="A5755" t="inlineStr">
        <is>
          <t>A 52265-2024</t>
        </is>
      </c>
      <c r="B5755" s="1" t="n">
        <v>45608.65482638889</v>
      </c>
      <c r="C5755" s="1" t="n">
        <v>45884</v>
      </c>
      <c r="D5755" t="inlineStr">
        <is>
          <t>KALMAR LÄN</t>
        </is>
      </c>
      <c r="E5755" t="inlineStr">
        <is>
          <t>OSKARSHAMN</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61448-2023</t>
        </is>
      </c>
      <c r="B5756" s="1" t="n">
        <v>45264.81439814815</v>
      </c>
      <c r="C5756" s="1" t="n">
        <v>45884</v>
      </c>
      <c r="D5756" t="inlineStr">
        <is>
          <t>KALMAR LÄN</t>
        </is>
      </c>
      <c r="E5756" t="inlineStr">
        <is>
          <t>VÄSTERVIK</t>
        </is>
      </c>
      <c r="F5756" t="inlineStr">
        <is>
          <t>Sveaskog</t>
        </is>
      </c>
      <c r="G5756" t="n">
        <v>1.9</v>
      </c>
      <c r="H5756" t="n">
        <v>0</v>
      </c>
      <c r="I5756" t="n">
        <v>0</v>
      </c>
      <c r="J5756" t="n">
        <v>0</v>
      </c>
      <c r="K5756" t="n">
        <v>0</v>
      </c>
      <c r="L5756" t="n">
        <v>0</v>
      </c>
      <c r="M5756" t="n">
        <v>0</v>
      </c>
      <c r="N5756" t="n">
        <v>0</v>
      </c>
      <c r="O5756" t="n">
        <v>0</v>
      </c>
      <c r="P5756" t="n">
        <v>0</v>
      </c>
      <c r="Q5756" t="n">
        <v>0</v>
      </c>
      <c r="R5756" s="2" t="inlineStr"/>
    </row>
    <row r="5757" ht="15" customHeight="1">
      <c r="A5757" t="inlineStr">
        <is>
          <t>A 61449-2023</t>
        </is>
      </c>
      <c r="B5757" s="1" t="n">
        <v>45264.81490740741</v>
      </c>
      <c r="C5757" s="1" t="n">
        <v>45884</v>
      </c>
      <c r="D5757" t="inlineStr">
        <is>
          <t>KALMAR LÄN</t>
        </is>
      </c>
      <c r="E5757" t="inlineStr">
        <is>
          <t>VÄSTERVIK</t>
        </is>
      </c>
      <c r="F5757" t="inlineStr">
        <is>
          <t>Sveaskog</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34828-2024</t>
        </is>
      </c>
      <c r="B5758" s="1" t="n">
        <v>45526.77546296296</v>
      </c>
      <c r="C5758" s="1" t="n">
        <v>45884</v>
      </c>
      <c r="D5758" t="inlineStr">
        <is>
          <t>KALMAR LÄN</t>
        </is>
      </c>
      <c r="E5758" t="inlineStr">
        <is>
          <t>OSKARSHAMN</t>
        </is>
      </c>
      <c r="F5758" t="inlineStr">
        <is>
          <t>Sveaskog</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45555-2023</t>
        </is>
      </c>
      <c r="B5759" s="1" t="n">
        <v>45194.58229166667</v>
      </c>
      <c r="C5759" s="1" t="n">
        <v>45884</v>
      </c>
      <c r="D5759" t="inlineStr">
        <is>
          <t>KALMAR LÄN</t>
        </is>
      </c>
      <c r="E5759" t="inlineStr">
        <is>
          <t>TORSÅS</t>
        </is>
      </c>
      <c r="F5759" t="inlineStr">
        <is>
          <t>Kommuner</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13040-2024</t>
        </is>
      </c>
      <c r="B5760" s="1" t="n">
        <v>45385</v>
      </c>
      <c r="C5760" s="1" t="n">
        <v>45884</v>
      </c>
      <c r="D5760" t="inlineStr">
        <is>
          <t>KALMAR LÄN</t>
        </is>
      </c>
      <c r="E5760" t="inlineStr">
        <is>
          <t>MÖRBYLÅNGA</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51959-2024</t>
        </is>
      </c>
      <c r="B5761" s="1" t="n">
        <v>45607.64543981481</v>
      </c>
      <c r="C5761" s="1" t="n">
        <v>45884</v>
      </c>
      <c r="D5761" t="inlineStr">
        <is>
          <t>KALMAR LÄN</t>
        </is>
      </c>
      <c r="E5761" t="inlineStr">
        <is>
          <t>KALMAR</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51496-2024</t>
        </is>
      </c>
      <c r="B5762" s="1" t="n">
        <v>45604.54060185186</v>
      </c>
      <c r="C5762" s="1" t="n">
        <v>45884</v>
      </c>
      <c r="D5762" t="inlineStr">
        <is>
          <t>KALMAR LÄN</t>
        </is>
      </c>
      <c r="E5762" t="inlineStr">
        <is>
          <t>VÄSTERVIK</t>
        </is>
      </c>
      <c r="F5762" t="inlineStr">
        <is>
          <t>Övriga Aktiebolag</t>
        </is>
      </c>
      <c r="G5762" t="n">
        <v>4.6</v>
      </c>
      <c r="H5762" t="n">
        <v>0</v>
      </c>
      <c r="I5762" t="n">
        <v>0</v>
      </c>
      <c r="J5762" t="n">
        <v>0</v>
      </c>
      <c r="K5762" t="n">
        <v>0</v>
      </c>
      <c r="L5762" t="n">
        <v>0</v>
      </c>
      <c r="M5762" t="n">
        <v>0</v>
      </c>
      <c r="N5762" t="n">
        <v>0</v>
      </c>
      <c r="O5762" t="n">
        <v>0</v>
      </c>
      <c r="P5762" t="n">
        <v>0</v>
      </c>
      <c r="Q5762" t="n">
        <v>0</v>
      </c>
      <c r="R5762" s="2" t="inlineStr"/>
    </row>
    <row r="5763" ht="15" customHeight="1">
      <c r="A5763" t="inlineStr">
        <is>
          <t>A 40464-2023</t>
        </is>
      </c>
      <c r="B5763" s="1" t="n">
        <v>45170.34314814815</v>
      </c>
      <c r="C5763" s="1" t="n">
        <v>45884</v>
      </c>
      <c r="D5763" t="inlineStr">
        <is>
          <t>KALMAR LÄN</t>
        </is>
      </c>
      <c r="E5763" t="inlineStr">
        <is>
          <t>HÖGSBY</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11858-2025</t>
        </is>
      </c>
      <c r="B5764" s="1" t="n">
        <v>45728.39811342592</v>
      </c>
      <c r="C5764" s="1" t="n">
        <v>45884</v>
      </c>
      <c r="D5764" t="inlineStr">
        <is>
          <t>KALMAR LÄN</t>
        </is>
      </c>
      <c r="E5764" t="inlineStr">
        <is>
          <t>OSKARSHAMN</t>
        </is>
      </c>
      <c r="G5764" t="n">
        <v>1.4</v>
      </c>
      <c r="H5764" t="n">
        <v>0</v>
      </c>
      <c r="I5764" t="n">
        <v>0</v>
      </c>
      <c r="J5764" t="n">
        <v>0</v>
      </c>
      <c r="K5764" t="n">
        <v>0</v>
      </c>
      <c r="L5764" t="n">
        <v>0</v>
      </c>
      <c r="M5764" t="n">
        <v>0</v>
      </c>
      <c r="N5764" t="n">
        <v>0</v>
      </c>
      <c r="O5764" t="n">
        <v>0</v>
      </c>
      <c r="P5764" t="n">
        <v>0</v>
      </c>
      <c r="Q5764" t="n">
        <v>0</v>
      </c>
      <c r="R5764" s="2" t="inlineStr"/>
    </row>
    <row r="5765" ht="15" customHeight="1">
      <c r="A5765" t="inlineStr">
        <is>
          <t>A 14366-2023</t>
        </is>
      </c>
      <c r="B5765" s="1" t="n">
        <v>45012.42983796296</v>
      </c>
      <c r="C5765" s="1" t="n">
        <v>45884</v>
      </c>
      <c r="D5765" t="inlineStr">
        <is>
          <t>KALMAR LÄN</t>
        </is>
      </c>
      <c r="E5765" t="inlineStr">
        <is>
          <t>TORSÅS</t>
        </is>
      </c>
      <c r="G5765" t="n">
        <v>7.3</v>
      </c>
      <c r="H5765" t="n">
        <v>0</v>
      </c>
      <c r="I5765" t="n">
        <v>0</v>
      </c>
      <c r="J5765" t="n">
        <v>0</v>
      </c>
      <c r="K5765" t="n">
        <v>0</v>
      </c>
      <c r="L5765" t="n">
        <v>0</v>
      </c>
      <c r="M5765" t="n">
        <v>0</v>
      </c>
      <c r="N5765" t="n">
        <v>0</v>
      </c>
      <c r="O5765" t="n">
        <v>0</v>
      </c>
      <c r="P5765" t="n">
        <v>0</v>
      </c>
      <c r="Q5765" t="n">
        <v>0</v>
      </c>
      <c r="R5765" s="2" t="inlineStr"/>
    </row>
    <row r="5766" ht="15" customHeight="1">
      <c r="A5766" t="inlineStr">
        <is>
          <t>A 30076-2024</t>
        </is>
      </c>
      <c r="B5766" s="1" t="n">
        <v>45489</v>
      </c>
      <c r="C5766" s="1" t="n">
        <v>45884</v>
      </c>
      <c r="D5766" t="inlineStr">
        <is>
          <t>KALMAR LÄN</t>
        </is>
      </c>
      <c r="E5766" t="inlineStr">
        <is>
          <t>NYBRO</t>
        </is>
      </c>
      <c r="G5766" t="n">
        <v>5.6</v>
      </c>
      <c r="H5766" t="n">
        <v>0</v>
      </c>
      <c r="I5766" t="n">
        <v>0</v>
      </c>
      <c r="J5766" t="n">
        <v>0</v>
      </c>
      <c r="K5766" t="n">
        <v>0</v>
      </c>
      <c r="L5766" t="n">
        <v>0</v>
      </c>
      <c r="M5766" t="n">
        <v>0</v>
      </c>
      <c r="N5766" t="n">
        <v>0</v>
      </c>
      <c r="O5766" t="n">
        <v>0</v>
      </c>
      <c r="P5766" t="n">
        <v>0</v>
      </c>
      <c r="Q5766" t="n">
        <v>0</v>
      </c>
      <c r="R5766" s="2" t="inlineStr"/>
    </row>
    <row r="5767" ht="15" customHeight="1">
      <c r="A5767" t="inlineStr">
        <is>
          <t>A 43425-2020</t>
        </is>
      </c>
      <c r="B5767" s="1" t="n">
        <v>44081</v>
      </c>
      <c r="C5767" s="1" t="n">
        <v>45884</v>
      </c>
      <c r="D5767" t="inlineStr">
        <is>
          <t>KALMAR LÄN</t>
        </is>
      </c>
      <c r="E5767" t="inlineStr">
        <is>
          <t>HÖGSBY</t>
        </is>
      </c>
      <c r="G5767" t="n">
        <v>2.1</v>
      </c>
      <c r="H5767" t="n">
        <v>0</v>
      </c>
      <c r="I5767" t="n">
        <v>0</v>
      </c>
      <c r="J5767" t="n">
        <v>0</v>
      </c>
      <c r="K5767" t="n">
        <v>0</v>
      </c>
      <c r="L5767" t="n">
        <v>0</v>
      </c>
      <c r="M5767" t="n">
        <v>0</v>
      </c>
      <c r="N5767" t="n">
        <v>0</v>
      </c>
      <c r="O5767" t="n">
        <v>0</v>
      </c>
      <c r="P5767" t="n">
        <v>0</v>
      </c>
      <c r="Q5767" t="n">
        <v>0</v>
      </c>
      <c r="R5767" s="2" t="inlineStr"/>
    </row>
    <row r="5768" ht="15" customHeight="1">
      <c r="A5768" t="inlineStr">
        <is>
          <t>A 34533-2024</t>
        </is>
      </c>
      <c r="B5768" s="1" t="n">
        <v>45525.70791666667</v>
      </c>
      <c r="C5768" s="1" t="n">
        <v>45884</v>
      </c>
      <c r="D5768" t="inlineStr">
        <is>
          <t>KALMAR LÄN</t>
        </is>
      </c>
      <c r="E5768" t="inlineStr">
        <is>
          <t>OSKARSHAMN</t>
        </is>
      </c>
      <c r="G5768" t="n">
        <v>1.8</v>
      </c>
      <c r="H5768" t="n">
        <v>0</v>
      </c>
      <c r="I5768" t="n">
        <v>0</v>
      </c>
      <c r="J5768" t="n">
        <v>0</v>
      </c>
      <c r="K5768" t="n">
        <v>0</v>
      </c>
      <c r="L5768" t="n">
        <v>0</v>
      </c>
      <c r="M5768" t="n">
        <v>0</v>
      </c>
      <c r="N5768" t="n">
        <v>0</v>
      </c>
      <c r="O5768" t="n">
        <v>0</v>
      </c>
      <c r="P5768" t="n">
        <v>0</v>
      </c>
      <c r="Q5768" t="n">
        <v>0</v>
      </c>
      <c r="R5768" s="2" t="inlineStr"/>
    </row>
    <row r="5769" ht="15" customHeight="1">
      <c r="A5769" t="inlineStr">
        <is>
          <t>A 22398-2025</t>
        </is>
      </c>
      <c r="B5769" s="1" t="n">
        <v>45786.52931712963</v>
      </c>
      <c r="C5769" s="1" t="n">
        <v>45884</v>
      </c>
      <c r="D5769" t="inlineStr">
        <is>
          <t>KALMAR LÄN</t>
        </is>
      </c>
      <c r="E5769" t="inlineStr">
        <is>
          <t>VIMMERBY</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22399-2025</t>
        </is>
      </c>
      <c r="B5770" s="1" t="n">
        <v>45786.52996527778</v>
      </c>
      <c r="C5770" s="1" t="n">
        <v>45884</v>
      </c>
      <c r="D5770" t="inlineStr">
        <is>
          <t>KALMAR LÄN</t>
        </is>
      </c>
      <c r="E5770" t="inlineStr">
        <is>
          <t>VIMMERBY</t>
        </is>
      </c>
      <c r="G5770" t="n">
        <v>2.1</v>
      </c>
      <c r="H5770" t="n">
        <v>0</v>
      </c>
      <c r="I5770" t="n">
        <v>0</v>
      </c>
      <c r="J5770" t="n">
        <v>0</v>
      </c>
      <c r="K5770" t="n">
        <v>0</v>
      </c>
      <c r="L5770" t="n">
        <v>0</v>
      </c>
      <c r="M5770" t="n">
        <v>0</v>
      </c>
      <c r="N5770" t="n">
        <v>0</v>
      </c>
      <c r="O5770" t="n">
        <v>0</v>
      </c>
      <c r="P5770" t="n">
        <v>0</v>
      </c>
      <c r="Q5770" t="n">
        <v>0</v>
      </c>
      <c r="R5770" s="2" t="inlineStr"/>
    </row>
    <row r="5771" ht="15" customHeight="1">
      <c r="A5771" t="inlineStr">
        <is>
          <t>A 42279-2023</t>
        </is>
      </c>
      <c r="B5771" s="1" t="n">
        <v>45180</v>
      </c>
      <c r="C5771" s="1" t="n">
        <v>45884</v>
      </c>
      <c r="D5771" t="inlineStr">
        <is>
          <t>KALMAR LÄN</t>
        </is>
      </c>
      <c r="E5771" t="inlineStr">
        <is>
          <t>EMMABODA</t>
        </is>
      </c>
      <c r="G5771" t="n">
        <v>4.4</v>
      </c>
      <c r="H5771" t="n">
        <v>0</v>
      </c>
      <c r="I5771" t="n">
        <v>0</v>
      </c>
      <c r="J5771" t="n">
        <v>0</v>
      </c>
      <c r="K5771" t="n">
        <v>0</v>
      </c>
      <c r="L5771" t="n">
        <v>0</v>
      </c>
      <c r="M5771" t="n">
        <v>0</v>
      </c>
      <c r="N5771" t="n">
        <v>0</v>
      </c>
      <c r="O5771" t="n">
        <v>0</v>
      </c>
      <c r="P5771" t="n">
        <v>0</v>
      </c>
      <c r="Q5771" t="n">
        <v>0</v>
      </c>
      <c r="R5771" s="2" t="inlineStr"/>
    </row>
    <row r="5772" ht="15" customHeight="1">
      <c r="A5772" t="inlineStr">
        <is>
          <t>A 3268-2024</t>
        </is>
      </c>
      <c r="B5772" s="1" t="n">
        <v>45317</v>
      </c>
      <c r="C5772" s="1" t="n">
        <v>45884</v>
      </c>
      <c r="D5772" t="inlineStr">
        <is>
          <t>KALMAR LÄN</t>
        </is>
      </c>
      <c r="E5772" t="inlineStr">
        <is>
          <t>VIMMERBY</t>
        </is>
      </c>
      <c r="F5772" t="inlineStr">
        <is>
          <t>Övriga Aktiebolag</t>
        </is>
      </c>
      <c r="G5772" t="n">
        <v>8.199999999999999</v>
      </c>
      <c r="H5772" t="n">
        <v>0</v>
      </c>
      <c r="I5772" t="n">
        <v>0</v>
      </c>
      <c r="J5772" t="n">
        <v>0</v>
      </c>
      <c r="K5772" t="n">
        <v>0</v>
      </c>
      <c r="L5772" t="n">
        <v>0</v>
      </c>
      <c r="M5772" t="n">
        <v>0</v>
      </c>
      <c r="N5772" t="n">
        <v>0</v>
      </c>
      <c r="O5772" t="n">
        <v>0</v>
      </c>
      <c r="P5772" t="n">
        <v>0</v>
      </c>
      <c r="Q5772" t="n">
        <v>0</v>
      </c>
      <c r="R5772" s="2" t="inlineStr"/>
    </row>
    <row r="5773" ht="15" customHeight="1">
      <c r="A5773" t="inlineStr">
        <is>
          <t>A 20334-2024</t>
        </is>
      </c>
      <c r="B5773" s="1" t="n">
        <v>45435.42290509259</v>
      </c>
      <c r="C5773" s="1" t="n">
        <v>45884</v>
      </c>
      <c r="D5773" t="inlineStr">
        <is>
          <t>KALMAR LÄN</t>
        </is>
      </c>
      <c r="E5773" t="inlineStr">
        <is>
          <t>OSKARSHAMN</t>
        </is>
      </c>
      <c r="G5773" t="n">
        <v>5.6</v>
      </c>
      <c r="H5773" t="n">
        <v>0</v>
      </c>
      <c r="I5773" t="n">
        <v>0</v>
      </c>
      <c r="J5773" t="n">
        <v>0</v>
      </c>
      <c r="K5773" t="n">
        <v>0</v>
      </c>
      <c r="L5773" t="n">
        <v>0</v>
      </c>
      <c r="M5773" t="n">
        <v>0</v>
      </c>
      <c r="N5773" t="n">
        <v>0</v>
      </c>
      <c r="O5773" t="n">
        <v>0</v>
      </c>
      <c r="P5773" t="n">
        <v>0</v>
      </c>
      <c r="Q5773" t="n">
        <v>0</v>
      </c>
      <c r="R5773" s="2" t="inlineStr"/>
    </row>
    <row r="5774" ht="15" customHeight="1">
      <c r="A5774" t="inlineStr">
        <is>
          <t>A 60055-2021</t>
        </is>
      </c>
      <c r="B5774" s="1" t="n">
        <v>44495.34590277778</v>
      </c>
      <c r="C5774" s="1" t="n">
        <v>45884</v>
      </c>
      <c r="D5774" t="inlineStr">
        <is>
          <t>KALMAR LÄN</t>
        </is>
      </c>
      <c r="E5774" t="inlineStr">
        <is>
          <t>TORSÅS</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39986-2021</t>
        </is>
      </c>
      <c r="B5775" s="1" t="n">
        <v>44418</v>
      </c>
      <c r="C5775" s="1" t="n">
        <v>45884</v>
      </c>
      <c r="D5775" t="inlineStr">
        <is>
          <t>KALMAR LÄN</t>
        </is>
      </c>
      <c r="E5775" t="inlineStr">
        <is>
          <t>NYBRO</t>
        </is>
      </c>
      <c r="G5775" t="n">
        <v>2.5</v>
      </c>
      <c r="H5775" t="n">
        <v>0</v>
      </c>
      <c r="I5775" t="n">
        <v>0</v>
      </c>
      <c r="J5775" t="n">
        <v>0</v>
      </c>
      <c r="K5775" t="n">
        <v>0</v>
      </c>
      <c r="L5775" t="n">
        <v>0</v>
      </c>
      <c r="M5775" t="n">
        <v>0</v>
      </c>
      <c r="N5775" t="n">
        <v>0</v>
      </c>
      <c r="O5775" t="n">
        <v>0</v>
      </c>
      <c r="P5775" t="n">
        <v>0</v>
      </c>
      <c r="Q5775" t="n">
        <v>0</v>
      </c>
      <c r="R5775" s="2" t="inlineStr"/>
    </row>
    <row r="5776" ht="15" customHeight="1">
      <c r="A5776" t="inlineStr">
        <is>
          <t>A 40013-2021</t>
        </is>
      </c>
      <c r="B5776" s="1" t="n">
        <v>44418.40890046296</v>
      </c>
      <c r="C5776" s="1" t="n">
        <v>45884</v>
      </c>
      <c r="D5776" t="inlineStr">
        <is>
          <t>KALMAR LÄN</t>
        </is>
      </c>
      <c r="E5776" t="inlineStr">
        <is>
          <t>EMMABODA</t>
        </is>
      </c>
      <c r="G5776" t="n">
        <v>1.5</v>
      </c>
      <c r="H5776" t="n">
        <v>0</v>
      </c>
      <c r="I5776" t="n">
        <v>0</v>
      </c>
      <c r="J5776" t="n">
        <v>0</v>
      </c>
      <c r="K5776" t="n">
        <v>0</v>
      </c>
      <c r="L5776" t="n">
        <v>0</v>
      </c>
      <c r="M5776" t="n">
        <v>0</v>
      </c>
      <c r="N5776" t="n">
        <v>0</v>
      </c>
      <c r="O5776" t="n">
        <v>0</v>
      </c>
      <c r="P5776" t="n">
        <v>0</v>
      </c>
      <c r="Q5776" t="n">
        <v>0</v>
      </c>
      <c r="R5776" s="2" t="inlineStr"/>
    </row>
    <row r="5777" ht="15" customHeight="1">
      <c r="A5777" t="inlineStr">
        <is>
          <t>A 17250-2024</t>
        </is>
      </c>
      <c r="B5777" s="1" t="n">
        <v>45414.3987037037</v>
      </c>
      <c r="C5777" s="1" t="n">
        <v>45884</v>
      </c>
      <c r="D5777" t="inlineStr">
        <is>
          <t>KALMAR LÄN</t>
        </is>
      </c>
      <c r="E5777" t="inlineStr">
        <is>
          <t>HÖGSBY</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12819-2024</t>
        </is>
      </c>
      <c r="B5778" s="1" t="n">
        <v>45384.66917824074</v>
      </c>
      <c r="C5778" s="1" t="n">
        <v>45884</v>
      </c>
      <c r="D5778" t="inlineStr">
        <is>
          <t>KALMAR LÄN</t>
        </is>
      </c>
      <c r="E5778" t="inlineStr">
        <is>
          <t>VIMMERBY</t>
        </is>
      </c>
      <c r="G5778" t="n">
        <v>5.1</v>
      </c>
      <c r="H5778" t="n">
        <v>0</v>
      </c>
      <c r="I5778" t="n">
        <v>0</v>
      </c>
      <c r="J5778" t="n">
        <v>0</v>
      </c>
      <c r="K5778" t="n">
        <v>0</v>
      </c>
      <c r="L5778" t="n">
        <v>0</v>
      </c>
      <c r="M5778" t="n">
        <v>0</v>
      </c>
      <c r="N5778" t="n">
        <v>0</v>
      </c>
      <c r="O5778" t="n">
        <v>0</v>
      </c>
      <c r="P5778" t="n">
        <v>0</v>
      </c>
      <c r="Q5778" t="n">
        <v>0</v>
      </c>
      <c r="R5778" s="2" t="inlineStr"/>
    </row>
    <row r="5779" ht="15" customHeight="1">
      <c r="A5779" t="inlineStr">
        <is>
          <t>A 55358-2024</t>
        </is>
      </c>
      <c r="B5779" s="1" t="n">
        <v>45621.82039351852</v>
      </c>
      <c r="C5779" s="1" t="n">
        <v>45884</v>
      </c>
      <c r="D5779" t="inlineStr">
        <is>
          <t>KALMAR LÄN</t>
        </is>
      </c>
      <c r="E5779" t="inlineStr">
        <is>
          <t>VÄSTERVIK</t>
        </is>
      </c>
      <c r="F5779" t="inlineStr">
        <is>
          <t>Sveaskog</t>
        </is>
      </c>
      <c r="G5779" t="n">
        <v>8.300000000000001</v>
      </c>
      <c r="H5779" t="n">
        <v>0</v>
      </c>
      <c r="I5779" t="n">
        <v>0</v>
      </c>
      <c r="J5779" t="n">
        <v>0</v>
      </c>
      <c r="K5779" t="n">
        <v>0</v>
      </c>
      <c r="L5779" t="n">
        <v>0</v>
      </c>
      <c r="M5779" t="n">
        <v>0</v>
      </c>
      <c r="N5779" t="n">
        <v>0</v>
      </c>
      <c r="O5779" t="n">
        <v>0</v>
      </c>
      <c r="P5779" t="n">
        <v>0</v>
      </c>
      <c r="Q5779" t="n">
        <v>0</v>
      </c>
      <c r="R5779" s="2" t="inlineStr"/>
    </row>
    <row r="5780" ht="15" customHeight="1">
      <c r="A5780" t="inlineStr">
        <is>
          <t>A 1598-2024</t>
        </is>
      </c>
      <c r="B5780" s="1" t="n">
        <v>45306</v>
      </c>
      <c r="C5780" s="1" t="n">
        <v>45884</v>
      </c>
      <c r="D5780" t="inlineStr">
        <is>
          <t>KALMAR LÄN</t>
        </is>
      </c>
      <c r="E5780" t="inlineStr">
        <is>
          <t>KALMAR</t>
        </is>
      </c>
      <c r="G5780" t="n">
        <v>2.5</v>
      </c>
      <c r="H5780" t="n">
        <v>0</v>
      </c>
      <c r="I5780" t="n">
        <v>0</v>
      </c>
      <c r="J5780" t="n">
        <v>0</v>
      </c>
      <c r="K5780" t="n">
        <v>0</v>
      </c>
      <c r="L5780" t="n">
        <v>0</v>
      </c>
      <c r="M5780" t="n">
        <v>0</v>
      </c>
      <c r="N5780" t="n">
        <v>0</v>
      </c>
      <c r="O5780" t="n">
        <v>0</v>
      </c>
      <c r="P5780" t="n">
        <v>0</v>
      </c>
      <c r="Q5780" t="n">
        <v>0</v>
      </c>
      <c r="R5780" s="2" t="inlineStr"/>
    </row>
    <row r="5781" ht="15" customHeight="1">
      <c r="A5781" t="inlineStr">
        <is>
          <t>A 13076-2025</t>
        </is>
      </c>
      <c r="B5781" s="1" t="n">
        <v>45734.62017361111</v>
      </c>
      <c r="C5781" s="1" t="n">
        <v>45884</v>
      </c>
      <c r="D5781" t="inlineStr">
        <is>
          <t>KALMAR LÄN</t>
        </is>
      </c>
      <c r="E5781" t="inlineStr">
        <is>
          <t>VIMMERBY</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28728-2024</t>
        </is>
      </c>
      <c r="B5782" s="1" t="n">
        <v>45478.55826388889</v>
      </c>
      <c r="C5782" s="1" t="n">
        <v>45884</v>
      </c>
      <c r="D5782" t="inlineStr">
        <is>
          <t>KALMAR LÄN</t>
        </is>
      </c>
      <c r="E5782" t="inlineStr">
        <is>
          <t>NYBRO</t>
        </is>
      </c>
      <c r="G5782" t="n">
        <v>3.5</v>
      </c>
      <c r="H5782" t="n">
        <v>0</v>
      </c>
      <c r="I5782" t="n">
        <v>0</v>
      </c>
      <c r="J5782" t="n">
        <v>0</v>
      </c>
      <c r="K5782" t="n">
        <v>0</v>
      </c>
      <c r="L5782" t="n">
        <v>0</v>
      </c>
      <c r="M5782" t="n">
        <v>0</v>
      </c>
      <c r="N5782" t="n">
        <v>0</v>
      </c>
      <c r="O5782" t="n">
        <v>0</v>
      </c>
      <c r="P5782" t="n">
        <v>0</v>
      </c>
      <c r="Q5782" t="n">
        <v>0</v>
      </c>
      <c r="R5782" s="2" t="inlineStr"/>
    </row>
    <row r="5783" ht="15" customHeight="1">
      <c r="A5783" t="inlineStr">
        <is>
          <t>A 11167-2024</t>
        </is>
      </c>
      <c r="B5783" s="1" t="n">
        <v>45371.4966087963</v>
      </c>
      <c r="C5783" s="1" t="n">
        <v>45884</v>
      </c>
      <c r="D5783" t="inlineStr">
        <is>
          <t>KALMAR LÄN</t>
        </is>
      </c>
      <c r="E5783" t="inlineStr">
        <is>
          <t>VÄSTERVIK</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9791-2025</t>
        </is>
      </c>
      <c r="B5784" s="1" t="n">
        <v>45716.5465625</v>
      </c>
      <c r="C5784" s="1" t="n">
        <v>45884</v>
      </c>
      <c r="D5784" t="inlineStr">
        <is>
          <t>KALMAR LÄN</t>
        </is>
      </c>
      <c r="E5784" t="inlineStr">
        <is>
          <t>EMMABODA</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9793-2025</t>
        </is>
      </c>
      <c r="B5785" s="1" t="n">
        <v>45716.5484375</v>
      </c>
      <c r="C5785" s="1" t="n">
        <v>45884</v>
      </c>
      <c r="D5785" t="inlineStr">
        <is>
          <t>KALMAR LÄN</t>
        </is>
      </c>
      <c r="E5785" t="inlineStr">
        <is>
          <t>TORSÅS</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26494-2023</t>
        </is>
      </c>
      <c r="B5786" s="1" t="n">
        <v>45092</v>
      </c>
      <c r="C5786" s="1" t="n">
        <v>45884</v>
      </c>
      <c r="D5786" t="inlineStr">
        <is>
          <t>KALMAR LÄN</t>
        </is>
      </c>
      <c r="E5786" t="inlineStr">
        <is>
          <t>MÖNSTERÅS</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18728-2025</t>
        </is>
      </c>
      <c r="B5787" s="1" t="n">
        <v>45763.67365740741</v>
      </c>
      <c r="C5787" s="1" t="n">
        <v>45884</v>
      </c>
      <c r="D5787" t="inlineStr">
        <is>
          <t>KALMAR LÄN</t>
        </is>
      </c>
      <c r="E5787" t="inlineStr">
        <is>
          <t>VÄSTERVIK</t>
        </is>
      </c>
      <c r="G5787" t="n">
        <v>6.6</v>
      </c>
      <c r="H5787" t="n">
        <v>0</v>
      </c>
      <c r="I5787" t="n">
        <v>0</v>
      </c>
      <c r="J5787" t="n">
        <v>0</v>
      </c>
      <c r="K5787" t="n">
        <v>0</v>
      </c>
      <c r="L5787" t="n">
        <v>0</v>
      </c>
      <c r="M5787" t="n">
        <v>0</v>
      </c>
      <c r="N5787" t="n">
        <v>0</v>
      </c>
      <c r="O5787" t="n">
        <v>0</v>
      </c>
      <c r="P5787" t="n">
        <v>0</v>
      </c>
      <c r="Q5787" t="n">
        <v>0</v>
      </c>
      <c r="R5787" s="2" t="inlineStr"/>
    </row>
    <row r="5788" ht="15" customHeight="1">
      <c r="A5788" t="inlineStr">
        <is>
          <t>A 11706-2025</t>
        </is>
      </c>
      <c r="B5788" s="1" t="n">
        <v>45727</v>
      </c>
      <c r="C5788" s="1" t="n">
        <v>45884</v>
      </c>
      <c r="D5788" t="inlineStr">
        <is>
          <t>KALMAR LÄN</t>
        </is>
      </c>
      <c r="E5788" t="inlineStr">
        <is>
          <t>NYBRO</t>
        </is>
      </c>
      <c r="F5788" t="inlineStr">
        <is>
          <t>Kommuner</t>
        </is>
      </c>
      <c r="G5788" t="n">
        <v>3.9</v>
      </c>
      <c r="H5788" t="n">
        <v>0</v>
      </c>
      <c r="I5788" t="n">
        <v>0</v>
      </c>
      <c r="J5788" t="n">
        <v>0</v>
      </c>
      <c r="K5788" t="n">
        <v>0</v>
      </c>
      <c r="L5788" t="n">
        <v>0</v>
      </c>
      <c r="M5788" t="n">
        <v>0</v>
      </c>
      <c r="N5788" t="n">
        <v>0</v>
      </c>
      <c r="O5788" t="n">
        <v>0</v>
      </c>
      <c r="P5788" t="n">
        <v>0</v>
      </c>
      <c r="Q5788" t="n">
        <v>0</v>
      </c>
      <c r="R5788" s="2" t="inlineStr"/>
    </row>
    <row r="5789" ht="15" customHeight="1">
      <c r="A5789" t="inlineStr">
        <is>
          <t>A 11758-2025</t>
        </is>
      </c>
      <c r="B5789" s="1" t="n">
        <v>45727.64369212963</v>
      </c>
      <c r="C5789" s="1" t="n">
        <v>45884</v>
      </c>
      <c r="D5789" t="inlineStr">
        <is>
          <t>KALMAR LÄN</t>
        </is>
      </c>
      <c r="E5789" t="inlineStr">
        <is>
          <t>EMMABODA</t>
        </is>
      </c>
      <c r="G5789" t="n">
        <v>9.300000000000001</v>
      </c>
      <c r="H5789" t="n">
        <v>0</v>
      </c>
      <c r="I5789" t="n">
        <v>0</v>
      </c>
      <c r="J5789" t="n">
        <v>0</v>
      </c>
      <c r="K5789" t="n">
        <v>0</v>
      </c>
      <c r="L5789" t="n">
        <v>0</v>
      </c>
      <c r="M5789" t="n">
        <v>0</v>
      </c>
      <c r="N5789" t="n">
        <v>0</v>
      </c>
      <c r="O5789" t="n">
        <v>0</v>
      </c>
      <c r="P5789" t="n">
        <v>0</v>
      </c>
      <c r="Q5789" t="n">
        <v>0</v>
      </c>
      <c r="R5789" s="2" t="inlineStr"/>
    </row>
    <row r="5790" ht="15" customHeight="1">
      <c r="A5790" t="inlineStr">
        <is>
          <t>A 19101-2023</t>
        </is>
      </c>
      <c r="B5790" s="1" t="n">
        <v>45048.43734953704</v>
      </c>
      <c r="C5790" s="1" t="n">
        <v>45884</v>
      </c>
      <c r="D5790" t="inlineStr">
        <is>
          <t>KALMAR LÄN</t>
        </is>
      </c>
      <c r="E5790" t="inlineStr">
        <is>
          <t>EMMABODA</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48526-2023</t>
        </is>
      </c>
      <c r="B5791" s="1" t="n">
        <v>45208.36819444445</v>
      </c>
      <c r="C5791" s="1" t="n">
        <v>45884</v>
      </c>
      <c r="D5791" t="inlineStr">
        <is>
          <t>KALMAR LÄN</t>
        </is>
      </c>
      <c r="E5791" t="inlineStr">
        <is>
          <t>TORSÅS</t>
        </is>
      </c>
      <c r="G5791" t="n">
        <v>5.7</v>
      </c>
      <c r="H5791" t="n">
        <v>0</v>
      </c>
      <c r="I5791" t="n">
        <v>0</v>
      </c>
      <c r="J5791" t="n">
        <v>0</v>
      </c>
      <c r="K5791" t="n">
        <v>0</v>
      </c>
      <c r="L5791" t="n">
        <v>0</v>
      </c>
      <c r="M5791" t="n">
        <v>0</v>
      </c>
      <c r="N5791" t="n">
        <v>0</v>
      </c>
      <c r="O5791" t="n">
        <v>0</v>
      </c>
      <c r="P5791" t="n">
        <v>0</v>
      </c>
      <c r="Q5791" t="n">
        <v>0</v>
      </c>
      <c r="R5791" s="2" t="inlineStr"/>
    </row>
    <row r="5792" ht="15" customHeight="1">
      <c r="A5792" t="inlineStr">
        <is>
          <t>A 48543-2023</t>
        </is>
      </c>
      <c r="B5792" s="1" t="n">
        <v>45208</v>
      </c>
      <c r="C5792" s="1" t="n">
        <v>45884</v>
      </c>
      <c r="D5792" t="inlineStr">
        <is>
          <t>KALMAR LÄN</t>
        </is>
      </c>
      <c r="E5792" t="inlineStr">
        <is>
          <t>TORSÅS</t>
        </is>
      </c>
      <c r="G5792" t="n">
        <v>1.7</v>
      </c>
      <c r="H5792" t="n">
        <v>0</v>
      </c>
      <c r="I5792" t="n">
        <v>0</v>
      </c>
      <c r="J5792" t="n">
        <v>0</v>
      </c>
      <c r="K5792" t="n">
        <v>0</v>
      </c>
      <c r="L5792" t="n">
        <v>0</v>
      </c>
      <c r="M5792" t="n">
        <v>0</v>
      </c>
      <c r="N5792" t="n">
        <v>0</v>
      </c>
      <c r="O5792" t="n">
        <v>0</v>
      </c>
      <c r="P5792" t="n">
        <v>0</v>
      </c>
      <c r="Q5792" t="n">
        <v>0</v>
      </c>
      <c r="R5792" s="2" t="inlineStr"/>
    </row>
    <row r="5793" ht="15" customHeight="1">
      <c r="A5793" t="inlineStr">
        <is>
          <t>A 6214-2025</t>
        </is>
      </c>
      <c r="B5793" s="1" t="n">
        <v>45698.51711805556</v>
      </c>
      <c r="C5793" s="1" t="n">
        <v>45884</v>
      </c>
      <c r="D5793" t="inlineStr">
        <is>
          <t>KALMAR LÄN</t>
        </is>
      </c>
      <c r="E5793" t="inlineStr">
        <is>
          <t>VIMMERBY</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6272-2025</t>
        </is>
      </c>
      <c r="B5794" s="1" t="n">
        <v>45698.611875</v>
      </c>
      <c r="C5794" s="1" t="n">
        <v>45884</v>
      </c>
      <c r="D5794" t="inlineStr">
        <is>
          <t>KALMAR LÄN</t>
        </is>
      </c>
      <c r="E5794" t="inlineStr">
        <is>
          <t>HULTSFRED</t>
        </is>
      </c>
      <c r="G5794" t="n">
        <v>3</v>
      </c>
      <c r="H5794" t="n">
        <v>0</v>
      </c>
      <c r="I5794" t="n">
        <v>0</v>
      </c>
      <c r="J5794" t="n">
        <v>0</v>
      </c>
      <c r="K5794" t="n">
        <v>0</v>
      </c>
      <c r="L5794" t="n">
        <v>0</v>
      </c>
      <c r="M5794" t="n">
        <v>0</v>
      </c>
      <c r="N5794" t="n">
        <v>0</v>
      </c>
      <c r="O5794" t="n">
        <v>0</v>
      </c>
      <c r="P5794" t="n">
        <v>0</v>
      </c>
      <c r="Q5794" t="n">
        <v>0</v>
      </c>
      <c r="R5794" s="2" t="inlineStr"/>
    </row>
    <row r="5795" ht="15" customHeight="1">
      <c r="A5795" t="inlineStr">
        <is>
          <t>A 32569-2024</t>
        </is>
      </c>
      <c r="B5795" s="1" t="n">
        <v>45513.55840277778</v>
      </c>
      <c r="C5795" s="1" t="n">
        <v>45884</v>
      </c>
      <c r="D5795" t="inlineStr">
        <is>
          <t>KALMAR LÄN</t>
        </is>
      </c>
      <c r="E5795" t="inlineStr">
        <is>
          <t>VIMMERBY</t>
        </is>
      </c>
      <c r="G5795" t="n">
        <v>3.7</v>
      </c>
      <c r="H5795" t="n">
        <v>0</v>
      </c>
      <c r="I5795" t="n">
        <v>0</v>
      </c>
      <c r="J5795" t="n">
        <v>0</v>
      </c>
      <c r="K5795" t="n">
        <v>0</v>
      </c>
      <c r="L5795" t="n">
        <v>0</v>
      </c>
      <c r="M5795" t="n">
        <v>0</v>
      </c>
      <c r="N5795" t="n">
        <v>0</v>
      </c>
      <c r="O5795" t="n">
        <v>0</v>
      </c>
      <c r="P5795" t="n">
        <v>0</v>
      </c>
      <c r="Q5795" t="n">
        <v>0</v>
      </c>
      <c r="R5795" s="2" t="inlineStr"/>
    </row>
    <row r="5796" ht="15" customHeight="1">
      <c r="A5796" t="inlineStr">
        <is>
          <t>A 32575-2024</t>
        </is>
      </c>
      <c r="B5796" s="1" t="n">
        <v>45513.56527777778</v>
      </c>
      <c r="C5796" s="1" t="n">
        <v>45884</v>
      </c>
      <c r="D5796" t="inlineStr">
        <is>
          <t>KALMAR LÄN</t>
        </is>
      </c>
      <c r="E5796" t="inlineStr">
        <is>
          <t>VIMMERBY</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54944-2021</t>
        </is>
      </c>
      <c r="B5797" s="1" t="n">
        <v>44474.46346064815</v>
      </c>
      <c r="C5797" s="1" t="n">
        <v>45884</v>
      </c>
      <c r="D5797" t="inlineStr">
        <is>
          <t>KALMAR LÄN</t>
        </is>
      </c>
      <c r="E5797" t="inlineStr">
        <is>
          <t>HULTSFRED</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1965-2023</t>
        </is>
      </c>
      <c r="B5798" s="1" t="n">
        <v>44939.46715277778</v>
      </c>
      <c r="C5798" s="1" t="n">
        <v>45884</v>
      </c>
      <c r="D5798" t="inlineStr">
        <is>
          <t>KALMAR LÄN</t>
        </is>
      </c>
      <c r="E5798" t="inlineStr">
        <is>
          <t>NYBRO</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1699-2023</t>
        </is>
      </c>
      <c r="B5799" s="1" t="n">
        <v>44935</v>
      </c>
      <c r="C5799" s="1" t="n">
        <v>45884</v>
      </c>
      <c r="D5799" t="inlineStr">
        <is>
          <t>KALMAR LÄN</t>
        </is>
      </c>
      <c r="E5799" t="inlineStr">
        <is>
          <t>VÄSTERVIK</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35047-2023</t>
        </is>
      </c>
      <c r="B5800" s="1" t="n">
        <v>45145</v>
      </c>
      <c r="C5800" s="1" t="n">
        <v>45884</v>
      </c>
      <c r="D5800" t="inlineStr">
        <is>
          <t>KALMAR LÄN</t>
        </is>
      </c>
      <c r="E5800" t="inlineStr">
        <is>
          <t>HÖGSBY</t>
        </is>
      </c>
      <c r="G5800" t="n">
        <v>0.5</v>
      </c>
      <c r="H5800" t="n">
        <v>0</v>
      </c>
      <c r="I5800" t="n">
        <v>0</v>
      </c>
      <c r="J5800" t="n">
        <v>0</v>
      </c>
      <c r="K5800" t="n">
        <v>0</v>
      </c>
      <c r="L5800" t="n">
        <v>0</v>
      </c>
      <c r="M5800" t="n">
        <v>0</v>
      </c>
      <c r="N5800" t="n">
        <v>0</v>
      </c>
      <c r="O5800" t="n">
        <v>0</v>
      </c>
      <c r="P5800" t="n">
        <v>0</v>
      </c>
      <c r="Q5800" t="n">
        <v>0</v>
      </c>
      <c r="R5800" s="2" t="inlineStr"/>
    </row>
    <row r="5801" ht="15" customHeight="1">
      <c r="A5801" t="inlineStr">
        <is>
          <t>A 26097-2023</t>
        </is>
      </c>
      <c r="B5801" s="1" t="n">
        <v>45091</v>
      </c>
      <c r="C5801" s="1" t="n">
        <v>45884</v>
      </c>
      <c r="D5801" t="inlineStr">
        <is>
          <t>KALMAR LÄN</t>
        </is>
      </c>
      <c r="E5801" t="inlineStr">
        <is>
          <t>KALMAR</t>
        </is>
      </c>
      <c r="G5801" t="n">
        <v>1.5</v>
      </c>
      <c r="H5801" t="n">
        <v>0</v>
      </c>
      <c r="I5801" t="n">
        <v>0</v>
      </c>
      <c r="J5801" t="n">
        <v>0</v>
      </c>
      <c r="K5801" t="n">
        <v>0</v>
      </c>
      <c r="L5801" t="n">
        <v>0</v>
      </c>
      <c r="M5801" t="n">
        <v>0</v>
      </c>
      <c r="N5801" t="n">
        <v>0</v>
      </c>
      <c r="O5801" t="n">
        <v>0</v>
      </c>
      <c r="P5801" t="n">
        <v>0</v>
      </c>
      <c r="Q5801" t="n">
        <v>0</v>
      </c>
      <c r="R5801" s="2" t="inlineStr"/>
    </row>
    <row r="5802" ht="15" customHeight="1">
      <c r="A5802" t="inlineStr">
        <is>
          <t>A 22397-2025</t>
        </is>
      </c>
      <c r="B5802" s="1" t="n">
        <v>45786.52878472222</v>
      </c>
      <c r="C5802" s="1" t="n">
        <v>45884</v>
      </c>
      <c r="D5802" t="inlineStr">
        <is>
          <t>KALMAR LÄN</t>
        </is>
      </c>
      <c r="E5802" t="inlineStr">
        <is>
          <t>VIMMERBY</t>
        </is>
      </c>
      <c r="G5802" t="n">
        <v>0.8</v>
      </c>
      <c r="H5802" t="n">
        <v>0</v>
      </c>
      <c r="I5802" t="n">
        <v>0</v>
      </c>
      <c r="J5802" t="n">
        <v>0</v>
      </c>
      <c r="K5802" t="n">
        <v>0</v>
      </c>
      <c r="L5802" t="n">
        <v>0</v>
      </c>
      <c r="M5802" t="n">
        <v>0</v>
      </c>
      <c r="N5802" t="n">
        <v>0</v>
      </c>
      <c r="O5802" t="n">
        <v>0</v>
      </c>
      <c r="P5802" t="n">
        <v>0</v>
      </c>
      <c r="Q5802" t="n">
        <v>0</v>
      </c>
      <c r="R5802" s="2" t="inlineStr"/>
    </row>
    <row r="5803" ht="15" customHeight="1">
      <c r="A5803" t="inlineStr">
        <is>
          <t>A 22405-2025</t>
        </is>
      </c>
      <c r="B5803" s="1" t="n">
        <v>45786.54319444444</v>
      </c>
      <c r="C5803" s="1" t="n">
        <v>45884</v>
      </c>
      <c r="D5803" t="inlineStr">
        <is>
          <t>KALMAR LÄN</t>
        </is>
      </c>
      <c r="E5803" t="inlineStr">
        <is>
          <t>HÖGSBY</t>
        </is>
      </c>
      <c r="F5803" t="inlineStr">
        <is>
          <t>Sveaskog</t>
        </is>
      </c>
      <c r="G5803" t="n">
        <v>2.6</v>
      </c>
      <c r="H5803" t="n">
        <v>0</v>
      </c>
      <c r="I5803" t="n">
        <v>0</v>
      </c>
      <c r="J5803" t="n">
        <v>0</v>
      </c>
      <c r="K5803" t="n">
        <v>0</v>
      </c>
      <c r="L5803" t="n">
        <v>0</v>
      </c>
      <c r="M5803" t="n">
        <v>0</v>
      </c>
      <c r="N5803" t="n">
        <v>0</v>
      </c>
      <c r="O5803" t="n">
        <v>0</v>
      </c>
      <c r="P5803" t="n">
        <v>0</v>
      </c>
      <c r="Q5803" t="n">
        <v>0</v>
      </c>
      <c r="R5803" s="2" t="inlineStr"/>
    </row>
    <row r="5804" ht="15" customHeight="1">
      <c r="A5804" t="inlineStr">
        <is>
          <t>A 54522-2023</t>
        </is>
      </c>
      <c r="B5804" s="1" t="n">
        <v>45233</v>
      </c>
      <c r="C5804" s="1" t="n">
        <v>45884</v>
      </c>
      <c r="D5804" t="inlineStr">
        <is>
          <t>KALMAR LÄN</t>
        </is>
      </c>
      <c r="E5804" t="inlineStr">
        <is>
          <t>OSKARSHAMN</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22300-2025</t>
        </is>
      </c>
      <c r="B5805" s="1" t="n">
        <v>45786.35510416667</v>
      </c>
      <c r="C5805" s="1" t="n">
        <v>45884</v>
      </c>
      <c r="D5805" t="inlineStr">
        <is>
          <t>KALMAR LÄN</t>
        </is>
      </c>
      <c r="E5805" t="inlineStr">
        <is>
          <t>KALMAR</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22306-2025</t>
        </is>
      </c>
      <c r="B5806" s="1" t="n">
        <v>45786.3628125</v>
      </c>
      <c r="C5806" s="1" t="n">
        <v>45884</v>
      </c>
      <c r="D5806" t="inlineStr">
        <is>
          <t>KALMAR LÄN</t>
        </is>
      </c>
      <c r="E5806" t="inlineStr">
        <is>
          <t>NYBRO</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53564-2023</t>
        </is>
      </c>
      <c r="B5807" s="1" t="n">
        <v>45224</v>
      </c>
      <c r="C5807" s="1" t="n">
        <v>45884</v>
      </c>
      <c r="D5807" t="inlineStr">
        <is>
          <t>KALMAR LÄN</t>
        </is>
      </c>
      <c r="E5807" t="inlineStr">
        <is>
          <t>OSKARSHAMN</t>
        </is>
      </c>
      <c r="G5807" t="n">
        <v>5.3</v>
      </c>
      <c r="H5807" t="n">
        <v>0</v>
      </c>
      <c r="I5807" t="n">
        <v>0</v>
      </c>
      <c r="J5807" t="n">
        <v>0</v>
      </c>
      <c r="K5807" t="n">
        <v>0</v>
      </c>
      <c r="L5807" t="n">
        <v>0</v>
      </c>
      <c r="M5807" t="n">
        <v>0</v>
      </c>
      <c r="N5807" t="n">
        <v>0</v>
      </c>
      <c r="O5807" t="n">
        <v>0</v>
      </c>
      <c r="P5807" t="n">
        <v>0</v>
      </c>
      <c r="Q5807" t="n">
        <v>0</v>
      </c>
      <c r="R5807" s="2" t="inlineStr"/>
    </row>
    <row r="5808" ht="15" customHeight="1">
      <c r="A5808" t="inlineStr">
        <is>
          <t>A 6406-2024</t>
        </is>
      </c>
      <c r="B5808" s="1" t="n">
        <v>45338</v>
      </c>
      <c r="C5808" s="1" t="n">
        <v>45884</v>
      </c>
      <c r="D5808" t="inlineStr">
        <is>
          <t>KALMAR LÄN</t>
        </is>
      </c>
      <c r="E5808" t="inlineStr">
        <is>
          <t>VÄSTERVIK</t>
        </is>
      </c>
      <c r="G5808" t="n">
        <v>5.5</v>
      </c>
      <c r="H5808" t="n">
        <v>0</v>
      </c>
      <c r="I5808" t="n">
        <v>0</v>
      </c>
      <c r="J5808" t="n">
        <v>0</v>
      </c>
      <c r="K5808" t="n">
        <v>0</v>
      </c>
      <c r="L5808" t="n">
        <v>0</v>
      </c>
      <c r="M5808" t="n">
        <v>0</v>
      </c>
      <c r="N5808" t="n">
        <v>0</v>
      </c>
      <c r="O5808" t="n">
        <v>0</v>
      </c>
      <c r="P5808" t="n">
        <v>0</v>
      </c>
      <c r="Q5808" t="n">
        <v>0</v>
      </c>
      <c r="R5808" s="2" t="inlineStr"/>
      <c r="U5808">
        <f>HYPERLINK("https://klasma.github.io/Logging_0883/knärot/A 6406-2024 karta knärot.png", "A 6406-2024")</f>
        <v/>
      </c>
      <c r="V5808">
        <f>HYPERLINK("https://klasma.github.io/Logging_0883/klagomål/A 6406-2024 FSC-klagomål.docx", "A 6406-2024")</f>
        <v/>
      </c>
      <c r="W5808">
        <f>HYPERLINK("https://klasma.github.io/Logging_0883/klagomålsmail/A 6406-2024 FSC-klagomål mail.docx", "A 6406-2024")</f>
        <v/>
      </c>
      <c r="X5808">
        <f>HYPERLINK("https://klasma.github.io/Logging_0883/tillsyn/A 6406-2024 tillsynsbegäran.docx", "A 6406-2024")</f>
        <v/>
      </c>
      <c r="Y5808">
        <f>HYPERLINK("https://klasma.github.io/Logging_0883/tillsynsmail/A 6406-2024 tillsynsbegäran mail.docx", "A 6406-2024")</f>
        <v/>
      </c>
    </row>
    <row r="5809" ht="15" customHeight="1">
      <c r="A5809" t="inlineStr">
        <is>
          <t>A 42448-2024</t>
        </is>
      </c>
      <c r="B5809" s="1" t="n">
        <v>45565.4407175926</v>
      </c>
      <c r="C5809" s="1" t="n">
        <v>45884</v>
      </c>
      <c r="D5809" t="inlineStr">
        <is>
          <t>KALMAR LÄN</t>
        </is>
      </c>
      <c r="E5809" t="inlineStr">
        <is>
          <t>EMMABODA</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57178-2024</t>
        </is>
      </c>
      <c r="B5810" s="1" t="n">
        <v>45629.43973379629</v>
      </c>
      <c r="C5810" s="1" t="n">
        <v>45884</v>
      </c>
      <c r="D5810" t="inlineStr">
        <is>
          <t>KALMAR LÄN</t>
        </is>
      </c>
      <c r="E5810" t="inlineStr">
        <is>
          <t>VÄSTERVIK</t>
        </is>
      </c>
      <c r="G5810" t="n">
        <v>2</v>
      </c>
      <c r="H5810" t="n">
        <v>0</v>
      </c>
      <c r="I5810" t="n">
        <v>0</v>
      </c>
      <c r="J5810" t="n">
        <v>0</v>
      </c>
      <c r="K5810" t="n">
        <v>0</v>
      </c>
      <c r="L5810" t="n">
        <v>0</v>
      </c>
      <c r="M5810" t="n">
        <v>0</v>
      </c>
      <c r="N5810" t="n">
        <v>0</v>
      </c>
      <c r="O5810" t="n">
        <v>0</v>
      </c>
      <c r="P5810" t="n">
        <v>0</v>
      </c>
      <c r="Q5810" t="n">
        <v>0</v>
      </c>
      <c r="R5810" s="2" t="inlineStr"/>
    </row>
    <row r="5811" ht="15" customHeight="1">
      <c r="A5811" t="inlineStr">
        <is>
          <t>A 25582-2024</t>
        </is>
      </c>
      <c r="B5811" s="1" t="n">
        <v>45463</v>
      </c>
      <c r="C5811" s="1" t="n">
        <v>45884</v>
      </c>
      <c r="D5811" t="inlineStr">
        <is>
          <t>KALMAR LÄN</t>
        </is>
      </c>
      <c r="E5811" t="inlineStr">
        <is>
          <t>VIMMERBY</t>
        </is>
      </c>
      <c r="G5811" t="n">
        <v>1.4</v>
      </c>
      <c r="H5811" t="n">
        <v>0</v>
      </c>
      <c r="I5811" t="n">
        <v>0</v>
      </c>
      <c r="J5811" t="n">
        <v>0</v>
      </c>
      <c r="K5811" t="n">
        <v>0</v>
      </c>
      <c r="L5811" t="n">
        <v>0</v>
      </c>
      <c r="M5811" t="n">
        <v>0</v>
      </c>
      <c r="N5811" t="n">
        <v>0</v>
      </c>
      <c r="O5811" t="n">
        <v>0</v>
      </c>
      <c r="P5811" t="n">
        <v>0</v>
      </c>
      <c r="Q5811" t="n">
        <v>0</v>
      </c>
      <c r="R5811" s="2" t="inlineStr"/>
    </row>
    <row r="5812" ht="15" customHeight="1">
      <c r="A5812" t="inlineStr">
        <is>
          <t>A 7883-2025</t>
        </is>
      </c>
      <c r="B5812" s="1" t="n">
        <v>45706.8156712963</v>
      </c>
      <c r="C5812" s="1" t="n">
        <v>45884</v>
      </c>
      <c r="D5812" t="inlineStr">
        <is>
          <t>KALMAR LÄN</t>
        </is>
      </c>
      <c r="E5812" t="inlineStr">
        <is>
          <t>VÄSTERVIK</t>
        </is>
      </c>
      <c r="G5812" t="n">
        <v>0.2</v>
      </c>
      <c r="H5812" t="n">
        <v>0</v>
      </c>
      <c r="I5812" t="n">
        <v>0</v>
      </c>
      <c r="J5812" t="n">
        <v>0</v>
      </c>
      <c r="K5812" t="n">
        <v>0</v>
      </c>
      <c r="L5812" t="n">
        <v>0</v>
      </c>
      <c r="M5812" t="n">
        <v>0</v>
      </c>
      <c r="N5812" t="n">
        <v>0</v>
      </c>
      <c r="O5812" t="n">
        <v>0</v>
      </c>
      <c r="P5812" t="n">
        <v>0</v>
      </c>
      <c r="Q5812" t="n">
        <v>0</v>
      </c>
      <c r="R5812" s="2" t="inlineStr"/>
    </row>
    <row r="5813" ht="15" customHeight="1">
      <c r="A5813" t="inlineStr">
        <is>
          <t>A 934-2024</t>
        </is>
      </c>
      <c r="B5813" s="1" t="n">
        <v>45301.51439814815</v>
      </c>
      <c r="C5813" s="1" t="n">
        <v>45884</v>
      </c>
      <c r="D5813" t="inlineStr">
        <is>
          <t>KALMAR LÄN</t>
        </is>
      </c>
      <c r="E5813" t="inlineStr">
        <is>
          <t>VÄSTERVIK</t>
        </is>
      </c>
      <c r="G5813" t="n">
        <v>2.3</v>
      </c>
      <c r="H5813" t="n">
        <v>0</v>
      </c>
      <c r="I5813" t="n">
        <v>0</v>
      </c>
      <c r="J5813" t="n">
        <v>0</v>
      </c>
      <c r="K5813" t="n">
        <v>0</v>
      </c>
      <c r="L5813" t="n">
        <v>0</v>
      </c>
      <c r="M5813" t="n">
        <v>0</v>
      </c>
      <c r="N5813" t="n">
        <v>0</v>
      </c>
      <c r="O5813" t="n">
        <v>0</v>
      </c>
      <c r="P5813" t="n">
        <v>0</v>
      </c>
      <c r="Q5813" t="n">
        <v>0</v>
      </c>
      <c r="R5813" s="2" t="inlineStr"/>
    </row>
    <row r="5814" ht="15" customHeight="1">
      <c r="A5814" t="inlineStr">
        <is>
          <t>A 936-2024</t>
        </is>
      </c>
      <c r="B5814" s="1" t="n">
        <v>45301.51950231481</v>
      </c>
      <c r="C5814" s="1" t="n">
        <v>45884</v>
      </c>
      <c r="D5814" t="inlineStr">
        <is>
          <t>KALMAR LÄN</t>
        </is>
      </c>
      <c r="E5814" t="inlineStr">
        <is>
          <t>VÄSTERVIK</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13148-2024</t>
        </is>
      </c>
      <c r="B5815" s="1" t="n">
        <v>45386.35418981482</v>
      </c>
      <c r="C5815" s="1" t="n">
        <v>45884</v>
      </c>
      <c r="D5815" t="inlineStr">
        <is>
          <t>KALMAR LÄN</t>
        </is>
      </c>
      <c r="E5815" t="inlineStr">
        <is>
          <t>EMMABODA</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27503-2024</t>
        </is>
      </c>
      <c r="B5816" s="1" t="n">
        <v>45474.51827546296</v>
      </c>
      <c r="C5816" s="1" t="n">
        <v>45884</v>
      </c>
      <c r="D5816" t="inlineStr">
        <is>
          <t>KALMAR LÄN</t>
        </is>
      </c>
      <c r="E5816" t="inlineStr">
        <is>
          <t>OSKARSHAMN</t>
        </is>
      </c>
      <c r="G5816" t="n">
        <v>1.9</v>
      </c>
      <c r="H5816" t="n">
        <v>0</v>
      </c>
      <c r="I5816" t="n">
        <v>0</v>
      </c>
      <c r="J5816" t="n">
        <v>0</v>
      </c>
      <c r="K5816" t="n">
        <v>0</v>
      </c>
      <c r="L5816" t="n">
        <v>0</v>
      </c>
      <c r="M5816" t="n">
        <v>0</v>
      </c>
      <c r="N5816" t="n">
        <v>0</v>
      </c>
      <c r="O5816" t="n">
        <v>0</v>
      </c>
      <c r="P5816" t="n">
        <v>0</v>
      </c>
      <c r="Q5816" t="n">
        <v>0</v>
      </c>
      <c r="R5816" s="2" t="inlineStr"/>
    </row>
    <row r="5817" ht="15" customHeight="1">
      <c r="A5817" t="inlineStr">
        <is>
          <t>A 4981-2022</t>
        </is>
      </c>
      <c r="B5817" s="1" t="n">
        <v>44593</v>
      </c>
      <c r="C5817" s="1" t="n">
        <v>45884</v>
      </c>
      <c r="D5817" t="inlineStr">
        <is>
          <t>KALMAR LÄN</t>
        </is>
      </c>
      <c r="E5817" t="inlineStr">
        <is>
          <t>MÖNSTERÅS</t>
        </is>
      </c>
      <c r="G5817" t="n">
        <v>3.6</v>
      </c>
      <c r="H5817" t="n">
        <v>0</v>
      </c>
      <c r="I5817" t="n">
        <v>0</v>
      </c>
      <c r="J5817" t="n">
        <v>0</v>
      </c>
      <c r="K5817" t="n">
        <v>0</v>
      </c>
      <c r="L5817" t="n">
        <v>0</v>
      </c>
      <c r="M5817" t="n">
        <v>0</v>
      </c>
      <c r="N5817" t="n">
        <v>0</v>
      </c>
      <c r="O5817" t="n">
        <v>0</v>
      </c>
      <c r="P5817" t="n">
        <v>0</v>
      </c>
      <c r="Q5817" t="n">
        <v>0</v>
      </c>
      <c r="R5817" s="2" t="inlineStr"/>
    </row>
    <row r="5818" ht="15" customHeight="1">
      <c r="A5818" t="inlineStr">
        <is>
          <t>A 18281-2025</t>
        </is>
      </c>
      <c r="B5818" s="1" t="n">
        <v>45762.38605324074</v>
      </c>
      <c r="C5818" s="1" t="n">
        <v>45884</v>
      </c>
      <c r="D5818" t="inlineStr">
        <is>
          <t>KALMAR LÄN</t>
        </is>
      </c>
      <c r="E5818" t="inlineStr">
        <is>
          <t>NYBRO</t>
        </is>
      </c>
      <c r="F5818" t="inlineStr">
        <is>
          <t>Sveaskog</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22305-2025</t>
        </is>
      </c>
      <c r="B5819" s="1" t="n">
        <v>45786.36038194445</v>
      </c>
      <c r="C5819" s="1" t="n">
        <v>45884</v>
      </c>
      <c r="D5819" t="inlineStr">
        <is>
          <t>KALMAR LÄN</t>
        </is>
      </c>
      <c r="E5819" t="inlineStr">
        <is>
          <t>NYBRO</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56972-2024</t>
        </is>
      </c>
      <c r="B5820" s="1" t="n">
        <v>45625</v>
      </c>
      <c r="C5820" s="1" t="n">
        <v>45884</v>
      </c>
      <c r="D5820" t="inlineStr">
        <is>
          <t>KALMAR LÄN</t>
        </is>
      </c>
      <c r="E5820" t="inlineStr">
        <is>
          <t>NYBRO</t>
        </is>
      </c>
      <c r="G5820" t="n">
        <v>3.8</v>
      </c>
      <c r="H5820" t="n">
        <v>0</v>
      </c>
      <c r="I5820" t="n">
        <v>0</v>
      </c>
      <c r="J5820" t="n">
        <v>0</v>
      </c>
      <c r="K5820" t="n">
        <v>0</v>
      </c>
      <c r="L5820" t="n">
        <v>0</v>
      </c>
      <c r="M5820" t="n">
        <v>0</v>
      </c>
      <c r="N5820" t="n">
        <v>0</v>
      </c>
      <c r="O5820" t="n">
        <v>0</v>
      </c>
      <c r="P5820" t="n">
        <v>0</v>
      </c>
      <c r="Q5820" t="n">
        <v>0</v>
      </c>
      <c r="R5820" s="2" t="inlineStr"/>
    </row>
    <row r="5821" ht="15" customHeight="1">
      <c r="A5821" t="inlineStr">
        <is>
          <t>A 7830-2025</t>
        </is>
      </c>
      <c r="B5821" s="1" t="n">
        <v>45706.64979166666</v>
      </c>
      <c r="C5821" s="1" t="n">
        <v>45884</v>
      </c>
      <c r="D5821" t="inlineStr">
        <is>
          <t>KALMAR LÄN</t>
        </is>
      </c>
      <c r="E5821" t="inlineStr">
        <is>
          <t>NYBRO</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34086-2024</t>
        </is>
      </c>
      <c r="B5822" s="1" t="n">
        <v>45523.6602662037</v>
      </c>
      <c r="C5822" s="1" t="n">
        <v>45884</v>
      </c>
      <c r="D5822" t="inlineStr">
        <is>
          <t>KALMAR LÄN</t>
        </is>
      </c>
      <c r="E5822" t="inlineStr">
        <is>
          <t>OSKARSHAMN</t>
        </is>
      </c>
      <c r="G5822" t="n">
        <v>1.4</v>
      </c>
      <c r="H5822" t="n">
        <v>0</v>
      </c>
      <c r="I5822" t="n">
        <v>0</v>
      </c>
      <c r="J5822" t="n">
        <v>0</v>
      </c>
      <c r="K5822" t="n">
        <v>0</v>
      </c>
      <c r="L5822" t="n">
        <v>0</v>
      </c>
      <c r="M5822" t="n">
        <v>0</v>
      </c>
      <c r="N5822" t="n">
        <v>0</v>
      </c>
      <c r="O5822" t="n">
        <v>0</v>
      </c>
      <c r="P5822" t="n">
        <v>0</v>
      </c>
      <c r="Q5822" t="n">
        <v>0</v>
      </c>
      <c r="R5822" s="2" t="inlineStr"/>
    </row>
    <row r="5823" ht="15" customHeight="1">
      <c r="A5823" t="inlineStr">
        <is>
          <t>A 6688-2023</t>
        </is>
      </c>
      <c r="B5823" s="1" t="n">
        <v>44966.65418981481</v>
      </c>
      <c r="C5823" s="1" t="n">
        <v>45884</v>
      </c>
      <c r="D5823" t="inlineStr">
        <is>
          <t>KALMAR LÄN</t>
        </is>
      </c>
      <c r="E5823" t="inlineStr">
        <is>
          <t>NYBRO</t>
        </is>
      </c>
      <c r="G5823" t="n">
        <v>5.3</v>
      </c>
      <c r="H5823" t="n">
        <v>0</v>
      </c>
      <c r="I5823" t="n">
        <v>0</v>
      </c>
      <c r="J5823" t="n">
        <v>0</v>
      </c>
      <c r="K5823" t="n">
        <v>0</v>
      </c>
      <c r="L5823" t="n">
        <v>0</v>
      </c>
      <c r="M5823" t="n">
        <v>0</v>
      </c>
      <c r="N5823" t="n">
        <v>0</v>
      </c>
      <c r="O5823" t="n">
        <v>0</v>
      </c>
      <c r="P5823" t="n">
        <v>0</v>
      </c>
      <c r="Q5823" t="n">
        <v>0</v>
      </c>
      <c r="R5823" s="2" t="inlineStr"/>
    </row>
    <row r="5824" ht="15" customHeight="1">
      <c r="A5824" t="inlineStr">
        <is>
          <t>A 6691-2023</t>
        </is>
      </c>
      <c r="B5824" s="1" t="n">
        <v>44966.65623842592</v>
      </c>
      <c r="C5824" s="1" t="n">
        <v>45884</v>
      </c>
      <c r="D5824" t="inlineStr">
        <is>
          <t>KALMAR LÄN</t>
        </is>
      </c>
      <c r="E5824" t="inlineStr">
        <is>
          <t>NYBRO</t>
        </is>
      </c>
      <c r="G5824" t="n">
        <v>1.8</v>
      </c>
      <c r="H5824" t="n">
        <v>0</v>
      </c>
      <c r="I5824" t="n">
        <v>0</v>
      </c>
      <c r="J5824" t="n">
        <v>0</v>
      </c>
      <c r="K5824" t="n">
        <v>0</v>
      </c>
      <c r="L5824" t="n">
        <v>0</v>
      </c>
      <c r="M5824" t="n">
        <v>0</v>
      </c>
      <c r="N5824" t="n">
        <v>0</v>
      </c>
      <c r="O5824" t="n">
        <v>0</v>
      </c>
      <c r="P5824" t="n">
        <v>0</v>
      </c>
      <c r="Q5824" t="n">
        <v>0</v>
      </c>
      <c r="R5824" s="2" t="inlineStr"/>
    </row>
    <row r="5825" ht="15" customHeight="1">
      <c r="A5825" t="inlineStr">
        <is>
          <t>A 28214-2024</t>
        </is>
      </c>
      <c r="B5825" s="1" t="n">
        <v>45477.36236111111</v>
      </c>
      <c r="C5825" s="1" t="n">
        <v>45884</v>
      </c>
      <c r="D5825" t="inlineStr">
        <is>
          <t>KALMAR LÄN</t>
        </is>
      </c>
      <c r="E5825" t="inlineStr">
        <is>
          <t>HULTSFRED</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22302-2025</t>
        </is>
      </c>
      <c r="B5826" s="1" t="n">
        <v>45786.35825231481</v>
      </c>
      <c r="C5826" s="1" t="n">
        <v>45884</v>
      </c>
      <c r="D5826" t="inlineStr">
        <is>
          <t>KALMAR LÄN</t>
        </is>
      </c>
      <c r="E5826" t="inlineStr">
        <is>
          <t>NYBRO</t>
        </is>
      </c>
      <c r="G5826" t="n">
        <v>0</v>
      </c>
      <c r="H5826" t="n">
        <v>0</v>
      </c>
      <c r="I5826" t="n">
        <v>0</v>
      </c>
      <c r="J5826" t="n">
        <v>0</v>
      </c>
      <c r="K5826" t="n">
        <v>0</v>
      </c>
      <c r="L5826" t="n">
        <v>0</v>
      </c>
      <c r="M5826" t="n">
        <v>0</v>
      </c>
      <c r="N5826" t="n">
        <v>0</v>
      </c>
      <c r="O5826" t="n">
        <v>0</v>
      </c>
      <c r="P5826" t="n">
        <v>0</v>
      </c>
      <c r="Q5826" t="n">
        <v>0</v>
      </c>
      <c r="R5826" s="2" t="inlineStr"/>
    </row>
    <row r="5827" ht="15" customHeight="1">
      <c r="A5827" t="inlineStr">
        <is>
          <t>A 10998-2025</t>
        </is>
      </c>
      <c r="B5827" s="1" t="n">
        <v>45723.44018518519</v>
      </c>
      <c r="C5827" s="1" t="n">
        <v>45884</v>
      </c>
      <c r="D5827" t="inlineStr">
        <is>
          <t>KALMAR LÄN</t>
        </is>
      </c>
      <c r="E5827" t="inlineStr">
        <is>
          <t>HULTSFRED</t>
        </is>
      </c>
      <c r="F5827" t="inlineStr">
        <is>
          <t>Sveaskog</t>
        </is>
      </c>
      <c r="G5827" t="n">
        <v>1.3</v>
      </c>
      <c r="H5827" t="n">
        <v>0</v>
      </c>
      <c r="I5827" t="n">
        <v>0</v>
      </c>
      <c r="J5827" t="n">
        <v>0</v>
      </c>
      <c r="K5827" t="n">
        <v>0</v>
      </c>
      <c r="L5827" t="n">
        <v>0</v>
      </c>
      <c r="M5827" t="n">
        <v>0</v>
      </c>
      <c r="N5827" t="n">
        <v>0</v>
      </c>
      <c r="O5827" t="n">
        <v>0</v>
      </c>
      <c r="P5827" t="n">
        <v>0</v>
      </c>
      <c r="Q5827" t="n">
        <v>0</v>
      </c>
      <c r="R5827" s="2" t="inlineStr"/>
    </row>
    <row r="5828" ht="15" customHeight="1">
      <c r="A5828" t="inlineStr">
        <is>
          <t>A 22365-2025</t>
        </is>
      </c>
      <c r="B5828" s="1" t="n">
        <v>45786.46979166667</v>
      </c>
      <c r="C5828" s="1" t="n">
        <v>45884</v>
      </c>
      <c r="D5828" t="inlineStr">
        <is>
          <t>KALMAR LÄN</t>
        </is>
      </c>
      <c r="E5828" t="inlineStr">
        <is>
          <t>HÖGSBY</t>
        </is>
      </c>
      <c r="F5828" t="inlineStr">
        <is>
          <t>Sveaskog</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18045-2023</t>
        </is>
      </c>
      <c r="B5829" s="1" t="n">
        <v>45040.61262731482</v>
      </c>
      <c r="C5829" s="1" t="n">
        <v>45884</v>
      </c>
      <c r="D5829" t="inlineStr">
        <is>
          <t>KALMAR LÄN</t>
        </is>
      </c>
      <c r="E5829" t="inlineStr">
        <is>
          <t>TORSÅS</t>
        </is>
      </c>
      <c r="G5829" t="n">
        <v>3</v>
      </c>
      <c r="H5829" t="n">
        <v>0</v>
      </c>
      <c r="I5829" t="n">
        <v>0</v>
      </c>
      <c r="J5829" t="n">
        <v>0</v>
      </c>
      <c r="K5829" t="n">
        <v>0</v>
      </c>
      <c r="L5829" t="n">
        <v>0</v>
      </c>
      <c r="M5829" t="n">
        <v>0</v>
      </c>
      <c r="N5829" t="n">
        <v>0</v>
      </c>
      <c r="O5829" t="n">
        <v>0</v>
      </c>
      <c r="P5829" t="n">
        <v>0</v>
      </c>
      <c r="Q5829" t="n">
        <v>0</v>
      </c>
      <c r="R5829" s="2" t="inlineStr"/>
    </row>
    <row r="5830" ht="15" customHeight="1">
      <c r="A5830" t="inlineStr">
        <is>
          <t>A 8619-2024</t>
        </is>
      </c>
      <c r="B5830" s="1" t="n">
        <v>45355.73599537037</v>
      </c>
      <c r="C5830" s="1" t="n">
        <v>45884</v>
      </c>
      <c r="D5830" t="inlineStr">
        <is>
          <t>KALMAR LÄN</t>
        </is>
      </c>
      <c r="E5830" t="inlineStr">
        <is>
          <t>VÄSTERVIK</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38798-2024</t>
        </is>
      </c>
      <c r="B5831" s="1" t="n">
        <v>45547.5259375</v>
      </c>
      <c r="C5831" s="1" t="n">
        <v>45884</v>
      </c>
      <c r="D5831" t="inlineStr">
        <is>
          <t>KALMAR LÄN</t>
        </is>
      </c>
      <c r="E5831" t="inlineStr">
        <is>
          <t>NYBRO</t>
        </is>
      </c>
      <c r="G5831" t="n">
        <v>1.9</v>
      </c>
      <c r="H5831" t="n">
        <v>0</v>
      </c>
      <c r="I5831" t="n">
        <v>0</v>
      </c>
      <c r="J5831" t="n">
        <v>0</v>
      </c>
      <c r="K5831" t="n">
        <v>0</v>
      </c>
      <c r="L5831" t="n">
        <v>0</v>
      </c>
      <c r="M5831" t="n">
        <v>0</v>
      </c>
      <c r="N5831" t="n">
        <v>0</v>
      </c>
      <c r="O5831" t="n">
        <v>0</v>
      </c>
      <c r="P5831" t="n">
        <v>0</v>
      </c>
      <c r="Q5831" t="n">
        <v>0</v>
      </c>
      <c r="R5831" s="2" t="inlineStr"/>
    </row>
    <row r="5832" ht="15" customHeight="1">
      <c r="A5832" t="inlineStr">
        <is>
          <t>A 4624-2023</t>
        </is>
      </c>
      <c r="B5832" s="1" t="n">
        <v>44956</v>
      </c>
      <c r="C5832" s="1" t="n">
        <v>45884</v>
      </c>
      <c r="D5832" t="inlineStr">
        <is>
          <t>KALMAR LÄN</t>
        </is>
      </c>
      <c r="E5832" t="inlineStr">
        <is>
          <t>VÄSTERVIK</t>
        </is>
      </c>
      <c r="F5832" t="inlineStr">
        <is>
          <t>Holmen skog AB</t>
        </is>
      </c>
      <c r="G5832" t="n">
        <v>7.1</v>
      </c>
      <c r="H5832" t="n">
        <v>0</v>
      </c>
      <c r="I5832" t="n">
        <v>0</v>
      </c>
      <c r="J5832" t="n">
        <v>0</v>
      </c>
      <c r="K5832" t="n">
        <v>0</v>
      </c>
      <c r="L5832" t="n">
        <v>0</v>
      </c>
      <c r="M5832" t="n">
        <v>0</v>
      </c>
      <c r="N5832" t="n">
        <v>0</v>
      </c>
      <c r="O5832" t="n">
        <v>0</v>
      </c>
      <c r="P5832" t="n">
        <v>0</v>
      </c>
      <c r="Q5832" t="n">
        <v>0</v>
      </c>
      <c r="R5832" s="2" t="inlineStr"/>
    </row>
    <row r="5833" ht="15" customHeight="1">
      <c r="A5833" t="inlineStr">
        <is>
          <t>A 21824-2023</t>
        </is>
      </c>
      <c r="B5833" s="1" t="n">
        <v>45068</v>
      </c>
      <c r="C5833" s="1" t="n">
        <v>45884</v>
      </c>
      <c r="D5833" t="inlineStr">
        <is>
          <t>KALMAR LÄN</t>
        </is>
      </c>
      <c r="E5833" t="inlineStr">
        <is>
          <t>VÄSTERVIK</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59300-2024</t>
        </is>
      </c>
      <c r="B5834" s="1" t="n">
        <v>45637.66542824074</v>
      </c>
      <c r="C5834" s="1" t="n">
        <v>45884</v>
      </c>
      <c r="D5834" t="inlineStr">
        <is>
          <t>KALMAR LÄN</t>
        </is>
      </c>
      <c r="E5834" t="inlineStr">
        <is>
          <t>VIMMERBY</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2247-2021</t>
        </is>
      </c>
      <c r="B5835" s="1" t="n">
        <v>44211</v>
      </c>
      <c r="C5835" s="1" t="n">
        <v>45884</v>
      </c>
      <c r="D5835" t="inlineStr">
        <is>
          <t>KALMAR LÄN</t>
        </is>
      </c>
      <c r="E5835" t="inlineStr">
        <is>
          <t>TORSÅS</t>
        </is>
      </c>
      <c r="G5835" t="n">
        <v>0.4</v>
      </c>
      <c r="H5835" t="n">
        <v>0</v>
      </c>
      <c r="I5835" t="n">
        <v>0</v>
      </c>
      <c r="J5835" t="n">
        <v>0</v>
      </c>
      <c r="K5835" t="n">
        <v>0</v>
      </c>
      <c r="L5835" t="n">
        <v>0</v>
      </c>
      <c r="M5835" t="n">
        <v>0</v>
      </c>
      <c r="N5835" t="n">
        <v>0</v>
      </c>
      <c r="O5835" t="n">
        <v>0</v>
      </c>
      <c r="P5835" t="n">
        <v>0</v>
      </c>
      <c r="Q5835" t="n">
        <v>0</v>
      </c>
      <c r="R5835" s="2" t="inlineStr"/>
    </row>
    <row r="5836" ht="15" customHeight="1">
      <c r="A5836" t="inlineStr">
        <is>
          <t>A 4739-2025</t>
        </is>
      </c>
      <c r="B5836" s="1" t="n">
        <v>45688</v>
      </c>
      <c r="C5836" s="1" t="n">
        <v>45884</v>
      </c>
      <c r="D5836" t="inlineStr">
        <is>
          <t>KALMAR LÄN</t>
        </is>
      </c>
      <c r="E5836" t="inlineStr">
        <is>
          <t>HÖGSBY</t>
        </is>
      </c>
      <c r="G5836" t="n">
        <v>4.6</v>
      </c>
      <c r="H5836" t="n">
        <v>0</v>
      </c>
      <c r="I5836" t="n">
        <v>0</v>
      </c>
      <c r="J5836" t="n">
        <v>0</v>
      </c>
      <c r="K5836" t="n">
        <v>0</v>
      </c>
      <c r="L5836" t="n">
        <v>0</v>
      </c>
      <c r="M5836" t="n">
        <v>0</v>
      </c>
      <c r="N5836" t="n">
        <v>0</v>
      </c>
      <c r="O5836" t="n">
        <v>0</v>
      </c>
      <c r="P5836" t="n">
        <v>0</v>
      </c>
      <c r="Q5836" t="n">
        <v>0</v>
      </c>
      <c r="R5836" s="2" t="inlineStr"/>
    </row>
    <row r="5837" ht="15" customHeight="1">
      <c r="A5837" t="inlineStr">
        <is>
          <t>A 9215-2025</t>
        </is>
      </c>
      <c r="B5837" s="1" t="n">
        <v>45714.51229166667</v>
      </c>
      <c r="C5837" s="1" t="n">
        <v>45884</v>
      </c>
      <c r="D5837" t="inlineStr">
        <is>
          <t>KALMAR LÄN</t>
        </is>
      </c>
      <c r="E5837" t="inlineStr">
        <is>
          <t>MÖNSTERÅS</t>
        </is>
      </c>
      <c r="G5837" t="n">
        <v>1.9</v>
      </c>
      <c r="H5837" t="n">
        <v>0</v>
      </c>
      <c r="I5837" t="n">
        <v>0</v>
      </c>
      <c r="J5837" t="n">
        <v>0</v>
      </c>
      <c r="K5837" t="n">
        <v>0</v>
      </c>
      <c r="L5837" t="n">
        <v>0</v>
      </c>
      <c r="M5837" t="n">
        <v>0</v>
      </c>
      <c r="N5837" t="n">
        <v>0</v>
      </c>
      <c r="O5837" t="n">
        <v>0</v>
      </c>
      <c r="P5837" t="n">
        <v>0</v>
      </c>
      <c r="Q5837" t="n">
        <v>0</v>
      </c>
      <c r="R5837" s="2" t="inlineStr"/>
    </row>
    <row r="5838" ht="15" customHeight="1">
      <c r="A5838" t="inlineStr">
        <is>
          <t>A 20506-2025</t>
        </is>
      </c>
      <c r="B5838" s="1" t="n">
        <v>45775.59086805556</v>
      </c>
      <c r="C5838" s="1" t="n">
        <v>45884</v>
      </c>
      <c r="D5838" t="inlineStr">
        <is>
          <t>KALMAR LÄN</t>
        </is>
      </c>
      <c r="E5838" t="inlineStr">
        <is>
          <t>EMMABODA</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22267-2025</t>
        </is>
      </c>
      <c r="B5839" s="1" t="n">
        <v>45785.85196759259</v>
      </c>
      <c r="C5839" s="1" t="n">
        <v>45884</v>
      </c>
      <c r="D5839" t="inlineStr">
        <is>
          <t>KALMAR LÄN</t>
        </is>
      </c>
      <c r="E5839" t="inlineStr">
        <is>
          <t>NYBRO</t>
        </is>
      </c>
      <c r="G5839" t="n">
        <v>4.1</v>
      </c>
      <c r="H5839" t="n">
        <v>0</v>
      </c>
      <c r="I5839" t="n">
        <v>0</v>
      </c>
      <c r="J5839" t="n">
        <v>0</v>
      </c>
      <c r="K5839" t="n">
        <v>0</v>
      </c>
      <c r="L5839" t="n">
        <v>0</v>
      </c>
      <c r="M5839" t="n">
        <v>0</v>
      </c>
      <c r="N5839" t="n">
        <v>0</v>
      </c>
      <c r="O5839" t="n">
        <v>0</v>
      </c>
      <c r="P5839" t="n">
        <v>0</v>
      </c>
      <c r="Q5839" t="n">
        <v>0</v>
      </c>
      <c r="R5839" s="2" t="inlineStr"/>
    </row>
    <row r="5840" ht="15" customHeight="1">
      <c r="A5840" t="inlineStr">
        <is>
          <t>A 22270-2025</t>
        </is>
      </c>
      <c r="B5840" s="1" t="n">
        <v>45785.87679398148</v>
      </c>
      <c r="C5840" s="1" t="n">
        <v>45884</v>
      </c>
      <c r="D5840" t="inlineStr">
        <is>
          <t>KALMAR LÄN</t>
        </is>
      </c>
      <c r="E5840" t="inlineStr">
        <is>
          <t>NYBRO</t>
        </is>
      </c>
      <c r="G5840" t="n">
        <v>6.5</v>
      </c>
      <c r="H5840" t="n">
        <v>0</v>
      </c>
      <c r="I5840" t="n">
        <v>0</v>
      </c>
      <c r="J5840" t="n">
        <v>0</v>
      </c>
      <c r="K5840" t="n">
        <v>0</v>
      </c>
      <c r="L5840" t="n">
        <v>0</v>
      </c>
      <c r="M5840" t="n">
        <v>0</v>
      </c>
      <c r="N5840" t="n">
        <v>0</v>
      </c>
      <c r="O5840" t="n">
        <v>0</v>
      </c>
      <c r="P5840" t="n">
        <v>0</v>
      </c>
      <c r="Q5840" t="n">
        <v>0</v>
      </c>
      <c r="R5840" s="2" t="inlineStr"/>
    </row>
    <row r="5841" ht="15" customHeight="1">
      <c r="A5841" t="inlineStr">
        <is>
          <t>A 58883-2022</t>
        </is>
      </c>
      <c r="B5841" s="1" t="n">
        <v>44895</v>
      </c>
      <c r="C5841" s="1" t="n">
        <v>45884</v>
      </c>
      <c r="D5841" t="inlineStr">
        <is>
          <t>KALMAR LÄN</t>
        </is>
      </c>
      <c r="E5841" t="inlineStr">
        <is>
          <t>EMMABODA</t>
        </is>
      </c>
      <c r="G5841" t="n">
        <v>2.5</v>
      </c>
      <c r="H5841" t="n">
        <v>0</v>
      </c>
      <c r="I5841" t="n">
        <v>0</v>
      </c>
      <c r="J5841" t="n">
        <v>0</v>
      </c>
      <c r="K5841" t="n">
        <v>0</v>
      </c>
      <c r="L5841" t="n">
        <v>0</v>
      </c>
      <c r="M5841" t="n">
        <v>0</v>
      </c>
      <c r="N5841" t="n">
        <v>0</v>
      </c>
      <c r="O5841" t="n">
        <v>0</v>
      </c>
      <c r="P5841" t="n">
        <v>0</v>
      </c>
      <c r="Q5841" t="n">
        <v>0</v>
      </c>
      <c r="R5841" s="2" t="inlineStr"/>
    </row>
    <row r="5842" ht="15" customHeight="1">
      <c r="A5842" t="inlineStr">
        <is>
          <t>A 2184-2025</t>
        </is>
      </c>
      <c r="B5842" s="1" t="n">
        <v>45673.35722222222</v>
      </c>
      <c r="C5842" s="1" t="n">
        <v>45884</v>
      </c>
      <c r="D5842" t="inlineStr">
        <is>
          <t>KALMAR LÄN</t>
        </is>
      </c>
      <c r="E5842" t="inlineStr">
        <is>
          <t>NYBRO</t>
        </is>
      </c>
      <c r="G5842" t="n">
        <v>4.4</v>
      </c>
      <c r="H5842" t="n">
        <v>0</v>
      </c>
      <c r="I5842" t="n">
        <v>0</v>
      </c>
      <c r="J5842" t="n">
        <v>0</v>
      </c>
      <c r="K5842" t="n">
        <v>0</v>
      </c>
      <c r="L5842" t="n">
        <v>0</v>
      </c>
      <c r="M5842" t="n">
        <v>0</v>
      </c>
      <c r="N5842" t="n">
        <v>0</v>
      </c>
      <c r="O5842" t="n">
        <v>0</v>
      </c>
      <c r="P5842" t="n">
        <v>0</v>
      </c>
      <c r="Q5842" t="n">
        <v>0</v>
      </c>
      <c r="R5842" s="2" t="inlineStr"/>
    </row>
    <row r="5843" ht="15" customHeight="1">
      <c r="A5843" t="inlineStr">
        <is>
          <t>A 43934-2024</t>
        </is>
      </c>
      <c r="B5843" s="1" t="n">
        <v>45572.45870370371</v>
      </c>
      <c r="C5843" s="1" t="n">
        <v>45884</v>
      </c>
      <c r="D5843" t="inlineStr">
        <is>
          <t>KALMAR LÄN</t>
        </is>
      </c>
      <c r="E5843" t="inlineStr">
        <is>
          <t>OSKARSHAMN</t>
        </is>
      </c>
      <c r="G5843" t="n">
        <v>3</v>
      </c>
      <c r="H5843" t="n">
        <v>0</v>
      </c>
      <c r="I5843" t="n">
        <v>0</v>
      </c>
      <c r="J5843" t="n">
        <v>0</v>
      </c>
      <c r="K5843" t="n">
        <v>0</v>
      </c>
      <c r="L5843" t="n">
        <v>0</v>
      </c>
      <c r="M5843" t="n">
        <v>0</v>
      </c>
      <c r="N5843" t="n">
        <v>0</v>
      </c>
      <c r="O5843" t="n">
        <v>0</v>
      </c>
      <c r="P5843" t="n">
        <v>0</v>
      </c>
      <c r="Q5843" t="n">
        <v>0</v>
      </c>
      <c r="R5843" s="2" t="inlineStr"/>
    </row>
    <row r="5844" ht="15" customHeight="1">
      <c r="A5844" t="inlineStr">
        <is>
          <t>A 43984-2024</t>
        </is>
      </c>
      <c r="B5844" s="1" t="n">
        <v>45572.50128472222</v>
      </c>
      <c r="C5844" s="1" t="n">
        <v>45884</v>
      </c>
      <c r="D5844" t="inlineStr">
        <is>
          <t>KALMAR LÄN</t>
        </is>
      </c>
      <c r="E5844" t="inlineStr">
        <is>
          <t>NYBRO</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686-2025</t>
        </is>
      </c>
      <c r="B5845" s="1" t="n">
        <v>45665.30042824074</v>
      </c>
      <c r="C5845" s="1" t="n">
        <v>45884</v>
      </c>
      <c r="D5845" t="inlineStr">
        <is>
          <t>KALMAR LÄN</t>
        </is>
      </c>
      <c r="E5845" t="inlineStr">
        <is>
          <t>NYBRO</t>
        </is>
      </c>
      <c r="G5845" t="n">
        <v>1.9</v>
      </c>
      <c r="H5845" t="n">
        <v>0</v>
      </c>
      <c r="I5845" t="n">
        <v>0</v>
      </c>
      <c r="J5845" t="n">
        <v>0</v>
      </c>
      <c r="K5845" t="n">
        <v>0</v>
      </c>
      <c r="L5845" t="n">
        <v>0</v>
      </c>
      <c r="M5845" t="n">
        <v>0</v>
      </c>
      <c r="N5845" t="n">
        <v>0</v>
      </c>
      <c r="O5845" t="n">
        <v>0</v>
      </c>
      <c r="P5845" t="n">
        <v>0</v>
      </c>
      <c r="Q5845" t="n">
        <v>0</v>
      </c>
      <c r="R5845" s="2" t="inlineStr"/>
    </row>
    <row r="5846" ht="15" customHeight="1">
      <c r="A5846" t="inlineStr">
        <is>
          <t>A 22700-2025</t>
        </is>
      </c>
      <c r="B5846" s="1" t="n">
        <v>45789.54855324074</v>
      </c>
      <c r="C5846" s="1" t="n">
        <v>45884</v>
      </c>
      <c r="D5846" t="inlineStr">
        <is>
          <t>KALMAR LÄN</t>
        </is>
      </c>
      <c r="E5846" t="inlineStr">
        <is>
          <t>EMMABODA</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16691-2025</t>
        </is>
      </c>
      <c r="B5847" s="1" t="n">
        <v>45754.46086805555</v>
      </c>
      <c r="C5847" s="1" t="n">
        <v>45884</v>
      </c>
      <c r="D5847" t="inlineStr">
        <is>
          <t>KALMAR LÄN</t>
        </is>
      </c>
      <c r="E5847" t="inlineStr">
        <is>
          <t>VÄSTERVIK</t>
        </is>
      </c>
      <c r="F5847" t="inlineStr">
        <is>
          <t>Sveaskog</t>
        </is>
      </c>
      <c r="G5847" t="n">
        <v>2.8</v>
      </c>
      <c r="H5847" t="n">
        <v>0</v>
      </c>
      <c r="I5847" t="n">
        <v>0</v>
      </c>
      <c r="J5847" t="n">
        <v>0</v>
      </c>
      <c r="K5847" t="n">
        <v>0</v>
      </c>
      <c r="L5847" t="n">
        <v>0</v>
      </c>
      <c r="M5847" t="n">
        <v>0</v>
      </c>
      <c r="N5847" t="n">
        <v>0</v>
      </c>
      <c r="O5847" t="n">
        <v>0</v>
      </c>
      <c r="P5847" t="n">
        <v>0</v>
      </c>
      <c r="Q5847" t="n">
        <v>0</v>
      </c>
      <c r="R5847" s="2" t="inlineStr"/>
    </row>
    <row r="5848" ht="15" customHeight="1">
      <c r="A5848" t="inlineStr">
        <is>
          <t>A 20461-2021</t>
        </is>
      </c>
      <c r="B5848" s="1" t="n">
        <v>44315.61856481482</v>
      </c>
      <c r="C5848" s="1" t="n">
        <v>45884</v>
      </c>
      <c r="D5848" t="inlineStr">
        <is>
          <t>KALMAR LÄN</t>
        </is>
      </c>
      <c r="E5848" t="inlineStr">
        <is>
          <t>NYBRO</t>
        </is>
      </c>
      <c r="G5848" t="n">
        <v>4.5</v>
      </c>
      <c r="H5848" t="n">
        <v>0</v>
      </c>
      <c r="I5848" t="n">
        <v>0</v>
      </c>
      <c r="J5848" t="n">
        <v>0</v>
      </c>
      <c r="K5848" t="n">
        <v>0</v>
      </c>
      <c r="L5848" t="n">
        <v>0</v>
      </c>
      <c r="M5848" t="n">
        <v>0</v>
      </c>
      <c r="N5848" t="n">
        <v>0</v>
      </c>
      <c r="O5848" t="n">
        <v>0</v>
      </c>
      <c r="P5848" t="n">
        <v>0</v>
      </c>
      <c r="Q5848" t="n">
        <v>0</v>
      </c>
      <c r="R5848" s="2" t="inlineStr"/>
    </row>
    <row r="5849" ht="15" customHeight="1">
      <c r="A5849" t="inlineStr">
        <is>
          <t>A 49066-2021</t>
        </is>
      </c>
      <c r="B5849" s="1" t="n">
        <v>44453</v>
      </c>
      <c r="C5849" s="1" t="n">
        <v>45884</v>
      </c>
      <c r="D5849" t="inlineStr">
        <is>
          <t>KALMAR LÄN</t>
        </is>
      </c>
      <c r="E5849" t="inlineStr">
        <is>
          <t>EMMABODA</t>
        </is>
      </c>
      <c r="G5849" t="n">
        <v>8.6</v>
      </c>
      <c r="H5849" t="n">
        <v>0</v>
      </c>
      <c r="I5849" t="n">
        <v>0</v>
      </c>
      <c r="J5849" t="n">
        <v>0</v>
      </c>
      <c r="K5849" t="n">
        <v>0</v>
      </c>
      <c r="L5849" t="n">
        <v>0</v>
      </c>
      <c r="M5849" t="n">
        <v>0</v>
      </c>
      <c r="N5849" t="n">
        <v>0</v>
      </c>
      <c r="O5849" t="n">
        <v>0</v>
      </c>
      <c r="P5849" t="n">
        <v>0</v>
      </c>
      <c r="Q5849" t="n">
        <v>0</v>
      </c>
      <c r="R5849" s="2" t="inlineStr"/>
    </row>
    <row r="5850" ht="15" customHeight="1">
      <c r="A5850" t="inlineStr">
        <is>
          <t>A 29085-2024</t>
        </is>
      </c>
      <c r="B5850" s="1" t="n">
        <v>45481.92570601852</v>
      </c>
      <c r="C5850" s="1" t="n">
        <v>45884</v>
      </c>
      <c r="D5850" t="inlineStr">
        <is>
          <t>KALMAR LÄN</t>
        </is>
      </c>
      <c r="E5850" t="inlineStr">
        <is>
          <t>EMMABODA</t>
        </is>
      </c>
      <c r="G5850" t="n">
        <v>1.6</v>
      </c>
      <c r="H5850" t="n">
        <v>0</v>
      </c>
      <c r="I5850" t="n">
        <v>0</v>
      </c>
      <c r="J5850" t="n">
        <v>0</v>
      </c>
      <c r="K5850" t="n">
        <v>0</v>
      </c>
      <c r="L5850" t="n">
        <v>0</v>
      </c>
      <c r="M5850" t="n">
        <v>0</v>
      </c>
      <c r="N5850" t="n">
        <v>0</v>
      </c>
      <c r="O5850" t="n">
        <v>0</v>
      </c>
      <c r="P5850" t="n">
        <v>0</v>
      </c>
      <c r="Q5850" t="n">
        <v>0</v>
      </c>
      <c r="R5850" s="2" t="inlineStr"/>
    </row>
    <row r="5851" ht="15" customHeight="1">
      <c r="A5851" t="inlineStr">
        <is>
          <t>A 22404-2025</t>
        </is>
      </c>
      <c r="B5851" s="1" t="n">
        <v>45786.53828703704</v>
      </c>
      <c r="C5851" s="1" t="n">
        <v>45884</v>
      </c>
      <c r="D5851" t="inlineStr">
        <is>
          <t>KALMAR LÄN</t>
        </is>
      </c>
      <c r="E5851" t="inlineStr">
        <is>
          <t>HÖGSBY</t>
        </is>
      </c>
      <c r="F5851" t="inlineStr">
        <is>
          <t>Sveaskog</t>
        </is>
      </c>
      <c r="G5851" t="n">
        <v>5</v>
      </c>
      <c r="H5851" t="n">
        <v>0</v>
      </c>
      <c r="I5851" t="n">
        <v>0</v>
      </c>
      <c r="J5851" t="n">
        <v>0</v>
      </c>
      <c r="K5851" t="n">
        <v>0</v>
      </c>
      <c r="L5851" t="n">
        <v>0</v>
      </c>
      <c r="M5851" t="n">
        <v>0</v>
      </c>
      <c r="N5851" t="n">
        <v>0</v>
      </c>
      <c r="O5851" t="n">
        <v>0</v>
      </c>
      <c r="P5851" t="n">
        <v>0</v>
      </c>
      <c r="Q5851" t="n">
        <v>0</v>
      </c>
      <c r="R5851" s="2" t="inlineStr"/>
    </row>
    <row r="5852" ht="15" customHeight="1">
      <c r="A5852" t="inlineStr">
        <is>
          <t>A 22407-2025</t>
        </is>
      </c>
      <c r="B5852" s="1" t="n">
        <v>45786.54587962963</v>
      </c>
      <c r="C5852" s="1" t="n">
        <v>45884</v>
      </c>
      <c r="D5852" t="inlineStr">
        <is>
          <t>KALMAR LÄN</t>
        </is>
      </c>
      <c r="E5852" t="inlineStr">
        <is>
          <t>HÖGSBY</t>
        </is>
      </c>
      <c r="F5852" t="inlineStr">
        <is>
          <t>Sveaskog</t>
        </is>
      </c>
      <c r="G5852" t="n">
        <v>3.5</v>
      </c>
      <c r="H5852" t="n">
        <v>0</v>
      </c>
      <c r="I5852" t="n">
        <v>0</v>
      </c>
      <c r="J5852" t="n">
        <v>0</v>
      </c>
      <c r="K5852" t="n">
        <v>0</v>
      </c>
      <c r="L5852" t="n">
        <v>0</v>
      </c>
      <c r="M5852" t="n">
        <v>0</v>
      </c>
      <c r="N5852" t="n">
        <v>0</v>
      </c>
      <c r="O5852" t="n">
        <v>0</v>
      </c>
      <c r="P5852" t="n">
        <v>0</v>
      </c>
      <c r="Q5852" t="n">
        <v>0</v>
      </c>
      <c r="R5852" s="2" t="inlineStr"/>
    </row>
    <row r="5853" ht="15" customHeight="1">
      <c r="A5853" t="inlineStr">
        <is>
          <t>A 51142-2024</t>
        </is>
      </c>
      <c r="B5853" s="1" t="n">
        <v>45603.54962962963</v>
      </c>
      <c r="C5853" s="1" t="n">
        <v>45884</v>
      </c>
      <c r="D5853" t="inlineStr">
        <is>
          <t>KALMAR LÄN</t>
        </is>
      </c>
      <c r="E5853" t="inlineStr">
        <is>
          <t>OSKARSHAMN</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37986-2023</t>
        </is>
      </c>
      <c r="B5854" s="1" t="n">
        <v>45160.60331018519</v>
      </c>
      <c r="C5854" s="1" t="n">
        <v>45884</v>
      </c>
      <c r="D5854" t="inlineStr">
        <is>
          <t>KALMAR LÄN</t>
        </is>
      </c>
      <c r="E5854" t="inlineStr">
        <is>
          <t>VÄSTERVIK</t>
        </is>
      </c>
      <c r="F5854" t="inlineStr">
        <is>
          <t>Sveaskog</t>
        </is>
      </c>
      <c r="G5854" t="n">
        <v>4</v>
      </c>
      <c r="H5854" t="n">
        <v>0</v>
      </c>
      <c r="I5854" t="n">
        <v>0</v>
      </c>
      <c r="J5854" t="n">
        <v>0</v>
      </c>
      <c r="K5854" t="n">
        <v>0</v>
      </c>
      <c r="L5854" t="n">
        <v>0</v>
      </c>
      <c r="M5854" t="n">
        <v>0</v>
      </c>
      <c r="N5854" t="n">
        <v>0</v>
      </c>
      <c r="O5854" t="n">
        <v>0</v>
      </c>
      <c r="P5854" t="n">
        <v>0</v>
      </c>
      <c r="Q5854" t="n">
        <v>0</v>
      </c>
      <c r="R5854" s="2" t="inlineStr"/>
    </row>
    <row r="5855" ht="15" customHeight="1">
      <c r="A5855" t="inlineStr">
        <is>
          <t>A 10145-2022</t>
        </is>
      </c>
      <c r="B5855" s="1" t="n">
        <v>44621.9492824074</v>
      </c>
      <c r="C5855" s="1" t="n">
        <v>45884</v>
      </c>
      <c r="D5855" t="inlineStr">
        <is>
          <t>KALMAR LÄN</t>
        </is>
      </c>
      <c r="E5855" t="inlineStr">
        <is>
          <t>OSKARSHAMN</t>
        </is>
      </c>
      <c r="G5855" t="n">
        <v>1.5</v>
      </c>
      <c r="H5855" t="n">
        <v>0</v>
      </c>
      <c r="I5855" t="n">
        <v>0</v>
      </c>
      <c r="J5855" t="n">
        <v>0</v>
      </c>
      <c r="K5855" t="n">
        <v>0</v>
      </c>
      <c r="L5855" t="n">
        <v>0</v>
      </c>
      <c r="M5855" t="n">
        <v>0</v>
      </c>
      <c r="N5855" t="n">
        <v>0</v>
      </c>
      <c r="O5855" t="n">
        <v>0</v>
      </c>
      <c r="P5855" t="n">
        <v>0</v>
      </c>
      <c r="Q5855" t="n">
        <v>0</v>
      </c>
      <c r="R5855" s="2" t="inlineStr"/>
    </row>
    <row r="5856" ht="15" customHeight="1">
      <c r="A5856" t="inlineStr">
        <is>
          <t>A 36374-2024</t>
        </is>
      </c>
      <c r="B5856" s="1" t="n">
        <v>45534.67787037037</v>
      </c>
      <c r="C5856" s="1" t="n">
        <v>45884</v>
      </c>
      <c r="D5856" t="inlineStr">
        <is>
          <t>KALMAR LÄN</t>
        </is>
      </c>
      <c r="E5856" t="inlineStr">
        <is>
          <t>NYBRO</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8300-2025</t>
        </is>
      </c>
      <c r="B5857" s="1" t="n">
        <v>45708.58996527778</v>
      </c>
      <c r="C5857" s="1" t="n">
        <v>45884</v>
      </c>
      <c r="D5857" t="inlineStr">
        <is>
          <t>KALMAR LÄN</t>
        </is>
      </c>
      <c r="E5857" t="inlineStr">
        <is>
          <t>OSKARSHAMN</t>
        </is>
      </c>
      <c r="G5857" t="n">
        <v>2.3</v>
      </c>
      <c r="H5857" t="n">
        <v>0</v>
      </c>
      <c r="I5857" t="n">
        <v>0</v>
      </c>
      <c r="J5857" t="n">
        <v>0</v>
      </c>
      <c r="K5857" t="n">
        <v>0</v>
      </c>
      <c r="L5857" t="n">
        <v>0</v>
      </c>
      <c r="M5857" t="n">
        <v>0</v>
      </c>
      <c r="N5857" t="n">
        <v>0</v>
      </c>
      <c r="O5857" t="n">
        <v>0</v>
      </c>
      <c r="P5857" t="n">
        <v>0</v>
      </c>
      <c r="Q5857" t="n">
        <v>0</v>
      </c>
      <c r="R5857" s="2" t="inlineStr"/>
    </row>
    <row r="5858" ht="15" customHeight="1">
      <c r="A5858" t="inlineStr">
        <is>
          <t>A 6731-2024</t>
        </is>
      </c>
      <c r="B5858" s="1" t="n">
        <v>45342.38787037037</v>
      </c>
      <c r="C5858" s="1" t="n">
        <v>45884</v>
      </c>
      <c r="D5858" t="inlineStr">
        <is>
          <t>KALMAR LÄN</t>
        </is>
      </c>
      <c r="E5858" t="inlineStr">
        <is>
          <t>VÄSTERVIK</t>
        </is>
      </c>
      <c r="F5858" t="inlineStr">
        <is>
          <t>Holmen skog AB</t>
        </is>
      </c>
      <c r="G5858" t="n">
        <v>6.7</v>
      </c>
      <c r="H5858" t="n">
        <v>0</v>
      </c>
      <c r="I5858" t="n">
        <v>0</v>
      </c>
      <c r="J5858" t="n">
        <v>0</v>
      </c>
      <c r="K5858" t="n">
        <v>0</v>
      </c>
      <c r="L5858" t="n">
        <v>0</v>
      </c>
      <c r="M5858" t="n">
        <v>0</v>
      </c>
      <c r="N5858" t="n">
        <v>0</v>
      </c>
      <c r="O5858" t="n">
        <v>0</v>
      </c>
      <c r="P5858" t="n">
        <v>0</v>
      </c>
      <c r="Q5858" t="n">
        <v>0</v>
      </c>
      <c r="R5858" s="2" t="inlineStr"/>
    </row>
    <row r="5859" ht="15" customHeight="1">
      <c r="A5859" t="inlineStr">
        <is>
          <t>A 11621-2025</t>
        </is>
      </c>
      <c r="B5859" s="1" t="n">
        <v>45727.45439814815</v>
      </c>
      <c r="C5859" s="1" t="n">
        <v>45884</v>
      </c>
      <c r="D5859" t="inlineStr">
        <is>
          <t>KALMAR LÄN</t>
        </is>
      </c>
      <c r="E5859" t="inlineStr">
        <is>
          <t>EMMABODA</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59768-2024</t>
        </is>
      </c>
      <c r="B5860" s="1" t="n">
        <v>45639.56185185185</v>
      </c>
      <c r="C5860" s="1" t="n">
        <v>45884</v>
      </c>
      <c r="D5860" t="inlineStr">
        <is>
          <t>KALMAR LÄN</t>
        </is>
      </c>
      <c r="E5860" t="inlineStr">
        <is>
          <t>VIMMERBY</t>
        </is>
      </c>
      <c r="G5860" t="n">
        <v>5.9</v>
      </c>
      <c r="H5860" t="n">
        <v>0</v>
      </c>
      <c r="I5860" t="n">
        <v>0</v>
      </c>
      <c r="J5860" t="n">
        <v>0</v>
      </c>
      <c r="K5860" t="n">
        <v>0</v>
      </c>
      <c r="L5860" t="n">
        <v>0</v>
      </c>
      <c r="M5860" t="n">
        <v>0</v>
      </c>
      <c r="N5860" t="n">
        <v>0</v>
      </c>
      <c r="O5860" t="n">
        <v>0</v>
      </c>
      <c r="P5860" t="n">
        <v>0</v>
      </c>
      <c r="Q5860" t="n">
        <v>0</v>
      </c>
      <c r="R5860" s="2" t="inlineStr"/>
    </row>
    <row r="5861" ht="15" customHeight="1">
      <c r="A5861" t="inlineStr">
        <is>
          <t>A 35087-2023</t>
        </is>
      </c>
      <c r="B5861" s="1" t="n">
        <v>45145.44652777778</v>
      </c>
      <c r="C5861" s="1" t="n">
        <v>45884</v>
      </c>
      <c r="D5861" t="inlineStr">
        <is>
          <t>KALMAR LÄN</t>
        </is>
      </c>
      <c r="E5861" t="inlineStr">
        <is>
          <t>HÖGSBY</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36644-2024</t>
        </is>
      </c>
      <c r="B5862" s="1" t="n">
        <v>45537.60454861111</v>
      </c>
      <c r="C5862" s="1" t="n">
        <v>45884</v>
      </c>
      <c r="D5862" t="inlineStr">
        <is>
          <t>KALMAR LÄN</t>
        </is>
      </c>
      <c r="E5862" t="inlineStr">
        <is>
          <t>MÖNSTERÅS</t>
        </is>
      </c>
      <c r="G5862" t="n">
        <v>7.3</v>
      </c>
      <c r="H5862" t="n">
        <v>0</v>
      </c>
      <c r="I5862" t="n">
        <v>0</v>
      </c>
      <c r="J5862" t="n">
        <v>0</v>
      </c>
      <c r="K5862" t="n">
        <v>0</v>
      </c>
      <c r="L5862" t="n">
        <v>0</v>
      </c>
      <c r="M5862" t="n">
        <v>0</v>
      </c>
      <c r="N5862" t="n">
        <v>0</v>
      </c>
      <c r="O5862" t="n">
        <v>0</v>
      </c>
      <c r="P5862" t="n">
        <v>0</v>
      </c>
      <c r="Q5862" t="n">
        <v>0</v>
      </c>
      <c r="R5862" s="2" t="inlineStr"/>
    </row>
    <row r="5863" ht="15" customHeight="1">
      <c r="A5863" t="inlineStr">
        <is>
          <t>A 11735-2024</t>
        </is>
      </c>
      <c r="B5863" s="1" t="n">
        <v>45373.70664351852</v>
      </c>
      <c r="C5863" s="1" t="n">
        <v>45884</v>
      </c>
      <c r="D5863" t="inlineStr">
        <is>
          <t>KALMAR LÄN</t>
        </is>
      </c>
      <c r="E5863" t="inlineStr">
        <is>
          <t>OSKARSHAMN</t>
        </is>
      </c>
      <c r="G5863" t="n">
        <v>2</v>
      </c>
      <c r="H5863" t="n">
        <v>0</v>
      </c>
      <c r="I5863" t="n">
        <v>0</v>
      </c>
      <c r="J5863" t="n">
        <v>0</v>
      </c>
      <c r="K5863" t="n">
        <v>0</v>
      </c>
      <c r="L5863" t="n">
        <v>0</v>
      </c>
      <c r="M5863" t="n">
        <v>0</v>
      </c>
      <c r="N5863" t="n">
        <v>0</v>
      </c>
      <c r="O5863" t="n">
        <v>0</v>
      </c>
      <c r="P5863" t="n">
        <v>0</v>
      </c>
      <c r="Q5863" t="n">
        <v>0</v>
      </c>
      <c r="R5863" s="2" t="inlineStr"/>
    </row>
    <row r="5864" ht="15" customHeight="1">
      <c r="A5864" t="inlineStr">
        <is>
          <t>A 36526-2023</t>
        </is>
      </c>
      <c r="B5864" s="1" t="n">
        <v>45153.32778935185</v>
      </c>
      <c r="C5864" s="1" t="n">
        <v>45884</v>
      </c>
      <c r="D5864" t="inlineStr">
        <is>
          <t>KALMAR LÄN</t>
        </is>
      </c>
      <c r="E5864" t="inlineStr">
        <is>
          <t>VIMMERBY</t>
        </is>
      </c>
      <c r="G5864" t="n">
        <v>2.7</v>
      </c>
      <c r="H5864" t="n">
        <v>0</v>
      </c>
      <c r="I5864" t="n">
        <v>0</v>
      </c>
      <c r="J5864" t="n">
        <v>0</v>
      </c>
      <c r="K5864" t="n">
        <v>0</v>
      </c>
      <c r="L5864" t="n">
        <v>0</v>
      </c>
      <c r="M5864" t="n">
        <v>0</v>
      </c>
      <c r="N5864" t="n">
        <v>0</v>
      </c>
      <c r="O5864" t="n">
        <v>0</v>
      </c>
      <c r="P5864" t="n">
        <v>0</v>
      </c>
      <c r="Q5864" t="n">
        <v>0</v>
      </c>
      <c r="R5864" s="2" t="inlineStr"/>
    </row>
    <row r="5865" ht="15" customHeight="1">
      <c r="A5865" t="inlineStr">
        <is>
          <t>A 27906-2023</t>
        </is>
      </c>
      <c r="B5865" s="1" t="n">
        <v>45098</v>
      </c>
      <c r="C5865" s="1" t="n">
        <v>45884</v>
      </c>
      <c r="D5865" t="inlineStr">
        <is>
          <t>KALMAR LÄN</t>
        </is>
      </c>
      <c r="E5865" t="inlineStr">
        <is>
          <t>OSKARSHAMN</t>
        </is>
      </c>
      <c r="G5865" t="n">
        <v>3.2</v>
      </c>
      <c r="H5865" t="n">
        <v>0</v>
      </c>
      <c r="I5865" t="n">
        <v>0</v>
      </c>
      <c r="J5865" t="n">
        <v>0</v>
      </c>
      <c r="K5865" t="n">
        <v>0</v>
      </c>
      <c r="L5865" t="n">
        <v>0</v>
      </c>
      <c r="M5865" t="n">
        <v>0</v>
      </c>
      <c r="N5865" t="n">
        <v>0</v>
      </c>
      <c r="O5865" t="n">
        <v>0</v>
      </c>
      <c r="P5865" t="n">
        <v>0</v>
      </c>
      <c r="Q5865" t="n">
        <v>0</v>
      </c>
      <c r="R5865" s="2" t="inlineStr"/>
    </row>
    <row r="5866" ht="15" customHeight="1">
      <c r="A5866" t="inlineStr">
        <is>
          <t>A 27916-2023</t>
        </is>
      </c>
      <c r="B5866" s="1" t="n">
        <v>45093</v>
      </c>
      <c r="C5866" s="1" t="n">
        <v>45884</v>
      </c>
      <c r="D5866" t="inlineStr">
        <is>
          <t>KALMAR LÄN</t>
        </is>
      </c>
      <c r="E5866" t="inlineStr">
        <is>
          <t>HÖGSBY</t>
        </is>
      </c>
      <c r="G5866" t="n">
        <v>0.5</v>
      </c>
      <c r="H5866" t="n">
        <v>0</v>
      </c>
      <c r="I5866" t="n">
        <v>0</v>
      </c>
      <c r="J5866" t="n">
        <v>0</v>
      </c>
      <c r="K5866" t="n">
        <v>0</v>
      </c>
      <c r="L5866" t="n">
        <v>0</v>
      </c>
      <c r="M5866" t="n">
        <v>0</v>
      </c>
      <c r="N5866" t="n">
        <v>0</v>
      </c>
      <c r="O5866" t="n">
        <v>0</v>
      </c>
      <c r="P5866" t="n">
        <v>0</v>
      </c>
      <c r="Q5866" t="n">
        <v>0</v>
      </c>
      <c r="R5866" s="2" t="inlineStr"/>
    </row>
    <row r="5867" ht="15" customHeight="1">
      <c r="A5867" t="inlineStr">
        <is>
          <t>A 36663-2023</t>
        </is>
      </c>
      <c r="B5867" s="1" t="n">
        <v>45153</v>
      </c>
      <c r="C5867" s="1" t="n">
        <v>45884</v>
      </c>
      <c r="D5867" t="inlineStr">
        <is>
          <t>KALMAR LÄN</t>
        </is>
      </c>
      <c r="E5867" t="inlineStr">
        <is>
          <t>HULTSFRED</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22393-2025</t>
        </is>
      </c>
      <c r="B5868" s="1" t="n">
        <v>45786.51432870371</v>
      </c>
      <c r="C5868" s="1" t="n">
        <v>45884</v>
      </c>
      <c r="D5868" t="inlineStr">
        <is>
          <t>KALMAR LÄN</t>
        </is>
      </c>
      <c r="E5868" t="inlineStr">
        <is>
          <t>MÖNSTERÅS</t>
        </is>
      </c>
      <c r="G5868" t="n">
        <v>2.4</v>
      </c>
      <c r="H5868" t="n">
        <v>0</v>
      </c>
      <c r="I5868" t="n">
        <v>0</v>
      </c>
      <c r="J5868" t="n">
        <v>0</v>
      </c>
      <c r="K5868" t="n">
        <v>0</v>
      </c>
      <c r="L5868" t="n">
        <v>0</v>
      </c>
      <c r="M5868" t="n">
        <v>0</v>
      </c>
      <c r="N5868" t="n">
        <v>0</v>
      </c>
      <c r="O5868" t="n">
        <v>0</v>
      </c>
      <c r="P5868" t="n">
        <v>0</v>
      </c>
      <c r="Q5868" t="n">
        <v>0</v>
      </c>
      <c r="R5868" s="2" t="inlineStr"/>
    </row>
    <row r="5869" ht="15" customHeight="1">
      <c r="A5869" t="inlineStr">
        <is>
          <t>A 57578-2024</t>
        </is>
      </c>
      <c r="B5869" s="1" t="n">
        <v>45630.47564814815</v>
      </c>
      <c r="C5869" s="1" t="n">
        <v>45884</v>
      </c>
      <c r="D5869" t="inlineStr">
        <is>
          <t>KALMAR LÄN</t>
        </is>
      </c>
      <c r="E5869" t="inlineStr">
        <is>
          <t>VIMMERBY</t>
        </is>
      </c>
      <c r="G5869" t="n">
        <v>2.6</v>
      </c>
      <c r="H5869" t="n">
        <v>0</v>
      </c>
      <c r="I5869" t="n">
        <v>0</v>
      </c>
      <c r="J5869" t="n">
        <v>0</v>
      </c>
      <c r="K5869" t="n">
        <v>0</v>
      </c>
      <c r="L5869" t="n">
        <v>0</v>
      </c>
      <c r="M5869" t="n">
        <v>0</v>
      </c>
      <c r="N5869" t="n">
        <v>0</v>
      </c>
      <c r="O5869" t="n">
        <v>0</v>
      </c>
      <c r="P5869" t="n">
        <v>0</v>
      </c>
      <c r="Q5869" t="n">
        <v>0</v>
      </c>
      <c r="R5869" s="2" t="inlineStr"/>
    </row>
    <row r="5870" ht="15" customHeight="1">
      <c r="A5870" t="inlineStr">
        <is>
          <t>A 6195-2025</t>
        </is>
      </c>
      <c r="B5870" s="1" t="n">
        <v>45698.47010416666</v>
      </c>
      <c r="C5870" s="1" t="n">
        <v>45884</v>
      </c>
      <c r="D5870" t="inlineStr">
        <is>
          <t>KALMAR LÄN</t>
        </is>
      </c>
      <c r="E5870" t="inlineStr">
        <is>
          <t>NYBRO</t>
        </is>
      </c>
      <c r="G5870" t="n">
        <v>1.5</v>
      </c>
      <c r="H5870" t="n">
        <v>0</v>
      </c>
      <c r="I5870" t="n">
        <v>0</v>
      </c>
      <c r="J5870" t="n">
        <v>0</v>
      </c>
      <c r="K5870" t="n">
        <v>0</v>
      </c>
      <c r="L5870" t="n">
        <v>0</v>
      </c>
      <c r="M5870" t="n">
        <v>0</v>
      </c>
      <c r="N5870" t="n">
        <v>0</v>
      </c>
      <c r="O5870" t="n">
        <v>0</v>
      </c>
      <c r="P5870" t="n">
        <v>0</v>
      </c>
      <c r="Q5870" t="n">
        <v>0</v>
      </c>
      <c r="R5870" s="2" t="inlineStr"/>
    </row>
    <row r="5871" ht="15" customHeight="1">
      <c r="A5871" t="inlineStr">
        <is>
          <t>A 42697-2024</t>
        </is>
      </c>
      <c r="B5871" s="1" t="n">
        <v>45566.42055555555</v>
      </c>
      <c r="C5871" s="1" t="n">
        <v>45884</v>
      </c>
      <c r="D5871" t="inlineStr">
        <is>
          <t>KALMAR LÄN</t>
        </is>
      </c>
      <c r="E5871" t="inlineStr">
        <is>
          <t>KALMAR</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42847-2024</t>
        </is>
      </c>
      <c r="B5872" s="1" t="n">
        <v>45566.63414351852</v>
      </c>
      <c r="C5872" s="1" t="n">
        <v>45884</v>
      </c>
      <c r="D5872" t="inlineStr">
        <is>
          <t>KALMAR LÄN</t>
        </is>
      </c>
      <c r="E5872" t="inlineStr">
        <is>
          <t>EMMABODA</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46429-2024</t>
        </is>
      </c>
      <c r="B5873" s="1" t="n">
        <v>45582</v>
      </c>
      <c r="C5873" s="1" t="n">
        <v>45884</v>
      </c>
      <c r="D5873" t="inlineStr">
        <is>
          <t>KALMAR LÄN</t>
        </is>
      </c>
      <c r="E5873" t="inlineStr">
        <is>
          <t>EMMABODA</t>
        </is>
      </c>
      <c r="G5873" t="n">
        <v>2.5</v>
      </c>
      <c r="H5873" t="n">
        <v>0</v>
      </c>
      <c r="I5873" t="n">
        <v>0</v>
      </c>
      <c r="J5873" t="n">
        <v>0</v>
      </c>
      <c r="K5873" t="n">
        <v>0</v>
      </c>
      <c r="L5873" t="n">
        <v>0</v>
      </c>
      <c r="M5873" t="n">
        <v>0</v>
      </c>
      <c r="N5873" t="n">
        <v>0</v>
      </c>
      <c r="O5873" t="n">
        <v>0</v>
      </c>
      <c r="P5873" t="n">
        <v>0</v>
      </c>
      <c r="Q5873" t="n">
        <v>0</v>
      </c>
      <c r="R5873" s="2" t="inlineStr"/>
    </row>
    <row r="5874" ht="15" customHeight="1">
      <c r="A5874" t="inlineStr">
        <is>
          <t>A 9005-2024</t>
        </is>
      </c>
      <c r="B5874" s="1" t="n">
        <v>45357.56929398148</v>
      </c>
      <c r="C5874" s="1" t="n">
        <v>45884</v>
      </c>
      <c r="D5874" t="inlineStr">
        <is>
          <t>KALMAR LÄN</t>
        </is>
      </c>
      <c r="E5874" t="inlineStr">
        <is>
          <t>NYBRO</t>
        </is>
      </c>
      <c r="G5874" t="n">
        <v>3.6</v>
      </c>
      <c r="H5874" t="n">
        <v>0</v>
      </c>
      <c r="I5874" t="n">
        <v>0</v>
      </c>
      <c r="J5874" t="n">
        <v>0</v>
      </c>
      <c r="K5874" t="n">
        <v>0</v>
      </c>
      <c r="L5874" t="n">
        <v>0</v>
      </c>
      <c r="M5874" t="n">
        <v>0</v>
      </c>
      <c r="N5874" t="n">
        <v>0</v>
      </c>
      <c r="O5874" t="n">
        <v>0</v>
      </c>
      <c r="P5874" t="n">
        <v>0</v>
      </c>
      <c r="Q5874" t="n">
        <v>0</v>
      </c>
      <c r="R5874" s="2" t="inlineStr"/>
    </row>
    <row r="5875" ht="15" customHeight="1">
      <c r="A5875" t="inlineStr">
        <is>
          <t>A 52462-2024</t>
        </is>
      </c>
      <c r="B5875" s="1" t="n">
        <v>45609.51984953704</v>
      </c>
      <c r="C5875" s="1" t="n">
        <v>45884</v>
      </c>
      <c r="D5875" t="inlineStr">
        <is>
          <t>KALMAR LÄN</t>
        </is>
      </c>
      <c r="E5875" t="inlineStr">
        <is>
          <t>EMMABODA</t>
        </is>
      </c>
      <c r="G5875" t="n">
        <v>3</v>
      </c>
      <c r="H5875" t="n">
        <v>0</v>
      </c>
      <c r="I5875" t="n">
        <v>0</v>
      </c>
      <c r="J5875" t="n">
        <v>0</v>
      </c>
      <c r="K5875" t="n">
        <v>0</v>
      </c>
      <c r="L5875" t="n">
        <v>0</v>
      </c>
      <c r="M5875" t="n">
        <v>0</v>
      </c>
      <c r="N5875" t="n">
        <v>0</v>
      </c>
      <c r="O5875" t="n">
        <v>0</v>
      </c>
      <c r="P5875" t="n">
        <v>0</v>
      </c>
      <c r="Q5875" t="n">
        <v>0</v>
      </c>
      <c r="R5875" s="2" t="inlineStr"/>
    </row>
    <row r="5876" ht="15" customHeight="1">
      <c r="A5876" t="inlineStr">
        <is>
          <t>A 5107-2024</t>
        </is>
      </c>
      <c r="B5876" s="1" t="n">
        <v>45330</v>
      </c>
      <c r="C5876" s="1" t="n">
        <v>45884</v>
      </c>
      <c r="D5876" t="inlineStr">
        <is>
          <t>KALMAR LÄN</t>
        </is>
      </c>
      <c r="E5876" t="inlineStr">
        <is>
          <t>TORSÅS</t>
        </is>
      </c>
      <c r="G5876" t="n">
        <v>3.1</v>
      </c>
      <c r="H5876" t="n">
        <v>0</v>
      </c>
      <c r="I5876" t="n">
        <v>0</v>
      </c>
      <c r="J5876" t="n">
        <v>0</v>
      </c>
      <c r="K5876" t="n">
        <v>0</v>
      </c>
      <c r="L5876" t="n">
        <v>0</v>
      </c>
      <c r="M5876" t="n">
        <v>0</v>
      </c>
      <c r="N5876" t="n">
        <v>0</v>
      </c>
      <c r="O5876" t="n">
        <v>0</v>
      </c>
      <c r="P5876" t="n">
        <v>0</v>
      </c>
      <c r="Q5876" t="n">
        <v>0</v>
      </c>
      <c r="R5876" s="2" t="inlineStr"/>
    </row>
    <row r="5877" ht="15" customHeight="1">
      <c r="A5877" t="inlineStr">
        <is>
          <t>A 22676-2025</t>
        </is>
      </c>
      <c r="B5877" s="1" t="n">
        <v>45789.49431712963</v>
      </c>
      <c r="C5877" s="1" t="n">
        <v>45884</v>
      </c>
      <c r="D5877" t="inlineStr">
        <is>
          <t>KALMAR LÄN</t>
        </is>
      </c>
      <c r="E5877" t="inlineStr">
        <is>
          <t>HULTSFRED</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1079-2024</t>
        </is>
      </c>
      <c r="B5878" s="1" t="n">
        <v>45301</v>
      </c>
      <c r="C5878" s="1" t="n">
        <v>45884</v>
      </c>
      <c r="D5878" t="inlineStr">
        <is>
          <t>KALMAR LÄN</t>
        </is>
      </c>
      <c r="E5878" t="inlineStr">
        <is>
          <t>NYBRO</t>
        </is>
      </c>
      <c r="G5878" t="n">
        <v>4.4</v>
      </c>
      <c r="H5878" t="n">
        <v>0</v>
      </c>
      <c r="I5878" t="n">
        <v>0</v>
      </c>
      <c r="J5878" t="n">
        <v>0</v>
      </c>
      <c r="K5878" t="n">
        <v>0</v>
      </c>
      <c r="L5878" t="n">
        <v>0</v>
      </c>
      <c r="M5878" t="n">
        <v>0</v>
      </c>
      <c r="N5878" t="n">
        <v>0</v>
      </c>
      <c r="O5878" t="n">
        <v>0</v>
      </c>
      <c r="P5878" t="n">
        <v>0</v>
      </c>
      <c r="Q5878" t="n">
        <v>0</v>
      </c>
      <c r="R5878" s="2" t="inlineStr"/>
    </row>
    <row r="5879" ht="15" customHeight="1">
      <c r="A5879" t="inlineStr">
        <is>
          <t>A 30029-2024</t>
        </is>
      </c>
      <c r="B5879" s="1" t="n">
        <v>45488.65181712963</v>
      </c>
      <c r="C5879" s="1" t="n">
        <v>45884</v>
      </c>
      <c r="D5879" t="inlineStr">
        <is>
          <t>KALMAR LÄN</t>
        </is>
      </c>
      <c r="E5879" t="inlineStr">
        <is>
          <t>KALMAR</t>
        </is>
      </c>
      <c r="G5879" t="n">
        <v>4.9</v>
      </c>
      <c r="H5879" t="n">
        <v>0</v>
      </c>
      <c r="I5879" t="n">
        <v>0</v>
      </c>
      <c r="J5879" t="n">
        <v>0</v>
      </c>
      <c r="K5879" t="n">
        <v>0</v>
      </c>
      <c r="L5879" t="n">
        <v>0</v>
      </c>
      <c r="M5879" t="n">
        <v>0</v>
      </c>
      <c r="N5879" t="n">
        <v>0</v>
      </c>
      <c r="O5879" t="n">
        <v>0</v>
      </c>
      <c r="P5879" t="n">
        <v>0</v>
      </c>
      <c r="Q5879" t="n">
        <v>0</v>
      </c>
      <c r="R5879" s="2" t="inlineStr"/>
    </row>
    <row r="5880" ht="15" customHeight="1">
      <c r="A5880" t="inlineStr">
        <is>
          <t>A 48536-2023</t>
        </is>
      </c>
      <c r="B5880" s="1" t="n">
        <v>45208.3799537037</v>
      </c>
      <c r="C5880" s="1" t="n">
        <v>45884</v>
      </c>
      <c r="D5880" t="inlineStr">
        <is>
          <t>KALMAR LÄN</t>
        </is>
      </c>
      <c r="E5880" t="inlineStr">
        <is>
          <t>OSKARSHAMN</t>
        </is>
      </c>
      <c r="G5880" t="n">
        <v>4.6</v>
      </c>
      <c r="H5880" t="n">
        <v>0</v>
      </c>
      <c r="I5880" t="n">
        <v>0</v>
      </c>
      <c r="J5880" t="n">
        <v>0</v>
      </c>
      <c r="K5880" t="n">
        <v>0</v>
      </c>
      <c r="L5880" t="n">
        <v>0</v>
      </c>
      <c r="M5880" t="n">
        <v>0</v>
      </c>
      <c r="N5880" t="n">
        <v>0</v>
      </c>
      <c r="O5880" t="n">
        <v>0</v>
      </c>
      <c r="P5880" t="n">
        <v>0</v>
      </c>
      <c r="Q5880" t="n">
        <v>0</v>
      </c>
      <c r="R5880" s="2" t="inlineStr"/>
    </row>
    <row r="5881" ht="15" customHeight="1">
      <c r="A5881" t="inlineStr">
        <is>
          <t>A 28657-2024</t>
        </is>
      </c>
      <c r="B5881" s="1" t="n">
        <v>45478</v>
      </c>
      <c r="C5881" s="1" t="n">
        <v>45884</v>
      </c>
      <c r="D5881" t="inlineStr">
        <is>
          <t>KALMAR LÄN</t>
        </is>
      </c>
      <c r="E5881" t="inlineStr">
        <is>
          <t>VÄSTERVIK</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2857-2024</t>
        </is>
      </c>
      <c r="B5882" s="1" t="n">
        <v>45315.42144675926</v>
      </c>
      <c r="C5882" s="1" t="n">
        <v>45884</v>
      </c>
      <c r="D5882" t="inlineStr">
        <is>
          <t>KALMAR LÄN</t>
        </is>
      </c>
      <c r="E5882" t="inlineStr">
        <is>
          <t>HULTSFRED</t>
        </is>
      </c>
      <c r="G5882" t="n">
        <v>2.1</v>
      </c>
      <c r="H5882" t="n">
        <v>0</v>
      </c>
      <c r="I5882" t="n">
        <v>0</v>
      </c>
      <c r="J5882" t="n">
        <v>0</v>
      </c>
      <c r="K5882" t="n">
        <v>0</v>
      </c>
      <c r="L5882" t="n">
        <v>0</v>
      </c>
      <c r="M5882" t="n">
        <v>0</v>
      </c>
      <c r="N5882" t="n">
        <v>0</v>
      </c>
      <c r="O5882" t="n">
        <v>0</v>
      </c>
      <c r="P5882" t="n">
        <v>0</v>
      </c>
      <c r="Q5882" t="n">
        <v>0</v>
      </c>
      <c r="R5882" s="2" t="inlineStr"/>
    </row>
    <row r="5883" ht="15" customHeight="1">
      <c r="A5883" t="inlineStr">
        <is>
          <t>A 2529-2024</t>
        </is>
      </c>
      <c r="B5883" s="1" t="n">
        <v>45313</v>
      </c>
      <c r="C5883" s="1" t="n">
        <v>45884</v>
      </c>
      <c r="D5883" t="inlineStr">
        <is>
          <t>KALMAR LÄN</t>
        </is>
      </c>
      <c r="E5883" t="inlineStr">
        <is>
          <t>NYBRO</t>
        </is>
      </c>
      <c r="G5883" t="n">
        <v>0.4</v>
      </c>
      <c r="H5883" t="n">
        <v>0</v>
      </c>
      <c r="I5883" t="n">
        <v>0</v>
      </c>
      <c r="J5883" t="n">
        <v>0</v>
      </c>
      <c r="K5883" t="n">
        <v>0</v>
      </c>
      <c r="L5883" t="n">
        <v>0</v>
      </c>
      <c r="M5883" t="n">
        <v>0</v>
      </c>
      <c r="N5883" t="n">
        <v>0</v>
      </c>
      <c r="O5883" t="n">
        <v>0</v>
      </c>
      <c r="P5883" t="n">
        <v>0</v>
      </c>
      <c r="Q5883" t="n">
        <v>0</v>
      </c>
      <c r="R5883" s="2" t="inlineStr"/>
    </row>
    <row r="5884" ht="15" customHeight="1">
      <c r="A5884" t="inlineStr">
        <is>
          <t>A 65155-2023</t>
        </is>
      </c>
      <c r="B5884" s="1" t="n">
        <v>45288.60790509259</v>
      </c>
      <c r="C5884" s="1" t="n">
        <v>45884</v>
      </c>
      <c r="D5884" t="inlineStr">
        <is>
          <t>KALMAR LÄN</t>
        </is>
      </c>
      <c r="E5884" t="inlineStr">
        <is>
          <t>TORSÅS</t>
        </is>
      </c>
      <c r="G5884" t="n">
        <v>5</v>
      </c>
      <c r="H5884" t="n">
        <v>0</v>
      </c>
      <c r="I5884" t="n">
        <v>0</v>
      </c>
      <c r="J5884" t="n">
        <v>0</v>
      </c>
      <c r="K5884" t="n">
        <v>0</v>
      </c>
      <c r="L5884" t="n">
        <v>0</v>
      </c>
      <c r="M5884" t="n">
        <v>0</v>
      </c>
      <c r="N5884" t="n">
        <v>0</v>
      </c>
      <c r="O5884" t="n">
        <v>0</v>
      </c>
      <c r="P5884" t="n">
        <v>0</v>
      </c>
      <c r="Q5884" t="n">
        <v>0</v>
      </c>
      <c r="R5884" s="2" t="inlineStr"/>
    </row>
    <row r="5885" ht="15" customHeight="1">
      <c r="A5885" t="inlineStr">
        <is>
          <t>A 9407-2023</t>
        </is>
      </c>
      <c r="B5885" s="1" t="n">
        <v>44981.45752314815</v>
      </c>
      <c r="C5885" s="1" t="n">
        <v>45884</v>
      </c>
      <c r="D5885" t="inlineStr">
        <is>
          <t>KALMAR LÄN</t>
        </is>
      </c>
      <c r="E5885" t="inlineStr">
        <is>
          <t>OSKARSHAMN</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34650-2023</t>
        </is>
      </c>
      <c r="B5886" s="1" t="n">
        <v>45140</v>
      </c>
      <c r="C5886" s="1" t="n">
        <v>45884</v>
      </c>
      <c r="D5886" t="inlineStr">
        <is>
          <t>KALMAR LÄN</t>
        </is>
      </c>
      <c r="E5886" t="inlineStr">
        <is>
          <t>VÄSTERVIK</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27504-2024</t>
        </is>
      </c>
      <c r="B5887" s="1" t="n">
        <v>45474.51847222223</v>
      </c>
      <c r="C5887" s="1" t="n">
        <v>45884</v>
      </c>
      <c r="D5887" t="inlineStr">
        <is>
          <t>KALMAR LÄN</t>
        </is>
      </c>
      <c r="E5887" t="inlineStr">
        <is>
          <t>TORSÅS</t>
        </is>
      </c>
      <c r="G5887" t="n">
        <v>3.5</v>
      </c>
      <c r="H5887" t="n">
        <v>0</v>
      </c>
      <c r="I5887" t="n">
        <v>0</v>
      </c>
      <c r="J5887" t="n">
        <v>0</v>
      </c>
      <c r="K5887" t="n">
        <v>0</v>
      </c>
      <c r="L5887" t="n">
        <v>0</v>
      </c>
      <c r="M5887" t="n">
        <v>0</v>
      </c>
      <c r="N5887" t="n">
        <v>0</v>
      </c>
      <c r="O5887" t="n">
        <v>0</v>
      </c>
      <c r="P5887" t="n">
        <v>0</v>
      </c>
      <c r="Q5887" t="n">
        <v>0</v>
      </c>
      <c r="R5887" s="2" t="inlineStr"/>
    </row>
    <row r="5888" ht="15" customHeight="1">
      <c r="A5888" t="inlineStr">
        <is>
          <t>A 17653-2021</t>
        </is>
      </c>
      <c r="B5888" s="1" t="n">
        <v>44300.37375</v>
      </c>
      <c r="C5888" s="1" t="n">
        <v>45884</v>
      </c>
      <c r="D5888" t="inlineStr">
        <is>
          <t>KALMAR LÄN</t>
        </is>
      </c>
      <c r="E5888" t="inlineStr">
        <is>
          <t>NYBRO</t>
        </is>
      </c>
      <c r="G5888" t="n">
        <v>7.1</v>
      </c>
      <c r="H5888" t="n">
        <v>0</v>
      </c>
      <c r="I5888" t="n">
        <v>0</v>
      </c>
      <c r="J5888" t="n">
        <v>0</v>
      </c>
      <c r="K5888" t="n">
        <v>0</v>
      </c>
      <c r="L5888" t="n">
        <v>0</v>
      </c>
      <c r="M5888" t="n">
        <v>0</v>
      </c>
      <c r="N5888" t="n">
        <v>0</v>
      </c>
      <c r="O5888" t="n">
        <v>0</v>
      </c>
      <c r="P5888" t="n">
        <v>0</v>
      </c>
      <c r="Q5888" t="n">
        <v>0</v>
      </c>
      <c r="R5888" s="2" t="inlineStr"/>
    </row>
    <row r="5889" ht="15" customHeight="1">
      <c r="A5889" t="inlineStr">
        <is>
          <t>A 17978-2021</t>
        </is>
      </c>
      <c r="B5889" s="1" t="n">
        <v>44301</v>
      </c>
      <c r="C5889" s="1" t="n">
        <v>45884</v>
      </c>
      <c r="D5889" t="inlineStr">
        <is>
          <t>KALMAR LÄN</t>
        </is>
      </c>
      <c r="E5889" t="inlineStr">
        <is>
          <t>BORGHOLM</t>
        </is>
      </c>
      <c r="G5889" t="n">
        <v>6</v>
      </c>
      <c r="H5889" t="n">
        <v>0</v>
      </c>
      <c r="I5889" t="n">
        <v>0</v>
      </c>
      <c r="J5889" t="n">
        <v>0</v>
      </c>
      <c r="K5889" t="n">
        <v>0</v>
      </c>
      <c r="L5889" t="n">
        <v>0</v>
      </c>
      <c r="M5889" t="n">
        <v>0</v>
      </c>
      <c r="N5889" t="n">
        <v>0</v>
      </c>
      <c r="O5889" t="n">
        <v>0</v>
      </c>
      <c r="P5889" t="n">
        <v>0</v>
      </c>
      <c r="Q5889" t="n">
        <v>0</v>
      </c>
      <c r="R5889" s="2" t="inlineStr"/>
    </row>
    <row r="5890" ht="15" customHeight="1">
      <c r="A5890" t="inlineStr">
        <is>
          <t>A 9293-2025</t>
        </is>
      </c>
      <c r="B5890" s="1" t="n">
        <v>45714.66180555556</v>
      </c>
      <c r="C5890" s="1" t="n">
        <v>45884</v>
      </c>
      <c r="D5890" t="inlineStr">
        <is>
          <t>KALMAR LÄN</t>
        </is>
      </c>
      <c r="E5890" t="inlineStr">
        <is>
          <t>HULTSFRED</t>
        </is>
      </c>
      <c r="G5890" t="n">
        <v>3</v>
      </c>
      <c r="H5890" t="n">
        <v>0</v>
      </c>
      <c r="I5890" t="n">
        <v>0</v>
      </c>
      <c r="J5890" t="n">
        <v>0</v>
      </c>
      <c r="K5890" t="n">
        <v>0</v>
      </c>
      <c r="L5890" t="n">
        <v>0</v>
      </c>
      <c r="M5890" t="n">
        <v>0</v>
      </c>
      <c r="N5890" t="n">
        <v>0</v>
      </c>
      <c r="O5890" t="n">
        <v>0</v>
      </c>
      <c r="P5890" t="n">
        <v>0</v>
      </c>
      <c r="Q5890" t="n">
        <v>0</v>
      </c>
      <c r="R5890" s="2" t="inlineStr"/>
    </row>
    <row r="5891" ht="15" customHeight="1">
      <c r="A5891" t="inlineStr">
        <is>
          <t>A 7438-2023</t>
        </is>
      </c>
      <c r="B5891" s="1" t="n">
        <v>44966</v>
      </c>
      <c r="C5891" s="1" t="n">
        <v>45884</v>
      </c>
      <c r="D5891" t="inlineStr">
        <is>
          <t>KALMAR LÄN</t>
        </is>
      </c>
      <c r="E5891" t="inlineStr">
        <is>
          <t>HÖGSBY</t>
        </is>
      </c>
      <c r="G5891" t="n">
        <v>1.9</v>
      </c>
      <c r="H5891" t="n">
        <v>0</v>
      </c>
      <c r="I5891" t="n">
        <v>0</v>
      </c>
      <c r="J5891" t="n">
        <v>0</v>
      </c>
      <c r="K5891" t="n">
        <v>0</v>
      </c>
      <c r="L5891" t="n">
        <v>0</v>
      </c>
      <c r="M5891" t="n">
        <v>0</v>
      </c>
      <c r="N5891" t="n">
        <v>0</v>
      </c>
      <c r="O5891" t="n">
        <v>0</v>
      </c>
      <c r="P5891" t="n">
        <v>0</v>
      </c>
      <c r="Q5891" t="n">
        <v>0</v>
      </c>
      <c r="R5891" s="2" t="inlineStr"/>
    </row>
    <row r="5892" ht="15" customHeight="1">
      <c r="A5892" t="inlineStr">
        <is>
          <t>A 17523-2022</t>
        </is>
      </c>
      <c r="B5892" s="1" t="n">
        <v>44679</v>
      </c>
      <c r="C5892" s="1" t="n">
        <v>45884</v>
      </c>
      <c r="D5892" t="inlineStr">
        <is>
          <t>KALMAR LÄN</t>
        </is>
      </c>
      <c r="E5892" t="inlineStr">
        <is>
          <t>TORSÅS</t>
        </is>
      </c>
      <c r="G5892" t="n">
        <v>2.6</v>
      </c>
      <c r="H5892" t="n">
        <v>0</v>
      </c>
      <c r="I5892" t="n">
        <v>0</v>
      </c>
      <c r="J5892" t="n">
        <v>0</v>
      </c>
      <c r="K5892" t="n">
        <v>0</v>
      </c>
      <c r="L5892" t="n">
        <v>0</v>
      </c>
      <c r="M5892" t="n">
        <v>0</v>
      </c>
      <c r="N5892" t="n">
        <v>0</v>
      </c>
      <c r="O5892" t="n">
        <v>0</v>
      </c>
      <c r="P5892" t="n">
        <v>0</v>
      </c>
      <c r="Q5892" t="n">
        <v>0</v>
      </c>
      <c r="R5892" s="2" t="inlineStr"/>
    </row>
    <row r="5893" ht="15" customHeight="1">
      <c r="A5893" t="inlineStr">
        <is>
          <t>A 24188-2023</t>
        </is>
      </c>
      <c r="B5893" s="1" t="n">
        <v>45079</v>
      </c>
      <c r="C5893" s="1" t="n">
        <v>45884</v>
      </c>
      <c r="D5893" t="inlineStr">
        <is>
          <t>KALMAR LÄN</t>
        </is>
      </c>
      <c r="E5893" t="inlineStr">
        <is>
          <t>NYBRO</t>
        </is>
      </c>
      <c r="G5893" t="n">
        <v>2.8</v>
      </c>
      <c r="H5893" t="n">
        <v>0</v>
      </c>
      <c r="I5893" t="n">
        <v>0</v>
      </c>
      <c r="J5893" t="n">
        <v>0</v>
      </c>
      <c r="K5893" t="n">
        <v>0</v>
      </c>
      <c r="L5893" t="n">
        <v>0</v>
      </c>
      <c r="M5893" t="n">
        <v>0</v>
      </c>
      <c r="N5893" t="n">
        <v>0</v>
      </c>
      <c r="O5893" t="n">
        <v>0</v>
      </c>
      <c r="P5893" t="n">
        <v>0</v>
      </c>
      <c r="Q5893" t="n">
        <v>0</v>
      </c>
      <c r="R5893" s="2" t="inlineStr"/>
    </row>
    <row r="5894" ht="15" customHeight="1">
      <c r="A5894" t="inlineStr">
        <is>
          <t>A 15510-2024</t>
        </is>
      </c>
      <c r="B5894" s="1" t="n">
        <v>45401.55627314815</v>
      </c>
      <c r="C5894" s="1" t="n">
        <v>45884</v>
      </c>
      <c r="D5894" t="inlineStr">
        <is>
          <t>KALMAR LÄN</t>
        </is>
      </c>
      <c r="E5894" t="inlineStr">
        <is>
          <t>NYBRO</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34956-2024</t>
        </is>
      </c>
      <c r="B5895" s="1" t="n">
        <v>45527.48665509259</v>
      </c>
      <c r="C5895" s="1" t="n">
        <v>45884</v>
      </c>
      <c r="D5895" t="inlineStr">
        <is>
          <t>KALMAR LÄN</t>
        </is>
      </c>
      <c r="E5895" t="inlineStr">
        <is>
          <t>TORSÅS</t>
        </is>
      </c>
      <c r="G5895" t="n">
        <v>3</v>
      </c>
      <c r="H5895" t="n">
        <v>0</v>
      </c>
      <c r="I5895" t="n">
        <v>0</v>
      </c>
      <c r="J5895" t="n">
        <v>0</v>
      </c>
      <c r="K5895" t="n">
        <v>0</v>
      </c>
      <c r="L5895" t="n">
        <v>0</v>
      </c>
      <c r="M5895" t="n">
        <v>0</v>
      </c>
      <c r="N5895" t="n">
        <v>0</v>
      </c>
      <c r="O5895" t="n">
        <v>0</v>
      </c>
      <c r="P5895" t="n">
        <v>0</v>
      </c>
      <c r="Q5895" t="n">
        <v>0</v>
      </c>
      <c r="R5895" s="2" t="inlineStr"/>
    </row>
    <row r="5896" ht="15" customHeight="1">
      <c r="A5896" t="inlineStr">
        <is>
          <t>A 29491-2024</t>
        </is>
      </c>
      <c r="B5896" s="1" t="n">
        <v>45484.35097222222</v>
      </c>
      <c r="C5896" s="1" t="n">
        <v>45884</v>
      </c>
      <c r="D5896" t="inlineStr">
        <is>
          <t>KALMAR LÄN</t>
        </is>
      </c>
      <c r="E5896" t="inlineStr">
        <is>
          <t>EMMABODA</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58375-2024</t>
        </is>
      </c>
      <c r="B5897" s="1" t="n">
        <v>45632.75246527778</v>
      </c>
      <c r="C5897" s="1" t="n">
        <v>45884</v>
      </c>
      <c r="D5897" t="inlineStr">
        <is>
          <t>KALMAR LÄN</t>
        </is>
      </c>
      <c r="E5897" t="inlineStr">
        <is>
          <t>OSKARSHAMN</t>
        </is>
      </c>
      <c r="G5897" t="n">
        <v>2.9</v>
      </c>
      <c r="H5897" t="n">
        <v>0</v>
      </c>
      <c r="I5897" t="n">
        <v>0</v>
      </c>
      <c r="J5897" t="n">
        <v>0</v>
      </c>
      <c r="K5897" t="n">
        <v>0</v>
      </c>
      <c r="L5897" t="n">
        <v>0</v>
      </c>
      <c r="M5897" t="n">
        <v>0</v>
      </c>
      <c r="N5897" t="n">
        <v>0</v>
      </c>
      <c r="O5897" t="n">
        <v>0</v>
      </c>
      <c r="P5897" t="n">
        <v>0</v>
      </c>
      <c r="Q5897" t="n">
        <v>0</v>
      </c>
      <c r="R5897" s="2" t="inlineStr"/>
    </row>
    <row r="5898" ht="15" customHeight="1">
      <c r="A5898" t="inlineStr">
        <is>
          <t>A 12595-2025</t>
        </is>
      </c>
      <c r="B5898" s="1" t="n">
        <v>45733.27633101852</v>
      </c>
      <c r="C5898" s="1" t="n">
        <v>45884</v>
      </c>
      <c r="D5898" t="inlineStr">
        <is>
          <t>KALMAR LÄN</t>
        </is>
      </c>
      <c r="E5898" t="inlineStr">
        <is>
          <t>NYBRO</t>
        </is>
      </c>
      <c r="G5898" t="n">
        <v>2.3</v>
      </c>
      <c r="H5898" t="n">
        <v>0</v>
      </c>
      <c r="I5898" t="n">
        <v>0</v>
      </c>
      <c r="J5898" t="n">
        <v>0</v>
      </c>
      <c r="K5898" t="n">
        <v>0</v>
      </c>
      <c r="L5898" t="n">
        <v>0</v>
      </c>
      <c r="M5898" t="n">
        <v>0</v>
      </c>
      <c r="N5898" t="n">
        <v>0</v>
      </c>
      <c r="O5898" t="n">
        <v>0</v>
      </c>
      <c r="P5898" t="n">
        <v>0</v>
      </c>
      <c r="Q5898" t="n">
        <v>0</v>
      </c>
      <c r="R5898" s="2" t="inlineStr"/>
    </row>
    <row r="5899" ht="15" customHeight="1">
      <c r="A5899" t="inlineStr">
        <is>
          <t>A 22544-2023</t>
        </is>
      </c>
      <c r="B5899" s="1" t="n">
        <v>45071.43813657408</v>
      </c>
      <c r="C5899" s="1" t="n">
        <v>45884</v>
      </c>
      <c r="D5899" t="inlineStr">
        <is>
          <t>KALMAR LÄN</t>
        </is>
      </c>
      <c r="E5899" t="inlineStr">
        <is>
          <t>HÖGSBY</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5898-2025</t>
        </is>
      </c>
      <c r="B5900" s="1" t="n">
        <v>45695.39277777778</v>
      </c>
      <c r="C5900" s="1" t="n">
        <v>45884</v>
      </c>
      <c r="D5900" t="inlineStr">
        <is>
          <t>KALMAR LÄN</t>
        </is>
      </c>
      <c r="E5900" t="inlineStr">
        <is>
          <t>OSKARSHAMN</t>
        </is>
      </c>
      <c r="G5900" t="n">
        <v>11.2</v>
      </c>
      <c r="H5900" t="n">
        <v>0</v>
      </c>
      <c r="I5900" t="n">
        <v>0</v>
      </c>
      <c r="J5900" t="n">
        <v>0</v>
      </c>
      <c r="K5900" t="n">
        <v>0</v>
      </c>
      <c r="L5900" t="n">
        <v>0</v>
      </c>
      <c r="M5900" t="n">
        <v>0</v>
      </c>
      <c r="N5900" t="n">
        <v>0</v>
      </c>
      <c r="O5900" t="n">
        <v>0</v>
      </c>
      <c r="P5900" t="n">
        <v>0</v>
      </c>
      <c r="Q5900" t="n">
        <v>0</v>
      </c>
      <c r="R5900" s="2" t="inlineStr"/>
    </row>
    <row r="5901" ht="15" customHeight="1">
      <c r="A5901" t="inlineStr">
        <is>
          <t>A 53259-2021</t>
        </is>
      </c>
      <c r="B5901" s="1" t="n">
        <v>44468.47153935185</v>
      </c>
      <c r="C5901" s="1" t="n">
        <v>45884</v>
      </c>
      <c r="D5901" t="inlineStr">
        <is>
          <t>KALMAR LÄN</t>
        </is>
      </c>
      <c r="E5901" t="inlineStr">
        <is>
          <t>VÄSTERVIK</t>
        </is>
      </c>
      <c r="G5901" t="n">
        <v>2.8</v>
      </c>
      <c r="H5901" t="n">
        <v>0</v>
      </c>
      <c r="I5901" t="n">
        <v>0</v>
      </c>
      <c r="J5901" t="n">
        <v>0</v>
      </c>
      <c r="K5901" t="n">
        <v>0</v>
      </c>
      <c r="L5901" t="n">
        <v>0</v>
      </c>
      <c r="M5901" t="n">
        <v>0</v>
      </c>
      <c r="N5901" t="n">
        <v>0</v>
      </c>
      <c r="O5901" t="n">
        <v>0</v>
      </c>
      <c r="P5901" t="n">
        <v>0</v>
      </c>
      <c r="Q5901" t="n">
        <v>0</v>
      </c>
      <c r="R5901" s="2" t="inlineStr"/>
    </row>
    <row r="5902" ht="15" customHeight="1">
      <c r="A5902" t="inlineStr">
        <is>
          <t>A 53266-2021</t>
        </is>
      </c>
      <c r="B5902" s="1" t="n">
        <v>44468.48255787037</v>
      </c>
      <c r="C5902" s="1" t="n">
        <v>45884</v>
      </c>
      <c r="D5902" t="inlineStr">
        <is>
          <t>KALMAR LÄN</t>
        </is>
      </c>
      <c r="E5902" t="inlineStr">
        <is>
          <t>VÄSTERVIK</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23662-2024</t>
        </is>
      </c>
      <c r="B5903" s="1" t="n">
        <v>45454.56966435185</v>
      </c>
      <c r="C5903" s="1" t="n">
        <v>45884</v>
      </c>
      <c r="D5903" t="inlineStr">
        <is>
          <t>KALMAR LÄN</t>
        </is>
      </c>
      <c r="E5903" t="inlineStr">
        <is>
          <t>KALMAR</t>
        </is>
      </c>
      <c r="G5903" t="n">
        <v>3</v>
      </c>
      <c r="H5903" t="n">
        <v>0</v>
      </c>
      <c r="I5903" t="n">
        <v>0</v>
      </c>
      <c r="J5903" t="n">
        <v>0</v>
      </c>
      <c r="K5903" t="n">
        <v>0</v>
      </c>
      <c r="L5903" t="n">
        <v>0</v>
      </c>
      <c r="M5903" t="n">
        <v>0</v>
      </c>
      <c r="N5903" t="n">
        <v>0</v>
      </c>
      <c r="O5903" t="n">
        <v>0</v>
      </c>
      <c r="P5903" t="n">
        <v>0</v>
      </c>
      <c r="Q5903" t="n">
        <v>0</v>
      </c>
      <c r="R5903" s="2" t="inlineStr"/>
    </row>
    <row r="5904" ht="15" customHeight="1">
      <c r="A5904" t="inlineStr">
        <is>
          <t>A 10631-2024</t>
        </is>
      </c>
      <c r="B5904" s="1" t="n">
        <v>45367.30908564815</v>
      </c>
      <c r="C5904" s="1" t="n">
        <v>45884</v>
      </c>
      <c r="D5904" t="inlineStr">
        <is>
          <t>KALMAR LÄN</t>
        </is>
      </c>
      <c r="E5904" t="inlineStr">
        <is>
          <t>NYBRO</t>
        </is>
      </c>
      <c r="G5904" t="n">
        <v>1.6</v>
      </c>
      <c r="H5904" t="n">
        <v>0</v>
      </c>
      <c r="I5904" t="n">
        <v>0</v>
      </c>
      <c r="J5904" t="n">
        <v>0</v>
      </c>
      <c r="K5904" t="n">
        <v>0</v>
      </c>
      <c r="L5904" t="n">
        <v>0</v>
      </c>
      <c r="M5904" t="n">
        <v>0</v>
      </c>
      <c r="N5904" t="n">
        <v>0</v>
      </c>
      <c r="O5904" t="n">
        <v>0</v>
      </c>
      <c r="P5904" t="n">
        <v>0</v>
      </c>
      <c r="Q5904" t="n">
        <v>0</v>
      </c>
      <c r="R5904" s="2" t="inlineStr"/>
    </row>
    <row r="5905" ht="15" customHeight="1">
      <c r="A5905" t="inlineStr">
        <is>
          <t>A 59836-2023</t>
        </is>
      </c>
      <c r="B5905" s="1" t="n">
        <v>45253</v>
      </c>
      <c r="C5905" s="1" t="n">
        <v>45884</v>
      </c>
      <c r="D5905" t="inlineStr">
        <is>
          <t>KALMAR LÄN</t>
        </is>
      </c>
      <c r="E5905" t="inlineStr">
        <is>
          <t>NYBRO</t>
        </is>
      </c>
      <c r="G5905" t="n">
        <v>6.2</v>
      </c>
      <c r="H5905" t="n">
        <v>0</v>
      </c>
      <c r="I5905" t="n">
        <v>0</v>
      </c>
      <c r="J5905" t="n">
        <v>0</v>
      </c>
      <c r="K5905" t="n">
        <v>0</v>
      </c>
      <c r="L5905" t="n">
        <v>0</v>
      </c>
      <c r="M5905" t="n">
        <v>0</v>
      </c>
      <c r="N5905" t="n">
        <v>0</v>
      </c>
      <c r="O5905" t="n">
        <v>0</v>
      </c>
      <c r="P5905" t="n">
        <v>0</v>
      </c>
      <c r="Q5905" t="n">
        <v>0</v>
      </c>
      <c r="R5905" s="2" t="inlineStr"/>
    </row>
    <row r="5906" ht="15" customHeight="1">
      <c r="A5906" t="inlineStr">
        <is>
          <t>A 5200-2025</t>
        </is>
      </c>
      <c r="B5906" s="1" t="n">
        <v>45688</v>
      </c>
      <c r="C5906" s="1" t="n">
        <v>45884</v>
      </c>
      <c r="D5906" t="inlineStr">
        <is>
          <t>KALMAR LÄN</t>
        </is>
      </c>
      <c r="E5906" t="inlineStr">
        <is>
          <t>EMMABODA</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786-2025</t>
        </is>
      </c>
      <c r="B5907" s="1" t="n">
        <v>45665.50096064815</v>
      </c>
      <c r="C5907" s="1" t="n">
        <v>45884</v>
      </c>
      <c r="D5907" t="inlineStr">
        <is>
          <t>KALMAR LÄN</t>
        </is>
      </c>
      <c r="E5907" t="inlineStr">
        <is>
          <t>TORSÅS</t>
        </is>
      </c>
      <c r="G5907" t="n">
        <v>1.9</v>
      </c>
      <c r="H5907" t="n">
        <v>0</v>
      </c>
      <c r="I5907" t="n">
        <v>0</v>
      </c>
      <c r="J5907" t="n">
        <v>0</v>
      </c>
      <c r="K5907" t="n">
        <v>0</v>
      </c>
      <c r="L5907" t="n">
        <v>0</v>
      </c>
      <c r="M5907" t="n">
        <v>0</v>
      </c>
      <c r="N5907" t="n">
        <v>0</v>
      </c>
      <c r="O5907" t="n">
        <v>0</v>
      </c>
      <c r="P5907" t="n">
        <v>0</v>
      </c>
      <c r="Q5907" t="n">
        <v>0</v>
      </c>
      <c r="R5907" s="2" t="inlineStr"/>
    </row>
    <row r="5908" ht="15" customHeight="1">
      <c r="A5908" t="inlineStr">
        <is>
          <t>A 52913-2024</t>
        </is>
      </c>
      <c r="B5908" s="1" t="n">
        <v>45610.70957175926</v>
      </c>
      <c r="C5908" s="1" t="n">
        <v>45884</v>
      </c>
      <c r="D5908" t="inlineStr">
        <is>
          <t>KALMAR LÄN</t>
        </is>
      </c>
      <c r="E5908" t="inlineStr">
        <is>
          <t>EMMABODA</t>
        </is>
      </c>
      <c r="G5908" t="n">
        <v>6.6</v>
      </c>
      <c r="H5908" t="n">
        <v>0</v>
      </c>
      <c r="I5908" t="n">
        <v>0</v>
      </c>
      <c r="J5908" t="n">
        <v>0</v>
      </c>
      <c r="K5908" t="n">
        <v>0</v>
      </c>
      <c r="L5908" t="n">
        <v>0</v>
      </c>
      <c r="M5908" t="n">
        <v>0</v>
      </c>
      <c r="N5908" t="n">
        <v>0</v>
      </c>
      <c r="O5908" t="n">
        <v>0</v>
      </c>
      <c r="P5908" t="n">
        <v>0</v>
      </c>
      <c r="Q5908" t="n">
        <v>0</v>
      </c>
      <c r="R5908" s="2" t="inlineStr"/>
    </row>
    <row r="5909" ht="15" customHeight="1">
      <c r="A5909" t="inlineStr">
        <is>
          <t>A 22785-2025</t>
        </is>
      </c>
      <c r="B5909" s="1" t="n">
        <v>45789.64186342592</v>
      </c>
      <c r="C5909" s="1" t="n">
        <v>45884</v>
      </c>
      <c r="D5909" t="inlineStr">
        <is>
          <t>KALMAR LÄN</t>
        </is>
      </c>
      <c r="E5909" t="inlineStr">
        <is>
          <t>BORGHOLM</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22688-2025</t>
        </is>
      </c>
      <c r="B5910" s="1" t="n">
        <v>45789.52796296297</v>
      </c>
      <c r="C5910" s="1" t="n">
        <v>45884</v>
      </c>
      <c r="D5910" t="inlineStr">
        <is>
          <t>KALMAR LÄN</t>
        </is>
      </c>
      <c r="E5910" t="inlineStr">
        <is>
          <t>HÖGSBY</t>
        </is>
      </c>
      <c r="G5910" t="n">
        <v>0.5</v>
      </c>
      <c r="H5910" t="n">
        <v>0</v>
      </c>
      <c r="I5910" t="n">
        <v>0</v>
      </c>
      <c r="J5910" t="n">
        <v>0</v>
      </c>
      <c r="K5910" t="n">
        <v>0</v>
      </c>
      <c r="L5910" t="n">
        <v>0</v>
      </c>
      <c r="M5910" t="n">
        <v>0</v>
      </c>
      <c r="N5910" t="n">
        <v>0</v>
      </c>
      <c r="O5910" t="n">
        <v>0</v>
      </c>
      <c r="P5910" t="n">
        <v>0</v>
      </c>
      <c r="Q5910" t="n">
        <v>0</v>
      </c>
      <c r="R5910" s="2" t="inlineStr"/>
    </row>
    <row r="5911" ht="15" customHeight="1">
      <c r="A5911" t="inlineStr">
        <is>
          <t>A 58728-2024</t>
        </is>
      </c>
      <c r="B5911" s="1" t="n">
        <v>45635.66695601852</v>
      </c>
      <c r="C5911" s="1" t="n">
        <v>45884</v>
      </c>
      <c r="D5911" t="inlineStr">
        <is>
          <t>KALMAR LÄN</t>
        </is>
      </c>
      <c r="E5911" t="inlineStr">
        <is>
          <t>VIMMERBY</t>
        </is>
      </c>
      <c r="G5911" t="n">
        <v>0.4</v>
      </c>
      <c r="H5911" t="n">
        <v>0</v>
      </c>
      <c r="I5911" t="n">
        <v>0</v>
      </c>
      <c r="J5911" t="n">
        <v>0</v>
      </c>
      <c r="K5911" t="n">
        <v>0</v>
      </c>
      <c r="L5911" t="n">
        <v>0</v>
      </c>
      <c r="M5911" t="n">
        <v>0</v>
      </c>
      <c r="N5911" t="n">
        <v>0</v>
      </c>
      <c r="O5911" t="n">
        <v>0</v>
      </c>
      <c r="P5911" t="n">
        <v>0</v>
      </c>
      <c r="Q5911" t="n">
        <v>0</v>
      </c>
      <c r="R5911" s="2" t="inlineStr"/>
    </row>
    <row r="5912" ht="15" customHeight="1">
      <c r="A5912" t="inlineStr">
        <is>
          <t>A 6307-2025</t>
        </is>
      </c>
      <c r="B5912" s="1" t="n">
        <v>45698.69016203703</v>
      </c>
      <c r="C5912" s="1" t="n">
        <v>45884</v>
      </c>
      <c r="D5912" t="inlineStr">
        <is>
          <t>KALMAR LÄN</t>
        </is>
      </c>
      <c r="E5912" t="inlineStr">
        <is>
          <t>VIMMERBY</t>
        </is>
      </c>
      <c r="G5912" t="n">
        <v>3</v>
      </c>
      <c r="H5912" t="n">
        <v>0</v>
      </c>
      <c r="I5912" t="n">
        <v>0</v>
      </c>
      <c r="J5912" t="n">
        <v>0</v>
      </c>
      <c r="K5912" t="n">
        <v>0</v>
      </c>
      <c r="L5912" t="n">
        <v>0</v>
      </c>
      <c r="M5912" t="n">
        <v>0</v>
      </c>
      <c r="N5912" t="n">
        <v>0</v>
      </c>
      <c r="O5912" t="n">
        <v>0</v>
      </c>
      <c r="P5912" t="n">
        <v>0</v>
      </c>
      <c r="Q5912" t="n">
        <v>0</v>
      </c>
      <c r="R5912" s="2" t="inlineStr"/>
    </row>
    <row r="5913" ht="15" customHeight="1">
      <c r="A5913" t="inlineStr">
        <is>
          <t>A 49474-2023</t>
        </is>
      </c>
      <c r="B5913" s="1" t="n">
        <v>45211.541875</v>
      </c>
      <c r="C5913" s="1" t="n">
        <v>45884</v>
      </c>
      <c r="D5913" t="inlineStr">
        <is>
          <t>KALMAR LÄN</t>
        </is>
      </c>
      <c r="E5913" t="inlineStr">
        <is>
          <t>VIMMERBY</t>
        </is>
      </c>
      <c r="G5913" t="n">
        <v>3.6</v>
      </c>
      <c r="H5913" t="n">
        <v>0</v>
      </c>
      <c r="I5913" t="n">
        <v>0</v>
      </c>
      <c r="J5913" t="n">
        <v>0</v>
      </c>
      <c r="K5913" t="n">
        <v>0</v>
      </c>
      <c r="L5913" t="n">
        <v>0</v>
      </c>
      <c r="M5913" t="n">
        <v>0</v>
      </c>
      <c r="N5913" t="n">
        <v>0</v>
      </c>
      <c r="O5913" t="n">
        <v>0</v>
      </c>
      <c r="P5913" t="n">
        <v>0</v>
      </c>
      <c r="Q5913" t="n">
        <v>0</v>
      </c>
      <c r="R5913" s="2" t="inlineStr"/>
    </row>
    <row r="5914" ht="15" customHeight="1">
      <c r="A5914" t="inlineStr">
        <is>
          <t>A 61751-2024</t>
        </is>
      </c>
      <c r="B5914" s="1" t="n">
        <v>45649.39400462963</v>
      </c>
      <c r="C5914" s="1" t="n">
        <v>45884</v>
      </c>
      <c r="D5914" t="inlineStr">
        <is>
          <t>KALMAR LÄN</t>
        </is>
      </c>
      <c r="E5914" t="inlineStr">
        <is>
          <t>MÖNSTERÅS</t>
        </is>
      </c>
      <c r="F5914" t="inlineStr">
        <is>
          <t>Övriga Aktiebolag</t>
        </is>
      </c>
      <c r="G5914" t="n">
        <v>2.7</v>
      </c>
      <c r="H5914" t="n">
        <v>0</v>
      </c>
      <c r="I5914" t="n">
        <v>0</v>
      </c>
      <c r="J5914" t="n">
        <v>0</v>
      </c>
      <c r="K5914" t="n">
        <v>0</v>
      </c>
      <c r="L5914" t="n">
        <v>0</v>
      </c>
      <c r="M5914" t="n">
        <v>0</v>
      </c>
      <c r="N5914" t="n">
        <v>0</v>
      </c>
      <c r="O5914" t="n">
        <v>0</v>
      </c>
      <c r="P5914" t="n">
        <v>0</v>
      </c>
      <c r="Q5914" t="n">
        <v>0</v>
      </c>
      <c r="R5914" s="2" t="inlineStr"/>
    </row>
    <row r="5915" ht="15" customHeight="1">
      <c r="A5915" t="inlineStr">
        <is>
          <t>A 11183-2022</t>
        </is>
      </c>
      <c r="B5915" s="1" t="n">
        <v>44629</v>
      </c>
      <c r="C5915" s="1" t="n">
        <v>45884</v>
      </c>
      <c r="D5915" t="inlineStr">
        <is>
          <t>KALMAR LÄN</t>
        </is>
      </c>
      <c r="E5915" t="inlineStr">
        <is>
          <t>KALMAR</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16788-2025</t>
        </is>
      </c>
      <c r="B5916" s="1" t="n">
        <v>45754.60855324074</v>
      </c>
      <c r="C5916" s="1" t="n">
        <v>45884</v>
      </c>
      <c r="D5916" t="inlineStr">
        <is>
          <t>KALMAR LÄN</t>
        </is>
      </c>
      <c r="E5916" t="inlineStr">
        <is>
          <t>OSKARSHAMN</t>
        </is>
      </c>
      <c r="G5916" t="n">
        <v>2.2</v>
      </c>
      <c r="H5916" t="n">
        <v>0</v>
      </c>
      <c r="I5916" t="n">
        <v>0</v>
      </c>
      <c r="J5916" t="n">
        <v>0</v>
      </c>
      <c r="K5916" t="n">
        <v>0</v>
      </c>
      <c r="L5916" t="n">
        <v>0</v>
      </c>
      <c r="M5916" t="n">
        <v>0</v>
      </c>
      <c r="N5916" t="n">
        <v>0</v>
      </c>
      <c r="O5916" t="n">
        <v>0</v>
      </c>
      <c r="P5916" t="n">
        <v>0</v>
      </c>
      <c r="Q5916" t="n">
        <v>0</v>
      </c>
      <c r="R5916" s="2" t="inlineStr"/>
    </row>
    <row r="5917" ht="15" customHeight="1">
      <c r="A5917" t="inlineStr">
        <is>
          <t>A 56377-2024</t>
        </is>
      </c>
      <c r="B5917" s="1" t="n">
        <v>45625.33342592593</v>
      </c>
      <c r="C5917" s="1" t="n">
        <v>45884</v>
      </c>
      <c r="D5917" t="inlineStr">
        <is>
          <t>KALMAR LÄN</t>
        </is>
      </c>
      <c r="E5917" t="inlineStr">
        <is>
          <t>VÄSTERVIK</t>
        </is>
      </c>
      <c r="F5917" t="inlineStr">
        <is>
          <t>Sveaskog</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57682-2022</t>
        </is>
      </c>
      <c r="B5918" s="1" t="n">
        <v>44890</v>
      </c>
      <c r="C5918" s="1" t="n">
        <v>45884</v>
      </c>
      <c r="D5918" t="inlineStr">
        <is>
          <t>KALMAR LÄN</t>
        </is>
      </c>
      <c r="E5918" t="inlineStr">
        <is>
          <t>VIMMERBY</t>
        </is>
      </c>
      <c r="G5918" t="n">
        <v>1.5</v>
      </c>
      <c r="H5918" t="n">
        <v>0</v>
      </c>
      <c r="I5918" t="n">
        <v>0</v>
      </c>
      <c r="J5918" t="n">
        <v>0</v>
      </c>
      <c r="K5918" t="n">
        <v>0</v>
      </c>
      <c r="L5918" t="n">
        <v>0</v>
      </c>
      <c r="M5918" t="n">
        <v>0</v>
      </c>
      <c r="N5918" t="n">
        <v>0</v>
      </c>
      <c r="O5918" t="n">
        <v>0</v>
      </c>
      <c r="P5918" t="n">
        <v>0</v>
      </c>
      <c r="Q5918" t="n">
        <v>0</v>
      </c>
      <c r="R5918" s="2" t="inlineStr"/>
    </row>
    <row r="5919" ht="15" customHeight="1">
      <c r="A5919" t="inlineStr">
        <is>
          <t>A 12389-2025</t>
        </is>
      </c>
      <c r="B5919" s="1" t="n">
        <v>45730.39450231481</v>
      </c>
      <c r="C5919" s="1" t="n">
        <v>45884</v>
      </c>
      <c r="D5919" t="inlineStr">
        <is>
          <t>KALMAR LÄN</t>
        </is>
      </c>
      <c r="E5919" t="inlineStr">
        <is>
          <t>KALMAR</t>
        </is>
      </c>
      <c r="G5919" t="n">
        <v>2.7</v>
      </c>
      <c r="H5919" t="n">
        <v>0</v>
      </c>
      <c r="I5919" t="n">
        <v>0</v>
      </c>
      <c r="J5919" t="n">
        <v>0</v>
      </c>
      <c r="K5919" t="n">
        <v>0</v>
      </c>
      <c r="L5919" t="n">
        <v>0</v>
      </c>
      <c r="M5919" t="n">
        <v>0</v>
      </c>
      <c r="N5919" t="n">
        <v>0</v>
      </c>
      <c r="O5919" t="n">
        <v>0</v>
      </c>
      <c r="P5919" t="n">
        <v>0</v>
      </c>
      <c r="Q5919" t="n">
        <v>0</v>
      </c>
      <c r="R5919" s="2" t="inlineStr"/>
    </row>
    <row r="5920" ht="15" customHeight="1">
      <c r="A5920" t="inlineStr">
        <is>
          <t>A 8402-2025</t>
        </is>
      </c>
      <c r="B5920" s="1" t="n">
        <v>45709.38065972222</v>
      </c>
      <c r="C5920" s="1" t="n">
        <v>45884</v>
      </c>
      <c r="D5920" t="inlineStr">
        <is>
          <t>KALMAR LÄN</t>
        </is>
      </c>
      <c r="E5920" t="inlineStr">
        <is>
          <t>VÄSTERVIK</t>
        </is>
      </c>
      <c r="G5920" t="n">
        <v>4.3</v>
      </c>
      <c r="H5920" t="n">
        <v>0</v>
      </c>
      <c r="I5920" t="n">
        <v>0</v>
      </c>
      <c r="J5920" t="n">
        <v>0</v>
      </c>
      <c r="K5920" t="n">
        <v>0</v>
      </c>
      <c r="L5920" t="n">
        <v>0</v>
      </c>
      <c r="M5920" t="n">
        <v>0</v>
      </c>
      <c r="N5920" t="n">
        <v>0</v>
      </c>
      <c r="O5920" t="n">
        <v>0</v>
      </c>
      <c r="P5920" t="n">
        <v>0</v>
      </c>
      <c r="Q5920" t="n">
        <v>0</v>
      </c>
      <c r="R5920" s="2" t="inlineStr"/>
    </row>
    <row r="5921" ht="15" customHeight="1">
      <c r="A5921" t="inlineStr">
        <is>
          <t>A 57717-2022</t>
        </is>
      </c>
      <c r="B5921" s="1" t="n">
        <v>44897.54603009259</v>
      </c>
      <c r="C5921" s="1" t="n">
        <v>45884</v>
      </c>
      <c r="D5921" t="inlineStr">
        <is>
          <t>KALMAR LÄN</t>
        </is>
      </c>
      <c r="E5921" t="inlineStr">
        <is>
          <t>EMMABODA</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6297-2021</t>
        </is>
      </c>
      <c r="B5922" s="1" t="n">
        <v>44235</v>
      </c>
      <c r="C5922" s="1" t="n">
        <v>45884</v>
      </c>
      <c r="D5922" t="inlineStr">
        <is>
          <t>KALMAR LÄN</t>
        </is>
      </c>
      <c r="E5922" t="inlineStr">
        <is>
          <t>EMMABODA</t>
        </is>
      </c>
      <c r="G5922" t="n">
        <v>1.3</v>
      </c>
      <c r="H5922" t="n">
        <v>0</v>
      </c>
      <c r="I5922" t="n">
        <v>0</v>
      </c>
      <c r="J5922" t="n">
        <v>0</v>
      </c>
      <c r="K5922" t="n">
        <v>0</v>
      </c>
      <c r="L5922" t="n">
        <v>0</v>
      </c>
      <c r="M5922" t="n">
        <v>0</v>
      </c>
      <c r="N5922" t="n">
        <v>0</v>
      </c>
      <c r="O5922" t="n">
        <v>0</v>
      </c>
      <c r="P5922" t="n">
        <v>0</v>
      </c>
      <c r="Q5922" t="n">
        <v>0</v>
      </c>
      <c r="R5922" s="2" t="inlineStr"/>
    </row>
    <row r="5923" ht="15" customHeight="1">
      <c r="A5923" t="inlineStr">
        <is>
          <t>A 15281-2024</t>
        </is>
      </c>
      <c r="B5923" s="1" t="n">
        <v>45400</v>
      </c>
      <c r="C5923" s="1" t="n">
        <v>45884</v>
      </c>
      <c r="D5923" t="inlineStr">
        <is>
          <t>KALMAR LÄN</t>
        </is>
      </c>
      <c r="E5923" t="inlineStr">
        <is>
          <t>EMMABODA</t>
        </is>
      </c>
      <c r="G5923" t="n">
        <v>8</v>
      </c>
      <c r="H5923" t="n">
        <v>0</v>
      </c>
      <c r="I5923" t="n">
        <v>0</v>
      </c>
      <c r="J5923" t="n">
        <v>0</v>
      </c>
      <c r="K5923" t="n">
        <v>0</v>
      </c>
      <c r="L5923" t="n">
        <v>0</v>
      </c>
      <c r="M5923" t="n">
        <v>0</v>
      </c>
      <c r="N5923" t="n">
        <v>0</v>
      </c>
      <c r="O5923" t="n">
        <v>0</v>
      </c>
      <c r="P5923" t="n">
        <v>0</v>
      </c>
      <c r="Q5923" t="n">
        <v>0</v>
      </c>
      <c r="R5923" s="2" t="inlineStr"/>
    </row>
    <row r="5924" ht="15" customHeight="1">
      <c r="A5924" t="inlineStr">
        <is>
          <t>A 40137-2024</t>
        </is>
      </c>
      <c r="B5924" s="1" t="n">
        <v>45554.47766203704</v>
      </c>
      <c r="C5924" s="1" t="n">
        <v>45884</v>
      </c>
      <c r="D5924" t="inlineStr">
        <is>
          <t>KALMAR LÄN</t>
        </is>
      </c>
      <c r="E5924" t="inlineStr">
        <is>
          <t>HÖGSBY</t>
        </is>
      </c>
      <c r="G5924" t="n">
        <v>1.4</v>
      </c>
      <c r="H5924" t="n">
        <v>0</v>
      </c>
      <c r="I5924" t="n">
        <v>0</v>
      </c>
      <c r="J5924" t="n">
        <v>0</v>
      </c>
      <c r="K5924" t="n">
        <v>0</v>
      </c>
      <c r="L5924" t="n">
        <v>0</v>
      </c>
      <c r="M5924" t="n">
        <v>0</v>
      </c>
      <c r="N5924" t="n">
        <v>0</v>
      </c>
      <c r="O5924" t="n">
        <v>0</v>
      </c>
      <c r="P5924" t="n">
        <v>0</v>
      </c>
      <c r="Q5924" t="n">
        <v>0</v>
      </c>
      <c r="R5924" s="2" t="inlineStr"/>
      <c r="U5924">
        <f>HYPERLINK("https://klasma.github.io/Logging_0821/knärot/A 40137-2024 karta knärot.png", "A 40137-2024")</f>
        <v/>
      </c>
      <c r="V5924">
        <f>HYPERLINK("https://klasma.github.io/Logging_0821/klagomål/A 40137-2024 FSC-klagomål.docx", "A 40137-2024")</f>
        <v/>
      </c>
      <c r="W5924">
        <f>HYPERLINK("https://klasma.github.io/Logging_0821/klagomålsmail/A 40137-2024 FSC-klagomål mail.docx", "A 40137-2024")</f>
        <v/>
      </c>
      <c r="X5924">
        <f>HYPERLINK("https://klasma.github.io/Logging_0821/tillsyn/A 40137-2024 tillsynsbegäran.docx", "A 40137-2024")</f>
        <v/>
      </c>
      <c r="Y5924">
        <f>HYPERLINK("https://klasma.github.io/Logging_0821/tillsynsmail/A 40137-2024 tillsynsbegäran mail.docx", "A 40137-2024")</f>
        <v/>
      </c>
    </row>
    <row r="5925" ht="15" customHeight="1">
      <c r="A5925" t="inlineStr">
        <is>
          <t>A 14526-2025</t>
        </is>
      </c>
      <c r="B5925" s="1" t="n">
        <v>45741.64989583333</v>
      </c>
      <c r="C5925" s="1" t="n">
        <v>45884</v>
      </c>
      <c r="D5925" t="inlineStr">
        <is>
          <t>KALMAR LÄN</t>
        </is>
      </c>
      <c r="E5925" t="inlineStr">
        <is>
          <t>KALMAR</t>
        </is>
      </c>
      <c r="G5925" t="n">
        <v>1.3</v>
      </c>
      <c r="H5925" t="n">
        <v>0</v>
      </c>
      <c r="I5925" t="n">
        <v>0</v>
      </c>
      <c r="J5925" t="n">
        <v>0</v>
      </c>
      <c r="K5925" t="n">
        <v>0</v>
      </c>
      <c r="L5925" t="n">
        <v>0</v>
      </c>
      <c r="M5925" t="n">
        <v>0</v>
      </c>
      <c r="N5925" t="n">
        <v>0</v>
      </c>
      <c r="O5925" t="n">
        <v>0</v>
      </c>
      <c r="P5925" t="n">
        <v>0</v>
      </c>
      <c r="Q5925" t="n">
        <v>0</v>
      </c>
      <c r="R5925" s="2" t="inlineStr"/>
    </row>
    <row r="5926" ht="15" customHeight="1">
      <c r="A5926" t="inlineStr">
        <is>
          <t>A 17264-2025</t>
        </is>
      </c>
      <c r="B5926" s="1" t="n">
        <v>45756.54372685185</v>
      </c>
      <c r="C5926" s="1" t="n">
        <v>45884</v>
      </c>
      <c r="D5926" t="inlineStr">
        <is>
          <t>KALMAR LÄN</t>
        </is>
      </c>
      <c r="E5926" t="inlineStr">
        <is>
          <t>OSKARSHAMN</t>
        </is>
      </c>
      <c r="G5926" t="n">
        <v>1.7</v>
      </c>
      <c r="H5926" t="n">
        <v>0</v>
      </c>
      <c r="I5926" t="n">
        <v>0</v>
      </c>
      <c r="J5926" t="n">
        <v>0</v>
      </c>
      <c r="K5926" t="n">
        <v>0</v>
      </c>
      <c r="L5926" t="n">
        <v>0</v>
      </c>
      <c r="M5926" t="n">
        <v>0</v>
      </c>
      <c r="N5926" t="n">
        <v>0</v>
      </c>
      <c r="O5926" t="n">
        <v>0</v>
      </c>
      <c r="P5926" t="n">
        <v>0</v>
      </c>
      <c r="Q5926" t="n">
        <v>0</v>
      </c>
      <c r="R5926" s="2" t="inlineStr"/>
    </row>
    <row r="5927" ht="15" customHeight="1">
      <c r="A5927" t="inlineStr">
        <is>
          <t>A 11566-2025</t>
        </is>
      </c>
      <c r="B5927" s="1" t="n">
        <v>45727.37675925926</v>
      </c>
      <c r="C5927" s="1" t="n">
        <v>45884</v>
      </c>
      <c r="D5927" t="inlineStr">
        <is>
          <t>KALMAR LÄN</t>
        </is>
      </c>
      <c r="E5927" t="inlineStr">
        <is>
          <t>HULTSFRED</t>
        </is>
      </c>
      <c r="G5927" t="n">
        <v>5.5</v>
      </c>
      <c r="H5927" t="n">
        <v>0</v>
      </c>
      <c r="I5927" t="n">
        <v>0</v>
      </c>
      <c r="J5927" t="n">
        <v>0</v>
      </c>
      <c r="K5927" t="n">
        <v>0</v>
      </c>
      <c r="L5927" t="n">
        <v>0</v>
      </c>
      <c r="M5927" t="n">
        <v>0</v>
      </c>
      <c r="N5927" t="n">
        <v>0</v>
      </c>
      <c r="O5927" t="n">
        <v>0</v>
      </c>
      <c r="P5927" t="n">
        <v>0</v>
      </c>
      <c r="Q5927" t="n">
        <v>0</v>
      </c>
      <c r="R5927" s="2" t="inlineStr"/>
    </row>
    <row r="5928" ht="15" customHeight="1">
      <c r="A5928" t="inlineStr">
        <is>
          <t>A 57716-2023</t>
        </is>
      </c>
      <c r="B5928" s="1" t="n">
        <v>45246.69150462963</v>
      </c>
      <c r="C5928" s="1" t="n">
        <v>45884</v>
      </c>
      <c r="D5928" t="inlineStr">
        <is>
          <t>KALMAR LÄN</t>
        </is>
      </c>
      <c r="E5928" t="inlineStr">
        <is>
          <t>NYBRO</t>
        </is>
      </c>
      <c r="G5928" t="n">
        <v>5.2</v>
      </c>
      <c r="H5928" t="n">
        <v>0</v>
      </c>
      <c r="I5928" t="n">
        <v>0</v>
      </c>
      <c r="J5928" t="n">
        <v>0</v>
      </c>
      <c r="K5928" t="n">
        <v>0</v>
      </c>
      <c r="L5928" t="n">
        <v>0</v>
      </c>
      <c r="M5928" t="n">
        <v>0</v>
      </c>
      <c r="N5928" t="n">
        <v>0</v>
      </c>
      <c r="O5928" t="n">
        <v>0</v>
      </c>
      <c r="P5928" t="n">
        <v>0</v>
      </c>
      <c r="Q5928" t="n">
        <v>0</v>
      </c>
      <c r="R5928" s="2" t="inlineStr"/>
    </row>
    <row r="5929" ht="15" customHeight="1">
      <c r="A5929" t="inlineStr">
        <is>
          <t>A 14220-2021</t>
        </is>
      </c>
      <c r="B5929" s="1" t="n">
        <v>44278.54855324074</v>
      </c>
      <c r="C5929" s="1" t="n">
        <v>45884</v>
      </c>
      <c r="D5929" t="inlineStr">
        <is>
          <t>KALMAR LÄN</t>
        </is>
      </c>
      <c r="E5929" t="inlineStr">
        <is>
          <t>VIMMERBY</t>
        </is>
      </c>
      <c r="G5929" t="n">
        <v>0.3</v>
      </c>
      <c r="H5929" t="n">
        <v>0</v>
      </c>
      <c r="I5929" t="n">
        <v>0</v>
      </c>
      <c r="J5929" t="n">
        <v>0</v>
      </c>
      <c r="K5929" t="n">
        <v>0</v>
      </c>
      <c r="L5929" t="n">
        <v>0</v>
      </c>
      <c r="M5929" t="n">
        <v>0</v>
      </c>
      <c r="N5929" t="n">
        <v>0</v>
      </c>
      <c r="O5929" t="n">
        <v>0</v>
      </c>
      <c r="P5929" t="n">
        <v>0</v>
      </c>
      <c r="Q5929" t="n">
        <v>0</v>
      </c>
      <c r="R5929" s="2" t="inlineStr"/>
    </row>
    <row r="5930" ht="15" customHeight="1">
      <c r="A5930" t="inlineStr">
        <is>
          <t>A 11014-2024</t>
        </is>
      </c>
      <c r="B5930" s="1" t="n">
        <v>45370</v>
      </c>
      <c r="C5930" s="1" t="n">
        <v>45884</v>
      </c>
      <c r="D5930" t="inlineStr">
        <is>
          <t>KALMAR LÄN</t>
        </is>
      </c>
      <c r="E5930" t="inlineStr">
        <is>
          <t>NYBRO</t>
        </is>
      </c>
      <c r="G5930" t="n">
        <v>2.3</v>
      </c>
      <c r="H5930" t="n">
        <v>0</v>
      </c>
      <c r="I5930" t="n">
        <v>0</v>
      </c>
      <c r="J5930" t="n">
        <v>0</v>
      </c>
      <c r="K5930" t="n">
        <v>0</v>
      </c>
      <c r="L5930" t="n">
        <v>0</v>
      </c>
      <c r="M5930" t="n">
        <v>0</v>
      </c>
      <c r="N5930" t="n">
        <v>0</v>
      </c>
      <c r="O5930" t="n">
        <v>0</v>
      </c>
      <c r="P5930" t="n">
        <v>0</v>
      </c>
      <c r="Q5930" t="n">
        <v>0</v>
      </c>
      <c r="R5930" s="2" t="inlineStr"/>
    </row>
    <row r="5931" ht="15" customHeight="1">
      <c r="A5931" t="inlineStr">
        <is>
          <t>A 9877-2024</t>
        </is>
      </c>
      <c r="B5931" s="1" t="n">
        <v>45363.44701388889</v>
      </c>
      <c r="C5931" s="1" t="n">
        <v>45884</v>
      </c>
      <c r="D5931" t="inlineStr">
        <is>
          <t>KALMAR LÄN</t>
        </is>
      </c>
      <c r="E5931" t="inlineStr">
        <is>
          <t>KALMAR</t>
        </is>
      </c>
      <c r="G5931" t="n">
        <v>3.5</v>
      </c>
      <c r="H5931" t="n">
        <v>0</v>
      </c>
      <c r="I5931" t="n">
        <v>0</v>
      </c>
      <c r="J5931" t="n">
        <v>0</v>
      </c>
      <c r="K5931" t="n">
        <v>0</v>
      </c>
      <c r="L5931" t="n">
        <v>0</v>
      </c>
      <c r="M5931" t="n">
        <v>0</v>
      </c>
      <c r="N5931" t="n">
        <v>0</v>
      </c>
      <c r="O5931" t="n">
        <v>0</v>
      </c>
      <c r="P5931" t="n">
        <v>0</v>
      </c>
      <c r="Q5931" t="n">
        <v>0</v>
      </c>
      <c r="R5931" s="2" t="inlineStr"/>
    </row>
    <row r="5932" ht="15" customHeight="1">
      <c r="A5932" t="inlineStr">
        <is>
          <t>A 10869-2025</t>
        </is>
      </c>
      <c r="B5932" s="1" t="n">
        <v>45722</v>
      </c>
      <c r="C5932" s="1" t="n">
        <v>45884</v>
      </c>
      <c r="D5932" t="inlineStr">
        <is>
          <t>KALMAR LÄN</t>
        </is>
      </c>
      <c r="E5932" t="inlineStr">
        <is>
          <t>EMMABODA</t>
        </is>
      </c>
      <c r="G5932" t="n">
        <v>5.1</v>
      </c>
      <c r="H5932" t="n">
        <v>0</v>
      </c>
      <c r="I5932" t="n">
        <v>0</v>
      </c>
      <c r="J5932" t="n">
        <v>0</v>
      </c>
      <c r="K5932" t="n">
        <v>0</v>
      </c>
      <c r="L5932" t="n">
        <v>0</v>
      </c>
      <c r="M5932" t="n">
        <v>0</v>
      </c>
      <c r="N5932" t="n">
        <v>0</v>
      </c>
      <c r="O5932" t="n">
        <v>0</v>
      </c>
      <c r="P5932" t="n">
        <v>0</v>
      </c>
      <c r="Q5932" t="n">
        <v>0</v>
      </c>
      <c r="R5932" s="2" t="inlineStr"/>
    </row>
    <row r="5933" ht="15" customHeight="1">
      <c r="A5933" t="inlineStr">
        <is>
          <t>A 11442-2025</t>
        </is>
      </c>
      <c r="B5933" s="1" t="n">
        <v>45726.62721064815</v>
      </c>
      <c r="C5933" s="1" t="n">
        <v>45884</v>
      </c>
      <c r="D5933" t="inlineStr">
        <is>
          <t>KALMAR LÄN</t>
        </is>
      </c>
      <c r="E5933" t="inlineStr">
        <is>
          <t>VIMMERBY</t>
        </is>
      </c>
      <c r="G5933" t="n">
        <v>2.6</v>
      </c>
      <c r="H5933" t="n">
        <v>0</v>
      </c>
      <c r="I5933" t="n">
        <v>0</v>
      </c>
      <c r="J5933" t="n">
        <v>0</v>
      </c>
      <c r="K5933" t="n">
        <v>0</v>
      </c>
      <c r="L5933" t="n">
        <v>0</v>
      </c>
      <c r="M5933" t="n">
        <v>0</v>
      </c>
      <c r="N5933" t="n">
        <v>0</v>
      </c>
      <c r="O5933" t="n">
        <v>0</v>
      </c>
      <c r="P5933" t="n">
        <v>0</v>
      </c>
      <c r="Q5933" t="n">
        <v>0</v>
      </c>
      <c r="R5933" s="2" t="inlineStr"/>
    </row>
    <row r="5934" ht="15" customHeight="1">
      <c r="A5934" t="inlineStr">
        <is>
          <t>A 53413-2024</t>
        </is>
      </c>
      <c r="B5934" s="1" t="n">
        <v>45614.5066087963</v>
      </c>
      <c r="C5934" s="1" t="n">
        <v>45884</v>
      </c>
      <c r="D5934" t="inlineStr">
        <is>
          <t>KALMAR LÄN</t>
        </is>
      </c>
      <c r="E5934" t="inlineStr">
        <is>
          <t>HÖGSBY</t>
        </is>
      </c>
      <c r="G5934" t="n">
        <v>1.9</v>
      </c>
      <c r="H5934" t="n">
        <v>0</v>
      </c>
      <c r="I5934" t="n">
        <v>0</v>
      </c>
      <c r="J5934" t="n">
        <v>0</v>
      </c>
      <c r="K5934" t="n">
        <v>0</v>
      </c>
      <c r="L5934" t="n">
        <v>0</v>
      </c>
      <c r="M5934" t="n">
        <v>0</v>
      </c>
      <c r="N5934" t="n">
        <v>0</v>
      </c>
      <c r="O5934" t="n">
        <v>0</v>
      </c>
      <c r="P5934" t="n">
        <v>0</v>
      </c>
      <c r="Q5934" t="n">
        <v>0</v>
      </c>
      <c r="R5934" s="2" t="inlineStr"/>
    </row>
    <row r="5935" ht="15" customHeight="1">
      <c r="A5935" t="inlineStr">
        <is>
          <t>A 22687-2025</t>
        </is>
      </c>
      <c r="B5935" s="1" t="n">
        <v>45789.51780092593</v>
      </c>
      <c r="C5935" s="1" t="n">
        <v>45884</v>
      </c>
      <c r="D5935" t="inlineStr">
        <is>
          <t>KALMAR LÄN</t>
        </is>
      </c>
      <c r="E5935" t="inlineStr">
        <is>
          <t>HÖGSBY</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9253-2023</t>
        </is>
      </c>
      <c r="B5936" s="1" t="n">
        <v>44980.57952546296</v>
      </c>
      <c r="C5936" s="1" t="n">
        <v>45884</v>
      </c>
      <c r="D5936" t="inlineStr">
        <is>
          <t>KALMAR LÄN</t>
        </is>
      </c>
      <c r="E5936" t="inlineStr">
        <is>
          <t>OSKARSHAMN</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10104-2022</t>
        </is>
      </c>
      <c r="B5937" s="1" t="n">
        <v>44621.78886574074</v>
      </c>
      <c r="C5937" s="1" t="n">
        <v>45884</v>
      </c>
      <c r="D5937" t="inlineStr">
        <is>
          <t>KALMAR LÄN</t>
        </is>
      </c>
      <c r="E5937" t="inlineStr">
        <is>
          <t>MÖNSTERÅS</t>
        </is>
      </c>
      <c r="G5937" t="n">
        <v>2.3</v>
      </c>
      <c r="H5937" t="n">
        <v>0</v>
      </c>
      <c r="I5937" t="n">
        <v>0</v>
      </c>
      <c r="J5937" t="n">
        <v>0</v>
      </c>
      <c r="K5937" t="n">
        <v>0</v>
      </c>
      <c r="L5937" t="n">
        <v>0</v>
      </c>
      <c r="M5937" t="n">
        <v>0</v>
      </c>
      <c r="N5937" t="n">
        <v>0</v>
      </c>
      <c r="O5937" t="n">
        <v>0</v>
      </c>
      <c r="P5937" t="n">
        <v>0</v>
      </c>
      <c r="Q5937" t="n">
        <v>0</v>
      </c>
      <c r="R5937" s="2" t="inlineStr"/>
    </row>
    <row r="5938" ht="15" customHeight="1">
      <c r="A5938" t="inlineStr">
        <is>
          <t>A 4974-2023</t>
        </is>
      </c>
      <c r="B5938" s="1" t="n">
        <v>44958.45834490741</v>
      </c>
      <c r="C5938" s="1" t="n">
        <v>45884</v>
      </c>
      <c r="D5938" t="inlineStr">
        <is>
          <t>KALMAR LÄN</t>
        </is>
      </c>
      <c r="E5938" t="inlineStr">
        <is>
          <t>HULTSFRED</t>
        </is>
      </c>
      <c r="G5938" t="n">
        <v>2.8</v>
      </c>
      <c r="H5938" t="n">
        <v>0</v>
      </c>
      <c r="I5938" t="n">
        <v>0</v>
      </c>
      <c r="J5938" t="n">
        <v>0</v>
      </c>
      <c r="K5938" t="n">
        <v>0</v>
      </c>
      <c r="L5938" t="n">
        <v>0</v>
      </c>
      <c r="M5938" t="n">
        <v>0</v>
      </c>
      <c r="N5938" t="n">
        <v>0</v>
      </c>
      <c r="O5938" t="n">
        <v>0</v>
      </c>
      <c r="P5938" t="n">
        <v>0</v>
      </c>
      <c r="Q5938" t="n">
        <v>0</v>
      </c>
      <c r="R5938" s="2" t="inlineStr"/>
    </row>
    <row r="5939" ht="15" customHeight="1">
      <c r="A5939" t="inlineStr">
        <is>
          <t>A 22933-2025</t>
        </is>
      </c>
      <c r="B5939" s="1" t="n">
        <v>45790.45359953704</v>
      </c>
      <c r="C5939" s="1" t="n">
        <v>45884</v>
      </c>
      <c r="D5939" t="inlineStr">
        <is>
          <t>KALMAR LÄN</t>
        </is>
      </c>
      <c r="E5939" t="inlineStr">
        <is>
          <t>HULTSFRED</t>
        </is>
      </c>
      <c r="G5939" t="n">
        <v>2.3</v>
      </c>
      <c r="H5939" t="n">
        <v>0</v>
      </c>
      <c r="I5939" t="n">
        <v>0</v>
      </c>
      <c r="J5939" t="n">
        <v>0</v>
      </c>
      <c r="K5939" t="n">
        <v>0</v>
      </c>
      <c r="L5939" t="n">
        <v>0</v>
      </c>
      <c r="M5939" t="n">
        <v>0</v>
      </c>
      <c r="N5939" t="n">
        <v>0</v>
      </c>
      <c r="O5939" t="n">
        <v>0</v>
      </c>
      <c r="P5939" t="n">
        <v>0</v>
      </c>
      <c r="Q5939" t="n">
        <v>0</v>
      </c>
      <c r="R5939" s="2" t="inlineStr"/>
      <c r="U5939">
        <f>HYPERLINK("https://klasma.github.io/Logging_0860/knärot/A 22933-2025 karta knärot.png", "A 22933-2025")</f>
        <v/>
      </c>
      <c r="V5939">
        <f>HYPERLINK("https://klasma.github.io/Logging_0860/klagomål/A 22933-2025 FSC-klagomål.docx", "A 22933-2025")</f>
        <v/>
      </c>
      <c r="W5939">
        <f>HYPERLINK("https://klasma.github.io/Logging_0860/klagomålsmail/A 22933-2025 FSC-klagomål mail.docx", "A 22933-2025")</f>
        <v/>
      </c>
      <c r="X5939">
        <f>HYPERLINK("https://klasma.github.io/Logging_0860/tillsyn/A 22933-2025 tillsynsbegäran.docx", "A 22933-2025")</f>
        <v/>
      </c>
      <c r="Y5939">
        <f>HYPERLINK("https://klasma.github.io/Logging_0860/tillsynsmail/A 22933-2025 tillsynsbegäran mail.docx", "A 22933-2025")</f>
        <v/>
      </c>
    </row>
    <row r="5940" ht="15" customHeight="1">
      <c r="A5940" t="inlineStr">
        <is>
          <t>A 23202-2025</t>
        </is>
      </c>
      <c r="B5940" s="1" t="n">
        <v>45791.46207175926</v>
      </c>
      <c r="C5940" s="1" t="n">
        <v>45884</v>
      </c>
      <c r="D5940" t="inlineStr">
        <is>
          <t>KALMAR LÄN</t>
        </is>
      </c>
      <c r="E5940" t="inlineStr">
        <is>
          <t>NYBRO</t>
        </is>
      </c>
      <c r="G5940" t="n">
        <v>1.9</v>
      </c>
      <c r="H5940" t="n">
        <v>0</v>
      </c>
      <c r="I5940" t="n">
        <v>0</v>
      </c>
      <c r="J5940" t="n">
        <v>0</v>
      </c>
      <c r="K5940" t="n">
        <v>0</v>
      </c>
      <c r="L5940" t="n">
        <v>0</v>
      </c>
      <c r="M5940" t="n">
        <v>0</v>
      </c>
      <c r="N5940" t="n">
        <v>0</v>
      </c>
      <c r="O5940" t="n">
        <v>0</v>
      </c>
      <c r="P5940" t="n">
        <v>0</v>
      </c>
      <c r="Q5940" t="n">
        <v>0</v>
      </c>
      <c r="R5940" s="2" t="inlineStr"/>
    </row>
    <row r="5941" ht="15" customHeight="1">
      <c r="A5941" t="inlineStr">
        <is>
          <t>A 25798-2023</t>
        </is>
      </c>
      <c r="B5941" s="1" t="n">
        <v>45090.50210648148</v>
      </c>
      <c r="C5941" s="1" t="n">
        <v>45884</v>
      </c>
      <c r="D5941" t="inlineStr">
        <is>
          <t>KALMAR LÄN</t>
        </is>
      </c>
      <c r="E5941" t="inlineStr">
        <is>
          <t>NYBRO</t>
        </is>
      </c>
      <c r="G5941" t="n">
        <v>0.5</v>
      </c>
      <c r="H5941" t="n">
        <v>0</v>
      </c>
      <c r="I5941" t="n">
        <v>0</v>
      </c>
      <c r="J5941" t="n">
        <v>0</v>
      </c>
      <c r="K5941" t="n">
        <v>0</v>
      </c>
      <c r="L5941" t="n">
        <v>0</v>
      </c>
      <c r="M5941" t="n">
        <v>0</v>
      </c>
      <c r="N5941" t="n">
        <v>0</v>
      </c>
      <c r="O5941" t="n">
        <v>0</v>
      </c>
      <c r="P5941" t="n">
        <v>0</v>
      </c>
      <c r="Q5941" t="n">
        <v>0</v>
      </c>
      <c r="R5941" s="2" t="inlineStr"/>
    </row>
    <row r="5942" ht="15" customHeight="1">
      <c r="A5942" t="inlineStr">
        <is>
          <t>A 63950-2023</t>
        </is>
      </c>
      <c r="B5942" s="1" t="n">
        <v>45278</v>
      </c>
      <c r="C5942" s="1" t="n">
        <v>45884</v>
      </c>
      <c r="D5942" t="inlineStr">
        <is>
          <t>KALMAR LÄN</t>
        </is>
      </c>
      <c r="E5942" t="inlineStr">
        <is>
          <t>VIMMERBY</t>
        </is>
      </c>
      <c r="F5942" t="inlineStr">
        <is>
          <t>Kyrkan</t>
        </is>
      </c>
      <c r="G5942" t="n">
        <v>2.7</v>
      </c>
      <c r="H5942" t="n">
        <v>0</v>
      </c>
      <c r="I5942" t="n">
        <v>0</v>
      </c>
      <c r="J5942" t="n">
        <v>0</v>
      </c>
      <c r="K5942" t="n">
        <v>0</v>
      </c>
      <c r="L5942" t="n">
        <v>0</v>
      </c>
      <c r="M5942" t="n">
        <v>0</v>
      </c>
      <c r="N5942" t="n">
        <v>0</v>
      </c>
      <c r="O5942" t="n">
        <v>0</v>
      </c>
      <c r="P5942" t="n">
        <v>0</v>
      </c>
      <c r="Q5942" t="n">
        <v>0</v>
      </c>
      <c r="R5942" s="2" t="inlineStr"/>
    </row>
    <row r="5943" ht="15" customHeight="1">
      <c r="A5943" t="inlineStr">
        <is>
          <t>A 10875-2025</t>
        </is>
      </c>
      <c r="B5943" s="1" t="n">
        <v>45722</v>
      </c>
      <c r="C5943" s="1" t="n">
        <v>45884</v>
      </c>
      <c r="D5943" t="inlineStr">
        <is>
          <t>KALMAR LÄN</t>
        </is>
      </c>
      <c r="E5943" t="inlineStr">
        <is>
          <t>EMMABODA</t>
        </is>
      </c>
      <c r="G5943" t="n">
        <v>2</v>
      </c>
      <c r="H5943" t="n">
        <v>0</v>
      </c>
      <c r="I5943" t="n">
        <v>0</v>
      </c>
      <c r="J5943" t="n">
        <v>0</v>
      </c>
      <c r="K5943" t="n">
        <v>0</v>
      </c>
      <c r="L5943" t="n">
        <v>0</v>
      </c>
      <c r="M5943" t="n">
        <v>0</v>
      </c>
      <c r="N5943" t="n">
        <v>0</v>
      </c>
      <c r="O5943" t="n">
        <v>0</v>
      </c>
      <c r="P5943" t="n">
        <v>0</v>
      </c>
      <c r="Q5943" t="n">
        <v>0</v>
      </c>
      <c r="R5943" s="2" t="inlineStr"/>
    </row>
    <row r="5944" ht="15" customHeight="1">
      <c r="A5944" t="inlineStr">
        <is>
          <t>A 1973-2023</t>
        </is>
      </c>
      <c r="B5944" s="1" t="n">
        <v>44939</v>
      </c>
      <c r="C5944" s="1" t="n">
        <v>45884</v>
      </c>
      <c r="D5944" t="inlineStr">
        <is>
          <t>KALMAR LÄN</t>
        </is>
      </c>
      <c r="E5944" t="inlineStr">
        <is>
          <t>MÖNSTERÅS</t>
        </is>
      </c>
      <c r="G5944" t="n">
        <v>1.4</v>
      </c>
      <c r="H5944" t="n">
        <v>0</v>
      </c>
      <c r="I5944" t="n">
        <v>0</v>
      </c>
      <c r="J5944" t="n">
        <v>0</v>
      </c>
      <c r="K5944" t="n">
        <v>0</v>
      </c>
      <c r="L5944" t="n">
        <v>0</v>
      </c>
      <c r="M5944" t="n">
        <v>0</v>
      </c>
      <c r="N5944" t="n">
        <v>0</v>
      </c>
      <c r="O5944" t="n">
        <v>0</v>
      </c>
      <c r="P5944" t="n">
        <v>0</v>
      </c>
      <c r="Q5944" t="n">
        <v>0</v>
      </c>
      <c r="R5944" s="2" t="inlineStr"/>
    </row>
    <row r="5945" ht="15" customHeight="1">
      <c r="A5945" t="inlineStr">
        <is>
          <t>A 42229-2023</t>
        </is>
      </c>
      <c r="B5945" s="1" t="n">
        <v>45180</v>
      </c>
      <c r="C5945" s="1" t="n">
        <v>45884</v>
      </c>
      <c r="D5945" t="inlineStr">
        <is>
          <t>KALMAR LÄN</t>
        </is>
      </c>
      <c r="E5945" t="inlineStr">
        <is>
          <t>HULTSFRED</t>
        </is>
      </c>
      <c r="G5945" t="n">
        <v>1.4</v>
      </c>
      <c r="H5945" t="n">
        <v>0</v>
      </c>
      <c r="I5945" t="n">
        <v>0</v>
      </c>
      <c r="J5945" t="n">
        <v>0</v>
      </c>
      <c r="K5945" t="n">
        <v>0</v>
      </c>
      <c r="L5945" t="n">
        <v>0</v>
      </c>
      <c r="M5945" t="n">
        <v>0</v>
      </c>
      <c r="N5945" t="n">
        <v>0</v>
      </c>
      <c r="O5945" t="n">
        <v>0</v>
      </c>
      <c r="P5945" t="n">
        <v>0</v>
      </c>
      <c r="Q5945" t="n">
        <v>0</v>
      </c>
      <c r="R5945" s="2" t="inlineStr"/>
    </row>
    <row r="5946" ht="15" customHeight="1">
      <c r="A5946" t="inlineStr">
        <is>
          <t>A 17226-2025</t>
        </is>
      </c>
      <c r="B5946" s="1" t="n">
        <v>45756.4618287037</v>
      </c>
      <c r="C5946" s="1" t="n">
        <v>45884</v>
      </c>
      <c r="D5946" t="inlineStr">
        <is>
          <t>KALMAR LÄN</t>
        </is>
      </c>
      <c r="E5946" t="inlineStr">
        <is>
          <t>NYBRO</t>
        </is>
      </c>
      <c r="G5946" t="n">
        <v>4.5</v>
      </c>
      <c r="H5946" t="n">
        <v>0</v>
      </c>
      <c r="I5946" t="n">
        <v>0</v>
      </c>
      <c r="J5946" t="n">
        <v>0</v>
      </c>
      <c r="K5946" t="n">
        <v>0</v>
      </c>
      <c r="L5946" t="n">
        <v>0</v>
      </c>
      <c r="M5946" t="n">
        <v>0</v>
      </c>
      <c r="N5946" t="n">
        <v>0</v>
      </c>
      <c r="O5946" t="n">
        <v>0</v>
      </c>
      <c r="P5946" t="n">
        <v>0</v>
      </c>
      <c r="Q5946" t="n">
        <v>0</v>
      </c>
      <c r="R5946" s="2" t="inlineStr"/>
    </row>
    <row r="5947" ht="15" customHeight="1">
      <c r="A5947" t="inlineStr">
        <is>
          <t>A 52703-2024</t>
        </is>
      </c>
      <c r="B5947" s="1" t="n">
        <v>45610.41706018519</v>
      </c>
      <c r="C5947" s="1" t="n">
        <v>45884</v>
      </c>
      <c r="D5947" t="inlineStr">
        <is>
          <t>KALMAR LÄN</t>
        </is>
      </c>
      <c r="E5947" t="inlineStr">
        <is>
          <t>OSKARSHAMN</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52728-2024</t>
        </is>
      </c>
      <c r="B5948" s="1" t="n">
        <v>45610.45115740741</v>
      </c>
      <c r="C5948" s="1" t="n">
        <v>45884</v>
      </c>
      <c r="D5948" t="inlineStr">
        <is>
          <t>KALMAR LÄN</t>
        </is>
      </c>
      <c r="E5948" t="inlineStr">
        <is>
          <t>OSKARSHAMN</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52730-2024</t>
        </is>
      </c>
      <c r="B5949" s="1" t="n">
        <v>45610.45636574074</v>
      </c>
      <c r="C5949" s="1" t="n">
        <v>45884</v>
      </c>
      <c r="D5949" t="inlineStr">
        <is>
          <t>KALMAR LÄN</t>
        </is>
      </c>
      <c r="E5949" t="inlineStr">
        <is>
          <t>OSKARSHAMN</t>
        </is>
      </c>
      <c r="G5949" t="n">
        <v>1.9</v>
      </c>
      <c r="H5949" t="n">
        <v>0</v>
      </c>
      <c r="I5949" t="n">
        <v>0</v>
      </c>
      <c r="J5949" t="n">
        <v>0</v>
      </c>
      <c r="K5949" t="n">
        <v>0</v>
      </c>
      <c r="L5949" t="n">
        <v>0</v>
      </c>
      <c r="M5949" t="n">
        <v>0</v>
      </c>
      <c r="N5949" t="n">
        <v>0</v>
      </c>
      <c r="O5949" t="n">
        <v>0</v>
      </c>
      <c r="P5949" t="n">
        <v>0</v>
      </c>
      <c r="Q5949" t="n">
        <v>0</v>
      </c>
      <c r="R5949" s="2" t="inlineStr"/>
    </row>
    <row r="5950" ht="15" customHeight="1">
      <c r="A5950" t="inlineStr">
        <is>
          <t>A 52731-2024</t>
        </is>
      </c>
      <c r="B5950" s="1" t="n">
        <v>45610.45759259259</v>
      </c>
      <c r="C5950" s="1" t="n">
        <v>45884</v>
      </c>
      <c r="D5950" t="inlineStr">
        <is>
          <t>KALMAR LÄN</t>
        </is>
      </c>
      <c r="E5950" t="inlineStr">
        <is>
          <t>OSKARSHAMN</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16516-2023</t>
        </is>
      </c>
      <c r="B5951" s="1" t="n">
        <v>45029</v>
      </c>
      <c r="C5951" s="1" t="n">
        <v>45884</v>
      </c>
      <c r="D5951" t="inlineStr">
        <is>
          <t>KALMAR LÄN</t>
        </is>
      </c>
      <c r="E5951" t="inlineStr">
        <is>
          <t>VIMMERBY</t>
        </is>
      </c>
      <c r="G5951" t="n">
        <v>4.3</v>
      </c>
      <c r="H5951" t="n">
        <v>0</v>
      </c>
      <c r="I5951" t="n">
        <v>0</v>
      </c>
      <c r="J5951" t="n">
        <v>0</v>
      </c>
      <c r="K5951" t="n">
        <v>0</v>
      </c>
      <c r="L5951" t="n">
        <v>0</v>
      </c>
      <c r="M5951" t="n">
        <v>0</v>
      </c>
      <c r="N5951" t="n">
        <v>0</v>
      </c>
      <c r="O5951" t="n">
        <v>0</v>
      </c>
      <c r="P5951" t="n">
        <v>0</v>
      </c>
      <c r="Q5951" t="n">
        <v>0</v>
      </c>
      <c r="R5951" s="2" t="inlineStr"/>
    </row>
    <row r="5952" ht="15" customHeight="1">
      <c r="A5952" t="inlineStr">
        <is>
          <t>A 53447-2024</t>
        </is>
      </c>
      <c r="B5952" s="1" t="n">
        <v>45614.54209490741</v>
      </c>
      <c r="C5952" s="1" t="n">
        <v>45884</v>
      </c>
      <c r="D5952" t="inlineStr">
        <is>
          <t>KALMAR LÄN</t>
        </is>
      </c>
      <c r="E5952" t="inlineStr">
        <is>
          <t>EMMABODA</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6811-2024</t>
        </is>
      </c>
      <c r="B5953" s="1" t="n">
        <v>45342.58582175926</v>
      </c>
      <c r="C5953" s="1" t="n">
        <v>45884</v>
      </c>
      <c r="D5953" t="inlineStr">
        <is>
          <t>KALMAR LÄN</t>
        </is>
      </c>
      <c r="E5953" t="inlineStr">
        <is>
          <t>NYBRO</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11954-2023</t>
        </is>
      </c>
      <c r="B5954" s="1" t="n">
        <v>44995.54377314815</v>
      </c>
      <c r="C5954" s="1" t="n">
        <v>45884</v>
      </c>
      <c r="D5954" t="inlineStr">
        <is>
          <t>KALMAR LÄN</t>
        </is>
      </c>
      <c r="E5954" t="inlineStr">
        <is>
          <t>OSKARSHAMN</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47842-2024</t>
        </is>
      </c>
      <c r="B5955" s="1" t="n">
        <v>45588.65545138889</v>
      </c>
      <c r="C5955" s="1" t="n">
        <v>45884</v>
      </c>
      <c r="D5955" t="inlineStr">
        <is>
          <t>KALMAR LÄN</t>
        </is>
      </c>
      <c r="E5955" t="inlineStr">
        <is>
          <t>VIMMERBY</t>
        </is>
      </c>
      <c r="G5955" t="n">
        <v>2.4</v>
      </c>
      <c r="H5955" t="n">
        <v>0</v>
      </c>
      <c r="I5955" t="n">
        <v>0</v>
      </c>
      <c r="J5955" t="n">
        <v>0</v>
      </c>
      <c r="K5955" t="n">
        <v>0</v>
      </c>
      <c r="L5955" t="n">
        <v>0</v>
      </c>
      <c r="M5955" t="n">
        <v>0</v>
      </c>
      <c r="N5955" t="n">
        <v>0</v>
      </c>
      <c r="O5955" t="n">
        <v>0</v>
      </c>
      <c r="P5955" t="n">
        <v>0</v>
      </c>
      <c r="Q5955" t="n">
        <v>0</v>
      </c>
      <c r="R5955" s="2" t="inlineStr"/>
    </row>
    <row r="5956" ht="15" customHeight="1">
      <c r="A5956" t="inlineStr">
        <is>
          <t>A 61136-2022</t>
        </is>
      </c>
      <c r="B5956" s="1" t="n">
        <v>44908</v>
      </c>
      <c r="C5956" s="1" t="n">
        <v>45884</v>
      </c>
      <c r="D5956" t="inlineStr">
        <is>
          <t>KALMAR LÄN</t>
        </is>
      </c>
      <c r="E5956" t="inlineStr">
        <is>
          <t>NYBRO</t>
        </is>
      </c>
      <c r="G5956" t="n">
        <v>2</v>
      </c>
      <c r="H5956" t="n">
        <v>0</v>
      </c>
      <c r="I5956" t="n">
        <v>0</v>
      </c>
      <c r="J5956" t="n">
        <v>0</v>
      </c>
      <c r="K5956" t="n">
        <v>0</v>
      </c>
      <c r="L5956" t="n">
        <v>0</v>
      </c>
      <c r="M5956" t="n">
        <v>0</v>
      </c>
      <c r="N5956" t="n">
        <v>0</v>
      </c>
      <c r="O5956" t="n">
        <v>0</v>
      </c>
      <c r="P5956" t="n">
        <v>0</v>
      </c>
      <c r="Q5956" t="n">
        <v>0</v>
      </c>
      <c r="R5956" s="2" t="inlineStr"/>
    </row>
    <row r="5957" ht="15" customHeight="1">
      <c r="A5957" t="inlineStr">
        <is>
          <t>A 3549-2024</t>
        </is>
      </c>
      <c r="B5957" s="1" t="n">
        <v>45320.60465277778</v>
      </c>
      <c r="C5957" s="1" t="n">
        <v>45884</v>
      </c>
      <c r="D5957" t="inlineStr">
        <is>
          <t>KALMAR LÄN</t>
        </is>
      </c>
      <c r="E5957" t="inlineStr">
        <is>
          <t>HÖGSBY</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25132-2021</t>
        </is>
      </c>
      <c r="B5958" s="1" t="n">
        <v>44341.83657407408</v>
      </c>
      <c r="C5958" s="1" t="n">
        <v>45884</v>
      </c>
      <c r="D5958" t="inlineStr">
        <is>
          <t>KALMAR LÄN</t>
        </is>
      </c>
      <c r="E5958" t="inlineStr">
        <is>
          <t>HÖGSBY</t>
        </is>
      </c>
      <c r="F5958" t="inlineStr">
        <is>
          <t>Sveaskog</t>
        </is>
      </c>
      <c r="G5958" t="n">
        <v>6</v>
      </c>
      <c r="H5958" t="n">
        <v>0</v>
      </c>
      <c r="I5958" t="n">
        <v>0</v>
      </c>
      <c r="J5958" t="n">
        <v>0</v>
      </c>
      <c r="K5958" t="n">
        <v>0</v>
      </c>
      <c r="L5958" t="n">
        <v>0</v>
      </c>
      <c r="M5958" t="n">
        <v>0</v>
      </c>
      <c r="N5958" t="n">
        <v>0</v>
      </c>
      <c r="O5958" t="n">
        <v>0</v>
      </c>
      <c r="P5958" t="n">
        <v>0</v>
      </c>
      <c r="Q5958" t="n">
        <v>0</v>
      </c>
      <c r="R5958" s="2" t="inlineStr"/>
    </row>
    <row r="5959" ht="15" customHeight="1">
      <c r="A5959" t="inlineStr">
        <is>
          <t>A 50467-2021</t>
        </is>
      </c>
      <c r="B5959" s="1" t="n">
        <v>44455</v>
      </c>
      <c r="C5959" s="1" t="n">
        <v>45884</v>
      </c>
      <c r="D5959" t="inlineStr">
        <is>
          <t>KALMAR LÄN</t>
        </is>
      </c>
      <c r="E5959" t="inlineStr">
        <is>
          <t>EMMABODA</t>
        </is>
      </c>
      <c r="F5959" t="inlineStr">
        <is>
          <t>Övriga Aktiebolag</t>
        </is>
      </c>
      <c r="G5959" t="n">
        <v>6.9</v>
      </c>
      <c r="H5959" t="n">
        <v>0</v>
      </c>
      <c r="I5959" t="n">
        <v>0</v>
      </c>
      <c r="J5959" t="n">
        <v>0</v>
      </c>
      <c r="K5959" t="n">
        <v>0</v>
      </c>
      <c r="L5959" t="n">
        <v>0</v>
      </c>
      <c r="M5959" t="n">
        <v>0</v>
      </c>
      <c r="N5959" t="n">
        <v>0</v>
      </c>
      <c r="O5959" t="n">
        <v>0</v>
      </c>
      <c r="P5959" t="n">
        <v>0</v>
      </c>
      <c r="Q5959" t="n">
        <v>0</v>
      </c>
      <c r="R5959" s="2" t="inlineStr"/>
    </row>
    <row r="5960" ht="15" customHeight="1">
      <c r="A5960" t="inlineStr">
        <is>
          <t>A 42030-2024</t>
        </is>
      </c>
      <c r="B5960" s="1" t="n">
        <v>45561</v>
      </c>
      <c r="C5960" s="1" t="n">
        <v>45884</v>
      </c>
      <c r="D5960" t="inlineStr">
        <is>
          <t>KALMAR LÄN</t>
        </is>
      </c>
      <c r="E5960" t="inlineStr">
        <is>
          <t>NYBRO</t>
        </is>
      </c>
      <c r="F5960" t="inlineStr">
        <is>
          <t>Kyrkan</t>
        </is>
      </c>
      <c r="G5960" t="n">
        <v>6.8</v>
      </c>
      <c r="H5960" t="n">
        <v>0</v>
      </c>
      <c r="I5960" t="n">
        <v>0</v>
      </c>
      <c r="J5960" t="n">
        <v>0</v>
      </c>
      <c r="K5960" t="n">
        <v>0</v>
      </c>
      <c r="L5960" t="n">
        <v>0</v>
      </c>
      <c r="M5960" t="n">
        <v>0</v>
      </c>
      <c r="N5960" t="n">
        <v>0</v>
      </c>
      <c r="O5960" t="n">
        <v>0</v>
      </c>
      <c r="P5960" t="n">
        <v>0</v>
      </c>
      <c r="Q5960" t="n">
        <v>0</v>
      </c>
      <c r="R5960" s="2" t="inlineStr"/>
    </row>
    <row r="5961" ht="15" customHeight="1">
      <c r="A5961" t="inlineStr">
        <is>
          <t>A 56119-2024</t>
        </is>
      </c>
      <c r="B5961" s="1" t="n">
        <v>45624.46452546296</v>
      </c>
      <c r="C5961" s="1" t="n">
        <v>45884</v>
      </c>
      <c r="D5961" t="inlineStr">
        <is>
          <t>KALMAR LÄN</t>
        </is>
      </c>
      <c r="E5961" t="inlineStr">
        <is>
          <t>KALMAR</t>
        </is>
      </c>
      <c r="F5961" t="inlineStr">
        <is>
          <t>Sveaskog</t>
        </is>
      </c>
      <c r="G5961" t="n">
        <v>4.8</v>
      </c>
      <c r="H5961" t="n">
        <v>0</v>
      </c>
      <c r="I5961" t="n">
        <v>0</v>
      </c>
      <c r="J5961" t="n">
        <v>0</v>
      </c>
      <c r="K5961" t="n">
        <v>0</v>
      </c>
      <c r="L5961" t="n">
        <v>0</v>
      </c>
      <c r="M5961" t="n">
        <v>0</v>
      </c>
      <c r="N5961" t="n">
        <v>0</v>
      </c>
      <c r="O5961" t="n">
        <v>0</v>
      </c>
      <c r="P5961" t="n">
        <v>0</v>
      </c>
      <c r="Q5961" t="n">
        <v>0</v>
      </c>
      <c r="R5961" s="2" t="inlineStr"/>
    </row>
    <row r="5962" ht="15" customHeight="1">
      <c r="A5962" t="inlineStr">
        <is>
          <t>A 6408-2025</t>
        </is>
      </c>
      <c r="B5962" s="1" t="n">
        <v>45699.45671296296</v>
      </c>
      <c r="C5962" s="1" t="n">
        <v>45884</v>
      </c>
      <c r="D5962" t="inlineStr">
        <is>
          <t>KALMAR LÄN</t>
        </is>
      </c>
      <c r="E5962" t="inlineStr">
        <is>
          <t>VIMMERBY</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22899-2025</t>
        </is>
      </c>
      <c r="B5963" s="1" t="n">
        <v>45790.40994212963</v>
      </c>
      <c r="C5963" s="1" t="n">
        <v>45884</v>
      </c>
      <c r="D5963" t="inlineStr">
        <is>
          <t>KALMAR LÄN</t>
        </is>
      </c>
      <c r="E5963" t="inlineStr">
        <is>
          <t>EMMABODA</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22825-2025</t>
        </is>
      </c>
      <c r="B5964" s="1" t="n">
        <v>45789.81270833333</v>
      </c>
      <c r="C5964" s="1" t="n">
        <v>45884</v>
      </c>
      <c r="D5964" t="inlineStr">
        <is>
          <t>KALMAR LÄN</t>
        </is>
      </c>
      <c r="E5964" t="inlineStr">
        <is>
          <t>KALMAR</t>
        </is>
      </c>
      <c r="G5964" t="n">
        <v>3.4</v>
      </c>
      <c r="H5964" t="n">
        <v>0</v>
      </c>
      <c r="I5964" t="n">
        <v>0</v>
      </c>
      <c r="J5964" t="n">
        <v>0</v>
      </c>
      <c r="K5964" t="n">
        <v>0</v>
      </c>
      <c r="L5964" t="n">
        <v>0</v>
      </c>
      <c r="M5964" t="n">
        <v>0</v>
      </c>
      <c r="N5964" t="n">
        <v>0</v>
      </c>
      <c r="O5964" t="n">
        <v>0</v>
      </c>
      <c r="P5964" t="n">
        <v>0</v>
      </c>
      <c r="Q5964" t="n">
        <v>0</v>
      </c>
      <c r="R5964" s="2" t="inlineStr"/>
    </row>
    <row r="5965" ht="15" customHeight="1">
      <c r="A5965" t="inlineStr">
        <is>
          <t>A 25109-2023</t>
        </is>
      </c>
      <c r="B5965" s="1" t="n">
        <v>45086</v>
      </c>
      <c r="C5965" s="1" t="n">
        <v>45884</v>
      </c>
      <c r="D5965" t="inlineStr">
        <is>
          <t>KALMAR LÄN</t>
        </is>
      </c>
      <c r="E5965" t="inlineStr">
        <is>
          <t>VIMMERBY</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33380-2023</t>
        </is>
      </c>
      <c r="B5966" s="1" t="n">
        <v>45128</v>
      </c>
      <c r="C5966" s="1" t="n">
        <v>45884</v>
      </c>
      <c r="D5966" t="inlineStr">
        <is>
          <t>KALMAR LÄN</t>
        </is>
      </c>
      <c r="E5966" t="inlineStr">
        <is>
          <t>VIMMERBY</t>
        </is>
      </c>
      <c r="G5966" t="n">
        <v>5.2</v>
      </c>
      <c r="H5966" t="n">
        <v>0</v>
      </c>
      <c r="I5966" t="n">
        <v>0</v>
      </c>
      <c r="J5966" t="n">
        <v>0</v>
      </c>
      <c r="K5966" t="n">
        <v>0</v>
      </c>
      <c r="L5966" t="n">
        <v>0</v>
      </c>
      <c r="M5966" t="n">
        <v>0</v>
      </c>
      <c r="N5966" t="n">
        <v>0</v>
      </c>
      <c r="O5966" t="n">
        <v>0</v>
      </c>
      <c r="P5966" t="n">
        <v>0</v>
      </c>
      <c r="Q5966" t="n">
        <v>0</v>
      </c>
      <c r="R5966" s="2" t="inlineStr"/>
    </row>
    <row r="5967" ht="15" customHeight="1">
      <c r="A5967" t="inlineStr">
        <is>
          <t>A 42912-2023</t>
        </is>
      </c>
      <c r="B5967" s="1" t="n">
        <v>45182.51306712963</v>
      </c>
      <c r="C5967" s="1" t="n">
        <v>45884</v>
      </c>
      <c r="D5967" t="inlineStr">
        <is>
          <t>KALMAR LÄN</t>
        </is>
      </c>
      <c r="E5967" t="inlineStr">
        <is>
          <t>TORSÅS</t>
        </is>
      </c>
      <c r="G5967" t="n">
        <v>0.4</v>
      </c>
      <c r="H5967" t="n">
        <v>0</v>
      </c>
      <c r="I5967" t="n">
        <v>0</v>
      </c>
      <c r="J5967" t="n">
        <v>0</v>
      </c>
      <c r="K5967" t="n">
        <v>0</v>
      </c>
      <c r="L5967" t="n">
        <v>0</v>
      </c>
      <c r="M5967" t="n">
        <v>0</v>
      </c>
      <c r="N5967" t="n">
        <v>0</v>
      </c>
      <c r="O5967" t="n">
        <v>0</v>
      </c>
      <c r="P5967" t="n">
        <v>0</v>
      </c>
      <c r="Q5967" t="n">
        <v>0</v>
      </c>
      <c r="R5967" s="2" t="inlineStr"/>
    </row>
    <row r="5968" ht="15" customHeight="1">
      <c r="A5968" t="inlineStr">
        <is>
          <t>A 42933-2023</t>
        </is>
      </c>
      <c r="B5968" s="1" t="n">
        <v>45177</v>
      </c>
      <c r="C5968" s="1" t="n">
        <v>45884</v>
      </c>
      <c r="D5968" t="inlineStr">
        <is>
          <t>KALMAR LÄN</t>
        </is>
      </c>
      <c r="E5968" t="inlineStr">
        <is>
          <t>NYBRO</t>
        </is>
      </c>
      <c r="F5968" t="inlineStr">
        <is>
          <t>Kyrkan</t>
        </is>
      </c>
      <c r="G5968" t="n">
        <v>1.3</v>
      </c>
      <c r="H5968" t="n">
        <v>0</v>
      </c>
      <c r="I5968" t="n">
        <v>0</v>
      </c>
      <c r="J5968" t="n">
        <v>0</v>
      </c>
      <c r="K5968" t="n">
        <v>0</v>
      </c>
      <c r="L5968" t="n">
        <v>0</v>
      </c>
      <c r="M5968" t="n">
        <v>0</v>
      </c>
      <c r="N5968" t="n">
        <v>0</v>
      </c>
      <c r="O5968" t="n">
        <v>0</v>
      </c>
      <c r="P5968" t="n">
        <v>0</v>
      </c>
      <c r="Q5968" t="n">
        <v>0</v>
      </c>
      <c r="R5968" s="2" t="inlineStr"/>
    </row>
    <row r="5969" ht="15" customHeight="1">
      <c r="A5969" t="inlineStr">
        <is>
          <t>A 42941-2023</t>
        </is>
      </c>
      <c r="B5969" s="1" t="n">
        <v>45182.57427083333</v>
      </c>
      <c r="C5969" s="1" t="n">
        <v>45884</v>
      </c>
      <c r="D5969" t="inlineStr">
        <is>
          <t>KALMAR LÄN</t>
        </is>
      </c>
      <c r="E5969" t="inlineStr">
        <is>
          <t>MÖNSTERÅS</t>
        </is>
      </c>
      <c r="G5969" t="n">
        <v>1.3</v>
      </c>
      <c r="H5969" t="n">
        <v>0</v>
      </c>
      <c r="I5969" t="n">
        <v>0</v>
      </c>
      <c r="J5969" t="n">
        <v>0</v>
      </c>
      <c r="K5969" t="n">
        <v>0</v>
      </c>
      <c r="L5969" t="n">
        <v>0</v>
      </c>
      <c r="M5969" t="n">
        <v>0</v>
      </c>
      <c r="N5969" t="n">
        <v>0</v>
      </c>
      <c r="O5969" t="n">
        <v>0</v>
      </c>
      <c r="P5969" t="n">
        <v>0</v>
      </c>
      <c r="Q5969" t="n">
        <v>0</v>
      </c>
      <c r="R5969" s="2" t="inlineStr"/>
    </row>
    <row r="5970" ht="15" customHeight="1">
      <c r="A5970" t="inlineStr">
        <is>
          <t>A 4405-2024</t>
        </is>
      </c>
      <c r="B5970" s="1" t="n">
        <v>45327</v>
      </c>
      <c r="C5970" s="1" t="n">
        <v>45884</v>
      </c>
      <c r="D5970" t="inlineStr">
        <is>
          <t>KALMAR LÄN</t>
        </is>
      </c>
      <c r="E5970" t="inlineStr">
        <is>
          <t>NYBRO</t>
        </is>
      </c>
      <c r="G5970" t="n">
        <v>2.8</v>
      </c>
      <c r="H5970" t="n">
        <v>0</v>
      </c>
      <c r="I5970" t="n">
        <v>0</v>
      </c>
      <c r="J5970" t="n">
        <v>0</v>
      </c>
      <c r="K5970" t="n">
        <v>0</v>
      </c>
      <c r="L5970" t="n">
        <v>0</v>
      </c>
      <c r="M5970" t="n">
        <v>0</v>
      </c>
      <c r="N5970" t="n">
        <v>0</v>
      </c>
      <c r="O5970" t="n">
        <v>0</v>
      </c>
      <c r="P5970" t="n">
        <v>0</v>
      </c>
      <c r="Q5970" t="n">
        <v>0</v>
      </c>
      <c r="R5970" s="2" t="inlineStr"/>
    </row>
    <row r="5971" ht="15" customHeight="1">
      <c r="A5971" t="inlineStr">
        <is>
          <t>A 23190-2025</t>
        </is>
      </c>
      <c r="B5971" s="1" t="n">
        <v>45791.45009259259</v>
      </c>
      <c r="C5971" s="1" t="n">
        <v>45884</v>
      </c>
      <c r="D5971" t="inlineStr">
        <is>
          <t>KALMAR LÄN</t>
        </is>
      </c>
      <c r="E5971" t="inlineStr">
        <is>
          <t>KALMAR</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53704-2023</t>
        </is>
      </c>
      <c r="B5972" s="1" t="n">
        <v>45230</v>
      </c>
      <c r="C5972" s="1" t="n">
        <v>45884</v>
      </c>
      <c r="D5972" t="inlineStr">
        <is>
          <t>KALMAR LÄN</t>
        </is>
      </c>
      <c r="E5972" t="inlineStr">
        <is>
          <t>EMMABODA</t>
        </is>
      </c>
      <c r="G5972" t="n">
        <v>2.6</v>
      </c>
      <c r="H5972" t="n">
        <v>0</v>
      </c>
      <c r="I5972" t="n">
        <v>0</v>
      </c>
      <c r="J5972" t="n">
        <v>0</v>
      </c>
      <c r="K5972" t="n">
        <v>0</v>
      </c>
      <c r="L5972" t="n">
        <v>0</v>
      </c>
      <c r="M5972" t="n">
        <v>0</v>
      </c>
      <c r="N5972" t="n">
        <v>0</v>
      </c>
      <c r="O5972" t="n">
        <v>0</v>
      </c>
      <c r="P5972" t="n">
        <v>0</v>
      </c>
      <c r="Q5972" t="n">
        <v>0</v>
      </c>
      <c r="R5972" s="2" t="inlineStr"/>
    </row>
    <row r="5973" ht="15" customHeight="1">
      <c r="A5973" t="inlineStr">
        <is>
          <t>A 49830-2022</t>
        </is>
      </c>
      <c r="B5973" s="1" t="n">
        <v>44862</v>
      </c>
      <c r="C5973" s="1" t="n">
        <v>45884</v>
      </c>
      <c r="D5973" t="inlineStr">
        <is>
          <t>KALMAR LÄN</t>
        </is>
      </c>
      <c r="E5973" t="inlineStr">
        <is>
          <t>KALMAR</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32639-2023</t>
        </is>
      </c>
      <c r="B5974" s="1" t="n">
        <v>45121.5965162037</v>
      </c>
      <c r="C5974" s="1" t="n">
        <v>45884</v>
      </c>
      <c r="D5974" t="inlineStr">
        <is>
          <t>KALMAR LÄN</t>
        </is>
      </c>
      <c r="E5974" t="inlineStr">
        <is>
          <t>VIMMERBY</t>
        </is>
      </c>
      <c r="F5974" t="inlineStr">
        <is>
          <t>Sveaskog</t>
        </is>
      </c>
      <c r="G5974" t="n">
        <v>1.7</v>
      </c>
      <c r="H5974" t="n">
        <v>0</v>
      </c>
      <c r="I5974" t="n">
        <v>0</v>
      </c>
      <c r="J5974" t="n">
        <v>0</v>
      </c>
      <c r="K5974" t="n">
        <v>0</v>
      </c>
      <c r="L5974" t="n">
        <v>0</v>
      </c>
      <c r="M5974" t="n">
        <v>0</v>
      </c>
      <c r="N5974" t="n">
        <v>0</v>
      </c>
      <c r="O5974" t="n">
        <v>0</v>
      </c>
      <c r="P5974" t="n">
        <v>0</v>
      </c>
      <c r="Q5974" t="n">
        <v>0</v>
      </c>
      <c r="R5974" s="2" t="inlineStr"/>
    </row>
    <row r="5975" ht="15" customHeight="1">
      <c r="A5975" t="inlineStr">
        <is>
          <t>A 32642-2023</t>
        </is>
      </c>
      <c r="B5975" s="1" t="n">
        <v>45121.59954861111</v>
      </c>
      <c r="C5975" s="1" t="n">
        <v>45884</v>
      </c>
      <c r="D5975" t="inlineStr">
        <is>
          <t>KALMAR LÄN</t>
        </is>
      </c>
      <c r="E5975" t="inlineStr">
        <is>
          <t>VIMMERBY</t>
        </is>
      </c>
      <c r="F5975" t="inlineStr">
        <is>
          <t>Sveaskog</t>
        </is>
      </c>
      <c r="G5975" t="n">
        <v>2.1</v>
      </c>
      <c r="H5975" t="n">
        <v>0</v>
      </c>
      <c r="I5975" t="n">
        <v>0</v>
      </c>
      <c r="J5975" t="n">
        <v>0</v>
      </c>
      <c r="K5975" t="n">
        <v>0</v>
      </c>
      <c r="L5975" t="n">
        <v>0</v>
      </c>
      <c r="M5975" t="n">
        <v>0</v>
      </c>
      <c r="N5975" t="n">
        <v>0</v>
      </c>
      <c r="O5975" t="n">
        <v>0</v>
      </c>
      <c r="P5975" t="n">
        <v>0</v>
      </c>
      <c r="Q5975" t="n">
        <v>0</v>
      </c>
      <c r="R5975" s="2" t="inlineStr"/>
    </row>
    <row r="5976" ht="15" customHeight="1">
      <c r="A5976" t="inlineStr">
        <is>
          <t>A 32651-2023</t>
        </is>
      </c>
      <c r="B5976" s="1" t="n">
        <v>45121.6096875</v>
      </c>
      <c r="C5976" s="1" t="n">
        <v>45884</v>
      </c>
      <c r="D5976" t="inlineStr">
        <is>
          <t>KALMAR LÄN</t>
        </is>
      </c>
      <c r="E5976" t="inlineStr">
        <is>
          <t>VIMMERBY</t>
        </is>
      </c>
      <c r="F5976" t="inlineStr">
        <is>
          <t>Sveaskog</t>
        </is>
      </c>
      <c r="G5976" t="n">
        <v>1.4</v>
      </c>
      <c r="H5976" t="n">
        <v>0</v>
      </c>
      <c r="I5976" t="n">
        <v>0</v>
      </c>
      <c r="J5976" t="n">
        <v>0</v>
      </c>
      <c r="K5976" t="n">
        <v>0</v>
      </c>
      <c r="L5976" t="n">
        <v>0</v>
      </c>
      <c r="M5976" t="n">
        <v>0</v>
      </c>
      <c r="N5976" t="n">
        <v>0</v>
      </c>
      <c r="O5976" t="n">
        <v>0</v>
      </c>
      <c r="P5976" t="n">
        <v>0</v>
      </c>
      <c r="Q5976" t="n">
        <v>0</v>
      </c>
      <c r="R5976" s="2" t="inlineStr"/>
    </row>
    <row r="5977" ht="15" customHeight="1">
      <c r="A5977" t="inlineStr">
        <is>
          <t>A 11464-2022</t>
        </is>
      </c>
      <c r="B5977" s="1" t="n">
        <v>44630</v>
      </c>
      <c r="C5977" s="1" t="n">
        <v>45884</v>
      </c>
      <c r="D5977" t="inlineStr">
        <is>
          <t>KALMAR LÄN</t>
        </is>
      </c>
      <c r="E5977" t="inlineStr">
        <is>
          <t>OSKARSHAMN</t>
        </is>
      </c>
      <c r="G5977" t="n">
        <v>2.4</v>
      </c>
      <c r="H5977" t="n">
        <v>0</v>
      </c>
      <c r="I5977" t="n">
        <v>0</v>
      </c>
      <c r="J5977" t="n">
        <v>0</v>
      </c>
      <c r="K5977" t="n">
        <v>0</v>
      </c>
      <c r="L5977" t="n">
        <v>0</v>
      </c>
      <c r="M5977" t="n">
        <v>0</v>
      </c>
      <c r="N5977" t="n">
        <v>0</v>
      </c>
      <c r="O5977" t="n">
        <v>0</v>
      </c>
      <c r="P5977" t="n">
        <v>0</v>
      </c>
      <c r="Q5977" t="n">
        <v>0</v>
      </c>
      <c r="R5977" s="2" t="inlineStr"/>
    </row>
    <row r="5978" ht="15" customHeight="1">
      <c r="A5978" t="inlineStr">
        <is>
          <t>A 23009-2025</t>
        </is>
      </c>
      <c r="B5978" s="1" t="n">
        <v>45790.61526620371</v>
      </c>
      <c r="C5978" s="1" t="n">
        <v>45884</v>
      </c>
      <c r="D5978" t="inlineStr">
        <is>
          <t>KALMAR LÄN</t>
        </is>
      </c>
      <c r="E5978" t="inlineStr">
        <is>
          <t>MÖNSTERÅS</t>
        </is>
      </c>
      <c r="G5978" t="n">
        <v>1.7</v>
      </c>
      <c r="H5978" t="n">
        <v>0</v>
      </c>
      <c r="I5978" t="n">
        <v>0</v>
      </c>
      <c r="J5978" t="n">
        <v>0</v>
      </c>
      <c r="K5978" t="n">
        <v>0</v>
      </c>
      <c r="L5978" t="n">
        <v>0</v>
      </c>
      <c r="M5978" t="n">
        <v>0</v>
      </c>
      <c r="N5978" t="n">
        <v>0</v>
      </c>
      <c r="O5978" t="n">
        <v>0</v>
      </c>
      <c r="P5978" t="n">
        <v>0</v>
      </c>
      <c r="Q5978" t="n">
        <v>0</v>
      </c>
      <c r="R5978" s="2" t="inlineStr"/>
    </row>
    <row r="5979" ht="15" customHeight="1">
      <c r="A5979" t="inlineStr">
        <is>
          <t>A 7078-2023</t>
        </is>
      </c>
      <c r="B5979" s="1" t="n">
        <v>44970.31702546297</v>
      </c>
      <c r="C5979" s="1" t="n">
        <v>45884</v>
      </c>
      <c r="D5979" t="inlineStr">
        <is>
          <t>KALMAR LÄN</t>
        </is>
      </c>
      <c r="E5979" t="inlineStr">
        <is>
          <t>HULTSFRED</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7887-2023</t>
        </is>
      </c>
      <c r="B5980" s="1" t="n">
        <v>44973</v>
      </c>
      <c r="C5980" s="1" t="n">
        <v>45884</v>
      </c>
      <c r="D5980" t="inlineStr">
        <is>
          <t>KALMAR LÄN</t>
        </is>
      </c>
      <c r="E5980" t="inlineStr">
        <is>
          <t>OSKARSHAMN</t>
        </is>
      </c>
      <c r="F5980" t="inlineStr">
        <is>
          <t>Övriga Aktiebolag</t>
        </is>
      </c>
      <c r="G5980" t="n">
        <v>4.4</v>
      </c>
      <c r="H5980" t="n">
        <v>0</v>
      </c>
      <c r="I5980" t="n">
        <v>0</v>
      </c>
      <c r="J5980" t="n">
        <v>0</v>
      </c>
      <c r="K5980" t="n">
        <v>0</v>
      </c>
      <c r="L5980" t="n">
        <v>0</v>
      </c>
      <c r="M5980" t="n">
        <v>0</v>
      </c>
      <c r="N5980" t="n">
        <v>0</v>
      </c>
      <c r="O5980" t="n">
        <v>0</v>
      </c>
      <c r="P5980" t="n">
        <v>0</v>
      </c>
      <c r="Q5980" t="n">
        <v>0</v>
      </c>
      <c r="R5980" s="2" t="inlineStr"/>
    </row>
    <row r="5981" ht="15" customHeight="1">
      <c r="A5981" t="inlineStr">
        <is>
          <t>A 23042-2025</t>
        </is>
      </c>
      <c r="B5981" s="1" t="n">
        <v>45790.67273148148</v>
      </c>
      <c r="C5981" s="1" t="n">
        <v>45884</v>
      </c>
      <c r="D5981" t="inlineStr">
        <is>
          <t>KALMAR LÄN</t>
        </is>
      </c>
      <c r="E5981" t="inlineStr">
        <is>
          <t>VÄSTERVIK</t>
        </is>
      </c>
      <c r="G5981" t="n">
        <v>0.6</v>
      </c>
      <c r="H5981" t="n">
        <v>0</v>
      </c>
      <c r="I5981" t="n">
        <v>0</v>
      </c>
      <c r="J5981" t="n">
        <v>0</v>
      </c>
      <c r="K5981" t="n">
        <v>0</v>
      </c>
      <c r="L5981" t="n">
        <v>0</v>
      </c>
      <c r="M5981" t="n">
        <v>0</v>
      </c>
      <c r="N5981" t="n">
        <v>0</v>
      </c>
      <c r="O5981" t="n">
        <v>0</v>
      </c>
      <c r="P5981" t="n">
        <v>0</v>
      </c>
      <c r="Q5981" t="n">
        <v>0</v>
      </c>
      <c r="R5981" s="2" t="inlineStr"/>
    </row>
    <row r="5982" ht="15" customHeight="1">
      <c r="A5982" t="inlineStr">
        <is>
          <t>A 25165-2023</t>
        </is>
      </c>
      <c r="B5982" s="1" t="n">
        <v>45086</v>
      </c>
      <c r="C5982" s="1" t="n">
        <v>45884</v>
      </c>
      <c r="D5982" t="inlineStr">
        <is>
          <t>KALMAR LÄN</t>
        </is>
      </c>
      <c r="E5982" t="inlineStr">
        <is>
          <t>MÖNSTERÅS</t>
        </is>
      </c>
      <c r="G5982" t="n">
        <v>2.8</v>
      </c>
      <c r="H5982" t="n">
        <v>0</v>
      </c>
      <c r="I5982" t="n">
        <v>0</v>
      </c>
      <c r="J5982" t="n">
        <v>0</v>
      </c>
      <c r="K5982" t="n">
        <v>0</v>
      </c>
      <c r="L5982" t="n">
        <v>0</v>
      </c>
      <c r="M5982" t="n">
        <v>0</v>
      </c>
      <c r="N5982" t="n">
        <v>0</v>
      </c>
      <c r="O5982" t="n">
        <v>0</v>
      </c>
      <c r="P5982" t="n">
        <v>0</v>
      </c>
      <c r="Q5982" t="n">
        <v>0</v>
      </c>
      <c r="R5982" s="2" t="inlineStr"/>
    </row>
    <row r="5983" ht="15" customHeight="1">
      <c r="A5983" t="inlineStr">
        <is>
          <t>A 25838-2023</t>
        </is>
      </c>
      <c r="B5983" s="1" t="n">
        <v>45090.57193287037</v>
      </c>
      <c r="C5983" s="1" t="n">
        <v>45884</v>
      </c>
      <c r="D5983" t="inlineStr">
        <is>
          <t>KALMAR LÄN</t>
        </is>
      </c>
      <c r="E5983" t="inlineStr">
        <is>
          <t>NYBRO</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32542-2023</t>
        </is>
      </c>
      <c r="B5984" s="1" t="n">
        <v>45110</v>
      </c>
      <c r="C5984" s="1" t="n">
        <v>45884</v>
      </c>
      <c r="D5984" t="inlineStr">
        <is>
          <t>KALMAR LÄN</t>
        </is>
      </c>
      <c r="E5984" t="inlineStr">
        <is>
          <t>NYBRO</t>
        </is>
      </c>
      <c r="F5984" t="inlineStr">
        <is>
          <t>Kyrkan</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9055-2023</t>
        </is>
      </c>
      <c r="B5985" s="1" t="n">
        <v>44979</v>
      </c>
      <c r="C5985" s="1" t="n">
        <v>45884</v>
      </c>
      <c r="D5985" t="inlineStr">
        <is>
          <t>KALMAR LÄN</t>
        </is>
      </c>
      <c r="E5985" t="inlineStr">
        <is>
          <t>KALMAR</t>
        </is>
      </c>
      <c r="G5985" t="n">
        <v>3</v>
      </c>
      <c r="H5985" t="n">
        <v>0</v>
      </c>
      <c r="I5985" t="n">
        <v>0</v>
      </c>
      <c r="J5985" t="n">
        <v>0</v>
      </c>
      <c r="K5985" t="n">
        <v>0</v>
      </c>
      <c r="L5985" t="n">
        <v>0</v>
      </c>
      <c r="M5985" t="n">
        <v>0</v>
      </c>
      <c r="N5985" t="n">
        <v>0</v>
      </c>
      <c r="O5985" t="n">
        <v>0</v>
      </c>
      <c r="P5985" t="n">
        <v>0</v>
      </c>
      <c r="Q5985" t="n">
        <v>0</v>
      </c>
      <c r="R5985" s="2" t="inlineStr"/>
    </row>
    <row r="5986" ht="15" customHeight="1">
      <c r="A5986" t="inlineStr">
        <is>
          <t>A 23124-2025</t>
        </is>
      </c>
      <c r="B5986" s="1" t="n">
        <v>45791.37925925926</v>
      </c>
      <c r="C5986" s="1" t="n">
        <v>45884</v>
      </c>
      <c r="D5986" t="inlineStr">
        <is>
          <t>KALMAR LÄN</t>
        </is>
      </c>
      <c r="E5986" t="inlineStr">
        <is>
          <t>HÖGSBY</t>
        </is>
      </c>
      <c r="G5986" t="n">
        <v>6</v>
      </c>
      <c r="H5986" t="n">
        <v>0</v>
      </c>
      <c r="I5986" t="n">
        <v>0</v>
      </c>
      <c r="J5986" t="n">
        <v>0</v>
      </c>
      <c r="K5986" t="n">
        <v>0</v>
      </c>
      <c r="L5986" t="n">
        <v>0</v>
      </c>
      <c r="M5986" t="n">
        <v>0</v>
      </c>
      <c r="N5986" t="n">
        <v>0</v>
      </c>
      <c r="O5986" t="n">
        <v>0</v>
      </c>
      <c r="P5986" t="n">
        <v>0</v>
      </c>
      <c r="Q5986" t="n">
        <v>0</v>
      </c>
      <c r="R5986" s="2" t="inlineStr"/>
    </row>
    <row r="5987" ht="15" customHeight="1">
      <c r="A5987" t="inlineStr">
        <is>
          <t>A 23148-2025</t>
        </is>
      </c>
      <c r="B5987" s="1" t="n">
        <v>45791.40225694444</v>
      </c>
      <c r="C5987" s="1" t="n">
        <v>45884</v>
      </c>
      <c r="D5987" t="inlineStr">
        <is>
          <t>KALMAR LÄN</t>
        </is>
      </c>
      <c r="E5987" t="inlineStr">
        <is>
          <t>VÄSTERVIK</t>
        </is>
      </c>
      <c r="G5987" t="n">
        <v>1.5</v>
      </c>
      <c r="H5987" t="n">
        <v>0</v>
      </c>
      <c r="I5987" t="n">
        <v>0</v>
      </c>
      <c r="J5987" t="n">
        <v>0</v>
      </c>
      <c r="K5987" t="n">
        <v>0</v>
      </c>
      <c r="L5987" t="n">
        <v>0</v>
      </c>
      <c r="M5987" t="n">
        <v>0</v>
      </c>
      <c r="N5987" t="n">
        <v>0</v>
      </c>
      <c r="O5987" t="n">
        <v>0</v>
      </c>
      <c r="P5987" t="n">
        <v>0</v>
      </c>
      <c r="Q5987" t="n">
        <v>0</v>
      </c>
      <c r="R5987" s="2" t="inlineStr"/>
    </row>
    <row r="5988" ht="15" customHeight="1">
      <c r="A5988" t="inlineStr">
        <is>
          <t>A 63816-2023</t>
        </is>
      </c>
      <c r="B5988" s="1" t="n">
        <v>45278.43667824074</v>
      </c>
      <c r="C5988" s="1" t="n">
        <v>45884</v>
      </c>
      <c r="D5988" t="inlineStr">
        <is>
          <t>KALMAR LÄN</t>
        </is>
      </c>
      <c r="E5988" t="inlineStr">
        <is>
          <t>MÖNSTERÅS</t>
        </is>
      </c>
      <c r="G5988" t="n">
        <v>2.8</v>
      </c>
      <c r="H5988" t="n">
        <v>0</v>
      </c>
      <c r="I5988" t="n">
        <v>0</v>
      </c>
      <c r="J5988" t="n">
        <v>0</v>
      </c>
      <c r="K5988" t="n">
        <v>0</v>
      </c>
      <c r="L5988" t="n">
        <v>0</v>
      </c>
      <c r="M5988" t="n">
        <v>0</v>
      </c>
      <c r="N5988" t="n">
        <v>0</v>
      </c>
      <c r="O5988" t="n">
        <v>0</v>
      </c>
      <c r="P5988" t="n">
        <v>0</v>
      </c>
      <c r="Q5988" t="n">
        <v>0</v>
      </c>
      <c r="R5988" s="2" t="inlineStr"/>
    </row>
    <row r="5989" ht="15" customHeight="1">
      <c r="A5989" t="inlineStr">
        <is>
          <t>A 4097-2024</t>
        </is>
      </c>
      <c r="B5989" s="1" t="n">
        <v>45323</v>
      </c>
      <c r="C5989" s="1" t="n">
        <v>45884</v>
      </c>
      <c r="D5989" t="inlineStr">
        <is>
          <t>KALMAR LÄN</t>
        </is>
      </c>
      <c r="E5989" t="inlineStr">
        <is>
          <t>OSKARSHAMN</t>
        </is>
      </c>
      <c r="G5989" t="n">
        <v>2</v>
      </c>
      <c r="H5989" t="n">
        <v>0</v>
      </c>
      <c r="I5989" t="n">
        <v>0</v>
      </c>
      <c r="J5989" t="n">
        <v>0</v>
      </c>
      <c r="K5989" t="n">
        <v>0</v>
      </c>
      <c r="L5989" t="n">
        <v>0</v>
      </c>
      <c r="M5989" t="n">
        <v>0</v>
      </c>
      <c r="N5989" t="n">
        <v>0</v>
      </c>
      <c r="O5989" t="n">
        <v>0</v>
      </c>
      <c r="P5989" t="n">
        <v>0</v>
      </c>
      <c r="Q5989" t="n">
        <v>0</v>
      </c>
      <c r="R5989" s="2" t="inlineStr"/>
    </row>
    <row r="5990" ht="15" customHeight="1">
      <c r="A5990" t="inlineStr">
        <is>
          <t>A 63867-2023</t>
        </is>
      </c>
      <c r="B5990" s="1" t="n">
        <v>45278.50741898148</v>
      </c>
      <c r="C5990" s="1" t="n">
        <v>45884</v>
      </c>
      <c r="D5990" t="inlineStr">
        <is>
          <t>KALMAR LÄN</t>
        </is>
      </c>
      <c r="E5990" t="inlineStr">
        <is>
          <t>HULTSFRED</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22891-2025</t>
        </is>
      </c>
      <c r="B5991" s="1" t="n">
        <v>45790.39267361111</v>
      </c>
      <c r="C5991" s="1" t="n">
        <v>45884</v>
      </c>
      <c r="D5991" t="inlineStr">
        <is>
          <t>KALMAR LÄN</t>
        </is>
      </c>
      <c r="E5991" t="inlineStr">
        <is>
          <t>VÄSTERVIK</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11928-2022</t>
        </is>
      </c>
      <c r="B5992" s="1" t="n">
        <v>44635</v>
      </c>
      <c r="C5992" s="1" t="n">
        <v>45884</v>
      </c>
      <c r="D5992" t="inlineStr">
        <is>
          <t>KALMAR LÄN</t>
        </is>
      </c>
      <c r="E5992" t="inlineStr">
        <is>
          <t>VIMMERBY</t>
        </is>
      </c>
      <c r="G5992" t="n">
        <v>2.8</v>
      </c>
      <c r="H5992" t="n">
        <v>0</v>
      </c>
      <c r="I5992" t="n">
        <v>0</v>
      </c>
      <c r="J5992" t="n">
        <v>0</v>
      </c>
      <c r="K5992" t="n">
        <v>0</v>
      </c>
      <c r="L5992" t="n">
        <v>0</v>
      </c>
      <c r="M5992" t="n">
        <v>0</v>
      </c>
      <c r="N5992" t="n">
        <v>0</v>
      </c>
      <c r="O5992" t="n">
        <v>0</v>
      </c>
      <c r="P5992" t="n">
        <v>0</v>
      </c>
      <c r="Q5992" t="n">
        <v>0</v>
      </c>
      <c r="R5992" s="2" t="inlineStr"/>
    </row>
    <row r="5993" ht="15" customHeight="1">
      <c r="A5993" t="inlineStr">
        <is>
          <t>A 13012-2023</t>
        </is>
      </c>
      <c r="B5993" s="1" t="n">
        <v>45002</v>
      </c>
      <c r="C5993" s="1" t="n">
        <v>45884</v>
      </c>
      <c r="D5993" t="inlineStr">
        <is>
          <t>KALMAR LÄN</t>
        </is>
      </c>
      <c r="E5993" t="inlineStr">
        <is>
          <t>OSKARSHAMN</t>
        </is>
      </c>
      <c r="G5993" t="n">
        <v>1.8</v>
      </c>
      <c r="H5993" t="n">
        <v>0</v>
      </c>
      <c r="I5993" t="n">
        <v>0</v>
      </c>
      <c r="J5993" t="n">
        <v>0</v>
      </c>
      <c r="K5993" t="n">
        <v>0</v>
      </c>
      <c r="L5993" t="n">
        <v>0</v>
      </c>
      <c r="M5993" t="n">
        <v>0</v>
      </c>
      <c r="N5993" t="n">
        <v>0</v>
      </c>
      <c r="O5993" t="n">
        <v>0</v>
      </c>
      <c r="P5993" t="n">
        <v>0</v>
      </c>
      <c r="Q5993" t="n">
        <v>0</v>
      </c>
      <c r="R5993" s="2" t="inlineStr"/>
    </row>
    <row r="5994" ht="15" customHeight="1">
      <c r="A5994" t="inlineStr">
        <is>
          <t>A 13016-2023</t>
        </is>
      </c>
      <c r="B5994" s="1" t="n">
        <v>45002</v>
      </c>
      <c r="C5994" s="1" t="n">
        <v>45884</v>
      </c>
      <c r="D5994" t="inlineStr">
        <is>
          <t>KALMAR LÄN</t>
        </is>
      </c>
      <c r="E5994" t="inlineStr">
        <is>
          <t>OSKARSHAMN</t>
        </is>
      </c>
      <c r="G5994" t="n">
        <v>0.5</v>
      </c>
      <c r="H5994" t="n">
        <v>0</v>
      </c>
      <c r="I5994" t="n">
        <v>0</v>
      </c>
      <c r="J5994" t="n">
        <v>0</v>
      </c>
      <c r="K5994" t="n">
        <v>0</v>
      </c>
      <c r="L5994" t="n">
        <v>0</v>
      </c>
      <c r="M5994" t="n">
        <v>0</v>
      </c>
      <c r="N5994" t="n">
        <v>0</v>
      </c>
      <c r="O5994" t="n">
        <v>0</v>
      </c>
      <c r="P5994" t="n">
        <v>0</v>
      </c>
      <c r="Q5994" t="n">
        <v>0</v>
      </c>
      <c r="R5994" s="2" t="inlineStr"/>
    </row>
    <row r="5995" ht="15" customHeight="1">
      <c r="A5995" t="inlineStr">
        <is>
          <t>A 10328-2025</t>
        </is>
      </c>
      <c r="B5995" s="1" t="n">
        <v>45720.48189814815</v>
      </c>
      <c r="C5995" s="1" t="n">
        <v>45884</v>
      </c>
      <c r="D5995" t="inlineStr">
        <is>
          <t>KALMAR LÄN</t>
        </is>
      </c>
      <c r="E5995" t="inlineStr">
        <is>
          <t>NYBRO</t>
        </is>
      </c>
      <c r="F5995" t="inlineStr">
        <is>
          <t>Sveaskog</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10351-2025</t>
        </is>
      </c>
      <c r="B5996" s="1" t="n">
        <v>45720.51217592593</v>
      </c>
      <c r="C5996" s="1" t="n">
        <v>45884</v>
      </c>
      <c r="D5996" t="inlineStr">
        <is>
          <t>KALMAR LÄN</t>
        </is>
      </c>
      <c r="E5996" t="inlineStr">
        <is>
          <t>TORSÅS</t>
        </is>
      </c>
      <c r="G5996" t="n">
        <v>2.4</v>
      </c>
      <c r="H5996" t="n">
        <v>0</v>
      </c>
      <c r="I5996" t="n">
        <v>0</v>
      </c>
      <c r="J5996" t="n">
        <v>0</v>
      </c>
      <c r="K5996" t="n">
        <v>0</v>
      </c>
      <c r="L5996" t="n">
        <v>0</v>
      </c>
      <c r="M5996" t="n">
        <v>0</v>
      </c>
      <c r="N5996" t="n">
        <v>0</v>
      </c>
      <c r="O5996" t="n">
        <v>0</v>
      </c>
      <c r="P5996" t="n">
        <v>0</v>
      </c>
      <c r="Q5996" t="n">
        <v>0</v>
      </c>
      <c r="R5996" s="2" t="inlineStr"/>
    </row>
    <row r="5997" ht="15" customHeight="1">
      <c r="A5997" t="inlineStr">
        <is>
          <t>A 22931-2025</t>
        </is>
      </c>
      <c r="B5997" s="1" t="n">
        <v>45790.44976851852</v>
      </c>
      <c r="C5997" s="1" t="n">
        <v>45884</v>
      </c>
      <c r="D5997" t="inlineStr">
        <is>
          <t>KALMAR LÄN</t>
        </is>
      </c>
      <c r="E5997" t="inlineStr">
        <is>
          <t>VIMMERBY</t>
        </is>
      </c>
      <c r="G5997" t="n">
        <v>5.6</v>
      </c>
      <c r="H5997" t="n">
        <v>0</v>
      </c>
      <c r="I5997" t="n">
        <v>0</v>
      </c>
      <c r="J5997" t="n">
        <v>0</v>
      </c>
      <c r="K5997" t="n">
        <v>0</v>
      </c>
      <c r="L5997" t="n">
        <v>0</v>
      </c>
      <c r="M5997" t="n">
        <v>0</v>
      </c>
      <c r="N5997" t="n">
        <v>0</v>
      </c>
      <c r="O5997" t="n">
        <v>0</v>
      </c>
      <c r="P5997" t="n">
        <v>0</v>
      </c>
      <c r="Q5997" t="n">
        <v>0</v>
      </c>
      <c r="R5997" s="2" t="inlineStr"/>
    </row>
    <row r="5998" ht="15" customHeight="1">
      <c r="A5998" t="inlineStr">
        <is>
          <t>A 23187-2025</t>
        </is>
      </c>
      <c r="B5998" s="1" t="n">
        <v>45791.44459490741</v>
      </c>
      <c r="C5998" s="1" t="n">
        <v>45884</v>
      </c>
      <c r="D5998" t="inlineStr">
        <is>
          <t>KALMAR LÄN</t>
        </is>
      </c>
      <c r="E5998" t="inlineStr">
        <is>
          <t>KALMAR</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23191-2025</t>
        </is>
      </c>
      <c r="B5999" s="1" t="n">
        <v>45791.45240740741</v>
      </c>
      <c r="C5999" s="1" t="n">
        <v>45884</v>
      </c>
      <c r="D5999" t="inlineStr">
        <is>
          <t>KALMAR LÄN</t>
        </is>
      </c>
      <c r="E5999" t="inlineStr">
        <is>
          <t>NYBRO</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8361-2023</t>
        </is>
      </c>
      <c r="B6000" s="1" t="n">
        <v>44977.37475694445</v>
      </c>
      <c r="C6000" s="1" t="n">
        <v>45884</v>
      </c>
      <c r="D6000" t="inlineStr">
        <is>
          <t>KALMAR LÄN</t>
        </is>
      </c>
      <c r="E6000" t="inlineStr">
        <is>
          <t>EMMABODA</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53990-2022</t>
        </is>
      </c>
      <c r="B6001" s="1" t="n">
        <v>44881.37020833333</v>
      </c>
      <c r="C6001" s="1" t="n">
        <v>45884</v>
      </c>
      <c r="D6001" t="inlineStr">
        <is>
          <t>KALMAR LÄN</t>
        </is>
      </c>
      <c r="E6001" t="inlineStr">
        <is>
          <t>HULTSFRED</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22893-2025</t>
        </is>
      </c>
      <c r="B6002" s="1" t="n">
        <v>45790.39622685185</v>
      </c>
      <c r="C6002" s="1" t="n">
        <v>45884</v>
      </c>
      <c r="D6002" t="inlineStr">
        <is>
          <t>KALMAR LÄN</t>
        </is>
      </c>
      <c r="E6002" t="inlineStr">
        <is>
          <t>VÄSTERVIK</t>
        </is>
      </c>
      <c r="G6002" t="n">
        <v>2.1</v>
      </c>
      <c r="H6002" t="n">
        <v>0</v>
      </c>
      <c r="I6002" t="n">
        <v>0</v>
      </c>
      <c r="J6002" t="n">
        <v>0</v>
      </c>
      <c r="K6002" t="n">
        <v>0</v>
      </c>
      <c r="L6002" t="n">
        <v>0</v>
      </c>
      <c r="M6002" t="n">
        <v>0</v>
      </c>
      <c r="N6002" t="n">
        <v>0</v>
      </c>
      <c r="O6002" t="n">
        <v>0</v>
      </c>
      <c r="P6002" t="n">
        <v>0</v>
      </c>
      <c r="Q6002" t="n">
        <v>0</v>
      </c>
      <c r="R6002" s="2" t="inlineStr"/>
    </row>
    <row r="6003" ht="15" customHeight="1">
      <c r="A6003" t="inlineStr">
        <is>
          <t>A 44765-2024</t>
        </is>
      </c>
      <c r="B6003" s="1" t="n">
        <v>45574.62284722222</v>
      </c>
      <c r="C6003" s="1" t="n">
        <v>45884</v>
      </c>
      <c r="D6003" t="inlineStr">
        <is>
          <t>KALMAR LÄN</t>
        </is>
      </c>
      <c r="E6003" t="inlineStr">
        <is>
          <t>KALMAR</t>
        </is>
      </c>
      <c r="F6003" t="inlineStr">
        <is>
          <t>Kommuner</t>
        </is>
      </c>
      <c r="G6003" t="n">
        <v>2.7</v>
      </c>
      <c r="H6003" t="n">
        <v>0</v>
      </c>
      <c r="I6003" t="n">
        <v>0</v>
      </c>
      <c r="J6003" t="n">
        <v>0</v>
      </c>
      <c r="K6003" t="n">
        <v>0</v>
      </c>
      <c r="L6003" t="n">
        <v>0</v>
      </c>
      <c r="M6003" t="n">
        <v>0</v>
      </c>
      <c r="N6003" t="n">
        <v>0</v>
      </c>
      <c r="O6003" t="n">
        <v>0</v>
      </c>
      <c r="P6003" t="n">
        <v>0</v>
      </c>
      <c r="Q6003" t="n">
        <v>0</v>
      </c>
      <c r="R6003" s="2" t="inlineStr"/>
    </row>
    <row r="6004" ht="15" customHeight="1">
      <c r="A6004" t="inlineStr">
        <is>
          <t>A 62478-2023</t>
        </is>
      </c>
      <c r="B6004" s="1" t="n">
        <v>45268.57443287037</v>
      </c>
      <c r="C6004" s="1" t="n">
        <v>45884</v>
      </c>
      <c r="D6004" t="inlineStr">
        <is>
          <t>KALMAR LÄN</t>
        </is>
      </c>
      <c r="E6004" t="inlineStr">
        <is>
          <t>HULTSFRED</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36873-2024</t>
        </is>
      </c>
      <c r="B6005" s="1" t="n">
        <v>45538.59396990741</v>
      </c>
      <c r="C6005" s="1" t="n">
        <v>45884</v>
      </c>
      <c r="D6005" t="inlineStr">
        <is>
          <t>KALMAR LÄN</t>
        </is>
      </c>
      <c r="E6005" t="inlineStr">
        <is>
          <t>MÖNSTERÅS</t>
        </is>
      </c>
      <c r="G6005" t="n">
        <v>7</v>
      </c>
      <c r="H6005" t="n">
        <v>0</v>
      </c>
      <c r="I6005" t="n">
        <v>0</v>
      </c>
      <c r="J6005" t="n">
        <v>0</v>
      </c>
      <c r="K6005" t="n">
        <v>0</v>
      </c>
      <c r="L6005" t="n">
        <v>0</v>
      </c>
      <c r="M6005" t="n">
        <v>0</v>
      </c>
      <c r="N6005" t="n">
        <v>0</v>
      </c>
      <c r="O6005" t="n">
        <v>0</v>
      </c>
      <c r="P6005" t="n">
        <v>0</v>
      </c>
      <c r="Q6005" t="n">
        <v>0</v>
      </c>
      <c r="R6005" s="2" t="inlineStr"/>
    </row>
    <row r="6006" ht="15" customHeight="1">
      <c r="A6006" t="inlineStr">
        <is>
          <t>A 36888-2024</t>
        </is>
      </c>
      <c r="B6006" s="1" t="n">
        <v>45538</v>
      </c>
      <c r="C6006" s="1" t="n">
        <v>45884</v>
      </c>
      <c r="D6006" t="inlineStr">
        <is>
          <t>KALMAR LÄN</t>
        </is>
      </c>
      <c r="E6006" t="inlineStr">
        <is>
          <t>VÄSTERVIK</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64741-2020</t>
        </is>
      </c>
      <c r="B6007" s="1" t="n">
        <v>44169</v>
      </c>
      <c r="C6007" s="1" t="n">
        <v>45884</v>
      </c>
      <c r="D6007" t="inlineStr">
        <is>
          <t>KALMAR LÄN</t>
        </is>
      </c>
      <c r="E6007" t="inlineStr">
        <is>
          <t>VÄSTERVIK</t>
        </is>
      </c>
      <c r="G6007" t="n">
        <v>1.9</v>
      </c>
      <c r="H6007" t="n">
        <v>0</v>
      </c>
      <c r="I6007" t="n">
        <v>0</v>
      </c>
      <c r="J6007" t="n">
        <v>0</v>
      </c>
      <c r="K6007" t="n">
        <v>0</v>
      </c>
      <c r="L6007" t="n">
        <v>0</v>
      </c>
      <c r="M6007" t="n">
        <v>0</v>
      </c>
      <c r="N6007" t="n">
        <v>0</v>
      </c>
      <c r="O6007" t="n">
        <v>0</v>
      </c>
      <c r="P6007" t="n">
        <v>0</v>
      </c>
      <c r="Q6007" t="n">
        <v>0</v>
      </c>
      <c r="R6007" s="2" t="inlineStr"/>
    </row>
    <row r="6008" ht="15" customHeight="1">
      <c r="A6008" t="inlineStr">
        <is>
          <t>A 23818-2023</t>
        </is>
      </c>
      <c r="B6008" s="1" t="n">
        <v>45078</v>
      </c>
      <c r="C6008" s="1" t="n">
        <v>45884</v>
      </c>
      <c r="D6008" t="inlineStr">
        <is>
          <t>KALMAR LÄN</t>
        </is>
      </c>
      <c r="E6008" t="inlineStr">
        <is>
          <t>NYBRO</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26560-2023</t>
        </is>
      </c>
      <c r="B6009" s="1" t="n">
        <v>45092</v>
      </c>
      <c r="C6009" s="1" t="n">
        <v>45884</v>
      </c>
      <c r="D6009" t="inlineStr">
        <is>
          <t>KALMAR LÄN</t>
        </is>
      </c>
      <c r="E6009" t="inlineStr">
        <is>
          <t>OSKARSHAMN</t>
        </is>
      </c>
      <c r="G6009" t="n">
        <v>3.7</v>
      </c>
      <c r="H6009" t="n">
        <v>0</v>
      </c>
      <c r="I6009" t="n">
        <v>0</v>
      </c>
      <c r="J6009" t="n">
        <v>0</v>
      </c>
      <c r="K6009" t="n">
        <v>0</v>
      </c>
      <c r="L6009" t="n">
        <v>0</v>
      </c>
      <c r="M6009" t="n">
        <v>0</v>
      </c>
      <c r="N6009" t="n">
        <v>0</v>
      </c>
      <c r="O6009" t="n">
        <v>0</v>
      </c>
      <c r="P6009" t="n">
        <v>0</v>
      </c>
      <c r="Q6009" t="n">
        <v>0</v>
      </c>
      <c r="R6009" s="2" t="inlineStr"/>
    </row>
    <row r="6010" ht="15" customHeight="1">
      <c r="A6010" t="inlineStr">
        <is>
          <t>A 27471-2023</t>
        </is>
      </c>
      <c r="B6010" s="1" t="n">
        <v>45097</v>
      </c>
      <c r="C6010" s="1" t="n">
        <v>45884</v>
      </c>
      <c r="D6010" t="inlineStr">
        <is>
          <t>KALMAR LÄN</t>
        </is>
      </c>
      <c r="E6010" t="inlineStr">
        <is>
          <t>KALMAR</t>
        </is>
      </c>
      <c r="G6010" t="n">
        <v>2.4</v>
      </c>
      <c r="H6010" t="n">
        <v>0</v>
      </c>
      <c r="I6010" t="n">
        <v>0</v>
      </c>
      <c r="J6010" t="n">
        <v>0</v>
      </c>
      <c r="K6010" t="n">
        <v>0</v>
      </c>
      <c r="L6010" t="n">
        <v>0</v>
      </c>
      <c r="M6010" t="n">
        <v>0</v>
      </c>
      <c r="N6010" t="n">
        <v>0</v>
      </c>
      <c r="O6010" t="n">
        <v>0</v>
      </c>
      <c r="P6010" t="n">
        <v>0</v>
      </c>
      <c r="Q6010" t="n">
        <v>0</v>
      </c>
      <c r="R6010" s="2" t="inlineStr"/>
    </row>
    <row r="6011" ht="15" customHeight="1">
      <c r="A6011" t="inlineStr">
        <is>
          <t>A 27486-2023</t>
        </is>
      </c>
      <c r="B6011" s="1" t="n">
        <v>45097</v>
      </c>
      <c r="C6011" s="1" t="n">
        <v>45884</v>
      </c>
      <c r="D6011" t="inlineStr">
        <is>
          <t>KALMAR LÄN</t>
        </is>
      </c>
      <c r="E6011" t="inlineStr">
        <is>
          <t>OSKARSHAMN</t>
        </is>
      </c>
      <c r="G6011" t="n">
        <v>3.8</v>
      </c>
      <c r="H6011" t="n">
        <v>0</v>
      </c>
      <c r="I6011" t="n">
        <v>0</v>
      </c>
      <c r="J6011" t="n">
        <v>0</v>
      </c>
      <c r="K6011" t="n">
        <v>0</v>
      </c>
      <c r="L6011" t="n">
        <v>0</v>
      </c>
      <c r="M6011" t="n">
        <v>0</v>
      </c>
      <c r="N6011" t="n">
        <v>0</v>
      </c>
      <c r="O6011" t="n">
        <v>0</v>
      </c>
      <c r="P6011" t="n">
        <v>0</v>
      </c>
      <c r="Q6011" t="n">
        <v>0</v>
      </c>
      <c r="R6011" s="2" t="inlineStr"/>
    </row>
    <row r="6012" ht="15" customHeight="1">
      <c r="A6012" t="inlineStr">
        <is>
          <t>A 20714-2023</t>
        </is>
      </c>
      <c r="B6012" s="1" t="n">
        <v>45058.46469907407</v>
      </c>
      <c r="C6012" s="1" t="n">
        <v>45884</v>
      </c>
      <c r="D6012" t="inlineStr">
        <is>
          <t>KALMAR LÄN</t>
        </is>
      </c>
      <c r="E6012" t="inlineStr">
        <is>
          <t>TORSÅS</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17429-2025</t>
        </is>
      </c>
      <c r="B6013" s="1" t="n">
        <v>45757.40310185185</v>
      </c>
      <c r="C6013" s="1" t="n">
        <v>45884</v>
      </c>
      <c r="D6013" t="inlineStr">
        <is>
          <t>KALMAR LÄN</t>
        </is>
      </c>
      <c r="E6013" t="inlineStr">
        <is>
          <t>NYBRO</t>
        </is>
      </c>
      <c r="G6013" t="n">
        <v>2.6</v>
      </c>
      <c r="H6013" t="n">
        <v>0</v>
      </c>
      <c r="I6013" t="n">
        <v>0</v>
      </c>
      <c r="J6013" t="n">
        <v>0</v>
      </c>
      <c r="K6013" t="n">
        <v>0</v>
      </c>
      <c r="L6013" t="n">
        <v>0</v>
      </c>
      <c r="M6013" t="n">
        <v>0</v>
      </c>
      <c r="N6013" t="n">
        <v>0</v>
      </c>
      <c r="O6013" t="n">
        <v>0</v>
      </c>
      <c r="P6013" t="n">
        <v>0</v>
      </c>
      <c r="Q6013" t="n">
        <v>0</v>
      </c>
      <c r="R6013" s="2" t="inlineStr"/>
    </row>
    <row r="6014" ht="15" customHeight="1">
      <c r="A6014" t="inlineStr">
        <is>
          <t>A 14586-2023</t>
        </is>
      </c>
      <c r="B6014" s="1" t="n">
        <v>45013.53428240741</v>
      </c>
      <c r="C6014" s="1" t="n">
        <v>45884</v>
      </c>
      <c r="D6014" t="inlineStr">
        <is>
          <t>KALMAR LÄN</t>
        </is>
      </c>
      <c r="E6014" t="inlineStr">
        <is>
          <t>NYBRO</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16381-2024</t>
        </is>
      </c>
      <c r="B6015" s="1" t="n">
        <v>45407.61327546297</v>
      </c>
      <c r="C6015" s="1" t="n">
        <v>45884</v>
      </c>
      <c r="D6015" t="inlineStr">
        <is>
          <t>KALMAR LÄN</t>
        </is>
      </c>
      <c r="E6015" t="inlineStr">
        <is>
          <t>VÄSTERVIK</t>
        </is>
      </c>
      <c r="F6015" t="inlineStr">
        <is>
          <t>Holmen skog AB</t>
        </is>
      </c>
      <c r="G6015" t="n">
        <v>6.5</v>
      </c>
      <c r="H6015" t="n">
        <v>0</v>
      </c>
      <c r="I6015" t="n">
        <v>0</v>
      </c>
      <c r="J6015" t="n">
        <v>0</v>
      </c>
      <c r="K6015" t="n">
        <v>0</v>
      </c>
      <c r="L6015" t="n">
        <v>0</v>
      </c>
      <c r="M6015" t="n">
        <v>0</v>
      </c>
      <c r="N6015" t="n">
        <v>0</v>
      </c>
      <c r="O6015" t="n">
        <v>0</v>
      </c>
      <c r="P6015" t="n">
        <v>0</v>
      </c>
      <c r="Q6015" t="n">
        <v>0</v>
      </c>
      <c r="R6015" s="2" t="inlineStr"/>
    </row>
    <row r="6016" ht="15" customHeight="1">
      <c r="A6016" t="inlineStr">
        <is>
          <t>A 23024-2025</t>
        </is>
      </c>
      <c r="B6016" s="1" t="n">
        <v>45790.65615740741</v>
      </c>
      <c r="C6016" s="1" t="n">
        <v>45884</v>
      </c>
      <c r="D6016" t="inlineStr">
        <is>
          <t>KALMAR LÄN</t>
        </is>
      </c>
      <c r="E6016" t="inlineStr">
        <is>
          <t>VÄSTERVIK</t>
        </is>
      </c>
      <c r="G6016" t="n">
        <v>1.7</v>
      </c>
      <c r="H6016" t="n">
        <v>0</v>
      </c>
      <c r="I6016" t="n">
        <v>0</v>
      </c>
      <c r="J6016" t="n">
        <v>0</v>
      </c>
      <c r="K6016" t="n">
        <v>0</v>
      </c>
      <c r="L6016" t="n">
        <v>0</v>
      </c>
      <c r="M6016" t="n">
        <v>0</v>
      </c>
      <c r="N6016" t="n">
        <v>0</v>
      </c>
      <c r="O6016" t="n">
        <v>0</v>
      </c>
      <c r="P6016" t="n">
        <v>0</v>
      </c>
      <c r="Q6016" t="n">
        <v>0</v>
      </c>
      <c r="R6016" s="2" t="inlineStr"/>
    </row>
    <row r="6017" ht="15" customHeight="1">
      <c r="A6017" t="inlineStr">
        <is>
          <t>A 23033-2025</t>
        </is>
      </c>
      <c r="B6017" s="1" t="n">
        <v>45790.65793981482</v>
      </c>
      <c r="C6017" s="1" t="n">
        <v>45884</v>
      </c>
      <c r="D6017" t="inlineStr">
        <is>
          <t>KALMAR LÄN</t>
        </is>
      </c>
      <c r="E6017" t="inlineStr">
        <is>
          <t>VÄSTERVIK</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23064-2025</t>
        </is>
      </c>
      <c r="B6018" s="1" t="n">
        <v>45790.8237962963</v>
      </c>
      <c r="C6018" s="1" t="n">
        <v>45884</v>
      </c>
      <c r="D6018" t="inlineStr">
        <is>
          <t>KALMAR LÄN</t>
        </is>
      </c>
      <c r="E6018" t="inlineStr">
        <is>
          <t>NYBRO</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65-2023</t>
        </is>
      </c>
      <c r="B6019" s="1" t="n">
        <v>44928.44431712963</v>
      </c>
      <c r="C6019" s="1" t="n">
        <v>45884</v>
      </c>
      <c r="D6019" t="inlineStr">
        <is>
          <t>KALMAR LÄN</t>
        </is>
      </c>
      <c r="E6019" t="inlineStr">
        <is>
          <t>VÄSTERVIK</t>
        </is>
      </c>
      <c r="G6019" t="n">
        <v>1.8</v>
      </c>
      <c r="H6019" t="n">
        <v>0</v>
      </c>
      <c r="I6019" t="n">
        <v>0</v>
      </c>
      <c r="J6019" t="n">
        <v>0</v>
      </c>
      <c r="K6019" t="n">
        <v>0</v>
      </c>
      <c r="L6019" t="n">
        <v>0</v>
      </c>
      <c r="M6019" t="n">
        <v>0</v>
      </c>
      <c r="N6019" t="n">
        <v>0</v>
      </c>
      <c r="O6019" t="n">
        <v>0</v>
      </c>
      <c r="P6019" t="n">
        <v>0</v>
      </c>
      <c r="Q6019" t="n">
        <v>0</v>
      </c>
      <c r="R6019" s="2" t="inlineStr"/>
    </row>
    <row r="6020" ht="15" customHeight="1">
      <c r="A6020" t="inlineStr">
        <is>
          <t>A 23565-2025</t>
        </is>
      </c>
      <c r="B6020" s="1" t="n">
        <v>45792.5966550926</v>
      </c>
      <c r="C6020" s="1" t="n">
        <v>45884</v>
      </c>
      <c r="D6020" t="inlineStr">
        <is>
          <t>KALMAR LÄN</t>
        </is>
      </c>
      <c r="E6020" t="inlineStr">
        <is>
          <t>KALMAR</t>
        </is>
      </c>
      <c r="F6020" t="inlineStr">
        <is>
          <t>Sveaskog</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23479-2025</t>
        </is>
      </c>
      <c r="B6021" s="1" t="n">
        <v>45792.4578587963</v>
      </c>
      <c r="C6021" s="1" t="n">
        <v>45884</v>
      </c>
      <c r="D6021" t="inlineStr">
        <is>
          <t>KALMAR LÄN</t>
        </is>
      </c>
      <c r="E6021" t="inlineStr">
        <is>
          <t>NYBRO</t>
        </is>
      </c>
      <c r="F6021" t="inlineStr">
        <is>
          <t>Sveaskog</t>
        </is>
      </c>
      <c r="G6021" t="n">
        <v>8.800000000000001</v>
      </c>
      <c r="H6021" t="n">
        <v>0</v>
      </c>
      <c r="I6021" t="n">
        <v>0</v>
      </c>
      <c r="J6021" t="n">
        <v>0</v>
      </c>
      <c r="K6021" t="n">
        <v>0</v>
      </c>
      <c r="L6021" t="n">
        <v>0</v>
      </c>
      <c r="M6021" t="n">
        <v>0</v>
      </c>
      <c r="N6021" t="n">
        <v>0</v>
      </c>
      <c r="O6021" t="n">
        <v>0</v>
      </c>
      <c r="P6021" t="n">
        <v>0</v>
      </c>
      <c r="Q6021" t="n">
        <v>0</v>
      </c>
      <c r="R6021" s="2" t="inlineStr"/>
    </row>
    <row r="6022" ht="15" customHeight="1">
      <c r="A6022" t="inlineStr">
        <is>
          <t>A 23489-2025</t>
        </is>
      </c>
      <c r="B6022" s="1" t="n">
        <v>45792.46865740741</v>
      </c>
      <c r="C6022" s="1" t="n">
        <v>45884</v>
      </c>
      <c r="D6022" t="inlineStr">
        <is>
          <t>KALMAR LÄN</t>
        </is>
      </c>
      <c r="E6022" t="inlineStr">
        <is>
          <t>NYBRO</t>
        </is>
      </c>
      <c r="F6022" t="inlineStr">
        <is>
          <t>Sveaskog</t>
        </is>
      </c>
      <c r="G6022" t="n">
        <v>6.4</v>
      </c>
      <c r="H6022" t="n">
        <v>0</v>
      </c>
      <c r="I6022" t="n">
        <v>0</v>
      </c>
      <c r="J6022" t="n">
        <v>0</v>
      </c>
      <c r="K6022" t="n">
        <v>0</v>
      </c>
      <c r="L6022" t="n">
        <v>0</v>
      </c>
      <c r="M6022" t="n">
        <v>0</v>
      </c>
      <c r="N6022" t="n">
        <v>0</v>
      </c>
      <c r="O6022" t="n">
        <v>0</v>
      </c>
      <c r="P6022" t="n">
        <v>0</v>
      </c>
      <c r="Q6022" t="n">
        <v>0</v>
      </c>
      <c r="R6022" s="2" t="inlineStr"/>
    </row>
    <row r="6023" ht="15" customHeight="1">
      <c r="A6023" t="inlineStr">
        <is>
          <t>A 23561-2025</t>
        </is>
      </c>
      <c r="B6023" s="1" t="n">
        <v>45792.58431712963</v>
      </c>
      <c r="C6023" s="1" t="n">
        <v>45884</v>
      </c>
      <c r="D6023" t="inlineStr">
        <is>
          <t>KALMAR LÄN</t>
        </is>
      </c>
      <c r="E6023" t="inlineStr">
        <is>
          <t>KALMAR</t>
        </is>
      </c>
      <c r="F6023" t="inlineStr">
        <is>
          <t>Sveaskog</t>
        </is>
      </c>
      <c r="G6023" t="n">
        <v>4.6</v>
      </c>
      <c r="H6023" t="n">
        <v>0</v>
      </c>
      <c r="I6023" t="n">
        <v>0</v>
      </c>
      <c r="J6023" t="n">
        <v>0</v>
      </c>
      <c r="K6023" t="n">
        <v>0</v>
      </c>
      <c r="L6023" t="n">
        <v>0</v>
      </c>
      <c r="M6023" t="n">
        <v>0</v>
      </c>
      <c r="N6023" t="n">
        <v>0</v>
      </c>
      <c r="O6023" t="n">
        <v>0</v>
      </c>
      <c r="P6023" t="n">
        <v>0</v>
      </c>
      <c r="Q6023" t="n">
        <v>0</v>
      </c>
      <c r="R6023" s="2" t="inlineStr"/>
    </row>
    <row r="6024" ht="15" customHeight="1">
      <c r="A6024" t="inlineStr">
        <is>
          <t>A 23745-2025</t>
        </is>
      </c>
      <c r="B6024" s="1" t="n">
        <v>45793.44484953704</v>
      </c>
      <c r="C6024" s="1" t="n">
        <v>45884</v>
      </c>
      <c r="D6024" t="inlineStr">
        <is>
          <t>KALMAR LÄN</t>
        </is>
      </c>
      <c r="E6024" t="inlineStr">
        <is>
          <t>VÄSTERVIK</t>
        </is>
      </c>
      <c r="F6024" t="inlineStr">
        <is>
          <t>Holmen skog AB</t>
        </is>
      </c>
      <c r="G6024" t="n">
        <v>3.7</v>
      </c>
      <c r="H6024" t="n">
        <v>0</v>
      </c>
      <c r="I6024" t="n">
        <v>0</v>
      </c>
      <c r="J6024" t="n">
        <v>0</v>
      </c>
      <c r="K6024" t="n">
        <v>0</v>
      </c>
      <c r="L6024" t="n">
        <v>0</v>
      </c>
      <c r="M6024" t="n">
        <v>0</v>
      </c>
      <c r="N6024" t="n">
        <v>0</v>
      </c>
      <c r="O6024" t="n">
        <v>0</v>
      </c>
      <c r="P6024" t="n">
        <v>0</v>
      </c>
      <c r="Q6024" t="n">
        <v>0</v>
      </c>
      <c r="R6024" s="2" t="inlineStr"/>
    </row>
    <row r="6025" ht="15" customHeight="1">
      <c r="A6025" t="inlineStr">
        <is>
          <t>A 23786-2025</t>
        </is>
      </c>
      <c r="B6025" s="1" t="n">
        <v>45793.52763888889</v>
      </c>
      <c r="C6025" s="1" t="n">
        <v>45884</v>
      </c>
      <c r="D6025" t="inlineStr">
        <is>
          <t>KALMAR LÄN</t>
        </is>
      </c>
      <c r="E6025" t="inlineStr">
        <is>
          <t>TORSÅS</t>
        </is>
      </c>
      <c r="G6025" t="n">
        <v>1.5</v>
      </c>
      <c r="H6025" t="n">
        <v>0</v>
      </c>
      <c r="I6025" t="n">
        <v>0</v>
      </c>
      <c r="J6025" t="n">
        <v>0</v>
      </c>
      <c r="K6025" t="n">
        <v>0</v>
      </c>
      <c r="L6025" t="n">
        <v>0</v>
      </c>
      <c r="M6025" t="n">
        <v>0</v>
      </c>
      <c r="N6025" t="n">
        <v>0</v>
      </c>
      <c r="O6025" t="n">
        <v>0</v>
      </c>
      <c r="P6025" t="n">
        <v>0</v>
      </c>
      <c r="Q6025" t="n">
        <v>0</v>
      </c>
      <c r="R6025" s="2" t="inlineStr"/>
    </row>
    <row r="6026" ht="15" customHeight="1">
      <c r="A6026" t="inlineStr">
        <is>
          <t>A 23570-2025</t>
        </is>
      </c>
      <c r="B6026" s="1" t="n">
        <v>45792.60909722222</v>
      </c>
      <c r="C6026" s="1" t="n">
        <v>45884</v>
      </c>
      <c r="D6026" t="inlineStr">
        <is>
          <t>KALMAR LÄN</t>
        </is>
      </c>
      <c r="E6026" t="inlineStr">
        <is>
          <t>OSKARSHAMN</t>
        </is>
      </c>
      <c r="F6026" t="inlineStr">
        <is>
          <t>Kommuner</t>
        </is>
      </c>
      <c r="G6026" t="n">
        <v>2</v>
      </c>
      <c r="H6026" t="n">
        <v>0</v>
      </c>
      <c r="I6026" t="n">
        <v>0</v>
      </c>
      <c r="J6026" t="n">
        <v>0</v>
      </c>
      <c r="K6026" t="n">
        <v>0</v>
      </c>
      <c r="L6026" t="n">
        <v>0</v>
      </c>
      <c r="M6026" t="n">
        <v>0</v>
      </c>
      <c r="N6026" t="n">
        <v>0</v>
      </c>
      <c r="O6026" t="n">
        <v>0</v>
      </c>
      <c r="P6026" t="n">
        <v>0</v>
      </c>
      <c r="Q6026" t="n">
        <v>0</v>
      </c>
      <c r="R6026" s="2" t="inlineStr"/>
    </row>
    <row r="6027" ht="15" customHeight="1">
      <c r="A6027" t="inlineStr">
        <is>
          <t>A 23644-2025</t>
        </is>
      </c>
      <c r="B6027" s="1" t="n">
        <v>45792.69271990741</v>
      </c>
      <c r="C6027" s="1" t="n">
        <v>45884</v>
      </c>
      <c r="D6027" t="inlineStr">
        <is>
          <t>KALMAR LÄN</t>
        </is>
      </c>
      <c r="E6027" t="inlineStr">
        <is>
          <t>HÖGSBY</t>
        </is>
      </c>
      <c r="G6027" t="n">
        <v>2.4</v>
      </c>
      <c r="H6027" t="n">
        <v>0</v>
      </c>
      <c r="I6027" t="n">
        <v>0</v>
      </c>
      <c r="J6027" t="n">
        <v>0</v>
      </c>
      <c r="K6027" t="n">
        <v>0</v>
      </c>
      <c r="L6027" t="n">
        <v>0</v>
      </c>
      <c r="M6027" t="n">
        <v>0</v>
      </c>
      <c r="N6027" t="n">
        <v>0</v>
      </c>
      <c r="O6027" t="n">
        <v>0</v>
      </c>
      <c r="P6027" t="n">
        <v>0</v>
      </c>
      <c r="Q6027" t="n">
        <v>0</v>
      </c>
      <c r="R6027" s="2" t="inlineStr"/>
    </row>
    <row r="6028" ht="15" customHeight="1">
      <c r="A6028" t="inlineStr">
        <is>
          <t>A 115-2023</t>
        </is>
      </c>
      <c r="B6028" s="1" t="n">
        <v>44928.49331018519</v>
      </c>
      <c r="C6028" s="1" t="n">
        <v>45884</v>
      </c>
      <c r="D6028" t="inlineStr">
        <is>
          <t>KALMAR LÄN</t>
        </is>
      </c>
      <c r="E6028" t="inlineStr">
        <is>
          <t>HULTSFRED</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23739-2025</t>
        </is>
      </c>
      <c r="B6029" s="1" t="n">
        <v>45793.42939814815</v>
      </c>
      <c r="C6029" s="1" t="n">
        <v>45884</v>
      </c>
      <c r="D6029" t="inlineStr">
        <is>
          <t>KALMAR LÄN</t>
        </is>
      </c>
      <c r="E6029" t="inlineStr">
        <is>
          <t>VÄSTERVIK</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23394-2025</t>
        </is>
      </c>
      <c r="B6030" s="1" t="n">
        <v>45791.89865740741</v>
      </c>
      <c r="C6030" s="1" t="n">
        <v>45884</v>
      </c>
      <c r="D6030" t="inlineStr">
        <is>
          <t>KALMAR LÄN</t>
        </is>
      </c>
      <c r="E6030" t="inlineStr">
        <is>
          <t>VIMMERBY</t>
        </is>
      </c>
      <c r="G6030" t="n">
        <v>3.1</v>
      </c>
      <c r="H6030" t="n">
        <v>0</v>
      </c>
      <c r="I6030" t="n">
        <v>0</v>
      </c>
      <c r="J6030" t="n">
        <v>0</v>
      </c>
      <c r="K6030" t="n">
        <v>0</v>
      </c>
      <c r="L6030" t="n">
        <v>0</v>
      </c>
      <c r="M6030" t="n">
        <v>0</v>
      </c>
      <c r="N6030" t="n">
        <v>0</v>
      </c>
      <c r="O6030" t="n">
        <v>0</v>
      </c>
      <c r="P6030" t="n">
        <v>0</v>
      </c>
      <c r="Q6030" t="n">
        <v>0</v>
      </c>
      <c r="R6030" s="2" t="inlineStr"/>
    </row>
    <row r="6031" ht="15" customHeight="1">
      <c r="A6031" t="inlineStr">
        <is>
          <t>A 23661-2025</t>
        </is>
      </c>
      <c r="B6031" s="1" t="n">
        <v>45792.7622337963</v>
      </c>
      <c r="C6031" s="1" t="n">
        <v>45884</v>
      </c>
      <c r="D6031" t="inlineStr">
        <is>
          <t>KALMAR LÄN</t>
        </is>
      </c>
      <c r="E6031" t="inlineStr">
        <is>
          <t>KALMAR</t>
        </is>
      </c>
      <c r="G6031" t="n">
        <v>3.7</v>
      </c>
      <c r="H6031" t="n">
        <v>0</v>
      </c>
      <c r="I6031" t="n">
        <v>0</v>
      </c>
      <c r="J6031" t="n">
        <v>0</v>
      </c>
      <c r="K6031" t="n">
        <v>0</v>
      </c>
      <c r="L6031" t="n">
        <v>0</v>
      </c>
      <c r="M6031" t="n">
        <v>0</v>
      </c>
      <c r="N6031" t="n">
        <v>0</v>
      </c>
      <c r="O6031" t="n">
        <v>0</v>
      </c>
      <c r="P6031" t="n">
        <v>0</v>
      </c>
      <c r="Q6031" t="n">
        <v>0</v>
      </c>
      <c r="R6031" s="2" t="inlineStr"/>
    </row>
    <row r="6032" ht="15" customHeight="1">
      <c r="A6032" t="inlineStr">
        <is>
          <t>A 23776-2024</t>
        </is>
      </c>
      <c r="B6032" s="1" t="n">
        <v>45455.38807870371</v>
      </c>
      <c r="C6032" s="1" t="n">
        <v>45884</v>
      </c>
      <c r="D6032" t="inlineStr">
        <is>
          <t>KALMAR LÄN</t>
        </is>
      </c>
      <c r="E6032" t="inlineStr">
        <is>
          <t>EMMABODA</t>
        </is>
      </c>
      <c r="G6032" t="n">
        <v>2.2</v>
      </c>
      <c r="H6032" t="n">
        <v>0</v>
      </c>
      <c r="I6032" t="n">
        <v>0</v>
      </c>
      <c r="J6032" t="n">
        <v>0</v>
      </c>
      <c r="K6032" t="n">
        <v>0</v>
      </c>
      <c r="L6032" t="n">
        <v>0</v>
      </c>
      <c r="M6032" t="n">
        <v>0</v>
      </c>
      <c r="N6032" t="n">
        <v>0</v>
      </c>
      <c r="O6032" t="n">
        <v>0</v>
      </c>
      <c r="P6032" t="n">
        <v>0</v>
      </c>
      <c r="Q6032" t="n">
        <v>0</v>
      </c>
      <c r="R6032" s="2" t="inlineStr"/>
    </row>
    <row r="6033" ht="15" customHeight="1">
      <c r="A6033" t="inlineStr">
        <is>
          <t>A 8222-2025</t>
        </is>
      </c>
      <c r="B6033" s="1" t="n">
        <v>45708.46113425926</v>
      </c>
      <c r="C6033" s="1" t="n">
        <v>45884</v>
      </c>
      <c r="D6033" t="inlineStr">
        <is>
          <t>KALMAR LÄN</t>
        </is>
      </c>
      <c r="E6033" t="inlineStr">
        <is>
          <t>MÖNSTERÅS</t>
        </is>
      </c>
      <c r="G6033" t="n">
        <v>1.4</v>
      </c>
      <c r="H6033" t="n">
        <v>0</v>
      </c>
      <c r="I6033" t="n">
        <v>0</v>
      </c>
      <c r="J6033" t="n">
        <v>0</v>
      </c>
      <c r="K6033" t="n">
        <v>0</v>
      </c>
      <c r="L6033" t="n">
        <v>0</v>
      </c>
      <c r="M6033" t="n">
        <v>0</v>
      </c>
      <c r="N6033" t="n">
        <v>0</v>
      </c>
      <c r="O6033" t="n">
        <v>0</v>
      </c>
      <c r="P6033" t="n">
        <v>0</v>
      </c>
      <c r="Q6033" t="n">
        <v>0</v>
      </c>
      <c r="R6033" s="2" t="inlineStr"/>
    </row>
    <row r="6034" ht="15" customHeight="1">
      <c r="A6034" t="inlineStr">
        <is>
          <t>A 23566-2025</t>
        </is>
      </c>
      <c r="B6034" s="1" t="n">
        <v>45792.59854166667</v>
      </c>
      <c r="C6034" s="1" t="n">
        <v>45884</v>
      </c>
      <c r="D6034" t="inlineStr">
        <is>
          <t>KALMAR LÄN</t>
        </is>
      </c>
      <c r="E6034" t="inlineStr">
        <is>
          <t>MÖNSTERÅS</t>
        </is>
      </c>
      <c r="G6034" t="n">
        <v>2</v>
      </c>
      <c r="H6034" t="n">
        <v>0</v>
      </c>
      <c r="I6034" t="n">
        <v>0</v>
      </c>
      <c r="J6034" t="n">
        <v>0</v>
      </c>
      <c r="K6034" t="n">
        <v>0</v>
      </c>
      <c r="L6034" t="n">
        <v>0</v>
      </c>
      <c r="M6034" t="n">
        <v>0</v>
      </c>
      <c r="N6034" t="n">
        <v>0</v>
      </c>
      <c r="O6034" t="n">
        <v>0</v>
      </c>
      <c r="P6034" t="n">
        <v>0</v>
      </c>
      <c r="Q6034" t="n">
        <v>0</v>
      </c>
      <c r="R6034" s="2" t="inlineStr"/>
    </row>
    <row r="6035" ht="15" customHeight="1">
      <c r="A6035" t="inlineStr">
        <is>
          <t>A 23543-2025</t>
        </is>
      </c>
      <c r="B6035" s="1" t="n">
        <v>45792.56350694445</v>
      </c>
      <c r="C6035" s="1" t="n">
        <v>45884</v>
      </c>
      <c r="D6035" t="inlineStr">
        <is>
          <t>KALMAR LÄN</t>
        </is>
      </c>
      <c r="E6035" t="inlineStr">
        <is>
          <t>KALMAR</t>
        </is>
      </c>
      <c r="F6035" t="inlineStr">
        <is>
          <t>Sveaskog</t>
        </is>
      </c>
      <c r="G6035" t="n">
        <v>4.7</v>
      </c>
      <c r="H6035" t="n">
        <v>0</v>
      </c>
      <c r="I6035" t="n">
        <v>0</v>
      </c>
      <c r="J6035" t="n">
        <v>0</v>
      </c>
      <c r="K6035" t="n">
        <v>0</v>
      </c>
      <c r="L6035" t="n">
        <v>0</v>
      </c>
      <c r="M6035" t="n">
        <v>0</v>
      </c>
      <c r="N6035" t="n">
        <v>0</v>
      </c>
      <c r="O6035" t="n">
        <v>0</v>
      </c>
      <c r="P6035" t="n">
        <v>0</v>
      </c>
      <c r="Q6035" t="n">
        <v>0</v>
      </c>
      <c r="R6035" s="2" t="inlineStr"/>
    </row>
    <row r="6036" ht="15" customHeight="1">
      <c r="A6036" t="inlineStr">
        <is>
          <t>A 2097-2021</t>
        </is>
      </c>
      <c r="B6036" s="1" t="n">
        <v>44211</v>
      </c>
      <c r="C6036" s="1" t="n">
        <v>45884</v>
      </c>
      <c r="D6036" t="inlineStr">
        <is>
          <t>KALMAR LÄN</t>
        </is>
      </c>
      <c r="E6036" t="inlineStr">
        <is>
          <t>OSKARSHAMN</t>
        </is>
      </c>
      <c r="G6036" t="n">
        <v>1.6</v>
      </c>
      <c r="H6036" t="n">
        <v>0</v>
      </c>
      <c r="I6036" t="n">
        <v>0</v>
      </c>
      <c r="J6036" t="n">
        <v>0</v>
      </c>
      <c r="K6036" t="n">
        <v>0</v>
      </c>
      <c r="L6036" t="n">
        <v>0</v>
      </c>
      <c r="M6036" t="n">
        <v>0</v>
      </c>
      <c r="N6036" t="n">
        <v>0</v>
      </c>
      <c r="O6036" t="n">
        <v>0</v>
      </c>
      <c r="P6036" t="n">
        <v>0</v>
      </c>
      <c r="Q6036" t="n">
        <v>0</v>
      </c>
      <c r="R6036" s="2" t="inlineStr"/>
    </row>
    <row r="6037" ht="15" customHeight="1">
      <c r="A6037" t="inlineStr">
        <is>
          <t>A 15749-2024</t>
        </is>
      </c>
      <c r="B6037" s="1" t="n">
        <v>45404.55552083333</v>
      </c>
      <c r="C6037" s="1" t="n">
        <v>45884</v>
      </c>
      <c r="D6037" t="inlineStr">
        <is>
          <t>KALMAR LÄN</t>
        </is>
      </c>
      <c r="E6037" t="inlineStr">
        <is>
          <t>TORSÅS</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23485-2025</t>
        </is>
      </c>
      <c r="B6038" s="1" t="n">
        <v>45792.46319444444</v>
      </c>
      <c r="C6038" s="1" t="n">
        <v>45884</v>
      </c>
      <c r="D6038" t="inlineStr">
        <is>
          <t>KALMAR LÄN</t>
        </is>
      </c>
      <c r="E6038" t="inlineStr">
        <is>
          <t>NYBRO</t>
        </is>
      </c>
      <c r="F6038" t="inlineStr">
        <is>
          <t>Sveaskog</t>
        </is>
      </c>
      <c r="G6038" t="n">
        <v>2.6</v>
      </c>
      <c r="H6038" t="n">
        <v>0</v>
      </c>
      <c r="I6038" t="n">
        <v>0</v>
      </c>
      <c r="J6038" t="n">
        <v>0</v>
      </c>
      <c r="K6038" t="n">
        <v>0</v>
      </c>
      <c r="L6038" t="n">
        <v>0</v>
      </c>
      <c r="M6038" t="n">
        <v>0</v>
      </c>
      <c r="N6038" t="n">
        <v>0</v>
      </c>
      <c r="O6038" t="n">
        <v>0</v>
      </c>
      <c r="P6038" t="n">
        <v>0</v>
      </c>
      <c r="Q6038" t="n">
        <v>0</v>
      </c>
      <c r="R6038" s="2" t="inlineStr"/>
    </row>
    <row r="6039" ht="15" customHeight="1">
      <c r="A6039" t="inlineStr">
        <is>
          <t>A 23859-2025</t>
        </is>
      </c>
      <c r="B6039" s="1" t="n">
        <v>45793.65996527778</v>
      </c>
      <c r="C6039" s="1" t="n">
        <v>45884</v>
      </c>
      <c r="D6039" t="inlineStr">
        <is>
          <t>KALMAR LÄN</t>
        </is>
      </c>
      <c r="E6039" t="inlineStr">
        <is>
          <t>VÄSTERVIK</t>
        </is>
      </c>
      <c r="F6039" t="inlineStr">
        <is>
          <t>Holmen skog AB</t>
        </is>
      </c>
      <c r="G6039" t="n">
        <v>17.7</v>
      </c>
      <c r="H6039" t="n">
        <v>0</v>
      </c>
      <c r="I6039" t="n">
        <v>0</v>
      </c>
      <c r="J6039" t="n">
        <v>0</v>
      </c>
      <c r="K6039" t="n">
        <v>0</v>
      </c>
      <c r="L6039" t="n">
        <v>0</v>
      </c>
      <c r="M6039" t="n">
        <v>0</v>
      </c>
      <c r="N6039" t="n">
        <v>0</v>
      </c>
      <c r="O6039" t="n">
        <v>0</v>
      </c>
      <c r="P6039" t="n">
        <v>0</v>
      </c>
      <c r="Q6039" t="n">
        <v>0</v>
      </c>
      <c r="R6039" s="2" t="inlineStr"/>
    </row>
    <row r="6040" ht="15" customHeight="1">
      <c r="A6040" t="inlineStr">
        <is>
          <t>A 16779-2025</t>
        </is>
      </c>
      <c r="B6040" s="1" t="n">
        <v>45754.58804398148</v>
      </c>
      <c r="C6040" s="1" t="n">
        <v>45884</v>
      </c>
      <c r="D6040" t="inlineStr">
        <is>
          <t>KALMAR LÄN</t>
        </is>
      </c>
      <c r="E6040" t="inlineStr">
        <is>
          <t>NYBRO</t>
        </is>
      </c>
      <c r="F6040" t="inlineStr">
        <is>
          <t>Sveaskog</t>
        </is>
      </c>
      <c r="G6040" t="n">
        <v>2.1</v>
      </c>
      <c r="H6040" t="n">
        <v>0</v>
      </c>
      <c r="I6040" t="n">
        <v>0</v>
      </c>
      <c r="J6040" t="n">
        <v>0</v>
      </c>
      <c r="K6040" t="n">
        <v>0</v>
      </c>
      <c r="L6040" t="n">
        <v>0</v>
      </c>
      <c r="M6040" t="n">
        <v>0</v>
      </c>
      <c r="N6040" t="n">
        <v>0</v>
      </c>
      <c r="O6040" t="n">
        <v>0</v>
      </c>
      <c r="P6040" t="n">
        <v>0</v>
      </c>
      <c r="Q6040" t="n">
        <v>0</v>
      </c>
      <c r="R6040" s="2" t="inlineStr"/>
    </row>
    <row r="6041" ht="15" customHeight="1">
      <c r="A6041" t="inlineStr">
        <is>
          <t>A 16841-2025</t>
        </is>
      </c>
      <c r="B6041" s="1" t="n">
        <v>45754.6719212963</v>
      </c>
      <c r="C6041" s="1" t="n">
        <v>45884</v>
      </c>
      <c r="D6041" t="inlineStr">
        <is>
          <t>KALMAR LÄN</t>
        </is>
      </c>
      <c r="E6041" t="inlineStr">
        <is>
          <t>VÄSTERVIK</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16879-2025</t>
        </is>
      </c>
      <c r="B6042" s="1" t="n">
        <v>45755.29387731481</v>
      </c>
      <c r="C6042" s="1" t="n">
        <v>45884</v>
      </c>
      <c r="D6042" t="inlineStr">
        <is>
          <t>KALMAR LÄN</t>
        </is>
      </c>
      <c r="E6042" t="inlineStr">
        <is>
          <t>HULTSFRED</t>
        </is>
      </c>
      <c r="F6042" t="inlineStr">
        <is>
          <t>Sveaskog</t>
        </is>
      </c>
      <c r="G6042" t="n">
        <v>2.5</v>
      </c>
      <c r="H6042" t="n">
        <v>0</v>
      </c>
      <c r="I6042" t="n">
        <v>0</v>
      </c>
      <c r="J6042" t="n">
        <v>0</v>
      </c>
      <c r="K6042" t="n">
        <v>0</v>
      </c>
      <c r="L6042" t="n">
        <v>0</v>
      </c>
      <c r="M6042" t="n">
        <v>0</v>
      </c>
      <c r="N6042" t="n">
        <v>0</v>
      </c>
      <c r="O6042" t="n">
        <v>0</v>
      </c>
      <c r="P6042" t="n">
        <v>0</v>
      </c>
      <c r="Q6042" t="n">
        <v>0</v>
      </c>
      <c r="R6042" s="2" t="inlineStr"/>
    </row>
    <row r="6043" ht="15" customHeight="1">
      <c r="A6043" t="inlineStr">
        <is>
          <t>A 23873-2024</t>
        </is>
      </c>
      <c r="B6043" s="1" t="n">
        <v>45455</v>
      </c>
      <c r="C6043" s="1" t="n">
        <v>45884</v>
      </c>
      <c r="D6043" t="inlineStr">
        <is>
          <t>KALMAR LÄN</t>
        </is>
      </c>
      <c r="E6043" t="inlineStr">
        <is>
          <t>VÄSTERVIK</t>
        </is>
      </c>
      <c r="F6043" t="inlineStr">
        <is>
          <t>Övriga Aktiebolag</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18395-2024</t>
        </is>
      </c>
      <c r="B6044" s="1" t="n">
        <v>45424.98380787037</v>
      </c>
      <c r="C6044" s="1" t="n">
        <v>45884</v>
      </c>
      <c r="D6044" t="inlineStr">
        <is>
          <t>KALMAR LÄN</t>
        </is>
      </c>
      <c r="E6044" t="inlineStr">
        <is>
          <t>VÄSTERVIK</t>
        </is>
      </c>
      <c r="F6044" t="inlineStr">
        <is>
          <t>Holmen skog AB</t>
        </is>
      </c>
      <c r="G6044" t="n">
        <v>8.5</v>
      </c>
      <c r="H6044" t="n">
        <v>0</v>
      </c>
      <c r="I6044" t="n">
        <v>0</v>
      </c>
      <c r="J6044" t="n">
        <v>0</v>
      </c>
      <c r="K6044" t="n">
        <v>0</v>
      </c>
      <c r="L6044" t="n">
        <v>0</v>
      </c>
      <c r="M6044" t="n">
        <v>0</v>
      </c>
      <c r="N6044" t="n">
        <v>0</v>
      </c>
      <c r="O6044" t="n">
        <v>0</v>
      </c>
      <c r="P6044" t="n">
        <v>0</v>
      </c>
      <c r="Q6044" t="n">
        <v>0</v>
      </c>
      <c r="R6044" s="2" t="inlineStr"/>
    </row>
    <row r="6045" ht="15" customHeight="1">
      <c r="A6045" t="inlineStr">
        <is>
          <t>A 23454-2025</t>
        </is>
      </c>
      <c r="B6045" s="1" t="n">
        <v>45792.42443287037</v>
      </c>
      <c r="C6045" s="1" t="n">
        <v>45884</v>
      </c>
      <c r="D6045" t="inlineStr">
        <is>
          <t>KALMAR LÄN</t>
        </is>
      </c>
      <c r="E6045" t="inlineStr">
        <is>
          <t>MÖNSTERÅS</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23488-2025</t>
        </is>
      </c>
      <c r="B6046" s="1" t="n">
        <v>45792.46534722222</v>
      </c>
      <c r="C6046" s="1" t="n">
        <v>45884</v>
      </c>
      <c r="D6046" t="inlineStr">
        <is>
          <t>KALMAR LÄN</t>
        </is>
      </c>
      <c r="E6046" t="inlineStr">
        <is>
          <t>NYBRO</t>
        </is>
      </c>
      <c r="F6046" t="inlineStr">
        <is>
          <t>Sveaskog</t>
        </is>
      </c>
      <c r="G6046" t="n">
        <v>8.800000000000001</v>
      </c>
      <c r="H6046" t="n">
        <v>0</v>
      </c>
      <c r="I6046" t="n">
        <v>0</v>
      </c>
      <c r="J6046" t="n">
        <v>0</v>
      </c>
      <c r="K6046" t="n">
        <v>0</v>
      </c>
      <c r="L6046" t="n">
        <v>0</v>
      </c>
      <c r="M6046" t="n">
        <v>0</v>
      </c>
      <c r="N6046" t="n">
        <v>0</v>
      </c>
      <c r="O6046" t="n">
        <v>0</v>
      </c>
      <c r="P6046" t="n">
        <v>0</v>
      </c>
      <c r="Q6046" t="n">
        <v>0</v>
      </c>
      <c r="R6046" s="2" t="inlineStr"/>
    </row>
    <row r="6047" ht="15" customHeight="1">
      <c r="A6047" t="inlineStr">
        <is>
          <t>A 7068-2024</t>
        </is>
      </c>
      <c r="B6047" s="1" t="n">
        <v>45343.68038194445</v>
      </c>
      <c r="C6047" s="1" t="n">
        <v>45884</v>
      </c>
      <c r="D6047" t="inlineStr">
        <is>
          <t>KALMAR LÄN</t>
        </is>
      </c>
      <c r="E6047" t="inlineStr">
        <is>
          <t>VIMMERBY</t>
        </is>
      </c>
      <c r="G6047" t="n">
        <v>2.5</v>
      </c>
      <c r="H6047" t="n">
        <v>0</v>
      </c>
      <c r="I6047" t="n">
        <v>0</v>
      </c>
      <c r="J6047" t="n">
        <v>0</v>
      </c>
      <c r="K6047" t="n">
        <v>0</v>
      </c>
      <c r="L6047" t="n">
        <v>0</v>
      </c>
      <c r="M6047" t="n">
        <v>0</v>
      </c>
      <c r="N6047" t="n">
        <v>0</v>
      </c>
      <c r="O6047" t="n">
        <v>0</v>
      </c>
      <c r="P6047" t="n">
        <v>0</v>
      </c>
      <c r="Q6047" t="n">
        <v>0</v>
      </c>
      <c r="R6047" s="2" t="inlineStr"/>
    </row>
    <row r="6048" ht="15" customHeight="1">
      <c r="A6048" t="inlineStr">
        <is>
          <t>A 47451-2024</t>
        </is>
      </c>
      <c r="B6048" s="1" t="n">
        <v>45587.54915509259</v>
      </c>
      <c r="C6048" s="1" t="n">
        <v>45884</v>
      </c>
      <c r="D6048" t="inlineStr">
        <is>
          <t>KALMAR LÄN</t>
        </is>
      </c>
      <c r="E6048" t="inlineStr">
        <is>
          <t>EMMABODA</t>
        </is>
      </c>
      <c r="G6048" t="n">
        <v>0.6</v>
      </c>
      <c r="H6048" t="n">
        <v>0</v>
      </c>
      <c r="I6048" t="n">
        <v>0</v>
      </c>
      <c r="J6048" t="n">
        <v>0</v>
      </c>
      <c r="K6048" t="n">
        <v>0</v>
      </c>
      <c r="L6048" t="n">
        <v>0</v>
      </c>
      <c r="M6048" t="n">
        <v>0</v>
      </c>
      <c r="N6048" t="n">
        <v>0</v>
      </c>
      <c r="O6048" t="n">
        <v>0</v>
      </c>
      <c r="P6048" t="n">
        <v>0</v>
      </c>
      <c r="Q6048" t="n">
        <v>0</v>
      </c>
      <c r="R6048" s="2" t="inlineStr"/>
    </row>
    <row r="6049" ht="15" customHeight="1">
      <c r="A6049" t="inlineStr">
        <is>
          <t>A 31707-2023</t>
        </is>
      </c>
      <c r="B6049" s="1" t="n">
        <v>45105</v>
      </c>
      <c r="C6049" s="1" t="n">
        <v>45884</v>
      </c>
      <c r="D6049" t="inlineStr">
        <is>
          <t>KALMAR LÄN</t>
        </is>
      </c>
      <c r="E6049" t="inlineStr">
        <is>
          <t>HÖGSBY</t>
        </is>
      </c>
      <c r="G6049" t="n">
        <v>3</v>
      </c>
      <c r="H6049" t="n">
        <v>0</v>
      </c>
      <c r="I6049" t="n">
        <v>0</v>
      </c>
      <c r="J6049" t="n">
        <v>0</v>
      </c>
      <c r="K6049" t="n">
        <v>0</v>
      </c>
      <c r="L6049" t="n">
        <v>0</v>
      </c>
      <c r="M6049" t="n">
        <v>0</v>
      </c>
      <c r="N6049" t="n">
        <v>0</v>
      </c>
      <c r="O6049" t="n">
        <v>0</v>
      </c>
      <c r="P6049" t="n">
        <v>0</v>
      </c>
      <c r="Q6049" t="n">
        <v>0</v>
      </c>
      <c r="R6049" s="2" t="inlineStr"/>
    </row>
    <row r="6050" ht="15" customHeight="1">
      <c r="A6050" t="inlineStr">
        <is>
          <t>A 14068-2025</t>
        </is>
      </c>
      <c r="B6050" s="1" t="n">
        <v>45740.42127314815</v>
      </c>
      <c r="C6050" s="1" t="n">
        <v>45884</v>
      </c>
      <c r="D6050" t="inlineStr">
        <is>
          <t>KALMAR LÄN</t>
        </is>
      </c>
      <c r="E6050" t="inlineStr">
        <is>
          <t>VÄSTERVIK</t>
        </is>
      </c>
      <c r="F6050" t="inlineStr">
        <is>
          <t>Sveaskog</t>
        </is>
      </c>
      <c r="G6050" t="n">
        <v>2.3</v>
      </c>
      <c r="H6050" t="n">
        <v>0</v>
      </c>
      <c r="I6050" t="n">
        <v>0</v>
      </c>
      <c r="J6050" t="n">
        <v>0</v>
      </c>
      <c r="K6050" t="n">
        <v>0</v>
      </c>
      <c r="L6050" t="n">
        <v>0</v>
      </c>
      <c r="M6050" t="n">
        <v>0</v>
      </c>
      <c r="N6050" t="n">
        <v>0</v>
      </c>
      <c r="O6050" t="n">
        <v>0</v>
      </c>
      <c r="P6050" t="n">
        <v>0</v>
      </c>
      <c r="Q6050" t="n">
        <v>0</v>
      </c>
      <c r="R6050" s="2" t="inlineStr"/>
    </row>
    <row r="6051" ht="15" customHeight="1">
      <c r="A6051" t="inlineStr">
        <is>
          <t>A 6857-2025</t>
        </is>
      </c>
      <c r="B6051" s="1" t="n">
        <v>45701.1425</v>
      </c>
      <c r="C6051" s="1" t="n">
        <v>45884</v>
      </c>
      <c r="D6051" t="inlineStr">
        <is>
          <t>KALMAR LÄN</t>
        </is>
      </c>
      <c r="E6051" t="inlineStr">
        <is>
          <t>NYBRO</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18092-2025</t>
        </is>
      </c>
      <c r="B6052" s="1" t="n">
        <v>45761.54658564815</v>
      </c>
      <c r="C6052" s="1" t="n">
        <v>45884</v>
      </c>
      <c r="D6052" t="inlineStr">
        <is>
          <t>KALMAR LÄN</t>
        </is>
      </c>
      <c r="E6052" t="inlineStr">
        <is>
          <t>NYBRO</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14071-2025</t>
        </is>
      </c>
      <c r="B6053" s="1" t="n">
        <v>45740.42738425926</v>
      </c>
      <c r="C6053" s="1" t="n">
        <v>45884</v>
      </c>
      <c r="D6053" t="inlineStr">
        <is>
          <t>KALMAR LÄN</t>
        </is>
      </c>
      <c r="E6053" t="inlineStr">
        <is>
          <t>VÄSTERVIK</t>
        </is>
      </c>
      <c r="F6053" t="inlineStr">
        <is>
          <t>Sveaskog</t>
        </is>
      </c>
      <c r="G6053" t="n">
        <v>1.9</v>
      </c>
      <c r="H6053" t="n">
        <v>0</v>
      </c>
      <c r="I6053" t="n">
        <v>0</v>
      </c>
      <c r="J6053" t="n">
        <v>0</v>
      </c>
      <c r="K6053" t="n">
        <v>0</v>
      </c>
      <c r="L6053" t="n">
        <v>0</v>
      </c>
      <c r="M6053" t="n">
        <v>0</v>
      </c>
      <c r="N6053" t="n">
        <v>0</v>
      </c>
      <c r="O6053" t="n">
        <v>0</v>
      </c>
      <c r="P6053" t="n">
        <v>0</v>
      </c>
      <c r="Q6053" t="n">
        <v>0</v>
      </c>
      <c r="R6053" s="2" t="inlineStr"/>
    </row>
    <row r="6054" ht="15" customHeight="1">
      <c r="A6054" t="inlineStr">
        <is>
          <t>A 14092-2025</t>
        </is>
      </c>
      <c r="B6054" s="1" t="n">
        <v>45740.44686342592</v>
      </c>
      <c r="C6054" s="1" t="n">
        <v>45884</v>
      </c>
      <c r="D6054" t="inlineStr">
        <is>
          <t>KALMAR LÄN</t>
        </is>
      </c>
      <c r="E6054" t="inlineStr">
        <is>
          <t>VÄSTERVIK</t>
        </is>
      </c>
      <c r="F6054" t="inlineStr">
        <is>
          <t>Sveaskog</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46234-2024</t>
        </is>
      </c>
      <c r="B6055" s="1" t="n">
        <v>45581.57958333333</v>
      </c>
      <c r="C6055" s="1" t="n">
        <v>45884</v>
      </c>
      <c r="D6055" t="inlineStr">
        <is>
          <t>KALMAR LÄN</t>
        </is>
      </c>
      <c r="E6055" t="inlineStr">
        <is>
          <t>VIMMERBY</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14726-2025</t>
        </is>
      </c>
      <c r="B6056" s="1" t="n">
        <v>45742.63379629629</v>
      </c>
      <c r="C6056" s="1" t="n">
        <v>45884</v>
      </c>
      <c r="D6056" t="inlineStr">
        <is>
          <t>KALMAR LÄN</t>
        </is>
      </c>
      <c r="E6056" t="inlineStr">
        <is>
          <t>HULTSFRED</t>
        </is>
      </c>
      <c r="G6056" t="n">
        <v>0.6</v>
      </c>
      <c r="H6056" t="n">
        <v>0</v>
      </c>
      <c r="I6056" t="n">
        <v>0</v>
      </c>
      <c r="J6056" t="n">
        <v>0</v>
      </c>
      <c r="K6056" t="n">
        <v>0</v>
      </c>
      <c r="L6056" t="n">
        <v>0</v>
      </c>
      <c r="M6056" t="n">
        <v>0</v>
      </c>
      <c r="N6056" t="n">
        <v>0</v>
      </c>
      <c r="O6056" t="n">
        <v>0</v>
      </c>
      <c r="P6056" t="n">
        <v>0</v>
      </c>
      <c r="Q6056" t="n">
        <v>0</v>
      </c>
      <c r="R6056" s="2" t="inlineStr"/>
    </row>
    <row r="6057" ht="15" customHeight="1">
      <c r="A6057" t="inlineStr">
        <is>
          <t>A 61728-2023</t>
        </is>
      </c>
      <c r="B6057" s="1" t="n">
        <v>45265</v>
      </c>
      <c r="C6057" s="1" t="n">
        <v>45884</v>
      </c>
      <c r="D6057" t="inlineStr">
        <is>
          <t>KALMAR LÄN</t>
        </is>
      </c>
      <c r="E6057" t="inlineStr">
        <is>
          <t>VÄSTERVIK</t>
        </is>
      </c>
      <c r="G6057" t="n">
        <v>1.9</v>
      </c>
      <c r="H6057" t="n">
        <v>0</v>
      </c>
      <c r="I6057" t="n">
        <v>0</v>
      </c>
      <c r="J6057" t="n">
        <v>0</v>
      </c>
      <c r="K6057" t="n">
        <v>0</v>
      </c>
      <c r="L6057" t="n">
        <v>0</v>
      </c>
      <c r="M6057" t="n">
        <v>0</v>
      </c>
      <c r="N6057" t="n">
        <v>0</v>
      </c>
      <c r="O6057" t="n">
        <v>0</v>
      </c>
      <c r="P6057" t="n">
        <v>0</v>
      </c>
      <c r="Q6057" t="n">
        <v>0</v>
      </c>
      <c r="R6057" s="2" t="inlineStr"/>
    </row>
    <row r="6058" ht="15" customHeight="1">
      <c r="A6058" t="inlineStr">
        <is>
          <t>A 36725-2024</t>
        </is>
      </c>
      <c r="B6058" s="1" t="n">
        <v>45537.90300925926</v>
      </c>
      <c r="C6058" s="1" t="n">
        <v>45884</v>
      </c>
      <c r="D6058" t="inlineStr">
        <is>
          <t>KALMAR LÄN</t>
        </is>
      </c>
      <c r="E6058" t="inlineStr">
        <is>
          <t>VÄSTERVIK</t>
        </is>
      </c>
      <c r="G6058" t="n">
        <v>10.1</v>
      </c>
      <c r="H6058" t="n">
        <v>0</v>
      </c>
      <c r="I6058" t="n">
        <v>0</v>
      </c>
      <c r="J6058" t="n">
        <v>0</v>
      </c>
      <c r="K6058" t="n">
        <v>0</v>
      </c>
      <c r="L6058" t="n">
        <v>0</v>
      </c>
      <c r="M6058" t="n">
        <v>0</v>
      </c>
      <c r="N6058" t="n">
        <v>0</v>
      </c>
      <c r="O6058" t="n">
        <v>0</v>
      </c>
      <c r="P6058" t="n">
        <v>0</v>
      </c>
      <c r="Q6058" t="n">
        <v>0</v>
      </c>
      <c r="R6058" s="2" t="inlineStr"/>
    </row>
    <row r="6059" ht="15" customHeight="1">
      <c r="A6059" t="inlineStr">
        <is>
          <t>A 37187-2024</t>
        </is>
      </c>
      <c r="B6059" s="1" t="n">
        <v>45539.65212962963</v>
      </c>
      <c r="C6059" s="1" t="n">
        <v>45884</v>
      </c>
      <c r="D6059" t="inlineStr">
        <is>
          <t>KALMAR LÄN</t>
        </is>
      </c>
      <c r="E6059" t="inlineStr">
        <is>
          <t>VIMMERBY</t>
        </is>
      </c>
      <c r="G6059" t="n">
        <v>2.7</v>
      </c>
      <c r="H6059" t="n">
        <v>0</v>
      </c>
      <c r="I6059" t="n">
        <v>0</v>
      </c>
      <c r="J6059" t="n">
        <v>0</v>
      </c>
      <c r="K6059" t="n">
        <v>0</v>
      </c>
      <c r="L6059" t="n">
        <v>0</v>
      </c>
      <c r="M6059" t="n">
        <v>0</v>
      </c>
      <c r="N6059" t="n">
        <v>0</v>
      </c>
      <c r="O6059" t="n">
        <v>0</v>
      </c>
      <c r="P6059" t="n">
        <v>0</v>
      </c>
      <c r="Q6059" t="n">
        <v>0</v>
      </c>
      <c r="R6059" s="2" t="inlineStr"/>
    </row>
    <row r="6060" ht="15" customHeight="1">
      <c r="A6060" t="inlineStr">
        <is>
          <t>A 14491-2023</t>
        </is>
      </c>
      <c r="B6060" s="1" t="n">
        <v>45012.68758101852</v>
      </c>
      <c r="C6060" s="1" t="n">
        <v>45884</v>
      </c>
      <c r="D6060" t="inlineStr">
        <is>
          <t>KALMAR LÄN</t>
        </is>
      </c>
      <c r="E6060" t="inlineStr">
        <is>
          <t>OSKARSHAMN</t>
        </is>
      </c>
      <c r="G6060" t="n">
        <v>2.9</v>
      </c>
      <c r="H6060" t="n">
        <v>0</v>
      </c>
      <c r="I6060" t="n">
        <v>0</v>
      </c>
      <c r="J6060" t="n">
        <v>0</v>
      </c>
      <c r="K6060" t="n">
        <v>0</v>
      </c>
      <c r="L6060" t="n">
        <v>0</v>
      </c>
      <c r="M6060" t="n">
        <v>0</v>
      </c>
      <c r="N6060" t="n">
        <v>0</v>
      </c>
      <c r="O6060" t="n">
        <v>0</v>
      </c>
      <c r="P6060" t="n">
        <v>0</v>
      </c>
      <c r="Q6060" t="n">
        <v>0</v>
      </c>
      <c r="R6060" s="2" t="inlineStr"/>
    </row>
    <row r="6061" ht="15" customHeight="1">
      <c r="A6061" t="inlineStr">
        <is>
          <t>A 23931-2025</t>
        </is>
      </c>
      <c r="B6061" s="1" t="n">
        <v>45795.67989583333</v>
      </c>
      <c r="C6061" s="1" t="n">
        <v>45884</v>
      </c>
      <c r="D6061" t="inlineStr">
        <is>
          <t>KALMAR LÄN</t>
        </is>
      </c>
      <c r="E6061" t="inlineStr">
        <is>
          <t>EMMABODA</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23938-2025</t>
        </is>
      </c>
      <c r="B6062" s="1" t="n">
        <v>45796.28685185185</v>
      </c>
      <c r="C6062" s="1" t="n">
        <v>45884</v>
      </c>
      <c r="D6062" t="inlineStr">
        <is>
          <t>KALMAR LÄN</t>
        </is>
      </c>
      <c r="E6062" t="inlineStr">
        <is>
          <t>OSKARSHAMN</t>
        </is>
      </c>
      <c r="G6062" t="n">
        <v>5.3</v>
      </c>
      <c r="H6062" t="n">
        <v>0</v>
      </c>
      <c r="I6062" t="n">
        <v>0</v>
      </c>
      <c r="J6062" t="n">
        <v>0</v>
      </c>
      <c r="K6062" t="n">
        <v>0</v>
      </c>
      <c r="L6062" t="n">
        <v>0</v>
      </c>
      <c r="M6062" t="n">
        <v>0</v>
      </c>
      <c r="N6062" t="n">
        <v>0</v>
      </c>
      <c r="O6062" t="n">
        <v>0</v>
      </c>
      <c r="P6062" t="n">
        <v>0</v>
      </c>
      <c r="Q6062" t="n">
        <v>0</v>
      </c>
      <c r="R6062" s="2" t="inlineStr"/>
    </row>
    <row r="6063" ht="15" customHeight="1">
      <c r="A6063" t="inlineStr">
        <is>
          <t>A 320-2025</t>
        </is>
      </c>
      <c r="B6063" s="1" t="n">
        <v>45653</v>
      </c>
      <c r="C6063" s="1" t="n">
        <v>45884</v>
      </c>
      <c r="D6063" t="inlineStr">
        <is>
          <t>KALMAR LÄN</t>
        </is>
      </c>
      <c r="E6063" t="inlineStr">
        <is>
          <t>NYBRO</t>
        </is>
      </c>
      <c r="G6063" t="n">
        <v>5.7</v>
      </c>
      <c r="H6063" t="n">
        <v>0</v>
      </c>
      <c r="I6063" t="n">
        <v>0</v>
      </c>
      <c r="J6063" t="n">
        <v>0</v>
      </c>
      <c r="K6063" t="n">
        <v>0</v>
      </c>
      <c r="L6063" t="n">
        <v>0</v>
      </c>
      <c r="M6063" t="n">
        <v>0</v>
      </c>
      <c r="N6063" t="n">
        <v>0</v>
      </c>
      <c r="O6063" t="n">
        <v>0</v>
      </c>
      <c r="P6063" t="n">
        <v>0</v>
      </c>
      <c r="Q6063" t="n">
        <v>0</v>
      </c>
      <c r="R6063" s="2" t="inlineStr"/>
    </row>
    <row r="6064" ht="15" customHeight="1">
      <c r="A6064" t="inlineStr">
        <is>
          <t>A 13384-2023</t>
        </is>
      </c>
      <c r="B6064" s="1" t="n">
        <v>45005</v>
      </c>
      <c r="C6064" s="1" t="n">
        <v>45884</v>
      </c>
      <c r="D6064" t="inlineStr">
        <is>
          <t>KALMAR LÄN</t>
        </is>
      </c>
      <c r="E6064" t="inlineStr">
        <is>
          <t>MÖRBYLÅNGA</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71192-2021</t>
        </is>
      </c>
      <c r="B6065" s="1" t="n">
        <v>44539.50920138889</v>
      </c>
      <c r="C6065" s="1" t="n">
        <v>45884</v>
      </c>
      <c r="D6065" t="inlineStr">
        <is>
          <t>KALMAR LÄN</t>
        </is>
      </c>
      <c r="E6065" t="inlineStr">
        <is>
          <t>KALMAR</t>
        </is>
      </c>
      <c r="G6065" t="n">
        <v>2.5</v>
      </c>
      <c r="H6065" t="n">
        <v>0</v>
      </c>
      <c r="I6065" t="n">
        <v>0</v>
      </c>
      <c r="J6065" t="n">
        <v>0</v>
      </c>
      <c r="K6065" t="n">
        <v>0</v>
      </c>
      <c r="L6065" t="n">
        <v>0</v>
      </c>
      <c r="M6065" t="n">
        <v>0</v>
      </c>
      <c r="N6065" t="n">
        <v>0</v>
      </c>
      <c r="O6065" t="n">
        <v>0</v>
      </c>
      <c r="P6065" t="n">
        <v>0</v>
      </c>
      <c r="Q6065" t="n">
        <v>0</v>
      </c>
      <c r="R6065" s="2" t="inlineStr"/>
    </row>
    <row r="6066" ht="15" customHeight="1">
      <c r="A6066" t="inlineStr">
        <is>
          <t>A 24212-2025</t>
        </is>
      </c>
      <c r="B6066" s="1" t="n">
        <v>45797.34990740741</v>
      </c>
      <c r="C6066" s="1" t="n">
        <v>45884</v>
      </c>
      <c r="D6066" t="inlineStr">
        <is>
          <t>KALMAR LÄN</t>
        </is>
      </c>
      <c r="E6066" t="inlineStr">
        <is>
          <t>VÄSTERVIK</t>
        </is>
      </c>
      <c r="G6066" t="n">
        <v>1.9</v>
      </c>
      <c r="H6066" t="n">
        <v>0</v>
      </c>
      <c r="I6066" t="n">
        <v>0</v>
      </c>
      <c r="J6066" t="n">
        <v>0</v>
      </c>
      <c r="K6066" t="n">
        <v>0</v>
      </c>
      <c r="L6066" t="n">
        <v>0</v>
      </c>
      <c r="M6066" t="n">
        <v>0</v>
      </c>
      <c r="N6066" t="n">
        <v>0</v>
      </c>
      <c r="O6066" t="n">
        <v>0</v>
      </c>
      <c r="P6066" t="n">
        <v>0</v>
      </c>
      <c r="Q6066" t="n">
        <v>0</v>
      </c>
      <c r="R6066" s="2" t="inlineStr"/>
    </row>
    <row r="6067" ht="15" customHeight="1">
      <c r="A6067" t="inlineStr">
        <is>
          <t>A 63260-2021</t>
        </is>
      </c>
      <c r="B6067" s="1" t="n">
        <v>44505</v>
      </c>
      <c r="C6067" s="1" t="n">
        <v>45884</v>
      </c>
      <c r="D6067" t="inlineStr">
        <is>
          <t>KALMAR LÄN</t>
        </is>
      </c>
      <c r="E6067" t="inlineStr">
        <is>
          <t>NYBRO</t>
        </is>
      </c>
      <c r="G6067" t="n">
        <v>2</v>
      </c>
      <c r="H6067" t="n">
        <v>0</v>
      </c>
      <c r="I6067" t="n">
        <v>0</v>
      </c>
      <c r="J6067" t="n">
        <v>0</v>
      </c>
      <c r="K6067" t="n">
        <v>0</v>
      </c>
      <c r="L6067" t="n">
        <v>0</v>
      </c>
      <c r="M6067" t="n">
        <v>0</v>
      </c>
      <c r="N6067" t="n">
        <v>0</v>
      </c>
      <c r="O6067" t="n">
        <v>0</v>
      </c>
      <c r="P6067" t="n">
        <v>0</v>
      </c>
      <c r="Q6067" t="n">
        <v>0</v>
      </c>
      <c r="R6067" s="2" t="inlineStr"/>
    </row>
    <row r="6068" ht="15" customHeight="1">
      <c r="A6068" t="inlineStr">
        <is>
          <t>A 57980-2022</t>
        </is>
      </c>
      <c r="B6068" s="1" t="n">
        <v>44900.47381944444</v>
      </c>
      <c r="C6068" s="1" t="n">
        <v>45884</v>
      </c>
      <c r="D6068" t="inlineStr">
        <is>
          <t>KALMAR LÄN</t>
        </is>
      </c>
      <c r="E6068" t="inlineStr">
        <is>
          <t>NYBRO</t>
        </is>
      </c>
      <c r="G6068" t="n">
        <v>2.6</v>
      </c>
      <c r="H6068" t="n">
        <v>0</v>
      </c>
      <c r="I6068" t="n">
        <v>0</v>
      </c>
      <c r="J6068" t="n">
        <v>0</v>
      </c>
      <c r="K6068" t="n">
        <v>0</v>
      </c>
      <c r="L6068" t="n">
        <v>0</v>
      </c>
      <c r="M6068" t="n">
        <v>0</v>
      </c>
      <c r="N6068" t="n">
        <v>0</v>
      </c>
      <c r="O6068" t="n">
        <v>0</v>
      </c>
      <c r="P6068" t="n">
        <v>0</v>
      </c>
      <c r="Q6068" t="n">
        <v>0</v>
      </c>
      <c r="R6068" s="2" t="inlineStr"/>
    </row>
    <row r="6069" ht="15" customHeight="1">
      <c r="A6069" t="inlineStr">
        <is>
          <t>A 22812-2023</t>
        </is>
      </c>
      <c r="B6069" s="1" t="n">
        <v>45072</v>
      </c>
      <c r="C6069" s="1" t="n">
        <v>45884</v>
      </c>
      <c r="D6069" t="inlineStr">
        <is>
          <t>KALMAR LÄN</t>
        </is>
      </c>
      <c r="E6069" t="inlineStr">
        <is>
          <t>NYBRO</t>
        </is>
      </c>
      <c r="G6069" t="n">
        <v>2.3</v>
      </c>
      <c r="H6069" t="n">
        <v>0</v>
      </c>
      <c r="I6069" t="n">
        <v>0</v>
      </c>
      <c r="J6069" t="n">
        <v>0</v>
      </c>
      <c r="K6069" t="n">
        <v>0</v>
      </c>
      <c r="L6069" t="n">
        <v>0</v>
      </c>
      <c r="M6069" t="n">
        <v>0</v>
      </c>
      <c r="N6069" t="n">
        <v>0</v>
      </c>
      <c r="O6069" t="n">
        <v>0</v>
      </c>
      <c r="P6069" t="n">
        <v>0</v>
      </c>
      <c r="Q6069" t="n">
        <v>0</v>
      </c>
      <c r="R6069" s="2" t="inlineStr"/>
    </row>
    <row r="6070" ht="15" customHeight="1">
      <c r="A6070" t="inlineStr">
        <is>
          <t>A 36846-2023</t>
        </is>
      </c>
      <c r="B6070" s="1" t="n">
        <v>45154.50664351852</v>
      </c>
      <c r="C6070" s="1" t="n">
        <v>45884</v>
      </c>
      <c r="D6070" t="inlineStr">
        <is>
          <t>KALMAR LÄN</t>
        </is>
      </c>
      <c r="E6070" t="inlineStr">
        <is>
          <t>KALMAR</t>
        </is>
      </c>
      <c r="G6070" t="n">
        <v>2.4</v>
      </c>
      <c r="H6070" t="n">
        <v>0</v>
      </c>
      <c r="I6070" t="n">
        <v>0</v>
      </c>
      <c r="J6070" t="n">
        <v>0</v>
      </c>
      <c r="K6070" t="n">
        <v>0</v>
      </c>
      <c r="L6070" t="n">
        <v>0</v>
      </c>
      <c r="M6070" t="n">
        <v>0</v>
      </c>
      <c r="N6070" t="n">
        <v>0</v>
      </c>
      <c r="O6070" t="n">
        <v>0</v>
      </c>
      <c r="P6070" t="n">
        <v>0</v>
      </c>
      <c r="Q6070" t="n">
        <v>0</v>
      </c>
      <c r="R6070" s="2" t="inlineStr"/>
    </row>
    <row r="6071" ht="15" customHeight="1">
      <c r="A6071" t="inlineStr">
        <is>
          <t>A 1018-2024</t>
        </is>
      </c>
      <c r="B6071" s="1" t="n">
        <v>45301.67554398148</v>
      </c>
      <c r="C6071" s="1" t="n">
        <v>45884</v>
      </c>
      <c r="D6071" t="inlineStr">
        <is>
          <t>KALMAR LÄN</t>
        </is>
      </c>
      <c r="E6071" t="inlineStr">
        <is>
          <t>VIMMERBY</t>
        </is>
      </c>
      <c r="G6071" t="n">
        <v>2.1</v>
      </c>
      <c r="H6071" t="n">
        <v>0</v>
      </c>
      <c r="I6071" t="n">
        <v>0</v>
      </c>
      <c r="J6071" t="n">
        <v>0</v>
      </c>
      <c r="K6071" t="n">
        <v>0</v>
      </c>
      <c r="L6071" t="n">
        <v>0</v>
      </c>
      <c r="M6071" t="n">
        <v>0</v>
      </c>
      <c r="N6071" t="n">
        <v>0</v>
      </c>
      <c r="O6071" t="n">
        <v>0</v>
      </c>
      <c r="P6071" t="n">
        <v>0</v>
      </c>
      <c r="Q6071" t="n">
        <v>0</v>
      </c>
      <c r="R6071" s="2" t="inlineStr"/>
    </row>
    <row r="6072" ht="15" customHeight="1">
      <c r="A6072" t="inlineStr">
        <is>
          <t>A 1019-2024</t>
        </is>
      </c>
      <c r="B6072" s="1" t="n">
        <v>45301</v>
      </c>
      <c r="C6072" s="1" t="n">
        <v>45884</v>
      </c>
      <c r="D6072" t="inlineStr">
        <is>
          <t>KALMAR LÄN</t>
        </is>
      </c>
      <c r="E6072" t="inlineStr">
        <is>
          <t>EMMABODA</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1021-2024</t>
        </is>
      </c>
      <c r="B6073" s="1" t="n">
        <v>45301.67736111111</v>
      </c>
      <c r="C6073" s="1" t="n">
        <v>45884</v>
      </c>
      <c r="D6073" t="inlineStr">
        <is>
          <t>KALMAR LÄN</t>
        </is>
      </c>
      <c r="E6073" t="inlineStr">
        <is>
          <t>VIMMERBY</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1065-2024</t>
        </is>
      </c>
      <c r="B6074" s="1" t="n">
        <v>45302.27971064814</v>
      </c>
      <c r="C6074" s="1" t="n">
        <v>45884</v>
      </c>
      <c r="D6074" t="inlineStr">
        <is>
          <t>KALMAR LÄN</t>
        </is>
      </c>
      <c r="E6074" t="inlineStr">
        <is>
          <t>HULTSFRED</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55023-2021</t>
        </is>
      </c>
      <c r="B6075" s="1" t="n">
        <v>44474</v>
      </c>
      <c r="C6075" s="1" t="n">
        <v>45884</v>
      </c>
      <c r="D6075" t="inlineStr">
        <is>
          <t>KALMAR LÄN</t>
        </is>
      </c>
      <c r="E6075" t="inlineStr">
        <is>
          <t>VÄSTERVIK</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15719-2024</t>
        </is>
      </c>
      <c r="B6076" s="1" t="n">
        <v>45404.50043981482</v>
      </c>
      <c r="C6076" s="1" t="n">
        <v>45884</v>
      </c>
      <c r="D6076" t="inlineStr">
        <is>
          <t>KALMAR LÄN</t>
        </is>
      </c>
      <c r="E6076" t="inlineStr">
        <is>
          <t>MÖNSTERÅS</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52367-2021</t>
        </is>
      </c>
      <c r="B6077" s="1" t="n">
        <v>44465.45304398148</v>
      </c>
      <c r="C6077" s="1" t="n">
        <v>45884</v>
      </c>
      <c r="D6077" t="inlineStr">
        <is>
          <t>KALMAR LÄN</t>
        </is>
      </c>
      <c r="E6077" t="inlineStr">
        <is>
          <t>NYBRO</t>
        </is>
      </c>
      <c r="G6077" t="n">
        <v>0.5</v>
      </c>
      <c r="H6077" t="n">
        <v>0</v>
      </c>
      <c r="I6077" t="n">
        <v>0</v>
      </c>
      <c r="J6077" t="n">
        <v>0</v>
      </c>
      <c r="K6077" t="n">
        <v>0</v>
      </c>
      <c r="L6077" t="n">
        <v>0</v>
      </c>
      <c r="M6077" t="n">
        <v>0</v>
      </c>
      <c r="N6077" t="n">
        <v>0</v>
      </c>
      <c r="O6077" t="n">
        <v>0</v>
      </c>
      <c r="P6077" t="n">
        <v>0</v>
      </c>
      <c r="Q6077" t="n">
        <v>0</v>
      </c>
      <c r="R6077" s="2" t="inlineStr"/>
    </row>
    <row r="6078" ht="15" customHeight="1">
      <c r="A6078" t="inlineStr">
        <is>
          <t>A 51771-2023</t>
        </is>
      </c>
      <c r="B6078" s="1" t="n">
        <v>45222.71957175926</v>
      </c>
      <c r="C6078" s="1" t="n">
        <v>45884</v>
      </c>
      <c r="D6078" t="inlineStr">
        <is>
          <t>KALMAR LÄN</t>
        </is>
      </c>
      <c r="E6078" t="inlineStr">
        <is>
          <t>TORSÅS</t>
        </is>
      </c>
      <c r="G6078" t="n">
        <v>1.8</v>
      </c>
      <c r="H6078" t="n">
        <v>0</v>
      </c>
      <c r="I6078" t="n">
        <v>0</v>
      </c>
      <c r="J6078" t="n">
        <v>0</v>
      </c>
      <c r="K6078" t="n">
        <v>0</v>
      </c>
      <c r="L6078" t="n">
        <v>0</v>
      </c>
      <c r="M6078" t="n">
        <v>0</v>
      </c>
      <c r="N6078" t="n">
        <v>0</v>
      </c>
      <c r="O6078" t="n">
        <v>0</v>
      </c>
      <c r="P6078" t="n">
        <v>0</v>
      </c>
      <c r="Q6078" t="n">
        <v>0</v>
      </c>
      <c r="R6078" s="2" t="inlineStr"/>
    </row>
    <row r="6079" ht="15" customHeight="1">
      <c r="A6079" t="inlineStr">
        <is>
          <t>A 9106-2025</t>
        </is>
      </c>
      <c r="B6079" s="1" t="n">
        <v>45713</v>
      </c>
      <c r="C6079" s="1" t="n">
        <v>45884</v>
      </c>
      <c r="D6079" t="inlineStr">
        <is>
          <t>KALMAR LÄN</t>
        </is>
      </c>
      <c r="E6079" t="inlineStr">
        <is>
          <t>NYBRO</t>
        </is>
      </c>
      <c r="G6079" t="n">
        <v>13.2</v>
      </c>
      <c r="H6079" t="n">
        <v>0</v>
      </c>
      <c r="I6079" t="n">
        <v>0</v>
      </c>
      <c r="J6079" t="n">
        <v>0</v>
      </c>
      <c r="K6079" t="n">
        <v>0</v>
      </c>
      <c r="L6079" t="n">
        <v>0</v>
      </c>
      <c r="M6079" t="n">
        <v>0</v>
      </c>
      <c r="N6079" t="n">
        <v>0</v>
      </c>
      <c r="O6079" t="n">
        <v>0</v>
      </c>
      <c r="P6079" t="n">
        <v>0</v>
      </c>
      <c r="Q6079" t="n">
        <v>0</v>
      </c>
      <c r="R6079" s="2" t="inlineStr"/>
    </row>
    <row r="6080" ht="15" customHeight="1">
      <c r="A6080" t="inlineStr">
        <is>
          <t>A 57004-2024</t>
        </is>
      </c>
      <c r="B6080" s="1" t="n">
        <v>45628.73400462963</v>
      </c>
      <c r="C6080" s="1" t="n">
        <v>45884</v>
      </c>
      <c r="D6080" t="inlineStr">
        <is>
          <t>KALMAR LÄN</t>
        </is>
      </c>
      <c r="E6080" t="inlineStr">
        <is>
          <t>HULTSFRED</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57006-2024</t>
        </is>
      </c>
      <c r="B6081" s="1" t="n">
        <v>45626</v>
      </c>
      <c r="C6081" s="1" t="n">
        <v>45884</v>
      </c>
      <c r="D6081" t="inlineStr">
        <is>
          <t>KALMAR LÄN</t>
        </is>
      </c>
      <c r="E6081" t="inlineStr">
        <is>
          <t>HÖGSBY</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23022-2025</t>
        </is>
      </c>
      <c r="B6082" s="1" t="n">
        <v>45790.65489583334</v>
      </c>
      <c r="C6082" s="1" t="n">
        <v>45884</v>
      </c>
      <c r="D6082" t="inlineStr">
        <is>
          <t>KALMAR LÄN</t>
        </is>
      </c>
      <c r="E6082" t="inlineStr">
        <is>
          <t>VÄSTERVIK</t>
        </is>
      </c>
      <c r="G6082" t="n">
        <v>3.3</v>
      </c>
      <c r="H6082" t="n">
        <v>0</v>
      </c>
      <c r="I6082" t="n">
        <v>0</v>
      </c>
      <c r="J6082" t="n">
        <v>0</v>
      </c>
      <c r="K6082" t="n">
        <v>0</v>
      </c>
      <c r="L6082" t="n">
        <v>0</v>
      </c>
      <c r="M6082" t="n">
        <v>0</v>
      </c>
      <c r="N6082" t="n">
        <v>0</v>
      </c>
      <c r="O6082" t="n">
        <v>0</v>
      </c>
      <c r="P6082" t="n">
        <v>0</v>
      </c>
      <c r="Q6082" t="n">
        <v>0</v>
      </c>
      <c r="R6082" s="2" t="inlineStr"/>
    </row>
    <row r="6083" ht="15" customHeight="1">
      <c r="A6083" t="inlineStr">
        <is>
          <t>A 24281-2025</t>
        </is>
      </c>
      <c r="B6083" s="1" t="n">
        <v>45797.45616898148</v>
      </c>
      <c r="C6083" s="1" t="n">
        <v>45884</v>
      </c>
      <c r="D6083" t="inlineStr">
        <is>
          <t>KALMAR LÄN</t>
        </is>
      </c>
      <c r="E6083" t="inlineStr">
        <is>
          <t>OSKARSHAMN</t>
        </is>
      </c>
      <c r="G6083" t="n">
        <v>2.5</v>
      </c>
      <c r="H6083" t="n">
        <v>0</v>
      </c>
      <c r="I6083" t="n">
        <v>0</v>
      </c>
      <c r="J6083" t="n">
        <v>0</v>
      </c>
      <c r="K6083" t="n">
        <v>0</v>
      </c>
      <c r="L6083" t="n">
        <v>0</v>
      </c>
      <c r="M6083" t="n">
        <v>0</v>
      </c>
      <c r="N6083" t="n">
        <v>0</v>
      </c>
      <c r="O6083" t="n">
        <v>0</v>
      </c>
      <c r="P6083" t="n">
        <v>0</v>
      </c>
      <c r="Q6083" t="n">
        <v>0</v>
      </c>
      <c r="R6083" s="2" t="inlineStr"/>
    </row>
    <row r="6084" ht="15" customHeight="1">
      <c r="A6084" t="inlineStr">
        <is>
          <t>A 24282-2025</t>
        </is>
      </c>
      <c r="B6084" s="1" t="n">
        <v>45797.45761574074</v>
      </c>
      <c r="C6084" s="1" t="n">
        <v>45884</v>
      </c>
      <c r="D6084" t="inlineStr">
        <is>
          <t>KALMAR LÄN</t>
        </is>
      </c>
      <c r="E6084" t="inlineStr">
        <is>
          <t>EMMABODA</t>
        </is>
      </c>
      <c r="G6084" t="n">
        <v>2</v>
      </c>
      <c r="H6084" t="n">
        <v>0</v>
      </c>
      <c r="I6084" t="n">
        <v>0</v>
      </c>
      <c r="J6084" t="n">
        <v>0</v>
      </c>
      <c r="K6084" t="n">
        <v>0</v>
      </c>
      <c r="L6084" t="n">
        <v>0</v>
      </c>
      <c r="M6084" t="n">
        <v>0</v>
      </c>
      <c r="N6084" t="n">
        <v>0</v>
      </c>
      <c r="O6084" t="n">
        <v>0</v>
      </c>
      <c r="P6084" t="n">
        <v>0</v>
      </c>
      <c r="Q6084" t="n">
        <v>0</v>
      </c>
      <c r="R6084" s="2" t="inlineStr"/>
    </row>
    <row r="6085" ht="15" customHeight="1">
      <c r="A6085" t="inlineStr">
        <is>
          <t>A 72701-2021</t>
        </is>
      </c>
      <c r="B6085" s="1" t="n">
        <v>44546</v>
      </c>
      <c r="C6085" s="1" t="n">
        <v>45884</v>
      </c>
      <c r="D6085" t="inlineStr">
        <is>
          <t>KALMAR LÄN</t>
        </is>
      </c>
      <c r="E6085" t="inlineStr">
        <is>
          <t>VIMMERBY</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24378-2025</t>
        </is>
      </c>
      <c r="B6086" s="1" t="n">
        <v>45797.62496527778</v>
      </c>
      <c r="C6086" s="1" t="n">
        <v>45884</v>
      </c>
      <c r="D6086" t="inlineStr">
        <is>
          <t>KALMAR LÄN</t>
        </is>
      </c>
      <c r="E6086" t="inlineStr">
        <is>
          <t>HÖGSBY</t>
        </is>
      </c>
      <c r="F6086" t="inlineStr">
        <is>
          <t>Sveaskog</t>
        </is>
      </c>
      <c r="G6086" t="n">
        <v>1.9</v>
      </c>
      <c r="H6086" t="n">
        <v>0</v>
      </c>
      <c r="I6086" t="n">
        <v>0</v>
      </c>
      <c r="J6086" t="n">
        <v>0</v>
      </c>
      <c r="K6086" t="n">
        <v>0</v>
      </c>
      <c r="L6086" t="n">
        <v>0</v>
      </c>
      <c r="M6086" t="n">
        <v>0</v>
      </c>
      <c r="N6086" t="n">
        <v>0</v>
      </c>
      <c r="O6086" t="n">
        <v>0</v>
      </c>
      <c r="P6086" t="n">
        <v>0</v>
      </c>
      <c r="Q6086" t="n">
        <v>0</v>
      </c>
      <c r="R6086" s="2" t="inlineStr"/>
    </row>
    <row r="6087" ht="15" customHeight="1">
      <c r="A6087" t="inlineStr">
        <is>
          <t>A 49889-2021</t>
        </is>
      </c>
      <c r="B6087" s="1" t="n">
        <v>44455</v>
      </c>
      <c r="C6087" s="1" t="n">
        <v>45884</v>
      </c>
      <c r="D6087" t="inlineStr">
        <is>
          <t>KALMAR LÄN</t>
        </is>
      </c>
      <c r="E6087" t="inlineStr">
        <is>
          <t>OSKARSHAMN</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24072-2025</t>
        </is>
      </c>
      <c r="B6088" s="1" t="n">
        <v>45796.54754629629</v>
      </c>
      <c r="C6088" s="1" t="n">
        <v>45884</v>
      </c>
      <c r="D6088" t="inlineStr">
        <is>
          <t>KALMAR LÄN</t>
        </is>
      </c>
      <c r="E6088" t="inlineStr">
        <is>
          <t>NYBRO</t>
        </is>
      </c>
      <c r="G6088" t="n">
        <v>1.6</v>
      </c>
      <c r="H6088" t="n">
        <v>0</v>
      </c>
      <c r="I6088" t="n">
        <v>0</v>
      </c>
      <c r="J6088" t="n">
        <v>0</v>
      </c>
      <c r="K6088" t="n">
        <v>0</v>
      </c>
      <c r="L6088" t="n">
        <v>0</v>
      </c>
      <c r="M6088" t="n">
        <v>0</v>
      </c>
      <c r="N6088" t="n">
        <v>0</v>
      </c>
      <c r="O6088" t="n">
        <v>0</v>
      </c>
      <c r="P6088" t="n">
        <v>0</v>
      </c>
      <c r="Q6088" t="n">
        <v>0</v>
      </c>
      <c r="R6088" s="2" t="inlineStr"/>
    </row>
    <row r="6089" ht="15" customHeight="1">
      <c r="A6089" t="inlineStr">
        <is>
          <t>A 19111-2025</t>
        </is>
      </c>
      <c r="B6089" s="1" t="n">
        <v>45768.65611111111</v>
      </c>
      <c r="C6089" s="1" t="n">
        <v>45884</v>
      </c>
      <c r="D6089" t="inlineStr">
        <is>
          <t>KALMAR LÄN</t>
        </is>
      </c>
      <c r="E6089" t="inlineStr">
        <is>
          <t>VIMMERBY</t>
        </is>
      </c>
      <c r="G6089" t="n">
        <v>6.2</v>
      </c>
      <c r="H6089" t="n">
        <v>0</v>
      </c>
      <c r="I6089" t="n">
        <v>0</v>
      </c>
      <c r="J6089" t="n">
        <v>0</v>
      </c>
      <c r="K6089" t="n">
        <v>0</v>
      </c>
      <c r="L6089" t="n">
        <v>0</v>
      </c>
      <c r="M6089" t="n">
        <v>0</v>
      </c>
      <c r="N6089" t="n">
        <v>0</v>
      </c>
      <c r="O6089" t="n">
        <v>0</v>
      </c>
      <c r="P6089" t="n">
        <v>0</v>
      </c>
      <c r="Q6089" t="n">
        <v>0</v>
      </c>
      <c r="R6089" s="2" t="inlineStr"/>
    </row>
    <row r="6090" ht="15" customHeight="1">
      <c r="A6090" t="inlineStr">
        <is>
          <t>A 52117-2024</t>
        </is>
      </c>
      <c r="B6090" s="1" t="n">
        <v>45608.44456018518</v>
      </c>
      <c r="C6090" s="1" t="n">
        <v>45884</v>
      </c>
      <c r="D6090" t="inlineStr">
        <is>
          <t>KALMAR LÄN</t>
        </is>
      </c>
      <c r="E6090" t="inlineStr">
        <is>
          <t>HÖGSBY</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4398-2021</t>
        </is>
      </c>
      <c r="B6091" s="1" t="n">
        <v>44223</v>
      </c>
      <c r="C6091" s="1" t="n">
        <v>45884</v>
      </c>
      <c r="D6091" t="inlineStr">
        <is>
          <t>KALMAR LÄN</t>
        </is>
      </c>
      <c r="E6091" t="inlineStr">
        <is>
          <t>NYBRO</t>
        </is>
      </c>
      <c r="G6091" t="n">
        <v>6.1</v>
      </c>
      <c r="H6091" t="n">
        <v>0</v>
      </c>
      <c r="I6091" t="n">
        <v>0</v>
      </c>
      <c r="J6091" t="n">
        <v>0</v>
      </c>
      <c r="K6091" t="n">
        <v>0</v>
      </c>
      <c r="L6091" t="n">
        <v>0</v>
      </c>
      <c r="M6091" t="n">
        <v>0</v>
      </c>
      <c r="N6091" t="n">
        <v>0</v>
      </c>
      <c r="O6091" t="n">
        <v>0</v>
      </c>
      <c r="P6091" t="n">
        <v>0</v>
      </c>
      <c r="Q6091" t="n">
        <v>0</v>
      </c>
      <c r="R6091" s="2" t="inlineStr"/>
    </row>
    <row r="6092" ht="15" customHeight="1">
      <c r="A6092" t="inlineStr">
        <is>
          <t>A 4401-2021</t>
        </is>
      </c>
      <c r="B6092" s="1" t="n">
        <v>44223</v>
      </c>
      <c r="C6092" s="1" t="n">
        <v>45884</v>
      </c>
      <c r="D6092" t="inlineStr">
        <is>
          <t>KALMAR LÄN</t>
        </is>
      </c>
      <c r="E6092" t="inlineStr">
        <is>
          <t>NYBRO</t>
        </is>
      </c>
      <c r="G6092" t="n">
        <v>4</v>
      </c>
      <c r="H6092" t="n">
        <v>0</v>
      </c>
      <c r="I6092" t="n">
        <v>0</v>
      </c>
      <c r="J6092" t="n">
        <v>0</v>
      </c>
      <c r="K6092" t="n">
        <v>0</v>
      </c>
      <c r="L6092" t="n">
        <v>0</v>
      </c>
      <c r="M6092" t="n">
        <v>0</v>
      </c>
      <c r="N6092" t="n">
        <v>0</v>
      </c>
      <c r="O6092" t="n">
        <v>0</v>
      </c>
      <c r="P6092" t="n">
        <v>0</v>
      </c>
      <c r="Q6092" t="n">
        <v>0</v>
      </c>
      <c r="R6092" s="2" t="inlineStr"/>
    </row>
    <row r="6093" ht="15" customHeight="1">
      <c r="A6093" t="inlineStr">
        <is>
          <t>A 37650-2021</t>
        </is>
      </c>
      <c r="B6093" s="1" t="n">
        <v>44400.37826388889</v>
      </c>
      <c r="C6093" s="1" t="n">
        <v>45884</v>
      </c>
      <c r="D6093" t="inlineStr">
        <is>
          <t>KALMAR LÄN</t>
        </is>
      </c>
      <c r="E6093" t="inlineStr">
        <is>
          <t>EMMABODA</t>
        </is>
      </c>
      <c r="G6093" t="n">
        <v>4.5</v>
      </c>
      <c r="H6093" t="n">
        <v>0</v>
      </c>
      <c r="I6093" t="n">
        <v>0</v>
      </c>
      <c r="J6093" t="n">
        <v>0</v>
      </c>
      <c r="K6093" t="n">
        <v>0</v>
      </c>
      <c r="L6093" t="n">
        <v>0</v>
      </c>
      <c r="M6093" t="n">
        <v>0</v>
      </c>
      <c r="N6093" t="n">
        <v>0</v>
      </c>
      <c r="O6093" t="n">
        <v>0</v>
      </c>
      <c r="P6093" t="n">
        <v>0</v>
      </c>
      <c r="Q6093" t="n">
        <v>0</v>
      </c>
      <c r="R6093" s="2" t="inlineStr"/>
    </row>
    <row r="6094" ht="15" customHeight="1">
      <c r="A6094" t="inlineStr">
        <is>
          <t>A 12534-2022</t>
        </is>
      </c>
      <c r="B6094" s="1" t="n">
        <v>44638</v>
      </c>
      <c r="C6094" s="1" t="n">
        <v>45884</v>
      </c>
      <c r="D6094" t="inlineStr">
        <is>
          <t>KALMAR LÄN</t>
        </is>
      </c>
      <c r="E6094" t="inlineStr">
        <is>
          <t>BORGHOLM</t>
        </is>
      </c>
      <c r="G6094" t="n">
        <v>8.6</v>
      </c>
      <c r="H6094" t="n">
        <v>0</v>
      </c>
      <c r="I6094" t="n">
        <v>0</v>
      </c>
      <c r="J6094" t="n">
        <v>0</v>
      </c>
      <c r="K6094" t="n">
        <v>0</v>
      </c>
      <c r="L6094" t="n">
        <v>0</v>
      </c>
      <c r="M6094" t="n">
        <v>0</v>
      </c>
      <c r="N6094" t="n">
        <v>0</v>
      </c>
      <c r="O6094" t="n">
        <v>0</v>
      </c>
      <c r="P6094" t="n">
        <v>0</v>
      </c>
      <c r="Q6094" t="n">
        <v>0</v>
      </c>
      <c r="R6094" s="2" t="inlineStr"/>
    </row>
    <row r="6095" ht="15" customHeight="1">
      <c r="A6095" t="inlineStr">
        <is>
          <t>A 19950-2025</t>
        </is>
      </c>
      <c r="B6095" s="1" t="n">
        <v>45771.65724537037</v>
      </c>
      <c r="C6095" s="1" t="n">
        <v>45884</v>
      </c>
      <c r="D6095" t="inlineStr">
        <is>
          <t>KALMAR LÄN</t>
        </is>
      </c>
      <c r="E6095" t="inlineStr">
        <is>
          <t>VÄSTERVIK</t>
        </is>
      </c>
      <c r="G6095" t="n">
        <v>2.4</v>
      </c>
      <c r="H6095" t="n">
        <v>0</v>
      </c>
      <c r="I6095" t="n">
        <v>0</v>
      </c>
      <c r="J6095" t="n">
        <v>0</v>
      </c>
      <c r="K6095" t="n">
        <v>0</v>
      </c>
      <c r="L6095" t="n">
        <v>0</v>
      </c>
      <c r="M6095" t="n">
        <v>0</v>
      </c>
      <c r="N6095" t="n">
        <v>0</v>
      </c>
      <c r="O6095" t="n">
        <v>0</v>
      </c>
      <c r="P6095" t="n">
        <v>0</v>
      </c>
      <c r="Q6095" t="n">
        <v>0</v>
      </c>
      <c r="R6095" s="2" t="inlineStr"/>
    </row>
    <row r="6096" ht="15" customHeight="1">
      <c r="A6096" t="inlineStr">
        <is>
          <t>A 16354-2024</t>
        </is>
      </c>
      <c r="B6096" s="1" t="n">
        <v>45407.58145833333</v>
      </c>
      <c r="C6096" s="1" t="n">
        <v>45884</v>
      </c>
      <c r="D6096" t="inlineStr">
        <is>
          <t>KALMAR LÄN</t>
        </is>
      </c>
      <c r="E6096" t="inlineStr">
        <is>
          <t>NYBRO</t>
        </is>
      </c>
      <c r="G6096" t="n">
        <v>1.8</v>
      </c>
      <c r="H6096" t="n">
        <v>0</v>
      </c>
      <c r="I6096" t="n">
        <v>0</v>
      </c>
      <c r="J6096" t="n">
        <v>0</v>
      </c>
      <c r="K6096" t="n">
        <v>0</v>
      </c>
      <c r="L6096" t="n">
        <v>0</v>
      </c>
      <c r="M6096" t="n">
        <v>0</v>
      </c>
      <c r="N6096" t="n">
        <v>0</v>
      </c>
      <c r="O6096" t="n">
        <v>0</v>
      </c>
      <c r="P6096" t="n">
        <v>0</v>
      </c>
      <c r="Q6096" t="n">
        <v>0</v>
      </c>
      <c r="R6096" s="2" t="inlineStr"/>
    </row>
    <row r="6097" ht="15" customHeight="1">
      <c r="A6097" t="inlineStr">
        <is>
          <t>A 24001-2025</t>
        </is>
      </c>
      <c r="B6097" s="1" t="n">
        <v>45796.42703703704</v>
      </c>
      <c r="C6097" s="1" t="n">
        <v>45884</v>
      </c>
      <c r="D6097" t="inlineStr">
        <is>
          <t>KALMAR LÄN</t>
        </is>
      </c>
      <c r="E6097" t="inlineStr">
        <is>
          <t>KALMAR</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33374-2021</t>
        </is>
      </c>
      <c r="B6098" s="1" t="n">
        <v>44377</v>
      </c>
      <c r="C6098" s="1" t="n">
        <v>45884</v>
      </c>
      <c r="D6098" t="inlineStr">
        <is>
          <t>KALMAR LÄN</t>
        </is>
      </c>
      <c r="E6098" t="inlineStr">
        <is>
          <t>VIMMERBY</t>
        </is>
      </c>
      <c r="G6098" t="n">
        <v>3.3</v>
      </c>
      <c r="H6098" t="n">
        <v>0</v>
      </c>
      <c r="I6098" t="n">
        <v>0</v>
      </c>
      <c r="J6098" t="n">
        <v>0</v>
      </c>
      <c r="K6098" t="n">
        <v>0</v>
      </c>
      <c r="L6098" t="n">
        <v>0</v>
      </c>
      <c r="M6098" t="n">
        <v>0</v>
      </c>
      <c r="N6098" t="n">
        <v>0</v>
      </c>
      <c r="O6098" t="n">
        <v>0</v>
      </c>
      <c r="P6098" t="n">
        <v>0</v>
      </c>
      <c r="Q6098" t="n">
        <v>0</v>
      </c>
      <c r="R6098" s="2" t="inlineStr"/>
    </row>
    <row r="6099" ht="15" customHeight="1">
      <c r="A6099" t="inlineStr">
        <is>
          <t>A 42886-2023</t>
        </is>
      </c>
      <c r="B6099" s="1" t="n">
        <v>45177</v>
      </c>
      <c r="C6099" s="1" t="n">
        <v>45884</v>
      </c>
      <c r="D6099" t="inlineStr">
        <is>
          <t>KALMAR LÄN</t>
        </is>
      </c>
      <c r="E6099" t="inlineStr">
        <is>
          <t>NYBRO</t>
        </is>
      </c>
      <c r="F6099" t="inlineStr">
        <is>
          <t>Kyrkan</t>
        </is>
      </c>
      <c r="G6099" t="n">
        <v>6.3</v>
      </c>
      <c r="H6099" t="n">
        <v>0</v>
      </c>
      <c r="I6099" t="n">
        <v>0</v>
      </c>
      <c r="J6099" t="n">
        <v>0</v>
      </c>
      <c r="K6099" t="n">
        <v>0</v>
      </c>
      <c r="L6099" t="n">
        <v>0</v>
      </c>
      <c r="M6099" t="n">
        <v>0</v>
      </c>
      <c r="N6099" t="n">
        <v>0</v>
      </c>
      <c r="O6099" t="n">
        <v>0</v>
      </c>
      <c r="P6099" t="n">
        <v>0</v>
      </c>
      <c r="Q6099" t="n">
        <v>0</v>
      </c>
      <c r="R6099" s="2" t="inlineStr"/>
    </row>
    <row r="6100" ht="15" customHeight="1">
      <c r="A6100" t="inlineStr">
        <is>
          <t>A 42953-2023</t>
        </is>
      </c>
      <c r="B6100" s="1" t="n">
        <v>45182</v>
      </c>
      <c r="C6100" s="1" t="n">
        <v>45884</v>
      </c>
      <c r="D6100" t="inlineStr">
        <is>
          <t>KALMAR LÄN</t>
        </is>
      </c>
      <c r="E6100" t="inlineStr">
        <is>
          <t>KALMAR</t>
        </is>
      </c>
      <c r="G6100" t="n">
        <v>0.6</v>
      </c>
      <c r="H6100" t="n">
        <v>0</v>
      </c>
      <c r="I6100" t="n">
        <v>0</v>
      </c>
      <c r="J6100" t="n">
        <v>0</v>
      </c>
      <c r="K6100" t="n">
        <v>0</v>
      </c>
      <c r="L6100" t="n">
        <v>0</v>
      </c>
      <c r="M6100" t="n">
        <v>0</v>
      </c>
      <c r="N6100" t="n">
        <v>0</v>
      </c>
      <c r="O6100" t="n">
        <v>0</v>
      </c>
      <c r="P6100" t="n">
        <v>0</v>
      </c>
      <c r="Q6100" t="n">
        <v>0</v>
      </c>
      <c r="R6100" s="2" t="inlineStr"/>
    </row>
    <row r="6101" ht="15" customHeight="1">
      <c r="A6101" t="inlineStr">
        <is>
          <t>A 60853-2021</t>
        </is>
      </c>
      <c r="B6101" s="1" t="n">
        <v>44496</v>
      </c>
      <c r="C6101" s="1" t="n">
        <v>45884</v>
      </c>
      <c r="D6101" t="inlineStr">
        <is>
          <t>KALMAR LÄN</t>
        </is>
      </c>
      <c r="E6101" t="inlineStr">
        <is>
          <t>HÖGSBY</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5000-2025</t>
        </is>
      </c>
      <c r="B6102" s="1" t="n">
        <v>45691.36315972222</v>
      </c>
      <c r="C6102" s="1" t="n">
        <v>45884</v>
      </c>
      <c r="D6102" t="inlineStr">
        <is>
          <t>KALMAR LÄN</t>
        </is>
      </c>
      <c r="E6102" t="inlineStr">
        <is>
          <t>HULTSFRED</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10725-2024</t>
        </is>
      </c>
      <c r="B6103" s="1" t="n">
        <v>45369.47645833333</v>
      </c>
      <c r="C6103" s="1" t="n">
        <v>45884</v>
      </c>
      <c r="D6103" t="inlineStr">
        <is>
          <t>KALMAR LÄN</t>
        </is>
      </c>
      <c r="E6103" t="inlineStr">
        <is>
          <t>OSKARSHAMN</t>
        </is>
      </c>
      <c r="G6103" t="n">
        <v>1.9</v>
      </c>
      <c r="H6103" t="n">
        <v>0</v>
      </c>
      <c r="I6103" t="n">
        <v>0</v>
      </c>
      <c r="J6103" t="n">
        <v>0</v>
      </c>
      <c r="K6103" t="n">
        <v>0</v>
      </c>
      <c r="L6103" t="n">
        <v>0</v>
      </c>
      <c r="M6103" t="n">
        <v>0</v>
      </c>
      <c r="N6103" t="n">
        <v>0</v>
      </c>
      <c r="O6103" t="n">
        <v>0</v>
      </c>
      <c r="P6103" t="n">
        <v>0</v>
      </c>
      <c r="Q6103" t="n">
        <v>0</v>
      </c>
      <c r="R6103" s="2" t="inlineStr"/>
    </row>
    <row r="6104" ht="15" customHeight="1">
      <c r="A6104" t="inlineStr">
        <is>
          <t>A 10807-2024</t>
        </is>
      </c>
      <c r="B6104" s="1" t="n">
        <v>45369.62780092593</v>
      </c>
      <c r="C6104" s="1" t="n">
        <v>45884</v>
      </c>
      <c r="D6104" t="inlineStr">
        <is>
          <t>KALMAR LÄN</t>
        </is>
      </c>
      <c r="E6104" t="inlineStr">
        <is>
          <t>VIMMERBY</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11947-2023</t>
        </is>
      </c>
      <c r="B6105" s="1" t="n">
        <v>44995.5321412037</v>
      </c>
      <c r="C6105" s="1" t="n">
        <v>45884</v>
      </c>
      <c r="D6105" t="inlineStr">
        <is>
          <t>KALMAR LÄN</t>
        </is>
      </c>
      <c r="E6105" t="inlineStr">
        <is>
          <t>OSKARSHAMN</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19714-2022</t>
        </is>
      </c>
      <c r="B6106" s="1" t="n">
        <v>44694.55715277778</v>
      </c>
      <c r="C6106" s="1" t="n">
        <v>45884</v>
      </c>
      <c r="D6106" t="inlineStr">
        <is>
          <t>KALMAR LÄN</t>
        </is>
      </c>
      <c r="E6106" t="inlineStr">
        <is>
          <t>TORSÅS</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53129-2022</t>
        </is>
      </c>
      <c r="B6107" s="1" t="n">
        <v>44876.46896990741</v>
      </c>
      <c r="C6107" s="1" t="n">
        <v>45884</v>
      </c>
      <c r="D6107" t="inlineStr">
        <is>
          <t>KALMAR LÄN</t>
        </is>
      </c>
      <c r="E6107" t="inlineStr">
        <is>
          <t>HÖGSBY</t>
        </is>
      </c>
      <c r="G6107" t="n">
        <v>1.4</v>
      </c>
      <c r="H6107" t="n">
        <v>0</v>
      </c>
      <c r="I6107" t="n">
        <v>0</v>
      </c>
      <c r="J6107" t="n">
        <v>0</v>
      </c>
      <c r="K6107" t="n">
        <v>0</v>
      </c>
      <c r="L6107" t="n">
        <v>0</v>
      </c>
      <c r="M6107" t="n">
        <v>0</v>
      </c>
      <c r="N6107" t="n">
        <v>0</v>
      </c>
      <c r="O6107" t="n">
        <v>0</v>
      </c>
      <c r="P6107" t="n">
        <v>0</v>
      </c>
      <c r="Q6107" t="n">
        <v>0</v>
      </c>
      <c r="R6107" s="2" t="inlineStr"/>
    </row>
    <row r="6108" ht="15" customHeight="1">
      <c r="A6108" t="inlineStr">
        <is>
          <t>A 2036-2024</t>
        </is>
      </c>
      <c r="B6108" s="1" t="n">
        <v>45308</v>
      </c>
      <c r="C6108" s="1" t="n">
        <v>45884</v>
      </c>
      <c r="D6108" t="inlineStr">
        <is>
          <t>KALMAR LÄN</t>
        </is>
      </c>
      <c r="E6108" t="inlineStr">
        <is>
          <t>TORSÅS</t>
        </is>
      </c>
      <c r="G6108" t="n">
        <v>1.9</v>
      </c>
      <c r="H6108" t="n">
        <v>0</v>
      </c>
      <c r="I6108" t="n">
        <v>0</v>
      </c>
      <c r="J6108" t="n">
        <v>0</v>
      </c>
      <c r="K6108" t="n">
        <v>0</v>
      </c>
      <c r="L6108" t="n">
        <v>0</v>
      </c>
      <c r="M6108" t="n">
        <v>0</v>
      </c>
      <c r="N6108" t="n">
        <v>0</v>
      </c>
      <c r="O6108" t="n">
        <v>0</v>
      </c>
      <c r="P6108" t="n">
        <v>0</v>
      </c>
      <c r="Q6108" t="n">
        <v>0</v>
      </c>
      <c r="R6108" s="2" t="inlineStr"/>
    </row>
    <row r="6109" ht="15" customHeight="1">
      <c r="A6109" t="inlineStr">
        <is>
          <t>A 14906-2023</t>
        </is>
      </c>
      <c r="B6109" s="1" t="n">
        <v>45015</v>
      </c>
      <c r="C6109" s="1" t="n">
        <v>45884</v>
      </c>
      <c r="D6109" t="inlineStr">
        <is>
          <t>KALMAR LÄN</t>
        </is>
      </c>
      <c r="E6109" t="inlineStr">
        <is>
          <t>MÖNSTERÅS</t>
        </is>
      </c>
      <c r="G6109" t="n">
        <v>3.9</v>
      </c>
      <c r="H6109" t="n">
        <v>0</v>
      </c>
      <c r="I6109" t="n">
        <v>0</v>
      </c>
      <c r="J6109" t="n">
        <v>0</v>
      </c>
      <c r="K6109" t="n">
        <v>0</v>
      </c>
      <c r="L6109" t="n">
        <v>0</v>
      </c>
      <c r="M6109" t="n">
        <v>0</v>
      </c>
      <c r="N6109" t="n">
        <v>0</v>
      </c>
      <c r="O6109" t="n">
        <v>0</v>
      </c>
      <c r="P6109" t="n">
        <v>0</v>
      </c>
      <c r="Q6109" t="n">
        <v>0</v>
      </c>
      <c r="R6109" s="2" t="inlineStr"/>
    </row>
    <row r="6110" ht="15" customHeight="1">
      <c r="A6110" t="inlineStr">
        <is>
          <t>A 59958-2022</t>
        </is>
      </c>
      <c r="B6110" s="1" t="n">
        <v>44909</v>
      </c>
      <c r="C6110" s="1" t="n">
        <v>45884</v>
      </c>
      <c r="D6110" t="inlineStr">
        <is>
          <t>KALMAR LÄN</t>
        </is>
      </c>
      <c r="E6110" t="inlineStr">
        <is>
          <t>KALMAR</t>
        </is>
      </c>
      <c r="G6110" t="n">
        <v>2.2</v>
      </c>
      <c r="H6110" t="n">
        <v>0</v>
      </c>
      <c r="I6110" t="n">
        <v>0</v>
      </c>
      <c r="J6110" t="n">
        <v>0</v>
      </c>
      <c r="K6110" t="n">
        <v>0</v>
      </c>
      <c r="L6110" t="n">
        <v>0</v>
      </c>
      <c r="M6110" t="n">
        <v>0</v>
      </c>
      <c r="N6110" t="n">
        <v>0</v>
      </c>
      <c r="O6110" t="n">
        <v>0</v>
      </c>
      <c r="P6110" t="n">
        <v>0</v>
      </c>
      <c r="Q6110" t="n">
        <v>0</v>
      </c>
      <c r="R6110" s="2" t="inlineStr"/>
    </row>
    <row r="6111" ht="15" customHeight="1">
      <c r="A6111" t="inlineStr">
        <is>
          <t>A 56617-2021</t>
        </is>
      </c>
      <c r="B6111" s="1" t="n">
        <v>44480</v>
      </c>
      <c r="C6111" s="1" t="n">
        <v>45884</v>
      </c>
      <c r="D6111" t="inlineStr">
        <is>
          <t>KALMAR LÄN</t>
        </is>
      </c>
      <c r="E6111" t="inlineStr">
        <is>
          <t>VÄSTERVIK</t>
        </is>
      </c>
      <c r="G6111" t="n">
        <v>1.2</v>
      </c>
      <c r="H6111" t="n">
        <v>0</v>
      </c>
      <c r="I6111" t="n">
        <v>0</v>
      </c>
      <c r="J6111" t="n">
        <v>0</v>
      </c>
      <c r="K6111" t="n">
        <v>0</v>
      </c>
      <c r="L6111" t="n">
        <v>0</v>
      </c>
      <c r="M6111" t="n">
        <v>0</v>
      </c>
      <c r="N6111" t="n">
        <v>0</v>
      </c>
      <c r="O6111" t="n">
        <v>0</v>
      </c>
      <c r="P6111" t="n">
        <v>0</v>
      </c>
      <c r="Q6111" t="n">
        <v>0</v>
      </c>
      <c r="R6111" s="2" t="inlineStr"/>
    </row>
    <row r="6112" ht="15" customHeight="1">
      <c r="A6112" t="inlineStr">
        <is>
          <t>A 68818-2021</t>
        </is>
      </c>
      <c r="B6112" s="1" t="n">
        <v>44530.34732638889</v>
      </c>
      <c r="C6112" s="1" t="n">
        <v>45884</v>
      </c>
      <c r="D6112" t="inlineStr">
        <is>
          <t>KALMAR LÄN</t>
        </is>
      </c>
      <c r="E6112" t="inlineStr">
        <is>
          <t>HULTSFRED</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68824-2021</t>
        </is>
      </c>
      <c r="B6113" s="1" t="n">
        <v>44530.35085648148</v>
      </c>
      <c r="C6113" s="1" t="n">
        <v>45884</v>
      </c>
      <c r="D6113" t="inlineStr">
        <is>
          <t>KALMAR LÄN</t>
        </is>
      </c>
      <c r="E6113" t="inlineStr">
        <is>
          <t>HULTSFRED</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33359-2021</t>
        </is>
      </c>
      <c r="B6114" s="1" t="n">
        <v>44377.49684027778</v>
      </c>
      <c r="C6114" s="1" t="n">
        <v>45884</v>
      </c>
      <c r="D6114" t="inlineStr">
        <is>
          <t>KALMAR LÄN</t>
        </is>
      </c>
      <c r="E6114" t="inlineStr">
        <is>
          <t>VIMMERBY</t>
        </is>
      </c>
      <c r="F6114" t="inlineStr">
        <is>
          <t>Kommuner</t>
        </is>
      </c>
      <c r="G6114" t="n">
        <v>8</v>
      </c>
      <c r="H6114" t="n">
        <v>0</v>
      </c>
      <c r="I6114" t="n">
        <v>0</v>
      </c>
      <c r="J6114" t="n">
        <v>0</v>
      </c>
      <c r="K6114" t="n">
        <v>0</v>
      </c>
      <c r="L6114" t="n">
        <v>0</v>
      </c>
      <c r="M6114" t="n">
        <v>0</v>
      </c>
      <c r="N6114" t="n">
        <v>0</v>
      </c>
      <c r="O6114" t="n">
        <v>0</v>
      </c>
      <c r="P6114" t="n">
        <v>0</v>
      </c>
      <c r="Q6114" t="n">
        <v>0</v>
      </c>
      <c r="R6114" s="2" t="inlineStr"/>
    </row>
    <row r="6115" ht="15" customHeight="1">
      <c r="A6115" t="inlineStr">
        <is>
          <t>A 40241-2022</t>
        </is>
      </c>
      <c r="B6115" s="1" t="n">
        <v>44820</v>
      </c>
      <c r="C6115" s="1" t="n">
        <v>45884</v>
      </c>
      <c r="D6115" t="inlineStr">
        <is>
          <t>KALMAR LÄN</t>
        </is>
      </c>
      <c r="E6115" t="inlineStr">
        <is>
          <t>MÖNSTERÅS</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40255-2022</t>
        </is>
      </c>
      <c r="B6116" s="1" t="n">
        <v>44820</v>
      </c>
      <c r="C6116" s="1" t="n">
        <v>45884</v>
      </c>
      <c r="D6116" t="inlineStr">
        <is>
          <t>KALMAR LÄN</t>
        </is>
      </c>
      <c r="E6116" t="inlineStr">
        <is>
          <t>OSKARSHAMN</t>
        </is>
      </c>
      <c r="G6116" t="n">
        <v>2</v>
      </c>
      <c r="H6116" t="n">
        <v>0</v>
      </c>
      <c r="I6116" t="n">
        <v>0</v>
      </c>
      <c r="J6116" t="n">
        <v>0</v>
      </c>
      <c r="K6116" t="n">
        <v>0</v>
      </c>
      <c r="L6116" t="n">
        <v>0</v>
      </c>
      <c r="M6116" t="n">
        <v>0</v>
      </c>
      <c r="N6116" t="n">
        <v>0</v>
      </c>
      <c r="O6116" t="n">
        <v>0</v>
      </c>
      <c r="P6116" t="n">
        <v>0</v>
      </c>
      <c r="Q6116" t="n">
        <v>0</v>
      </c>
      <c r="R6116" s="2" t="inlineStr"/>
    </row>
    <row r="6117" ht="15" customHeight="1">
      <c r="A6117" t="inlineStr">
        <is>
          <t>A 8334-2024</t>
        </is>
      </c>
      <c r="B6117" s="1" t="n">
        <v>45352.51495370371</v>
      </c>
      <c r="C6117" s="1" t="n">
        <v>45884</v>
      </c>
      <c r="D6117" t="inlineStr">
        <is>
          <t>KALMAR LÄN</t>
        </is>
      </c>
      <c r="E6117" t="inlineStr">
        <is>
          <t>HULTSFRED</t>
        </is>
      </c>
      <c r="G6117" t="n">
        <v>1.8</v>
      </c>
      <c r="H6117" t="n">
        <v>0</v>
      </c>
      <c r="I6117" t="n">
        <v>0</v>
      </c>
      <c r="J6117" t="n">
        <v>0</v>
      </c>
      <c r="K6117" t="n">
        <v>0</v>
      </c>
      <c r="L6117" t="n">
        <v>0</v>
      </c>
      <c r="M6117" t="n">
        <v>0</v>
      </c>
      <c r="N6117" t="n">
        <v>0</v>
      </c>
      <c r="O6117" t="n">
        <v>0</v>
      </c>
      <c r="P6117" t="n">
        <v>0</v>
      </c>
      <c r="Q6117" t="n">
        <v>0</v>
      </c>
      <c r="R6117" s="2" t="inlineStr"/>
    </row>
    <row r="6118" ht="15" customHeight="1">
      <c r="A6118" t="inlineStr">
        <is>
          <t>A 23984-2025</t>
        </is>
      </c>
      <c r="B6118" s="1" t="n">
        <v>45796</v>
      </c>
      <c r="C6118" s="1" t="n">
        <v>45884</v>
      </c>
      <c r="D6118" t="inlineStr">
        <is>
          <t>KALMAR LÄN</t>
        </is>
      </c>
      <c r="E6118" t="inlineStr">
        <is>
          <t>VIMMERBY</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5234-2025</t>
        </is>
      </c>
      <c r="B6119" s="1" t="n">
        <v>45692.20631944444</v>
      </c>
      <c r="C6119" s="1" t="n">
        <v>45884</v>
      </c>
      <c r="D6119" t="inlineStr">
        <is>
          <t>KALMAR LÄN</t>
        </is>
      </c>
      <c r="E6119" t="inlineStr">
        <is>
          <t>EMMABODA</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16998-2025</t>
        </is>
      </c>
      <c r="B6120" s="1" t="n">
        <v>45755.5265162037</v>
      </c>
      <c r="C6120" s="1" t="n">
        <v>45884</v>
      </c>
      <c r="D6120" t="inlineStr">
        <is>
          <t>KALMAR LÄN</t>
        </is>
      </c>
      <c r="E6120" t="inlineStr">
        <is>
          <t>TORSÅS</t>
        </is>
      </c>
      <c r="G6120" t="n">
        <v>2.6</v>
      </c>
      <c r="H6120" t="n">
        <v>0</v>
      </c>
      <c r="I6120" t="n">
        <v>0</v>
      </c>
      <c r="J6120" t="n">
        <v>0</v>
      </c>
      <c r="K6120" t="n">
        <v>0</v>
      </c>
      <c r="L6120" t="n">
        <v>0</v>
      </c>
      <c r="M6120" t="n">
        <v>0</v>
      </c>
      <c r="N6120" t="n">
        <v>0</v>
      </c>
      <c r="O6120" t="n">
        <v>0</v>
      </c>
      <c r="P6120" t="n">
        <v>0</v>
      </c>
      <c r="Q6120" t="n">
        <v>0</v>
      </c>
      <c r="R6120" s="2" t="inlineStr"/>
    </row>
    <row r="6121" ht="15" customHeight="1">
      <c r="A6121" t="inlineStr">
        <is>
          <t>A 17013-2025</t>
        </is>
      </c>
      <c r="B6121" s="1" t="n">
        <v>45755.55</v>
      </c>
      <c r="C6121" s="1" t="n">
        <v>45884</v>
      </c>
      <c r="D6121" t="inlineStr">
        <is>
          <t>KALMAR LÄN</t>
        </is>
      </c>
      <c r="E6121" t="inlineStr">
        <is>
          <t>TORSÅS</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55590-2024</t>
        </is>
      </c>
      <c r="B6122" s="1" t="n">
        <v>45622.56673611111</v>
      </c>
      <c r="C6122" s="1" t="n">
        <v>45884</v>
      </c>
      <c r="D6122" t="inlineStr">
        <is>
          <t>KALMAR LÄN</t>
        </is>
      </c>
      <c r="E6122" t="inlineStr">
        <is>
          <t>EMMABODA</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7255-2023</t>
        </is>
      </c>
      <c r="B6123" s="1" t="n">
        <v>44970</v>
      </c>
      <c r="C6123" s="1" t="n">
        <v>45884</v>
      </c>
      <c r="D6123" t="inlineStr">
        <is>
          <t>KALMAR LÄN</t>
        </is>
      </c>
      <c r="E6123" t="inlineStr">
        <is>
          <t>VÄSTERVIK</t>
        </is>
      </c>
      <c r="F6123" t="inlineStr">
        <is>
          <t>Naturvårdsverket</t>
        </is>
      </c>
      <c r="G6123" t="n">
        <v>0.6</v>
      </c>
      <c r="H6123" t="n">
        <v>0</v>
      </c>
      <c r="I6123" t="n">
        <v>0</v>
      </c>
      <c r="J6123" t="n">
        <v>0</v>
      </c>
      <c r="K6123" t="n">
        <v>0</v>
      </c>
      <c r="L6123" t="n">
        <v>0</v>
      </c>
      <c r="M6123" t="n">
        <v>0</v>
      </c>
      <c r="N6123" t="n">
        <v>0</v>
      </c>
      <c r="O6123" t="n">
        <v>0</v>
      </c>
      <c r="P6123" t="n">
        <v>0</v>
      </c>
      <c r="Q6123" t="n">
        <v>0</v>
      </c>
      <c r="R6123" s="2" t="inlineStr"/>
      <c r="U6123">
        <f>HYPERLINK("https://klasma.github.io/Logging_0883/knärot/A 7255-2023 karta knärot.png", "A 7255-2023")</f>
        <v/>
      </c>
      <c r="V6123">
        <f>HYPERLINK("https://klasma.github.io/Logging_0883/klagomål/A 7255-2023 FSC-klagomål.docx", "A 7255-2023")</f>
        <v/>
      </c>
      <c r="W6123">
        <f>HYPERLINK("https://klasma.github.io/Logging_0883/klagomålsmail/A 7255-2023 FSC-klagomål mail.docx", "A 7255-2023")</f>
        <v/>
      </c>
      <c r="X6123">
        <f>HYPERLINK("https://klasma.github.io/Logging_0883/tillsyn/A 7255-2023 tillsynsbegäran.docx", "A 7255-2023")</f>
        <v/>
      </c>
      <c r="Y6123">
        <f>HYPERLINK("https://klasma.github.io/Logging_0883/tillsynsmail/A 7255-2023 tillsynsbegäran mail.docx", "A 7255-2023")</f>
        <v/>
      </c>
    </row>
    <row r="6124" ht="15" customHeight="1">
      <c r="A6124" t="inlineStr">
        <is>
          <t>A 47956-2023</t>
        </is>
      </c>
      <c r="B6124" s="1" t="n">
        <v>45204</v>
      </c>
      <c r="C6124" s="1" t="n">
        <v>45884</v>
      </c>
      <c r="D6124" t="inlineStr">
        <is>
          <t>KALMAR LÄN</t>
        </is>
      </c>
      <c r="E6124" t="inlineStr">
        <is>
          <t>OSKARSHAMN</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7308-2023</t>
        </is>
      </c>
      <c r="B6125" s="1" t="n">
        <v>44970.82792824074</v>
      </c>
      <c r="C6125" s="1" t="n">
        <v>45884</v>
      </c>
      <c r="D6125" t="inlineStr">
        <is>
          <t>KALMAR LÄN</t>
        </is>
      </c>
      <c r="E6125" t="inlineStr">
        <is>
          <t>NYBRO</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35116-2023</t>
        </is>
      </c>
      <c r="B6126" s="1" t="n">
        <v>45145.48425925926</v>
      </c>
      <c r="C6126" s="1" t="n">
        <v>45884</v>
      </c>
      <c r="D6126" t="inlineStr">
        <is>
          <t>KALMAR LÄN</t>
        </is>
      </c>
      <c r="E6126" t="inlineStr">
        <is>
          <t>TORSÅS</t>
        </is>
      </c>
      <c r="G6126" t="n">
        <v>6.5</v>
      </c>
      <c r="H6126" t="n">
        <v>0</v>
      </c>
      <c r="I6126" t="n">
        <v>0</v>
      </c>
      <c r="J6126" t="n">
        <v>0</v>
      </c>
      <c r="K6126" t="n">
        <v>0</v>
      </c>
      <c r="L6126" t="n">
        <v>0</v>
      </c>
      <c r="M6126" t="n">
        <v>0</v>
      </c>
      <c r="N6126" t="n">
        <v>0</v>
      </c>
      <c r="O6126" t="n">
        <v>0</v>
      </c>
      <c r="P6126" t="n">
        <v>0</v>
      </c>
      <c r="Q6126" t="n">
        <v>0</v>
      </c>
      <c r="R6126" s="2" t="inlineStr"/>
    </row>
    <row r="6127" ht="15" customHeight="1">
      <c r="A6127" t="inlineStr">
        <is>
          <t>A 31840-2021</t>
        </is>
      </c>
      <c r="B6127" s="1" t="n">
        <v>44370</v>
      </c>
      <c r="C6127" s="1" t="n">
        <v>45884</v>
      </c>
      <c r="D6127" t="inlineStr">
        <is>
          <t>KALMAR LÄN</t>
        </is>
      </c>
      <c r="E6127" t="inlineStr">
        <is>
          <t>BORGHOLM</t>
        </is>
      </c>
      <c r="F6127" t="inlineStr">
        <is>
          <t>Sveaskog</t>
        </is>
      </c>
      <c r="G6127" t="n">
        <v>2.8</v>
      </c>
      <c r="H6127" t="n">
        <v>0</v>
      </c>
      <c r="I6127" t="n">
        <v>0</v>
      </c>
      <c r="J6127" t="n">
        <v>0</v>
      </c>
      <c r="K6127" t="n">
        <v>0</v>
      </c>
      <c r="L6127" t="n">
        <v>0</v>
      </c>
      <c r="M6127" t="n">
        <v>0</v>
      </c>
      <c r="N6127" t="n">
        <v>0</v>
      </c>
      <c r="O6127" t="n">
        <v>0</v>
      </c>
      <c r="P6127" t="n">
        <v>0</v>
      </c>
      <c r="Q6127" t="n">
        <v>0</v>
      </c>
      <c r="R6127" s="2" t="inlineStr"/>
    </row>
    <row r="6128" ht="15" customHeight="1">
      <c r="A6128" t="inlineStr">
        <is>
          <t>A 24002-2025</t>
        </is>
      </c>
      <c r="B6128" s="1" t="n">
        <v>45796.42775462963</v>
      </c>
      <c r="C6128" s="1" t="n">
        <v>45884</v>
      </c>
      <c r="D6128" t="inlineStr">
        <is>
          <t>KALMAR LÄN</t>
        </is>
      </c>
      <c r="E6128" t="inlineStr">
        <is>
          <t>KALMAR</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34588-2024</t>
        </is>
      </c>
      <c r="B6129" s="1" t="n">
        <v>45526.3865625</v>
      </c>
      <c r="C6129" s="1" t="n">
        <v>45884</v>
      </c>
      <c r="D6129" t="inlineStr">
        <is>
          <t>KALMAR LÄN</t>
        </is>
      </c>
      <c r="E6129" t="inlineStr">
        <is>
          <t>VIMMERBY</t>
        </is>
      </c>
      <c r="F6129" t="inlineStr">
        <is>
          <t>Övriga Aktiebolag</t>
        </is>
      </c>
      <c r="G6129" t="n">
        <v>3.3</v>
      </c>
      <c r="H6129" t="n">
        <v>0</v>
      </c>
      <c r="I6129" t="n">
        <v>0</v>
      </c>
      <c r="J6129" t="n">
        <v>0</v>
      </c>
      <c r="K6129" t="n">
        <v>0</v>
      </c>
      <c r="L6129" t="n">
        <v>0</v>
      </c>
      <c r="M6129" t="n">
        <v>0</v>
      </c>
      <c r="N6129" t="n">
        <v>0</v>
      </c>
      <c r="O6129" t="n">
        <v>0</v>
      </c>
      <c r="P6129" t="n">
        <v>0</v>
      </c>
      <c r="Q6129" t="n">
        <v>0</v>
      </c>
      <c r="R6129" s="2" t="inlineStr"/>
    </row>
    <row r="6130" ht="15" customHeight="1">
      <c r="A6130" t="inlineStr">
        <is>
          <t>A 16123-2025</t>
        </is>
      </c>
      <c r="B6130" s="1" t="n">
        <v>45750.40939814815</v>
      </c>
      <c r="C6130" s="1" t="n">
        <v>45884</v>
      </c>
      <c r="D6130" t="inlineStr">
        <is>
          <t>KALMAR LÄN</t>
        </is>
      </c>
      <c r="E6130" t="inlineStr">
        <is>
          <t>NYBRO</t>
        </is>
      </c>
      <c r="F6130" t="inlineStr">
        <is>
          <t>Kommuner</t>
        </is>
      </c>
      <c r="G6130" t="n">
        <v>2.4</v>
      </c>
      <c r="H6130" t="n">
        <v>0</v>
      </c>
      <c r="I6130" t="n">
        <v>0</v>
      </c>
      <c r="J6130" t="n">
        <v>0</v>
      </c>
      <c r="K6130" t="n">
        <v>0</v>
      </c>
      <c r="L6130" t="n">
        <v>0</v>
      </c>
      <c r="M6130" t="n">
        <v>0</v>
      </c>
      <c r="N6130" t="n">
        <v>0</v>
      </c>
      <c r="O6130" t="n">
        <v>0</v>
      </c>
      <c r="P6130" t="n">
        <v>0</v>
      </c>
      <c r="Q6130" t="n">
        <v>0</v>
      </c>
      <c r="R6130" s="2" t="inlineStr"/>
    </row>
    <row r="6131" ht="15" customHeight="1">
      <c r="A6131" t="inlineStr">
        <is>
          <t>A 17080-2025</t>
        </is>
      </c>
      <c r="B6131" s="1" t="n">
        <v>45755.63402777778</v>
      </c>
      <c r="C6131" s="1" t="n">
        <v>45884</v>
      </c>
      <c r="D6131" t="inlineStr">
        <is>
          <t>KALMAR LÄN</t>
        </is>
      </c>
      <c r="E6131" t="inlineStr">
        <is>
          <t>HÖGSBY</t>
        </is>
      </c>
      <c r="G6131" t="n">
        <v>6.4</v>
      </c>
      <c r="H6131" t="n">
        <v>0</v>
      </c>
      <c r="I6131" t="n">
        <v>0</v>
      </c>
      <c r="J6131" t="n">
        <v>0</v>
      </c>
      <c r="K6131" t="n">
        <v>0</v>
      </c>
      <c r="L6131" t="n">
        <v>0</v>
      </c>
      <c r="M6131" t="n">
        <v>0</v>
      </c>
      <c r="N6131" t="n">
        <v>0</v>
      </c>
      <c r="O6131" t="n">
        <v>0</v>
      </c>
      <c r="P6131" t="n">
        <v>0</v>
      </c>
      <c r="Q6131" t="n">
        <v>0</v>
      </c>
      <c r="R6131" s="2" t="inlineStr"/>
    </row>
    <row r="6132" ht="15" customHeight="1">
      <c r="A6132" t="inlineStr">
        <is>
          <t>A 17084-2025</t>
        </is>
      </c>
      <c r="B6132" s="1" t="n">
        <v>45755.64450231481</v>
      </c>
      <c r="C6132" s="1" t="n">
        <v>45884</v>
      </c>
      <c r="D6132" t="inlineStr">
        <is>
          <t>KALMAR LÄN</t>
        </is>
      </c>
      <c r="E6132" t="inlineStr">
        <is>
          <t>VIMMERBY</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10651-2023</t>
        </is>
      </c>
      <c r="B6133" s="1" t="n">
        <v>44988</v>
      </c>
      <c r="C6133" s="1" t="n">
        <v>45884</v>
      </c>
      <c r="D6133" t="inlineStr">
        <is>
          <t>KALMAR LÄN</t>
        </is>
      </c>
      <c r="E6133" t="inlineStr">
        <is>
          <t>TORSÅS</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10731-2023</t>
        </is>
      </c>
      <c r="B6134" s="1" t="n">
        <v>44988.67706018518</v>
      </c>
      <c r="C6134" s="1" t="n">
        <v>45884</v>
      </c>
      <c r="D6134" t="inlineStr">
        <is>
          <t>KALMAR LÄN</t>
        </is>
      </c>
      <c r="E6134" t="inlineStr">
        <is>
          <t>KALMAR</t>
        </is>
      </c>
      <c r="G6134" t="n">
        <v>1.9</v>
      </c>
      <c r="H6134" t="n">
        <v>0</v>
      </c>
      <c r="I6134" t="n">
        <v>0</v>
      </c>
      <c r="J6134" t="n">
        <v>0</v>
      </c>
      <c r="K6134" t="n">
        <v>0</v>
      </c>
      <c r="L6134" t="n">
        <v>0</v>
      </c>
      <c r="M6134" t="n">
        <v>0</v>
      </c>
      <c r="N6134" t="n">
        <v>0</v>
      </c>
      <c r="O6134" t="n">
        <v>0</v>
      </c>
      <c r="P6134" t="n">
        <v>0</v>
      </c>
      <c r="Q6134" t="n">
        <v>0</v>
      </c>
      <c r="R6134" s="2" t="inlineStr"/>
    </row>
    <row r="6135" ht="15" customHeight="1">
      <c r="A6135" t="inlineStr">
        <is>
          <t>A 42746-2024</t>
        </is>
      </c>
      <c r="B6135" s="1" t="n">
        <v>45566.48361111111</v>
      </c>
      <c r="C6135" s="1" t="n">
        <v>45884</v>
      </c>
      <c r="D6135" t="inlineStr">
        <is>
          <t>KALMAR LÄN</t>
        </is>
      </c>
      <c r="E6135" t="inlineStr">
        <is>
          <t>VÄSTERVIK</t>
        </is>
      </c>
      <c r="G6135" t="n">
        <v>2</v>
      </c>
      <c r="H6135" t="n">
        <v>0</v>
      </c>
      <c r="I6135" t="n">
        <v>0</v>
      </c>
      <c r="J6135" t="n">
        <v>0</v>
      </c>
      <c r="K6135" t="n">
        <v>0</v>
      </c>
      <c r="L6135" t="n">
        <v>0</v>
      </c>
      <c r="M6135" t="n">
        <v>0</v>
      </c>
      <c r="N6135" t="n">
        <v>0</v>
      </c>
      <c r="O6135" t="n">
        <v>0</v>
      </c>
      <c r="P6135" t="n">
        <v>0</v>
      </c>
      <c r="Q6135" t="n">
        <v>0</v>
      </c>
      <c r="R6135" s="2" t="inlineStr"/>
    </row>
    <row r="6136" ht="15" customHeight="1">
      <c r="A6136" t="inlineStr">
        <is>
          <t>A 42747-2024</t>
        </is>
      </c>
      <c r="B6136" s="1" t="n">
        <v>45566.48396990741</v>
      </c>
      <c r="C6136" s="1" t="n">
        <v>45884</v>
      </c>
      <c r="D6136" t="inlineStr">
        <is>
          <t>KALMAR LÄN</t>
        </is>
      </c>
      <c r="E6136" t="inlineStr">
        <is>
          <t>HULTSFRED</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42749-2024</t>
        </is>
      </c>
      <c r="B6137" s="1" t="n">
        <v>45566.48729166666</v>
      </c>
      <c r="C6137" s="1" t="n">
        <v>45884</v>
      </c>
      <c r="D6137" t="inlineStr">
        <is>
          <t>KALMAR LÄN</t>
        </is>
      </c>
      <c r="E6137" t="inlineStr">
        <is>
          <t>HULTSFRED</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62120-2023</t>
        </is>
      </c>
      <c r="B6138" s="1" t="n">
        <v>45267.28141203704</v>
      </c>
      <c r="C6138" s="1" t="n">
        <v>45884</v>
      </c>
      <c r="D6138" t="inlineStr">
        <is>
          <t>KALMAR LÄN</t>
        </is>
      </c>
      <c r="E6138" t="inlineStr">
        <is>
          <t>HULTSFRED</t>
        </is>
      </c>
      <c r="F6138" t="inlineStr">
        <is>
          <t>Sveaskog</t>
        </is>
      </c>
      <c r="G6138" t="n">
        <v>2</v>
      </c>
      <c r="H6138" t="n">
        <v>0</v>
      </c>
      <c r="I6138" t="n">
        <v>0</v>
      </c>
      <c r="J6138" t="n">
        <v>0</v>
      </c>
      <c r="K6138" t="n">
        <v>0</v>
      </c>
      <c r="L6138" t="n">
        <v>0</v>
      </c>
      <c r="M6138" t="n">
        <v>0</v>
      </c>
      <c r="N6138" t="n">
        <v>0</v>
      </c>
      <c r="O6138" t="n">
        <v>0</v>
      </c>
      <c r="P6138" t="n">
        <v>0</v>
      </c>
      <c r="Q6138" t="n">
        <v>0</v>
      </c>
      <c r="R6138" s="2" t="inlineStr"/>
    </row>
    <row r="6139" ht="15" customHeight="1">
      <c r="A6139" t="inlineStr">
        <is>
          <t>A 18586-2025</t>
        </is>
      </c>
      <c r="B6139" s="1" t="n">
        <v>45763</v>
      </c>
      <c r="C6139" s="1" t="n">
        <v>45884</v>
      </c>
      <c r="D6139" t="inlineStr">
        <is>
          <t>KALMAR LÄN</t>
        </is>
      </c>
      <c r="E6139" t="inlineStr">
        <is>
          <t>NYBRO</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56125-2024</t>
        </is>
      </c>
      <c r="B6140" s="1" t="n">
        <v>45624.47252314815</v>
      </c>
      <c r="C6140" s="1" t="n">
        <v>45884</v>
      </c>
      <c r="D6140" t="inlineStr">
        <is>
          <t>KALMAR LÄN</t>
        </is>
      </c>
      <c r="E6140" t="inlineStr">
        <is>
          <t>KALMAR</t>
        </is>
      </c>
      <c r="F6140" t="inlineStr">
        <is>
          <t>Sveaskog</t>
        </is>
      </c>
      <c r="G6140" t="n">
        <v>2.3</v>
      </c>
      <c r="H6140" t="n">
        <v>0</v>
      </c>
      <c r="I6140" t="n">
        <v>0</v>
      </c>
      <c r="J6140" t="n">
        <v>0</v>
      </c>
      <c r="K6140" t="n">
        <v>0</v>
      </c>
      <c r="L6140" t="n">
        <v>0</v>
      </c>
      <c r="M6140" t="n">
        <v>0</v>
      </c>
      <c r="N6140" t="n">
        <v>0</v>
      </c>
      <c r="O6140" t="n">
        <v>0</v>
      </c>
      <c r="P6140" t="n">
        <v>0</v>
      </c>
      <c r="Q6140" t="n">
        <v>0</v>
      </c>
      <c r="R6140" s="2" t="inlineStr"/>
    </row>
    <row r="6141" ht="15" customHeight="1">
      <c r="A6141" t="inlineStr">
        <is>
          <t>A 33161-2024</t>
        </is>
      </c>
      <c r="B6141" s="1" t="n">
        <v>45518.40657407408</v>
      </c>
      <c r="C6141" s="1" t="n">
        <v>45884</v>
      </c>
      <c r="D6141" t="inlineStr">
        <is>
          <t>KALMAR LÄN</t>
        </is>
      </c>
      <c r="E6141" t="inlineStr">
        <is>
          <t>VIMMERBY</t>
        </is>
      </c>
      <c r="G6141" t="n">
        <v>4.7</v>
      </c>
      <c r="H6141" t="n">
        <v>0</v>
      </c>
      <c r="I6141" t="n">
        <v>0</v>
      </c>
      <c r="J6141" t="n">
        <v>0</v>
      </c>
      <c r="K6141" t="n">
        <v>0</v>
      </c>
      <c r="L6141" t="n">
        <v>0</v>
      </c>
      <c r="M6141" t="n">
        <v>0</v>
      </c>
      <c r="N6141" t="n">
        <v>0</v>
      </c>
      <c r="O6141" t="n">
        <v>0</v>
      </c>
      <c r="P6141" t="n">
        <v>0</v>
      </c>
      <c r="Q6141" t="n">
        <v>0</v>
      </c>
      <c r="R6141" s="2" t="inlineStr"/>
    </row>
    <row r="6142" ht="15" customHeight="1">
      <c r="A6142" t="inlineStr">
        <is>
          <t>A 28272-2024</t>
        </is>
      </c>
      <c r="B6142" s="1" t="n">
        <v>45477.45034722222</v>
      </c>
      <c r="C6142" s="1" t="n">
        <v>45884</v>
      </c>
      <c r="D6142" t="inlineStr">
        <is>
          <t>KALMAR LÄN</t>
        </is>
      </c>
      <c r="E6142" t="inlineStr">
        <is>
          <t>NYBRO</t>
        </is>
      </c>
      <c r="G6142" t="n">
        <v>4.5</v>
      </c>
      <c r="H6142" t="n">
        <v>0</v>
      </c>
      <c r="I6142" t="n">
        <v>0</v>
      </c>
      <c r="J6142" t="n">
        <v>0</v>
      </c>
      <c r="K6142" t="n">
        <v>0</v>
      </c>
      <c r="L6142" t="n">
        <v>0</v>
      </c>
      <c r="M6142" t="n">
        <v>0</v>
      </c>
      <c r="N6142" t="n">
        <v>0</v>
      </c>
      <c r="O6142" t="n">
        <v>0</v>
      </c>
      <c r="P6142" t="n">
        <v>0</v>
      </c>
      <c r="Q6142" t="n">
        <v>0</v>
      </c>
      <c r="R6142" s="2" t="inlineStr"/>
    </row>
    <row r="6143" ht="15" customHeight="1">
      <c r="A6143" t="inlineStr">
        <is>
          <t>A 39351-2024</t>
        </is>
      </c>
      <c r="B6143" s="1" t="n">
        <v>45551.45708333333</v>
      </c>
      <c r="C6143" s="1" t="n">
        <v>45884</v>
      </c>
      <c r="D6143" t="inlineStr">
        <is>
          <t>KALMAR LÄN</t>
        </is>
      </c>
      <c r="E6143" t="inlineStr">
        <is>
          <t>NYBRO</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52319-2023</t>
        </is>
      </c>
      <c r="B6144" s="1" t="n">
        <v>45224.64084490741</v>
      </c>
      <c r="C6144" s="1" t="n">
        <v>45884</v>
      </c>
      <c r="D6144" t="inlineStr">
        <is>
          <t>KALMAR LÄN</t>
        </is>
      </c>
      <c r="E6144" t="inlineStr">
        <is>
          <t>NYBRO</t>
        </is>
      </c>
      <c r="G6144" t="n">
        <v>5.5</v>
      </c>
      <c r="H6144" t="n">
        <v>0</v>
      </c>
      <c r="I6144" t="n">
        <v>0</v>
      </c>
      <c r="J6144" t="n">
        <v>0</v>
      </c>
      <c r="K6144" t="n">
        <v>0</v>
      </c>
      <c r="L6144" t="n">
        <v>0</v>
      </c>
      <c r="M6144" t="n">
        <v>0</v>
      </c>
      <c r="N6144" t="n">
        <v>0</v>
      </c>
      <c r="O6144" t="n">
        <v>0</v>
      </c>
      <c r="P6144" t="n">
        <v>0</v>
      </c>
      <c r="Q6144" t="n">
        <v>0</v>
      </c>
      <c r="R6144" s="2" t="inlineStr"/>
    </row>
    <row r="6145" ht="15" customHeight="1">
      <c r="A6145" t="inlineStr">
        <is>
          <t>A 62025-2023</t>
        </is>
      </c>
      <c r="B6145" s="1" t="n">
        <v>45266.65703703704</v>
      </c>
      <c r="C6145" s="1" t="n">
        <v>45884</v>
      </c>
      <c r="D6145" t="inlineStr">
        <is>
          <t>KALMAR LÄN</t>
        </is>
      </c>
      <c r="E6145" t="inlineStr">
        <is>
          <t>KALMAR</t>
        </is>
      </c>
      <c r="G6145" t="n">
        <v>4.2</v>
      </c>
      <c r="H6145" t="n">
        <v>0</v>
      </c>
      <c r="I6145" t="n">
        <v>0</v>
      </c>
      <c r="J6145" t="n">
        <v>0</v>
      </c>
      <c r="K6145" t="n">
        <v>0</v>
      </c>
      <c r="L6145" t="n">
        <v>0</v>
      </c>
      <c r="M6145" t="n">
        <v>0</v>
      </c>
      <c r="N6145" t="n">
        <v>0</v>
      </c>
      <c r="O6145" t="n">
        <v>0</v>
      </c>
      <c r="P6145" t="n">
        <v>0</v>
      </c>
      <c r="Q6145" t="n">
        <v>0</v>
      </c>
      <c r="R6145" s="2" t="inlineStr"/>
    </row>
    <row r="6146" ht="15" customHeight="1">
      <c r="A6146" t="inlineStr">
        <is>
          <t>A 51081-2022</t>
        </is>
      </c>
      <c r="B6146" s="1" t="n">
        <v>44868.38045138889</v>
      </c>
      <c r="C6146" s="1" t="n">
        <v>45884</v>
      </c>
      <c r="D6146" t="inlineStr">
        <is>
          <t>KALMAR LÄN</t>
        </is>
      </c>
      <c r="E6146" t="inlineStr">
        <is>
          <t>NYBRO</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28120-2023</t>
        </is>
      </c>
      <c r="B6147" s="1" t="n">
        <v>45099</v>
      </c>
      <c r="C6147" s="1" t="n">
        <v>45884</v>
      </c>
      <c r="D6147" t="inlineStr">
        <is>
          <t>KALMAR LÄN</t>
        </is>
      </c>
      <c r="E6147" t="inlineStr">
        <is>
          <t>OSKARSHAMN</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28666-2023</t>
        </is>
      </c>
      <c r="B6148" s="1" t="n">
        <v>45103</v>
      </c>
      <c r="C6148" s="1" t="n">
        <v>45884</v>
      </c>
      <c r="D6148" t="inlineStr">
        <is>
          <t>KALMAR LÄN</t>
        </is>
      </c>
      <c r="E6148" t="inlineStr">
        <is>
          <t>HULTSFRED</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61854-2022</t>
        </is>
      </c>
      <c r="B6149" s="1" t="n">
        <v>44917</v>
      </c>
      <c r="C6149" s="1" t="n">
        <v>45884</v>
      </c>
      <c r="D6149" t="inlineStr">
        <is>
          <t>KALMAR LÄN</t>
        </is>
      </c>
      <c r="E6149" t="inlineStr">
        <is>
          <t>OSKARSHAMN</t>
        </is>
      </c>
      <c r="G6149" t="n">
        <v>2.4</v>
      </c>
      <c r="H6149" t="n">
        <v>0</v>
      </c>
      <c r="I6149" t="n">
        <v>0</v>
      </c>
      <c r="J6149" t="n">
        <v>0</v>
      </c>
      <c r="K6149" t="n">
        <v>0</v>
      </c>
      <c r="L6149" t="n">
        <v>0</v>
      </c>
      <c r="M6149" t="n">
        <v>0</v>
      </c>
      <c r="N6149" t="n">
        <v>0</v>
      </c>
      <c r="O6149" t="n">
        <v>0</v>
      </c>
      <c r="P6149" t="n">
        <v>0</v>
      </c>
      <c r="Q6149" t="n">
        <v>0</v>
      </c>
      <c r="R6149" s="2" t="inlineStr"/>
    </row>
    <row r="6150" ht="15" customHeight="1">
      <c r="A6150" t="inlineStr">
        <is>
          <t>A 54216-2024</t>
        </is>
      </c>
      <c r="B6150" s="1" t="n">
        <v>45616.66118055556</v>
      </c>
      <c r="C6150" s="1" t="n">
        <v>45884</v>
      </c>
      <c r="D6150" t="inlineStr">
        <is>
          <t>KALMAR LÄN</t>
        </is>
      </c>
      <c r="E6150" t="inlineStr">
        <is>
          <t>NYBRO</t>
        </is>
      </c>
      <c r="G6150" t="n">
        <v>4.4</v>
      </c>
      <c r="H6150" t="n">
        <v>0</v>
      </c>
      <c r="I6150" t="n">
        <v>0</v>
      </c>
      <c r="J6150" t="n">
        <v>0</v>
      </c>
      <c r="K6150" t="n">
        <v>0</v>
      </c>
      <c r="L6150" t="n">
        <v>0</v>
      </c>
      <c r="M6150" t="n">
        <v>0</v>
      </c>
      <c r="N6150" t="n">
        <v>0</v>
      </c>
      <c r="O6150" t="n">
        <v>0</v>
      </c>
      <c r="P6150" t="n">
        <v>0</v>
      </c>
      <c r="Q6150" t="n">
        <v>0</v>
      </c>
      <c r="R6150" s="2" t="inlineStr"/>
    </row>
    <row r="6151" ht="15" customHeight="1">
      <c r="A6151" t="inlineStr">
        <is>
          <t>A 23887-2025</t>
        </is>
      </c>
      <c r="B6151" s="1" t="n">
        <v>45793.78212962963</v>
      </c>
      <c r="C6151" s="1" t="n">
        <v>45884</v>
      </c>
      <c r="D6151" t="inlineStr">
        <is>
          <t>KALMAR LÄN</t>
        </is>
      </c>
      <c r="E6151" t="inlineStr">
        <is>
          <t>HÖGSBY</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41566-2022</t>
        </is>
      </c>
      <c r="B6152" s="1" t="n">
        <v>44827</v>
      </c>
      <c r="C6152" s="1" t="n">
        <v>45884</v>
      </c>
      <c r="D6152" t="inlineStr">
        <is>
          <t>KALMAR LÄN</t>
        </is>
      </c>
      <c r="E6152" t="inlineStr">
        <is>
          <t>TORSÅS</t>
        </is>
      </c>
      <c r="G6152" t="n">
        <v>3.2</v>
      </c>
      <c r="H6152" t="n">
        <v>0</v>
      </c>
      <c r="I6152" t="n">
        <v>0</v>
      </c>
      <c r="J6152" t="n">
        <v>0</v>
      </c>
      <c r="K6152" t="n">
        <v>0</v>
      </c>
      <c r="L6152" t="n">
        <v>0</v>
      </c>
      <c r="M6152" t="n">
        <v>0</v>
      </c>
      <c r="N6152" t="n">
        <v>0</v>
      </c>
      <c r="O6152" t="n">
        <v>0</v>
      </c>
      <c r="P6152" t="n">
        <v>0</v>
      </c>
      <c r="Q6152" t="n">
        <v>0</v>
      </c>
      <c r="R6152" s="2" t="inlineStr"/>
    </row>
    <row r="6153" ht="15" customHeight="1">
      <c r="A6153" t="inlineStr">
        <is>
          <t>A 24829-2022</t>
        </is>
      </c>
      <c r="B6153" s="1" t="n">
        <v>44728.45674768519</v>
      </c>
      <c r="C6153" s="1" t="n">
        <v>45884</v>
      </c>
      <c r="D6153" t="inlineStr">
        <is>
          <t>KALMAR LÄN</t>
        </is>
      </c>
      <c r="E6153" t="inlineStr">
        <is>
          <t>VÄSTERVIK</t>
        </is>
      </c>
      <c r="G6153" t="n">
        <v>2.2</v>
      </c>
      <c r="H6153" t="n">
        <v>0</v>
      </c>
      <c r="I6153" t="n">
        <v>0</v>
      </c>
      <c r="J6153" t="n">
        <v>0</v>
      </c>
      <c r="K6153" t="n">
        <v>0</v>
      </c>
      <c r="L6153" t="n">
        <v>0</v>
      </c>
      <c r="M6153" t="n">
        <v>0</v>
      </c>
      <c r="N6153" t="n">
        <v>0</v>
      </c>
      <c r="O6153" t="n">
        <v>0</v>
      </c>
      <c r="P6153" t="n">
        <v>0</v>
      </c>
      <c r="Q6153" t="n">
        <v>0</v>
      </c>
      <c r="R6153" s="2" t="inlineStr"/>
    </row>
    <row r="6154" ht="15" customHeight="1">
      <c r="A6154" t="inlineStr">
        <is>
          <t>A 56592-2024</t>
        </is>
      </c>
      <c r="B6154" s="1" t="n">
        <v>45625</v>
      </c>
      <c r="C6154" s="1" t="n">
        <v>45884</v>
      </c>
      <c r="D6154" t="inlineStr">
        <is>
          <t>KALMAR LÄN</t>
        </is>
      </c>
      <c r="E6154" t="inlineStr">
        <is>
          <t>KALMAR</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14359-2025</t>
        </is>
      </c>
      <c r="B6155" s="1" t="n">
        <v>45741.37270833334</v>
      </c>
      <c r="C6155" s="1" t="n">
        <v>45884</v>
      </c>
      <c r="D6155" t="inlineStr">
        <is>
          <t>KALMAR LÄN</t>
        </is>
      </c>
      <c r="E6155" t="inlineStr">
        <is>
          <t>VIMMERBY</t>
        </is>
      </c>
      <c r="G6155" t="n">
        <v>2</v>
      </c>
      <c r="H6155" t="n">
        <v>0</v>
      </c>
      <c r="I6155" t="n">
        <v>0</v>
      </c>
      <c r="J6155" t="n">
        <v>0</v>
      </c>
      <c r="K6155" t="n">
        <v>0</v>
      </c>
      <c r="L6155" t="n">
        <v>0</v>
      </c>
      <c r="M6155" t="n">
        <v>0</v>
      </c>
      <c r="N6155" t="n">
        <v>0</v>
      </c>
      <c r="O6155" t="n">
        <v>0</v>
      </c>
      <c r="P6155" t="n">
        <v>0</v>
      </c>
      <c r="Q6155" t="n">
        <v>0</v>
      </c>
      <c r="R6155" s="2" t="inlineStr"/>
    </row>
    <row r="6156" ht="15" customHeight="1">
      <c r="A6156" t="inlineStr">
        <is>
          <t>A 24255-2025</t>
        </is>
      </c>
      <c r="B6156" s="1" t="n">
        <v>45797.40478009259</v>
      </c>
      <c r="C6156" s="1" t="n">
        <v>45884</v>
      </c>
      <c r="D6156" t="inlineStr">
        <is>
          <t>KALMAR LÄN</t>
        </is>
      </c>
      <c r="E6156" t="inlineStr">
        <is>
          <t>TORSÅS</t>
        </is>
      </c>
      <c r="G6156" t="n">
        <v>5.3</v>
      </c>
      <c r="H6156" t="n">
        <v>0</v>
      </c>
      <c r="I6156" t="n">
        <v>0</v>
      </c>
      <c r="J6156" t="n">
        <v>0</v>
      </c>
      <c r="K6156" t="n">
        <v>0</v>
      </c>
      <c r="L6156" t="n">
        <v>0</v>
      </c>
      <c r="M6156" t="n">
        <v>0</v>
      </c>
      <c r="N6156" t="n">
        <v>0</v>
      </c>
      <c r="O6156" t="n">
        <v>0</v>
      </c>
      <c r="P6156" t="n">
        <v>0</v>
      </c>
      <c r="Q6156" t="n">
        <v>0</v>
      </c>
      <c r="R6156" s="2" t="inlineStr"/>
    </row>
    <row r="6157" ht="15" customHeight="1">
      <c r="A6157" t="inlineStr">
        <is>
          <t>A 2098-2023</t>
        </is>
      </c>
      <c r="B6157" s="1" t="n">
        <v>44939</v>
      </c>
      <c r="C6157" s="1" t="n">
        <v>45884</v>
      </c>
      <c r="D6157" t="inlineStr">
        <is>
          <t>KALMAR LÄN</t>
        </is>
      </c>
      <c r="E6157" t="inlineStr">
        <is>
          <t>VÄSTERVIK</t>
        </is>
      </c>
      <c r="G6157" t="n">
        <v>1.9</v>
      </c>
      <c r="H6157" t="n">
        <v>0</v>
      </c>
      <c r="I6157" t="n">
        <v>0</v>
      </c>
      <c r="J6157" t="n">
        <v>0</v>
      </c>
      <c r="K6157" t="n">
        <v>0</v>
      </c>
      <c r="L6157" t="n">
        <v>0</v>
      </c>
      <c r="M6157" t="n">
        <v>0</v>
      </c>
      <c r="N6157" t="n">
        <v>0</v>
      </c>
      <c r="O6157" t="n">
        <v>0</v>
      </c>
      <c r="P6157" t="n">
        <v>0</v>
      </c>
      <c r="Q6157" t="n">
        <v>0</v>
      </c>
      <c r="R6157" s="2" t="inlineStr"/>
    </row>
    <row r="6158" ht="15" customHeight="1">
      <c r="A6158" t="inlineStr">
        <is>
          <t>A 24273-2025</t>
        </is>
      </c>
      <c r="B6158" s="1" t="n">
        <v>45797.44099537037</v>
      </c>
      <c r="C6158" s="1" t="n">
        <v>45884</v>
      </c>
      <c r="D6158" t="inlineStr">
        <is>
          <t>KALMAR LÄN</t>
        </is>
      </c>
      <c r="E6158" t="inlineStr">
        <is>
          <t>EMMABODA</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24272-2025</t>
        </is>
      </c>
      <c r="B6159" s="1" t="n">
        <v>45797.43725694445</v>
      </c>
      <c r="C6159" s="1" t="n">
        <v>45884</v>
      </c>
      <c r="D6159" t="inlineStr">
        <is>
          <t>KALMAR LÄN</t>
        </is>
      </c>
      <c r="E6159" t="inlineStr">
        <is>
          <t>KALMAR</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24013-2025</t>
        </is>
      </c>
      <c r="B6160" s="1" t="n">
        <v>45796.448125</v>
      </c>
      <c r="C6160" s="1" t="n">
        <v>45884</v>
      </c>
      <c r="D6160" t="inlineStr">
        <is>
          <t>KALMAR LÄN</t>
        </is>
      </c>
      <c r="E6160" t="inlineStr">
        <is>
          <t>HÖGSBY</t>
        </is>
      </c>
      <c r="G6160" t="n">
        <v>2.9</v>
      </c>
      <c r="H6160" t="n">
        <v>0</v>
      </c>
      <c r="I6160" t="n">
        <v>0</v>
      </c>
      <c r="J6160" t="n">
        <v>0</v>
      </c>
      <c r="K6160" t="n">
        <v>0</v>
      </c>
      <c r="L6160" t="n">
        <v>0</v>
      </c>
      <c r="M6160" t="n">
        <v>0</v>
      </c>
      <c r="N6160" t="n">
        <v>0</v>
      </c>
      <c r="O6160" t="n">
        <v>0</v>
      </c>
      <c r="P6160" t="n">
        <v>0</v>
      </c>
      <c r="Q6160" t="n">
        <v>0</v>
      </c>
      <c r="R6160" s="2" t="inlineStr"/>
    </row>
    <row r="6161" ht="15" customHeight="1">
      <c r="A6161" t="inlineStr">
        <is>
          <t>A 49724-2024</t>
        </is>
      </c>
      <c r="B6161" s="1" t="n">
        <v>45596.74167824074</v>
      </c>
      <c r="C6161" s="1" t="n">
        <v>45884</v>
      </c>
      <c r="D6161" t="inlineStr">
        <is>
          <t>KALMAR LÄN</t>
        </is>
      </c>
      <c r="E6161" t="inlineStr">
        <is>
          <t>NYBRO</t>
        </is>
      </c>
      <c r="G6161" t="n">
        <v>6.1</v>
      </c>
      <c r="H6161" t="n">
        <v>0</v>
      </c>
      <c r="I6161" t="n">
        <v>0</v>
      </c>
      <c r="J6161" t="n">
        <v>0</v>
      </c>
      <c r="K6161" t="n">
        <v>0</v>
      </c>
      <c r="L6161" t="n">
        <v>0</v>
      </c>
      <c r="M6161" t="n">
        <v>0</v>
      </c>
      <c r="N6161" t="n">
        <v>0</v>
      </c>
      <c r="O6161" t="n">
        <v>0</v>
      </c>
      <c r="P6161" t="n">
        <v>0</v>
      </c>
      <c r="Q6161" t="n">
        <v>0</v>
      </c>
      <c r="R6161" s="2" t="inlineStr"/>
    </row>
    <row r="6162" ht="15" customHeight="1">
      <c r="A6162" t="inlineStr">
        <is>
          <t>A 11966-2025</t>
        </is>
      </c>
      <c r="B6162" s="1" t="n">
        <v>45728.57760416667</v>
      </c>
      <c r="C6162" s="1" t="n">
        <v>45884</v>
      </c>
      <c r="D6162" t="inlineStr">
        <is>
          <t>KALMAR LÄN</t>
        </is>
      </c>
      <c r="E6162" t="inlineStr">
        <is>
          <t>NYBRO</t>
        </is>
      </c>
      <c r="F6162" t="inlineStr">
        <is>
          <t>Sveaskog</t>
        </is>
      </c>
      <c r="G6162" t="n">
        <v>1.3</v>
      </c>
      <c r="H6162" t="n">
        <v>0</v>
      </c>
      <c r="I6162" t="n">
        <v>0</v>
      </c>
      <c r="J6162" t="n">
        <v>0</v>
      </c>
      <c r="K6162" t="n">
        <v>0</v>
      </c>
      <c r="L6162" t="n">
        <v>0</v>
      </c>
      <c r="M6162" t="n">
        <v>0</v>
      </c>
      <c r="N6162" t="n">
        <v>0</v>
      </c>
      <c r="O6162" t="n">
        <v>0</v>
      </c>
      <c r="P6162" t="n">
        <v>0</v>
      </c>
      <c r="Q6162" t="n">
        <v>0</v>
      </c>
      <c r="R6162" s="2" t="inlineStr"/>
    </row>
    <row r="6163" ht="15" customHeight="1">
      <c r="A6163" t="inlineStr">
        <is>
          <t>A 50561-2022</t>
        </is>
      </c>
      <c r="B6163" s="1" t="n">
        <v>44866.6291550926</v>
      </c>
      <c r="C6163" s="1" t="n">
        <v>45884</v>
      </c>
      <c r="D6163" t="inlineStr">
        <is>
          <t>KALMAR LÄN</t>
        </is>
      </c>
      <c r="E6163" t="inlineStr">
        <is>
          <t>NYBRO</t>
        </is>
      </c>
      <c r="G6163" t="n">
        <v>1.9</v>
      </c>
      <c r="H6163" t="n">
        <v>0</v>
      </c>
      <c r="I6163" t="n">
        <v>0</v>
      </c>
      <c r="J6163" t="n">
        <v>0</v>
      </c>
      <c r="K6163" t="n">
        <v>0</v>
      </c>
      <c r="L6163" t="n">
        <v>0</v>
      </c>
      <c r="M6163" t="n">
        <v>0</v>
      </c>
      <c r="N6163" t="n">
        <v>0</v>
      </c>
      <c r="O6163" t="n">
        <v>0</v>
      </c>
      <c r="P6163" t="n">
        <v>0</v>
      </c>
      <c r="Q6163" t="n">
        <v>0</v>
      </c>
      <c r="R6163" s="2" t="inlineStr"/>
    </row>
    <row r="6164" ht="15" customHeight="1">
      <c r="A6164" t="inlineStr">
        <is>
          <t>A 63379-2023</t>
        </is>
      </c>
      <c r="B6164" s="1" t="n">
        <v>45274.47944444444</v>
      </c>
      <c r="C6164" s="1" t="n">
        <v>45884</v>
      </c>
      <c r="D6164" t="inlineStr">
        <is>
          <t>KALMAR LÄN</t>
        </is>
      </c>
      <c r="E6164" t="inlineStr">
        <is>
          <t>HÖGSBY</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24666-2025</t>
        </is>
      </c>
      <c r="B6165" s="1" t="n">
        <v>45798.64680555555</v>
      </c>
      <c r="C6165" s="1" t="n">
        <v>45884</v>
      </c>
      <c r="D6165" t="inlineStr">
        <is>
          <t>KALMAR LÄN</t>
        </is>
      </c>
      <c r="E6165" t="inlineStr">
        <is>
          <t>TORSÅS</t>
        </is>
      </c>
      <c r="G6165" t="n">
        <v>2.2</v>
      </c>
      <c r="H6165" t="n">
        <v>0</v>
      </c>
      <c r="I6165" t="n">
        <v>0</v>
      </c>
      <c r="J6165" t="n">
        <v>0</v>
      </c>
      <c r="K6165" t="n">
        <v>0</v>
      </c>
      <c r="L6165" t="n">
        <v>0</v>
      </c>
      <c r="M6165" t="n">
        <v>0</v>
      </c>
      <c r="N6165" t="n">
        <v>0</v>
      </c>
      <c r="O6165" t="n">
        <v>0</v>
      </c>
      <c r="P6165" t="n">
        <v>0</v>
      </c>
      <c r="Q6165" t="n">
        <v>0</v>
      </c>
      <c r="R6165" s="2" t="inlineStr"/>
    </row>
    <row r="6166" ht="15" customHeight="1">
      <c r="A6166" t="inlineStr">
        <is>
          <t>A 24769-2025</t>
        </is>
      </c>
      <c r="B6166" s="1" t="n">
        <v>45799.39888888889</v>
      </c>
      <c r="C6166" s="1" t="n">
        <v>45884</v>
      </c>
      <c r="D6166" t="inlineStr">
        <is>
          <t>KALMAR LÄN</t>
        </is>
      </c>
      <c r="E6166" t="inlineStr">
        <is>
          <t>OSKARSHAMN</t>
        </is>
      </c>
      <c r="G6166" t="n">
        <v>1.7</v>
      </c>
      <c r="H6166" t="n">
        <v>0</v>
      </c>
      <c r="I6166" t="n">
        <v>0</v>
      </c>
      <c r="J6166" t="n">
        <v>0</v>
      </c>
      <c r="K6166" t="n">
        <v>0</v>
      </c>
      <c r="L6166" t="n">
        <v>0</v>
      </c>
      <c r="M6166" t="n">
        <v>0</v>
      </c>
      <c r="N6166" t="n">
        <v>0</v>
      </c>
      <c r="O6166" t="n">
        <v>0</v>
      </c>
      <c r="P6166" t="n">
        <v>0</v>
      </c>
      <c r="Q6166" t="n">
        <v>0</v>
      </c>
      <c r="R6166" s="2" t="inlineStr"/>
    </row>
    <row r="6167" ht="15" customHeight="1">
      <c r="A6167" t="inlineStr">
        <is>
          <t>A 19943-2022</t>
        </is>
      </c>
      <c r="B6167" s="1" t="n">
        <v>44697</v>
      </c>
      <c r="C6167" s="1" t="n">
        <v>45884</v>
      </c>
      <c r="D6167" t="inlineStr">
        <is>
          <t>KALMAR LÄN</t>
        </is>
      </c>
      <c r="E6167" t="inlineStr">
        <is>
          <t>NYBRO</t>
        </is>
      </c>
      <c r="G6167" t="n">
        <v>2</v>
      </c>
      <c r="H6167" t="n">
        <v>0</v>
      </c>
      <c r="I6167" t="n">
        <v>0</v>
      </c>
      <c r="J6167" t="n">
        <v>0</v>
      </c>
      <c r="K6167" t="n">
        <v>0</v>
      </c>
      <c r="L6167" t="n">
        <v>0</v>
      </c>
      <c r="M6167" t="n">
        <v>0</v>
      </c>
      <c r="N6167" t="n">
        <v>0</v>
      </c>
      <c r="O6167" t="n">
        <v>0</v>
      </c>
      <c r="P6167" t="n">
        <v>0</v>
      </c>
      <c r="Q6167" t="n">
        <v>0</v>
      </c>
      <c r="R6167" s="2" t="inlineStr"/>
    </row>
    <row r="6168" ht="15" customHeight="1">
      <c r="A6168" t="inlineStr">
        <is>
          <t>A 768-2025</t>
        </is>
      </c>
      <c r="B6168" s="1" t="n">
        <v>45665.45535879629</v>
      </c>
      <c r="C6168" s="1" t="n">
        <v>45884</v>
      </c>
      <c r="D6168" t="inlineStr">
        <is>
          <t>KALMAR LÄN</t>
        </is>
      </c>
      <c r="E6168" t="inlineStr">
        <is>
          <t>EMMABODA</t>
        </is>
      </c>
      <c r="G6168" t="n">
        <v>2.1</v>
      </c>
      <c r="H6168" t="n">
        <v>0</v>
      </c>
      <c r="I6168" t="n">
        <v>0</v>
      </c>
      <c r="J6168" t="n">
        <v>0</v>
      </c>
      <c r="K6168" t="n">
        <v>0</v>
      </c>
      <c r="L6168" t="n">
        <v>0</v>
      </c>
      <c r="M6168" t="n">
        <v>0</v>
      </c>
      <c r="N6168" t="n">
        <v>0</v>
      </c>
      <c r="O6168" t="n">
        <v>0</v>
      </c>
      <c r="P6168" t="n">
        <v>0</v>
      </c>
      <c r="Q6168" t="n">
        <v>0</v>
      </c>
      <c r="R6168" s="2" t="inlineStr"/>
    </row>
    <row r="6169" ht="15" customHeight="1">
      <c r="A6169" t="inlineStr">
        <is>
          <t>A 16080-2025</t>
        </is>
      </c>
      <c r="B6169" s="1" t="n">
        <v>45749.72953703703</v>
      </c>
      <c r="C6169" s="1" t="n">
        <v>45884</v>
      </c>
      <c r="D6169" t="inlineStr">
        <is>
          <t>KALMAR LÄN</t>
        </is>
      </c>
      <c r="E6169" t="inlineStr">
        <is>
          <t>VÄSTERVIK</t>
        </is>
      </c>
      <c r="G6169" t="n">
        <v>1.9</v>
      </c>
      <c r="H6169" t="n">
        <v>0</v>
      </c>
      <c r="I6169" t="n">
        <v>0</v>
      </c>
      <c r="J6169" t="n">
        <v>0</v>
      </c>
      <c r="K6169" t="n">
        <v>0</v>
      </c>
      <c r="L6169" t="n">
        <v>0</v>
      </c>
      <c r="M6169" t="n">
        <v>0</v>
      </c>
      <c r="N6169" t="n">
        <v>0</v>
      </c>
      <c r="O6169" t="n">
        <v>0</v>
      </c>
      <c r="P6169" t="n">
        <v>0</v>
      </c>
      <c r="Q6169" t="n">
        <v>0</v>
      </c>
      <c r="R6169" s="2" t="inlineStr"/>
    </row>
    <row r="6170" ht="15" customHeight="1">
      <c r="A6170" t="inlineStr">
        <is>
          <t>A 35082-2024</t>
        </is>
      </c>
      <c r="B6170" s="1" t="n">
        <v>45527.68784722222</v>
      </c>
      <c r="C6170" s="1" t="n">
        <v>45884</v>
      </c>
      <c r="D6170" t="inlineStr">
        <is>
          <t>KALMAR LÄN</t>
        </is>
      </c>
      <c r="E6170" t="inlineStr">
        <is>
          <t>VIMMERBY</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39306-2024</t>
        </is>
      </c>
      <c r="B6171" s="1" t="n">
        <v>45551.38452546296</v>
      </c>
      <c r="C6171" s="1" t="n">
        <v>45884</v>
      </c>
      <c r="D6171" t="inlineStr">
        <is>
          <t>KALMAR LÄN</t>
        </is>
      </c>
      <c r="E6171" t="inlineStr">
        <is>
          <t>TORSÅS</t>
        </is>
      </c>
      <c r="G6171" t="n">
        <v>2.3</v>
      </c>
      <c r="H6171" t="n">
        <v>0</v>
      </c>
      <c r="I6171" t="n">
        <v>0</v>
      </c>
      <c r="J6171" t="n">
        <v>0</v>
      </c>
      <c r="K6171" t="n">
        <v>0</v>
      </c>
      <c r="L6171" t="n">
        <v>0</v>
      </c>
      <c r="M6171" t="n">
        <v>0</v>
      </c>
      <c r="N6171" t="n">
        <v>0</v>
      </c>
      <c r="O6171" t="n">
        <v>0</v>
      </c>
      <c r="P6171" t="n">
        <v>0</v>
      </c>
      <c r="Q6171" t="n">
        <v>0</v>
      </c>
      <c r="R6171" s="2" t="inlineStr"/>
    </row>
    <row r="6172" ht="15" customHeight="1">
      <c r="A6172" t="inlineStr">
        <is>
          <t>A 24661-2025</t>
        </is>
      </c>
      <c r="B6172" s="1" t="n">
        <v>45798.64412037037</v>
      </c>
      <c r="C6172" s="1" t="n">
        <v>45884</v>
      </c>
      <c r="D6172" t="inlineStr">
        <is>
          <t>KALMAR LÄN</t>
        </is>
      </c>
      <c r="E6172" t="inlineStr">
        <is>
          <t>TORSÅS</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8397-2023</t>
        </is>
      </c>
      <c r="B6173" s="1" t="n">
        <v>44977</v>
      </c>
      <c r="C6173" s="1" t="n">
        <v>45884</v>
      </c>
      <c r="D6173" t="inlineStr">
        <is>
          <t>KALMAR LÄN</t>
        </is>
      </c>
      <c r="E6173" t="inlineStr">
        <is>
          <t>EMMABODA</t>
        </is>
      </c>
      <c r="G6173" t="n">
        <v>5.6</v>
      </c>
      <c r="H6173" t="n">
        <v>0</v>
      </c>
      <c r="I6173" t="n">
        <v>0</v>
      </c>
      <c r="J6173" t="n">
        <v>0</v>
      </c>
      <c r="K6173" t="n">
        <v>0</v>
      </c>
      <c r="L6173" t="n">
        <v>0</v>
      </c>
      <c r="M6173" t="n">
        <v>0</v>
      </c>
      <c r="N6173" t="n">
        <v>0</v>
      </c>
      <c r="O6173" t="n">
        <v>0</v>
      </c>
      <c r="P6173" t="n">
        <v>0</v>
      </c>
      <c r="Q6173" t="n">
        <v>0</v>
      </c>
      <c r="R6173" s="2" t="inlineStr"/>
    </row>
    <row r="6174" ht="15" customHeight="1">
      <c r="A6174" t="inlineStr">
        <is>
          <t>A 36491-2024</t>
        </is>
      </c>
      <c r="B6174" s="1" t="n">
        <v>45537</v>
      </c>
      <c r="C6174" s="1" t="n">
        <v>45884</v>
      </c>
      <c r="D6174" t="inlineStr">
        <is>
          <t>KALMAR LÄN</t>
        </is>
      </c>
      <c r="E6174" t="inlineStr">
        <is>
          <t>EMMABODA</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24933-2025</t>
        </is>
      </c>
      <c r="B6175" s="1" t="n">
        <v>45799.55665509259</v>
      </c>
      <c r="C6175" s="1" t="n">
        <v>45884</v>
      </c>
      <c r="D6175" t="inlineStr">
        <is>
          <t>KALMAR LÄN</t>
        </is>
      </c>
      <c r="E6175" t="inlineStr">
        <is>
          <t>EMMABODA</t>
        </is>
      </c>
      <c r="G6175" t="n">
        <v>1.4</v>
      </c>
      <c r="H6175" t="n">
        <v>0</v>
      </c>
      <c r="I6175" t="n">
        <v>0</v>
      </c>
      <c r="J6175" t="n">
        <v>0</v>
      </c>
      <c r="K6175" t="n">
        <v>0</v>
      </c>
      <c r="L6175" t="n">
        <v>0</v>
      </c>
      <c r="M6175" t="n">
        <v>0</v>
      </c>
      <c r="N6175" t="n">
        <v>0</v>
      </c>
      <c r="O6175" t="n">
        <v>0</v>
      </c>
      <c r="P6175" t="n">
        <v>0</v>
      </c>
      <c r="Q6175" t="n">
        <v>0</v>
      </c>
      <c r="R6175" s="2" t="inlineStr"/>
    </row>
    <row r="6176" ht="15" customHeight="1">
      <c r="A6176" t="inlineStr">
        <is>
          <t>A 51278-2024</t>
        </is>
      </c>
      <c r="B6176" s="1" t="n">
        <v>45603.74959490741</v>
      </c>
      <c r="C6176" s="1" t="n">
        <v>45884</v>
      </c>
      <c r="D6176" t="inlineStr">
        <is>
          <t>KALMAR LÄN</t>
        </is>
      </c>
      <c r="E6176" t="inlineStr">
        <is>
          <t>VIMMERBY</t>
        </is>
      </c>
      <c r="G6176" t="n">
        <v>3.4</v>
      </c>
      <c r="H6176" t="n">
        <v>0</v>
      </c>
      <c r="I6176" t="n">
        <v>0</v>
      </c>
      <c r="J6176" t="n">
        <v>0</v>
      </c>
      <c r="K6176" t="n">
        <v>0</v>
      </c>
      <c r="L6176" t="n">
        <v>0</v>
      </c>
      <c r="M6176" t="n">
        <v>0</v>
      </c>
      <c r="N6176" t="n">
        <v>0</v>
      </c>
      <c r="O6176" t="n">
        <v>0</v>
      </c>
      <c r="P6176" t="n">
        <v>0</v>
      </c>
      <c r="Q6176" t="n">
        <v>0</v>
      </c>
      <c r="R6176" s="2" t="inlineStr"/>
    </row>
    <row r="6177" ht="15" customHeight="1">
      <c r="A6177" t="inlineStr">
        <is>
          <t>A 23788-2021</t>
        </is>
      </c>
      <c r="B6177" s="1" t="n">
        <v>44335</v>
      </c>
      <c r="C6177" s="1" t="n">
        <v>45884</v>
      </c>
      <c r="D6177" t="inlineStr">
        <is>
          <t>KALMAR LÄN</t>
        </is>
      </c>
      <c r="E6177" t="inlineStr">
        <is>
          <t>MÖNSTERÅS</t>
        </is>
      </c>
      <c r="G6177" t="n">
        <v>7.6</v>
      </c>
      <c r="H6177" t="n">
        <v>0</v>
      </c>
      <c r="I6177" t="n">
        <v>0</v>
      </c>
      <c r="J6177" t="n">
        <v>0</v>
      </c>
      <c r="K6177" t="n">
        <v>0</v>
      </c>
      <c r="L6177" t="n">
        <v>0</v>
      </c>
      <c r="M6177" t="n">
        <v>0</v>
      </c>
      <c r="N6177" t="n">
        <v>0</v>
      </c>
      <c r="O6177" t="n">
        <v>0</v>
      </c>
      <c r="P6177" t="n">
        <v>0</v>
      </c>
      <c r="Q6177" t="n">
        <v>0</v>
      </c>
      <c r="R6177" s="2" t="inlineStr"/>
    </row>
    <row r="6178" ht="15" customHeight="1">
      <c r="A6178" t="inlineStr">
        <is>
          <t>A 40339-2023</t>
        </is>
      </c>
      <c r="B6178" s="1" t="n">
        <v>45169.62733796296</v>
      </c>
      <c r="C6178" s="1" t="n">
        <v>45884</v>
      </c>
      <c r="D6178" t="inlineStr">
        <is>
          <t>KALMAR LÄN</t>
        </is>
      </c>
      <c r="E6178" t="inlineStr">
        <is>
          <t>BORGHOLM</t>
        </is>
      </c>
      <c r="G6178" t="n">
        <v>3.8</v>
      </c>
      <c r="H6178" t="n">
        <v>0</v>
      </c>
      <c r="I6178" t="n">
        <v>0</v>
      </c>
      <c r="J6178" t="n">
        <v>0</v>
      </c>
      <c r="K6178" t="n">
        <v>0</v>
      </c>
      <c r="L6178" t="n">
        <v>0</v>
      </c>
      <c r="M6178" t="n">
        <v>0</v>
      </c>
      <c r="N6178" t="n">
        <v>0</v>
      </c>
      <c r="O6178" t="n">
        <v>0</v>
      </c>
      <c r="P6178" t="n">
        <v>0</v>
      </c>
      <c r="Q6178" t="n">
        <v>0</v>
      </c>
      <c r="R6178" s="2" t="inlineStr"/>
    </row>
    <row r="6179" ht="15" customHeight="1">
      <c r="A6179" t="inlineStr">
        <is>
          <t>A 41926-2024</t>
        </is>
      </c>
      <c r="B6179" s="1" t="n">
        <v>45561</v>
      </c>
      <c r="C6179" s="1" t="n">
        <v>45884</v>
      </c>
      <c r="D6179" t="inlineStr">
        <is>
          <t>KALMAR LÄN</t>
        </is>
      </c>
      <c r="E6179" t="inlineStr">
        <is>
          <t>VÄSTERVIK</t>
        </is>
      </c>
      <c r="F6179" t="inlineStr">
        <is>
          <t>Kyrkan</t>
        </is>
      </c>
      <c r="G6179" t="n">
        <v>10</v>
      </c>
      <c r="H6179" t="n">
        <v>0</v>
      </c>
      <c r="I6179" t="n">
        <v>0</v>
      </c>
      <c r="J6179" t="n">
        <v>0</v>
      </c>
      <c r="K6179" t="n">
        <v>0</v>
      </c>
      <c r="L6179" t="n">
        <v>0</v>
      </c>
      <c r="M6179" t="n">
        <v>0</v>
      </c>
      <c r="N6179" t="n">
        <v>0</v>
      </c>
      <c r="O6179" t="n">
        <v>0</v>
      </c>
      <c r="P6179" t="n">
        <v>0</v>
      </c>
      <c r="Q6179" t="n">
        <v>0</v>
      </c>
      <c r="R6179" s="2" t="inlineStr"/>
    </row>
    <row r="6180" ht="15" customHeight="1">
      <c r="A6180" t="inlineStr">
        <is>
          <t>A 7075-2021</t>
        </is>
      </c>
      <c r="B6180" s="1" t="n">
        <v>44237</v>
      </c>
      <c r="C6180" s="1" t="n">
        <v>45884</v>
      </c>
      <c r="D6180" t="inlineStr">
        <is>
          <t>KALMAR LÄN</t>
        </is>
      </c>
      <c r="E6180" t="inlineStr">
        <is>
          <t>VIMMERBY</t>
        </is>
      </c>
      <c r="G6180" t="n">
        <v>3.6</v>
      </c>
      <c r="H6180" t="n">
        <v>0</v>
      </c>
      <c r="I6180" t="n">
        <v>0</v>
      </c>
      <c r="J6180" t="n">
        <v>0</v>
      </c>
      <c r="K6180" t="n">
        <v>0</v>
      </c>
      <c r="L6180" t="n">
        <v>0</v>
      </c>
      <c r="M6180" t="n">
        <v>0</v>
      </c>
      <c r="N6180" t="n">
        <v>0</v>
      </c>
      <c r="O6180" t="n">
        <v>0</v>
      </c>
      <c r="P6180" t="n">
        <v>0</v>
      </c>
      <c r="Q6180" t="n">
        <v>0</v>
      </c>
      <c r="R6180" s="2" t="inlineStr"/>
    </row>
    <row r="6181" ht="15" customHeight="1">
      <c r="A6181" t="inlineStr">
        <is>
          <t>A 26923-2023</t>
        </is>
      </c>
      <c r="B6181" s="1" t="n">
        <v>45093.61918981482</v>
      </c>
      <c r="C6181" s="1" t="n">
        <v>45884</v>
      </c>
      <c r="D6181" t="inlineStr">
        <is>
          <t>KALMAR LÄN</t>
        </is>
      </c>
      <c r="E6181" t="inlineStr">
        <is>
          <t>EMMABODA</t>
        </is>
      </c>
      <c r="G6181" t="n">
        <v>0.5</v>
      </c>
      <c r="H6181" t="n">
        <v>0</v>
      </c>
      <c r="I6181" t="n">
        <v>0</v>
      </c>
      <c r="J6181" t="n">
        <v>0</v>
      </c>
      <c r="K6181" t="n">
        <v>0</v>
      </c>
      <c r="L6181" t="n">
        <v>0</v>
      </c>
      <c r="M6181" t="n">
        <v>0</v>
      </c>
      <c r="N6181" t="n">
        <v>0</v>
      </c>
      <c r="O6181" t="n">
        <v>0</v>
      </c>
      <c r="P6181" t="n">
        <v>0</v>
      </c>
      <c r="Q6181" t="n">
        <v>0</v>
      </c>
      <c r="R6181" s="2" t="inlineStr"/>
    </row>
    <row r="6182" ht="15" customHeight="1">
      <c r="A6182" t="inlineStr">
        <is>
          <t>A 54238-2021</t>
        </is>
      </c>
      <c r="B6182" s="1" t="n">
        <v>44470.63657407407</v>
      </c>
      <c r="C6182" s="1" t="n">
        <v>45884</v>
      </c>
      <c r="D6182" t="inlineStr">
        <is>
          <t>KALMAR LÄN</t>
        </is>
      </c>
      <c r="E6182" t="inlineStr">
        <is>
          <t>HÖGSBY</t>
        </is>
      </c>
      <c r="F6182" t="inlineStr">
        <is>
          <t>Sveaskog</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24819-2025</t>
        </is>
      </c>
      <c r="B6183" s="1" t="n">
        <v>45799.45109953704</v>
      </c>
      <c r="C6183" s="1" t="n">
        <v>45884</v>
      </c>
      <c r="D6183" t="inlineStr">
        <is>
          <t>KALMAR LÄN</t>
        </is>
      </c>
      <c r="E6183" t="inlineStr">
        <is>
          <t>VÄSTERVIK</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9456-2025</t>
        </is>
      </c>
      <c r="B6184" s="1" t="n">
        <v>45715.44159722222</v>
      </c>
      <c r="C6184" s="1" t="n">
        <v>45884</v>
      </c>
      <c r="D6184" t="inlineStr">
        <is>
          <t>KALMAR LÄN</t>
        </is>
      </c>
      <c r="E6184" t="inlineStr">
        <is>
          <t>VIMMERBY</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44226-2024</t>
        </is>
      </c>
      <c r="B6185" s="1" t="n">
        <v>45573.39606481481</v>
      </c>
      <c r="C6185" s="1" t="n">
        <v>45884</v>
      </c>
      <c r="D6185" t="inlineStr">
        <is>
          <t>KALMAR LÄN</t>
        </is>
      </c>
      <c r="E6185" t="inlineStr">
        <is>
          <t>TORSÅS</t>
        </is>
      </c>
      <c r="F6185" t="inlineStr">
        <is>
          <t>Kommuner</t>
        </is>
      </c>
      <c r="G6185" t="n">
        <v>2.6</v>
      </c>
      <c r="H6185" t="n">
        <v>0</v>
      </c>
      <c r="I6185" t="n">
        <v>0</v>
      </c>
      <c r="J6185" t="n">
        <v>0</v>
      </c>
      <c r="K6185" t="n">
        <v>0</v>
      </c>
      <c r="L6185" t="n">
        <v>0</v>
      </c>
      <c r="M6185" t="n">
        <v>0</v>
      </c>
      <c r="N6185" t="n">
        <v>0</v>
      </c>
      <c r="O6185" t="n">
        <v>0</v>
      </c>
      <c r="P6185" t="n">
        <v>0</v>
      </c>
      <c r="Q6185" t="n">
        <v>0</v>
      </c>
      <c r="R6185" s="2" t="inlineStr"/>
    </row>
    <row r="6186" ht="15" customHeight="1">
      <c r="A6186" t="inlineStr">
        <is>
          <t>A 34841-2024</t>
        </is>
      </c>
      <c r="B6186" s="1" t="n">
        <v>45526.89289351852</v>
      </c>
      <c r="C6186" s="1" t="n">
        <v>45884</v>
      </c>
      <c r="D6186" t="inlineStr">
        <is>
          <t>KALMAR LÄN</t>
        </is>
      </c>
      <c r="E6186" t="inlineStr">
        <is>
          <t>OSKARSHAMN</t>
        </is>
      </c>
      <c r="G6186" t="n">
        <v>5</v>
      </c>
      <c r="H6186" t="n">
        <v>0</v>
      </c>
      <c r="I6186" t="n">
        <v>0</v>
      </c>
      <c r="J6186" t="n">
        <v>0</v>
      </c>
      <c r="K6186" t="n">
        <v>0</v>
      </c>
      <c r="L6186" t="n">
        <v>0</v>
      </c>
      <c r="M6186" t="n">
        <v>0</v>
      </c>
      <c r="N6186" t="n">
        <v>0</v>
      </c>
      <c r="O6186" t="n">
        <v>0</v>
      </c>
      <c r="P6186" t="n">
        <v>0</v>
      </c>
      <c r="Q6186" t="n">
        <v>0</v>
      </c>
      <c r="R6186" s="2" t="inlineStr"/>
    </row>
    <row r="6187" ht="15" customHeight="1">
      <c r="A6187" t="inlineStr">
        <is>
          <t>A 57417-2024</t>
        </is>
      </c>
      <c r="B6187" s="1" t="n">
        <v>45629.79351851852</v>
      </c>
      <c r="C6187" s="1" t="n">
        <v>45884</v>
      </c>
      <c r="D6187" t="inlineStr">
        <is>
          <t>KALMAR LÄN</t>
        </is>
      </c>
      <c r="E6187" t="inlineStr">
        <is>
          <t>KALMAR</t>
        </is>
      </c>
      <c r="G6187" t="n">
        <v>13.5</v>
      </c>
      <c r="H6187" t="n">
        <v>0</v>
      </c>
      <c r="I6187" t="n">
        <v>0</v>
      </c>
      <c r="J6187" t="n">
        <v>0</v>
      </c>
      <c r="K6187" t="n">
        <v>0</v>
      </c>
      <c r="L6187" t="n">
        <v>0</v>
      </c>
      <c r="M6187" t="n">
        <v>0</v>
      </c>
      <c r="N6187" t="n">
        <v>0</v>
      </c>
      <c r="O6187" t="n">
        <v>0</v>
      </c>
      <c r="P6187" t="n">
        <v>0</v>
      </c>
      <c r="Q6187" t="n">
        <v>0</v>
      </c>
      <c r="R6187" s="2" t="inlineStr"/>
    </row>
    <row r="6188" ht="15" customHeight="1">
      <c r="A6188" t="inlineStr">
        <is>
          <t>A 2629-2023</t>
        </is>
      </c>
      <c r="B6188" s="1" t="n">
        <v>44942</v>
      </c>
      <c r="C6188" s="1" t="n">
        <v>45884</v>
      </c>
      <c r="D6188" t="inlineStr">
        <is>
          <t>KALMAR LÄN</t>
        </is>
      </c>
      <c r="E6188" t="inlineStr">
        <is>
          <t>HULTSFRED</t>
        </is>
      </c>
      <c r="G6188" t="n">
        <v>58.7</v>
      </c>
      <c r="H6188" t="n">
        <v>0</v>
      </c>
      <c r="I6188" t="n">
        <v>0</v>
      </c>
      <c r="J6188" t="n">
        <v>0</v>
      </c>
      <c r="K6188" t="n">
        <v>0</v>
      </c>
      <c r="L6188" t="n">
        <v>0</v>
      </c>
      <c r="M6188" t="n">
        <v>0</v>
      </c>
      <c r="N6188" t="n">
        <v>0</v>
      </c>
      <c r="O6188" t="n">
        <v>0</v>
      </c>
      <c r="P6188" t="n">
        <v>0</v>
      </c>
      <c r="Q6188" t="n">
        <v>0</v>
      </c>
      <c r="R6188" s="2" t="inlineStr"/>
    </row>
    <row r="6189" ht="15" customHeight="1">
      <c r="A6189" t="inlineStr">
        <is>
          <t>A 11111-2023</t>
        </is>
      </c>
      <c r="B6189" s="1" t="n">
        <v>44992.4255787037</v>
      </c>
      <c r="C6189" s="1" t="n">
        <v>45884</v>
      </c>
      <c r="D6189" t="inlineStr">
        <is>
          <t>KALMAR LÄN</t>
        </is>
      </c>
      <c r="E6189" t="inlineStr">
        <is>
          <t>VIMMERBY</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58442-2023</t>
        </is>
      </c>
      <c r="B6190" s="1" t="n">
        <v>45250.91508101852</v>
      </c>
      <c r="C6190" s="1" t="n">
        <v>45884</v>
      </c>
      <c r="D6190" t="inlineStr">
        <is>
          <t>KALMAR LÄN</t>
        </is>
      </c>
      <c r="E6190" t="inlineStr">
        <is>
          <t>TORSÅS</t>
        </is>
      </c>
      <c r="G6190" t="n">
        <v>4.4</v>
      </c>
      <c r="H6190" t="n">
        <v>0</v>
      </c>
      <c r="I6190" t="n">
        <v>0</v>
      </c>
      <c r="J6190" t="n">
        <v>0</v>
      </c>
      <c r="K6190" t="n">
        <v>0</v>
      </c>
      <c r="L6190" t="n">
        <v>0</v>
      </c>
      <c r="M6190" t="n">
        <v>0</v>
      </c>
      <c r="N6190" t="n">
        <v>0</v>
      </c>
      <c r="O6190" t="n">
        <v>0</v>
      </c>
      <c r="P6190" t="n">
        <v>0</v>
      </c>
      <c r="Q6190" t="n">
        <v>0</v>
      </c>
      <c r="R6190" s="2" t="inlineStr"/>
    </row>
    <row r="6191" ht="15" customHeight="1">
      <c r="A6191" t="inlineStr">
        <is>
          <t>A 58443-2023</t>
        </is>
      </c>
      <c r="B6191" s="1" t="n">
        <v>45250.91861111111</v>
      </c>
      <c r="C6191" s="1" t="n">
        <v>45884</v>
      </c>
      <c r="D6191" t="inlineStr">
        <is>
          <t>KALMAR LÄN</t>
        </is>
      </c>
      <c r="E6191" t="inlineStr">
        <is>
          <t>TORSÅS</t>
        </is>
      </c>
      <c r="G6191" t="n">
        <v>7.8</v>
      </c>
      <c r="H6191" t="n">
        <v>0</v>
      </c>
      <c r="I6191" t="n">
        <v>0</v>
      </c>
      <c r="J6191" t="n">
        <v>0</v>
      </c>
      <c r="K6191" t="n">
        <v>0</v>
      </c>
      <c r="L6191" t="n">
        <v>0</v>
      </c>
      <c r="M6191" t="n">
        <v>0</v>
      </c>
      <c r="N6191" t="n">
        <v>0</v>
      </c>
      <c r="O6191" t="n">
        <v>0</v>
      </c>
      <c r="P6191" t="n">
        <v>0</v>
      </c>
      <c r="Q6191" t="n">
        <v>0</v>
      </c>
      <c r="R6191" s="2" t="inlineStr"/>
    </row>
    <row r="6192" ht="15" customHeight="1">
      <c r="A6192" t="inlineStr">
        <is>
          <t>A 7335-2025</t>
        </is>
      </c>
      <c r="B6192" s="1" t="n">
        <v>45703.40652777778</v>
      </c>
      <c r="C6192" s="1" t="n">
        <v>45884</v>
      </c>
      <c r="D6192" t="inlineStr">
        <is>
          <t>KALMAR LÄN</t>
        </is>
      </c>
      <c r="E6192" t="inlineStr">
        <is>
          <t>HULTSFRED</t>
        </is>
      </c>
      <c r="F6192" t="inlineStr">
        <is>
          <t>Sveaskog</t>
        </is>
      </c>
      <c r="G6192" t="n">
        <v>4.4</v>
      </c>
      <c r="H6192" t="n">
        <v>0</v>
      </c>
      <c r="I6192" t="n">
        <v>0</v>
      </c>
      <c r="J6192" t="n">
        <v>0</v>
      </c>
      <c r="K6192" t="n">
        <v>0</v>
      </c>
      <c r="L6192" t="n">
        <v>0</v>
      </c>
      <c r="M6192" t="n">
        <v>0</v>
      </c>
      <c r="N6192" t="n">
        <v>0</v>
      </c>
      <c r="O6192" t="n">
        <v>0</v>
      </c>
      <c r="P6192" t="n">
        <v>0</v>
      </c>
      <c r="Q6192" t="n">
        <v>0</v>
      </c>
      <c r="R6192" s="2" t="inlineStr"/>
    </row>
    <row r="6193" ht="15" customHeight="1">
      <c r="A6193" t="inlineStr">
        <is>
          <t>A 7381-2025</t>
        </is>
      </c>
      <c r="B6193" s="1" t="n">
        <v>45705.32234953704</v>
      </c>
      <c r="C6193" s="1" t="n">
        <v>45884</v>
      </c>
      <c r="D6193" t="inlineStr">
        <is>
          <t>KALMAR LÄN</t>
        </is>
      </c>
      <c r="E6193" t="inlineStr">
        <is>
          <t>VÄSTERVIK</t>
        </is>
      </c>
      <c r="F6193" t="inlineStr">
        <is>
          <t>Kyrkan</t>
        </is>
      </c>
      <c r="G6193" t="n">
        <v>4.1</v>
      </c>
      <c r="H6193" t="n">
        <v>0</v>
      </c>
      <c r="I6193" t="n">
        <v>0</v>
      </c>
      <c r="J6193" t="n">
        <v>0</v>
      </c>
      <c r="K6193" t="n">
        <v>0</v>
      </c>
      <c r="L6193" t="n">
        <v>0</v>
      </c>
      <c r="M6193" t="n">
        <v>0</v>
      </c>
      <c r="N6193" t="n">
        <v>0</v>
      </c>
      <c r="O6193" t="n">
        <v>0</v>
      </c>
      <c r="P6193" t="n">
        <v>0</v>
      </c>
      <c r="Q6193" t="n">
        <v>0</v>
      </c>
      <c r="R6193" s="2" t="inlineStr"/>
    </row>
    <row r="6194" ht="15" customHeight="1">
      <c r="A6194" t="inlineStr">
        <is>
          <t>A 55605-2024</t>
        </is>
      </c>
      <c r="B6194" s="1" t="n">
        <v>45622</v>
      </c>
      <c r="C6194" s="1" t="n">
        <v>45884</v>
      </c>
      <c r="D6194" t="inlineStr">
        <is>
          <t>KALMAR LÄN</t>
        </is>
      </c>
      <c r="E6194" t="inlineStr">
        <is>
          <t>VIMMERBY</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44464-2024</t>
        </is>
      </c>
      <c r="B6195" s="1" t="n">
        <v>45574.35809027778</v>
      </c>
      <c r="C6195" s="1" t="n">
        <v>45884</v>
      </c>
      <c r="D6195" t="inlineStr">
        <is>
          <t>KALMAR LÄN</t>
        </is>
      </c>
      <c r="E6195" t="inlineStr">
        <is>
          <t>VIMMERBY</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36049-2024</t>
        </is>
      </c>
      <c r="B6196" s="1" t="n">
        <v>45533.61996527778</v>
      </c>
      <c r="C6196" s="1" t="n">
        <v>45884</v>
      </c>
      <c r="D6196" t="inlineStr">
        <is>
          <t>KALMAR LÄN</t>
        </is>
      </c>
      <c r="E6196" t="inlineStr">
        <is>
          <t>VIMMERBY</t>
        </is>
      </c>
      <c r="F6196" t="inlineStr">
        <is>
          <t>Kommuner</t>
        </is>
      </c>
      <c r="G6196" t="n">
        <v>2.6</v>
      </c>
      <c r="H6196" t="n">
        <v>0</v>
      </c>
      <c r="I6196" t="n">
        <v>0</v>
      </c>
      <c r="J6196" t="n">
        <v>0</v>
      </c>
      <c r="K6196" t="n">
        <v>0</v>
      </c>
      <c r="L6196" t="n">
        <v>0</v>
      </c>
      <c r="M6196" t="n">
        <v>0</v>
      </c>
      <c r="N6196" t="n">
        <v>0</v>
      </c>
      <c r="O6196" t="n">
        <v>0</v>
      </c>
      <c r="P6196" t="n">
        <v>0</v>
      </c>
      <c r="Q6196" t="n">
        <v>0</v>
      </c>
      <c r="R6196" s="2" t="inlineStr"/>
    </row>
    <row r="6197" ht="15" customHeight="1">
      <c r="A6197" t="inlineStr">
        <is>
          <t>A 15898-2023</t>
        </is>
      </c>
      <c r="B6197" s="1" t="n">
        <v>45022.47684027778</v>
      </c>
      <c r="C6197" s="1" t="n">
        <v>45884</v>
      </c>
      <c r="D6197" t="inlineStr">
        <is>
          <t>KALMAR LÄN</t>
        </is>
      </c>
      <c r="E6197" t="inlineStr">
        <is>
          <t>NYBRO</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24487-2025</t>
        </is>
      </c>
      <c r="B6198" s="1" t="n">
        <v>45798.38493055556</v>
      </c>
      <c r="C6198" s="1" t="n">
        <v>45884</v>
      </c>
      <c r="D6198" t="inlineStr">
        <is>
          <t>KALMAR LÄN</t>
        </is>
      </c>
      <c r="E6198" t="inlineStr">
        <is>
          <t>NYBRO</t>
        </is>
      </c>
      <c r="G6198" t="n">
        <v>3.9</v>
      </c>
      <c r="H6198" t="n">
        <v>0</v>
      </c>
      <c r="I6198" t="n">
        <v>0</v>
      </c>
      <c r="J6198" t="n">
        <v>0</v>
      </c>
      <c r="K6198" t="n">
        <v>0</v>
      </c>
      <c r="L6198" t="n">
        <v>0</v>
      </c>
      <c r="M6198" t="n">
        <v>0</v>
      </c>
      <c r="N6198" t="n">
        <v>0</v>
      </c>
      <c r="O6198" t="n">
        <v>0</v>
      </c>
      <c r="P6198" t="n">
        <v>0</v>
      </c>
      <c r="Q6198" t="n">
        <v>0</v>
      </c>
      <c r="R6198" s="2" t="inlineStr"/>
    </row>
    <row r="6199" ht="15" customHeight="1">
      <c r="A6199" t="inlineStr">
        <is>
          <t>A 61409-2024</t>
        </is>
      </c>
      <c r="B6199" s="1" t="n">
        <v>45646</v>
      </c>
      <c r="C6199" s="1" t="n">
        <v>45884</v>
      </c>
      <c r="D6199" t="inlineStr">
        <is>
          <t>KALMAR LÄN</t>
        </is>
      </c>
      <c r="E6199" t="inlineStr">
        <is>
          <t>KALMAR</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10345-2025</t>
        </is>
      </c>
      <c r="B6200" s="1" t="n">
        <v>45720.50233796296</v>
      </c>
      <c r="C6200" s="1" t="n">
        <v>45884</v>
      </c>
      <c r="D6200" t="inlineStr">
        <is>
          <t>KALMAR LÄN</t>
        </is>
      </c>
      <c r="E6200" t="inlineStr">
        <is>
          <t>KALMAR</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46613-2023</t>
        </is>
      </c>
      <c r="B6201" s="1" t="n">
        <v>45198.40052083333</v>
      </c>
      <c r="C6201" s="1" t="n">
        <v>45884</v>
      </c>
      <c r="D6201" t="inlineStr">
        <is>
          <t>KALMAR LÄN</t>
        </is>
      </c>
      <c r="E6201" t="inlineStr">
        <is>
          <t>OSKARSHAMN</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6330-2023</t>
        </is>
      </c>
      <c r="B6202" s="1" t="n">
        <v>44965.4890162037</v>
      </c>
      <c r="C6202" s="1" t="n">
        <v>45884</v>
      </c>
      <c r="D6202" t="inlineStr">
        <is>
          <t>KALMAR LÄN</t>
        </is>
      </c>
      <c r="E6202" t="inlineStr">
        <is>
          <t>EMMABODA</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4297-2022</t>
        </is>
      </c>
      <c r="B6203" s="1" t="n">
        <v>44588</v>
      </c>
      <c r="C6203" s="1" t="n">
        <v>45884</v>
      </c>
      <c r="D6203" t="inlineStr">
        <is>
          <t>KALMAR LÄN</t>
        </is>
      </c>
      <c r="E6203" t="inlineStr">
        <is>
          <t>VIMMERBY</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13156-2025</t>
        </is>
      </c>
      <c r="B6204" s="1" t="n">
        <v>45735.35633101852</v>
      </c>
      <c r="C6204" s="1" t="n">
        <v>45884</v>
      </c>
      <c r="D6204" t="inlineStr">
        <is>
          <t>KALMAR LÄN</t>
        </is>
      </c>
      <c r="E6204" t="inlineStr">
        <is>
          <t>HULTSFRED</t>
        </is>
      </c>
      <c r="G6204" t="n">
        <v>1.1</v>
      </c>
      <c r="H6204" t="n">
        <v>0</v>
      </c>
      <c r="I6204" t="n">
        <v>0</v>
      </c>
      <c r="J6204" t="n">
        <v>0</v>
      </c>
      <c r="K6204" t="n">
        <v>0</v>
      </c>
      <c r="L6204" t="n">
        <v>0</v>
      </c>
      <c r="M6204" t="n">
        <v>0</v>
      </c>
      <c r="N6204" t="n">
        <v>0</v>
      </c>
      <c r="O6204" t="n">
        <v>0</v>
      </c>
      <c r="P6204" t="n">
        <v>0</v>
      </c>
      <c r="Q6204" t="n">
        <v>0</v>
      </c>
      <c r="R6204" s="2" t="inlineStr"/>
    </row>
    <row r="6205" ht="15" customHeight="1">
      <c r="A6205" t="inlineStr">
        <is>
          <t>A 61318-2022</t>
        </is>
      </c>
      <c r="B6205" s="1" t="n">
        <v>44915.65098379629</v>
      </c>
      <c r="C6205" s="1" t="n">
        <v>45884</v>
      </c>
      <c r="D6205" t="inlineStr">
        <is>
          <t>KALMAR LÄN</t>
        </is>
      </c>
      <c r="E6205" t="inlineStr">
        <is>
          <t>OSKARSHAMN</t>
        </is>
      </c>
      <c r="G6205" t="n">
        <v>7.2</v>
      </c>
      <c r="H6205" t="n">
        <v>0</v>
      </c>
      <c r="I6205" t="n">
        <v>0</v>
      </c>
      <c r="J6205" t="n">
        <v>0</v>
      </c>
      <c r="K6205" t="n">
        <v>0</v>
      </c>
      <c r="L6205" t="n">
        <v>0</v>
      </c>
      <c r="M6205" t="n">
        <v>0</v>
      </c>
      <c r="N6205" t="n">
        <v>0</v>
      </c>
      <c r="O6205" t="n">
        <v>0</v>
      </c>
      <c r="P6205" t="n">
        <v>0</v>
      </c>
      <c r="Q6205" t="n">
        <v>0</v>
      </c>
      <c r="R6205" s="2" t="inlineStr"/>
    </row>
    <row r="6206" ht="15" customHeight="1">
      <c r="A6206" t="inlineStr">
        <is>
          <t>A 23577-2023</t>
        </is>
      </c>
      <c r="B6206" s="1" t="n">
        <v>45077</v>
      </c>
      <c r="C6206" s="1" t="n">
        <v>45884</v>
      </c>
      <c r="D6206" t="inlineStr">
        <is>
          <t>KALMAR LÄN</t>
        </is>
      </c>
      <c r="E6206" t="inlineStr">
        <is>
          <t>NYBRO</t>
        </is>
      </c>
      <c r="G6206" t="n">
        <v>10.3</v>
      </c>
      <c r="H6206" t="n">
        <v>0</v>
      </c>
      <c r="I6206" t="n">
        <v>0</v>
      </c>
      <c r="J6206" t="n">
        <v>0</v>
      </c>
      <c r="K6206" t="n">
        <v>0</v>
      </c>
      <c r="L6206" t="n">
        <v>0</v>
      </c>
      <c r="M6206" t="n">
        <v>0</v>
      </c>
      <c r="N6206" t="n">
        <v>0</v>
      </c>
      <c r="O6206" t="n">
        <v>0</v>
      </c>
      <c r="P6206" t="n">
        <v>0</v>
      </c>
      <c r="Q6206" t="n">
        <v>0</v>
      </c>
      <c r="R6206" s="2" t="inlineStr"/>
    </row>
    <row r="6207" ht="15" customHeight="1">
      <c r="A6207" t="inlineStr">
        <is>
          <t>A 46024-2023</t>
        </is>
      </c>
      <c r="B6207" s="1" t="n">
        <v>45196.41028935185</v>
      </c>
      <c r="C6207" s="1" t="n">
        <v>45884</v>
      </c>
      <c r="D6207" t="inlineStr">
        <is>
          <t>KALMAR LÄN</t>
        </is>
      </c>
      <c r="E6207" t="inlineStr">
        <is>
          <t>NYBRO</t>
        </is>
      </c>
      <c r="G6207" t="n">
        <v>1.6</v>
      </c>
      <c r="H6207" t="n">
        <v>0</v>
      </c>
      <c r="I6207" t="n">
        <v>0</v>
      </c>
      <c r="J6207" t="n">
        <v>0</v>
      </c>
      <c r="K6207" t="n">
        <v>0</v>
      </c>
      <c r="L6207" t="n">
        <v>0</v>
      </c>
      <c r="M6207" t="n">
        <v>0</v>
      </c>
      <c r="N6207" t="n">
        <v>0</v>
      </c>
      <c r="O6207" t="n">
        <v>0</v>
      </c>
      <c r="P6207" t="n">
        <v>0</v>
      </c>
      <c r="Q6207" t="n">
        <v>0</v>
      </c>
      <c r="R6207" s="2" t="inlineStr"/>
    </row>
    <row r="6208" ht="15" customHeight="1">
      <c r="A6208" t="inlineStr">
        <is>
          <t>A 46030-2023</t>
        </is>
      </c>
      <c r="B6208" s="1" t="n">
        <v>45196.42462962963</v>
      </c>
      <c r="C6208" s="1" t="n">
        <v>45884</v>
      </c>
      <c r="D6208" t="inlineStr">
        <is>
          <t>KALMAR LÄN</t>
        </is>
      </c>
      <c r="E6208" t="inlineStr">
        <is>
          <t>TORSÅS</t>
        </is>
      </c>
      <c r="G6208" t="n">
        <v>3.1</v>
      </c>
      <c r="H6208" t="n">
        <v>0</v>
      </c>
      <c r="I6208" t="n">
        <v>0</v>
      </c>
      <c r="J6208" t="n">
        <v>0</v>
      </c>
      <c r="K6208" t="n">
        <v>0</v>
      </c>
      <c r="L6208" t="n">
        <v>0</v>
      </c>
      <c r="M6208" t="n">
        <v>0</v>
      </c>
      <c r="N6208" t="n">
        <v>0</v>
      </c>
      <c r="O6208" t="n">
        <v>0</v>
      </c>
      <c r="P6208" t="n">
        <v>0</v>
      </c>
      <c r="Q6208" t="n">
        <v>0</v>
      </c>
      <c r="R6208" s="2" t="inlineStr"/>
    </row>
    <row r="6209" ht="15" customHeight="1">
      <c r="A6209" t="inlineStr">
        <is>
          <t>A 19639-2025</t>
        </is>
      </c>
      <c r="B6209" s="1" t="n">
        <v>45770.65423611111</v>
      </c>
      <c r="C6209" s="1" t="n">
        <v>45884</v>
      </c>
      <c r="D6209" t="inlineStr">
        <is>
          <t>KALMAR LÄN</t>
        </is>
      </c>
      <c r="E6209" t="inlineStr">
        <is>
          <t>TORSÅS</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24166-2022</t>
        </is>
      </c>
      <c r="B6210" s="1" t="n">
        <v>44725</v>
      </c>
      <c r="C6210" s="1" t="n">
        <v>45884</v>
      </c>
      <c r="D6210" t="inlineStr">
        <is>
          <t>KALMAR LÄN</t>
        </is>
      </c>
      <c r="E6210" t="inlineStr">
        <is>
          <t>BORGHOLM</t>
        </is>
      </c>
      <c r="G6210" t="n">
        <v>10.7</v>
      </c>
      <c r="H6210" t="n">
        <v>0</v>
      </c>
      <c r="I6210" t="n">
        <v>0</v>
      </c>
      <c r="J6210" t="n">
        <v>0</v>
      </c>
      <c r="K6210" t="n">
        <v>0</v>
      </c>
      <c r="L6210" t="n">
        <v>0</v>
      </c>
      <c r="M6210" t="n">
        <v>0</v>
      </c>
      <c r="N6210" t="n">
        <v>0</v>
      </c>
      <c r="O6210" t="n">
        <v>0</v>
      </c>
      <c r="P6210" t="n">
        <v>0</v>
      </c>
      <c r="Q6210" t="n">
        <v>0</v>
      </c>
      <c r="R6210" s="2" t="inlineStr"/>
    </row>
    <row r="6211" ht="15" customHeight="1">
      <c r="A6211" t="inlineStr">
        <is>
          <t>A 562-2023</t>
        </is>
      </c>
      <c r="B6211" s="1" t="n">
        <v>44930</v>
      </c>
      <c r="C6211" s="1" t="n">
        <v>45884</v>
      </c>
      <c r="D6211" t="inlineStr">
        <is>
          <t>KALMAR LÄN</t>
        </is>
      </c>
      <c r="E6211" t="inlineStr">
        <is>
          <t>VÄSTERVIK</t>
        </is>
      </c>
      <c r="G6211" t="n">
        <v>0.4</v>
      </c>
      <c r="H6211" t="n">
        <v>0</v>
      </c>
      <c r="I6211" t="n">
        <v>0</v>
      </c>
      <c r="J6211" t="n">
        <v>0</v>
      </c>
      <c r="K6211" t="n">
        <v>0</v>
      </c>
      <c r="L6211" t="n">
        <v>0</v>
      </c>
      <c r="M6211" t="n">
        <v>0</v>
      </c>
      <c r="N6211" t="n">
        <v>0</v>
      </c>
      <c r="O6211" t="n">
        <v>0</v>
      </c>
      <c r="P6211" t="n">
        <v>0</v>
      </c>
      <c r="Q6211" t="n">
        <v>0</v>
      </c>
      <c r="R6211" s="2" t="inlineStr"/>
    </row>
    <row r="6212" ht="15" customHeight="1">
      <c r="A6212" t="inlineStr">
        <is>
          <t>A 24178-2025</t>
        </is>
      </c>
      <c r="B6212" s="1" t="n">
        <v>45796</v>
      </c>
      <c r="C6212" s="1" t="n">
        <v>45884</v>
      </c>
      <c r="D6212" t="inlineStr">
        <is>
          <t>KALMAR LÄN</t>
        </is>
      </c>
      <c r="E6212" t="inlineStr">
        <is>
          <t>HÖGSBY</t>
        </is>
      </c>
      <c r="G6212" t="n">
        <v>7.7</v>
      </c>
      <c r="H6212" t="n">
        <v>0</v>
      </c>
      <c r="I6212" t="n">
        <v>0</v>
      </c>
      <c r="J6212" t="n">
        <v>0</v>
      </c>
      <c r="K6212" t="n">
        <v>0</v>
      </c>
      <c r="L6212" t="n">
        <v>0</v>
      </c>
      <c r="M6212" t="n">
        <v>0</v>
      </c>
      <c r="N6212" t="n">
        <v>0</v>
      </c>
      <c r="O6212" t="n">
        <v>0</v>
      </c>
      <c r="P6212" t="n">
        <v>0</v>
      </c>
      <c r="Q6212" t="n">
        <v>0</v>
      </c>
      <c r="R6212" s="2" t="inlineStr"/>
    </row>
    <row r="6213" ht="15" customHeight="1">
      <c r="A6213" t="inlineStr">
        <is>
          <t>A 24710-2025</t>
        </is>
      </c>
      <c r="B6213" s="1" t="n">
        <v>45798.87049768519</v>
      </c>
      <c r="C6213" s="1" t="n">
        <v>45884</v>
      </c>
      <c r="D6213" t="inlineStr">
        <is>
          <t>KALMAR LÄN</t>
        </is>
      </c>
      <c r="E6213" t="inlineStr">
        <is>
          <t>NYBRO</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24779-2025</t>
        </is>
      </c>
      <c r="B6214" s="1" t="n">
        <v>45799.41569444445</v>
      </c>
      <c r="C6214" s="1" t="n">
        <v>45884</v>
      </c>
      <c r="D6214" t="inlineStr">
        <is>
          <t>KALMAR LÄN</t>
        </is>
      </c>
      <c r="E6214" t="inlineStr">
        <is>
          <t>HULTSFRED</t>
        </is>
      </c>
      <c r="F6214" t="inlineStr">
        <is>
          <t>Sveaskog</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26909-2022</t>
        </is>
      </c>
      <c r="B6215" s="1" t="n">
        <v>44740.59510416666</v>
      </c>
      <c r="C6215" s="1" t="n">
        <v>45884</v>
      </c>
      <c r="D6215" t="inlineStr">
        <is>
          <t>KALMAR LÄN</t>
        </is>
      </c>
      <c r="E6215" t="inlineStr">
        <is>
          <t>HULTSFRED</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37094-2022</t>
        </is>
      </c>
      <c r="B6216" s="1" t="n">
        <v>44806</v>
      </c>
      <c r="C6216" s="1" t="n">
        <v>45884</v>
      </c>
      <c r="D6216" t="inlineStr">
        <is>
          <t>KALMAR LÄN</t>
        </is>
      </c>
      <c r="E6216" t="inlineStr">
        <is>
          <t>MÖNSTERÅS</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27676-2022</t>
        </is>
      </c>
      <c r="B6217" s="1" t="n">
        <v>44743.42150462963</v>
      </c>
      <c r="C6217" s="1" t="n">
        <v>45884</v>
      </c>
      <c r="D6217" t="inlineStr">
        <is>
          <t>KALMAR LÄN</t>
        </is>
      </c>
      <c r="E6217" t="inlineStr">
        <is>
          <t>EMMABODA</t>
        </is>
      </c>
      <c r="G6217" t="n">
        <v>0.7</v>
      </c>
      <c r="H6217" t="n">
        <v>0</v>
      </c>
      <c r="I6217" t="n">
        <v>0</v>
      </c>
      <c r="J6217" t="n">
        <v>0</v>
      </c>
      <c r="K6217" t="n">
        <v>0</v>
      </c>
      <c r="L6217" t="n">
        <v>0</v>
      </c>
      <c r="M6217" t="n">
        <v>0</v>
      </c>
      <c r="N6217" t="n">
        <v>0</v>
      </c>
      <c r="O6217" t="n">
        <v>0</v>
      </c>
      <c r="P6217" t="n">
        <v>0</v>
      </c>
      <c r="Q6217" t="n">
        <v>0</v>
      </c>
      <c r="R6217" s="2" t="inlineStr"/>
    </row>
    <row r="6218" ht="15" customHeight="1">
      <c r="A6218" t="inlineStr">
        <is>
          <t>A 7840-2025</t>
        </is>
      </c>
      <c r="B6218" s="1" t="n">
        <v>45706.65895833333</v>
      </c>
      <c r="C6218" s="1" t="n">
        <v>45884</v>
      </c>
      <c r="D6218" t="inlineStr">
        <is>
          <t>KALMAR LÄN</t>
        </is>
      </c>
      <c r="E6218" t="inlineStr">
        <is>
          <t>VÄSTERVIK</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46399-2024</t>
        </is>
      </c>
      <c r="B6219" s="1" t="n">
        <v>45582.41200231481</v>
      </c>
      <c r="C6219" s="1" t="n">
        <v>45884</v>
      </c>
      <c r="D6219" t="inlineStr">
        <is>
          <t>KALMAR LÄN</t>
        </is>
      </c>
      <c r="E6219" t="inlineStr">
        <is>
          <t>VIMMERBY</t>
        </is>
      </c>
      <c r="G6219" t="n">
        <v>4.6</v>
      </c>
      <c r="H6219" t="n">
        <v>0</v>
      </c>
      <c r="I6219" t="n">
        <v>0</v>
      </c>
      <c r="J6219" t="n">
        <v>0</v>
      </c>
      <c r="K6219" t="n">
        <v>0</v>
      </c>
      <c r="L6219" t="n">
        <v>0</v>
      </c>
      <c r="M6219" t="n">
        <v>0</v>
      </c>
      <c r="N6219" t="n">
        <v>0</v>
      </c>
      <c r="O6219" t="n">
        <v>0</v>
      </c>
      <c r="P6219" t="n">
        <v>0</v>
      </c>
      <c r="Q6219" t="n">
        <v>0</v>
      </c>
      <c r="R6219" s="2" t="inlineStr"/>
    </row>
    <row r="6220" ht="15" customHeight="1">
      <c r="A6220" t="inlineStr">
        <is>
          <t>A 44582-2024</t>
        </is>
      </c>
      <c r="B6220" s="1" t="n">
        <v>45574.49298611111</v>
      </c>
      <c r="C6220" s="1" t="n">
        <v>45884</v>
      </c>
      <c r="D6220" t="inlineStr">
        <is>
          <t>KALMAR LÄN</t>
        </is>
      </c>
      <c r="E6220" t="inlineStr">
        <is>
          <t>VIMMERBY</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24672-2025</t>
        </is>
      </c>
      <c r="B6221" s="1" t="n">
        <v>45798.65099537037</v>
      </c>
      <c r="C6221" s="1" t="n">
        <v>45884</v>
      </c>
      <c r="D6221" t="inlineStr">
        <is>
          <t>KALMAR LÄN</t>
        </is>
      </c>
      <c r="E6221" t="inlineStr">
        <is>
          <t>TORSÅS</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15440-2025</t>
        </is>
      </c>
      <c r="B6222" s="1" t="n">
        <v>45747.48170138889</v>
      </c>
      <c r="C6222" s="1" t="n">
        <v>45884</v>
      </c>
      <c r="D6222" t="inlineStr">
        <is>
          <t>KALMAR LÄN</t>
        </is>
      </c>
      <c r="E6222" t="inlineStr">
        <is>
          <t>VÄSTERVIK</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14237-2024</t>
        </is>
      </c>
      <c r="B6223" s="1" t="n">
        <v>45393.47158564815</v>
      </c>
      <c r="C6223" s="1" t="n">
        <v>45884</v>
      </c>
      <c r="D6223" t="inlineStr">
        <is>
          <t>KALMAR LÄN</t>
        </is>
      </c>
      <c r="E6223" t="inlineStr">
        <is>
          <t>VÄSTERVIK</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59764-2024</t>
        </is>
      </c>
      <c r="B6224" s="1" t="n">
        <v>45638</v>
      </c>
      <c r="C6224" s="1" t="n">
        <v>45884</v>
      </c>
      <c r="D6224" t="inlineStr">
        <is>
          <t>KALMAR LÄN</t>
        </is>
      </c>
      <c r="E6224" t="inlineStr">
        <is>
          <t>HULTSFRED</t>
        </is>
      </c>
      <c r="G6224" t="n">
        <v>2.1</v>
      </c>
      <c r="H6224" t="n">
        <v>0</v>
      </c>
      <c r="I6224" t="n">
        <v>0</v>
      </c>
      <c r="J6224" t="n">
        <v>0</v>
      </c>
      <c r="K6224" t="n">
        <v>0</v>
      </c>
      <c r="L6224" t="n">
        <v>0</v>
      </c>
      <c r="M6224" t="n">
        <v>0</v>
      </c>
      <c r="N6224" t="n">
        <v>0</v>
      </c>
      <c r="O6224" t="n">
        <v>0</v>
      </c>
      <c r="P6224" t="n">
        <v>0</v>
      </c>
      <c r="Q6224" t="n">
        <v>0</v>
      </c>
      <c r="R6224" s="2" t="inlineStr"/>
    </row>
    <row r="6225" ht="15" customHeight="1">
      <c r="A6225" t="inlineStr">
        <is>
          <t>A 65059-2023</t>
        </is>
      </c>
      <c r="B6225" s="1" t="n">
        <v>45287</v>
      </c>
      <c r="C6225" s="1" t="n">
        <v>45884</v>
      </c>
      <c r="D6225" t="inlineStr">
        <is>
          <t>KALMAR LÄN</t>
        </is>
      </c>
      <c r="E6225" t="inlineStr">
        <is>
          <t>VÄSTERVIK</t>
        </is>
      </c>
      <c r="F6225" t="inlineStr">
        <is>
          <t>Holmen skog AB</t>
        </is>
      </c>
      <c r="G6225" t="n">
        <v>4.9</v>
      </c>
      <c r="H6225" t="n">
        <v>0</v>
      </c>
      <c r="I6225" t="n">
        <v>0</v>
      </c>
      <c r="J6225" t="n">
        <v>0</v>
      </c>
      <c r="K6225" t="n">
        <v>0</v>
      </c>
      <c r="L6225" t="n">
        <v>0</v>
      </c>
      <c r="M6225" t="n">
        <v>0</v>
      </c>
      <c r="N6225" t="n">
        <v>0</v>
      </c>
      <c r="O6225" t="n">
        <v>0</v>
      </c>
      <c r="P6225" t="n">
        <v>0</v>
      </c>
      <c r="Q6225" t="n">
        <v>0</v>
      </c>
      <c r="R6225" s="2" t="inlineStr"/>
    </row>
    <row r="6226" ht="15" customHeight="1">
      <c r="A6226" t="inlineStr">
        <is>
          <t>A 44046-2023</t>
        </is>
      </c>
      <c r="B6226" s="1" t="n">
        <v>45188.38238425926</v>
      </c>
      <c r="C6226" s="1" t="n">
        <v>45884</v>
      </c>
      <c r="D6226" t="inlineStr">
        <is>
          <t>KALMAR LÄN</t>
        </is>
      </c>
      <c r="E6226" t="inlineStr">
        <is>
          <t>KALMAR</t>
        </is>
      </c>
      <c r="G6226" t="n">
        <v>1.8</v>
      </c>
      <c r="H6226" t="n">
        <v>0</v>
      </c>
      <c r="I6226" t="n">
        <v>0</v>
      </c>
      <c r="J6226" t="n">
        <v>0</v>
      </c>
      <c r="K6226" t="n">
        <v>0</v>
      </c>
      <c r="L6226" t="n">
        <v>0</v>
      </c>
      <c r="M6226" t="n">
        <v>0</v>
      </c>
      <c r="N6226" t="n">
        <v>0</v>
      </c>
      <c r="O6226" t="n">
        <v>0</v>
      </c>
      <c r="P6226" t="n">
        <v>0</v>
      </c>
      <c r="Q6226" t="n">
        <v>0</v>
      </c>
      <c r="R6226" s="2" t="inlineStr"/>
    </row>
    <row r="6227" ht="15" customHeight="1">
      <c r="A6227" t="inlineStr">
        <is>
          <t>A 59802-2024</t>
        </is>
      </c>
      <c r="B6227" s="1" t="n">
        <v>45639.59788194444</v>
      </c>
      <c r="C6227" s="1" t="n">
        <v>45884</v>
      </c>
      <c r="D6227" t="inlineStr">
        <is>
          <t>KALMAR LÄN</t>
        </is>
      </c>
      <c r="E6227" t="inlineStr">
        <is>
          <t>MÖNSTERÅS</t>
        </is>
      </c>
      <c r="G6227" t="n">
        <v>0.4</v>
      </c>
      <c r="H6227" t="n">
        <v>0</v>
      </c>
      <c r="I6227" t="n">
        <v>0</v>
      </c>
      <c r="J6227" t="n">
        <v>0</v>
      </c>
      <c r="K6227" t="n">
        <v>0</v>
      </c>
      <c r="L6227" t="n">
        <v>0</v>
      </c>
      <c r="M6227" t="n">
        <v>0</v>
      </c>
      <c r="N6227" t="n">
        <v>0</v>
      </c>
      <c r="O6227" t="n">
        <v>0</v>
      </c>
      <c r="P6227" t="n">
        <v>0</v>
      </c>
      <c r="Q6227" t="n">
        <v>0</v>
      </c>
      <c r="R6227" s="2" t="inlineStr"/>
    </row>
    <row r="6228" ht="15" customHeight="1">
      <c r="A6228" t="inlineStr">
        <is>
          <t>A 44705-2023</t>
        </is>
      </c>
      <c r="B6228" s="1" t="n">
        <v>45190</v>
      </c>
      <c r="C6228" s="1" t="n">
        <v>45884</v>
      </c>
      <c r="D6228" t="inlineStr">
        <is>
          <t>KALMAR LÄN</t>
        </is>
      </c>
      <c r="E6228" t="inlineStr">
        <is>
          <t>VÄSTERVIK</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44779-2023</t>
        </is>
      </c>
      <c r="B6229" s="1" t="n">
        <v>45190</v>
      </c>
      <c r="C6229" s="1" t="n">
        <v>45884</v>
      </c>
      <c r="D6229" t="inlineStr">
        <is>
          <t>KALMAR LÄN</t>
        </is>
      </c>
      <c r="E6229" t="inlineStr">
        <is>
          <t>NYBRO</t>
        </is>
      </c>
      <c r="G6229" t="n">
        <v>0.3</v>
      </c>
      <c r="H6229" t="n">
        <v>0</v>
      </c>
      <c r="I6229" t="n">
        <v>0</v>
      </c>
      <c r="J6229" t="n">
        <v>0</v>
      </c>
      <c r="K6229" t="n">
        <v>0</v>
      </c>
      <c r="L6229" t="n">
        <v>0</v>
      </c>
      <c r="M6229" t="n">
        <v>0</v>
      </c>
      <c r="N6229" t="n">
        <v>0</v>
      </c>
      <c r="O6229" t="n">
        <v>0</v>
      </c>
      <c r="P6229" t="n">
        <v>0</v>
      </c>
      <c r="Q6229" t="n">
        <v>0</v>
      </c>
      <c r="R6229" s="2" t="inlineStr"/>
    </row>
    <row r="6230" ht="15" customHeight="1">
      <c r="A6230" t="inlineStr">
        <is>
          <t>A 16530-2024</t>
        </is>
      </c>
      <c r="B6230" s="1" t="n">
        <v>45408.42273148148</v>
      </c>
      <c r="C6230" s="1" t="n">
        <v>45884</v>
      </c>
      <c r="D6230" t="inlineStr">
        <is>
          <t>KALMAR LÄN</t>
        </is>
      </c>
      <c r="E6230" t="inlineStr">
        <is>
          <t>NYBRO</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35534-2024</t>
        </is>
      </c>
      <c r="B6231" s="1" t="n">
        <v>45531</v>
      </c>
      <c r="C6231" s="1" t="n">
        <v>45884</v>
      </c>
      <c r="D6231" t="inlineStr">
        <is>
          <t>KALMAR LÄN</t>
        </is>
      </c>
      <c r="E6231" t="inlineStr">
        <is>
          <t>OSKARSHAMN</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33903-2025</t>
        </is>
      </c>
      <c r="B6232" s="1" t="n">
        <v>45842.59581018519</v>
      </c>
      <c r="C6232" s="1" t="n">
        <v>45884</v>
      </c>
      <c r="D6232" t="inlineStr">
        <is>
          <t>KALMAR LÄN</t>
        </is>
      </c>
      <c r="E6232" t="inlineStr">
        <is>
          <t>VÄSTERVIK</t>
        </is>
      </c>
      <c r="G6232" t="n">
        <v>3.7</v>
      </c>
      <c r="H6232" t="n">
        <v>0</v>
      </c>
      <c r="I6232" t="n">
        <v>0</v>
      </c>
      <c r="J6232" t="n">
        <v>0</v>
      </c>
      <c r="K6232" t="n">
        <v>0</v>
      </c>
      <c r="L6232" t="n">
        <v>0</v>
      </c>
      <c r="M6232" t="n">
        <v>0</v>
      </c>
      <c r="N6232" t="n">
        <v>0</v>
      </c>
      <c r="O6232" t="n">
        <v>0</v>
      </c>
      <c r="P6232" t="n">
        <v>0</v>
      </c>
      <c r="Q6232" t="n">
        <v>0</v>
      </c>
      <c r="R6232" s="2" t="inlineStr"/>
    </row>
    <row r="6233" ht="15" customHeight="1">
      <c r="A6233" t="inlineStr">
        <is>
          <t>A 48035-2024</t>
        </is>
      </c>
      <c r="B6233" s="1" t="n">
        <v>45589.49168981481</v>
      </c>
      <c r="C6233" s="1" t="n">
        <v>45884</v>
      </c>
      <c r="D6233" t="inlineStr">
        <is>
          <t>KALMAR LÄN</t>
        </is>
      </c>
      <c r="E6233" t="inlineStr">
        <is>
          <t>VÄSTERVIK</t>
        </is>
      </c>
      <c r="G6233" t="n">
        <v>2.1</v>
      </c>
      <c r="H6233" t="n">
        <v>0</v>
      </c>
      <c r="I6233" t="n">
        <v>0</v>
      </c>
      <c r="J6233" t="n">
        <v>0</v>
      </c>
      <c r="K6233" t="n">
        <v>0</v>
      </c>
      <c r="L6233" t="n">
        <v>0</v>
      </c>
      <c r="M6233" t="n">
        <v>0</v>
      </c>
      <c r="N6233" t="n">
        <v>0</v>
      </c>
      <c r="O6233" t="n">
        <v>0</v>
      </c>
      <c r="P6233" t="n">
        <v>0</v>
      </c>
      <c r="Q6233" t="n">
        <v>0</v>
      </c>
      <c r="R6233" s="2" t="inlineStr"/>
    </row>
    <row r="6234" ht="15" customHeight="1">
      <c r="A6234" t="inlineStr">
        <is>
          <t>A 29021-2022</t>
        </is>
      </c>
      <c r="B6234" s="1" t="n">
        <v>44749.77538194445</v>
      </c>
      <c r="C6234" s="1" t="n">
        <v>45884</v>
      </c>
      <c r="D6234" t="inlineStr">
        <is>
          <t>KALMAR LÄN</t>
        </is>
      </c>
      <c r="E6234" t="inlineStr">
        <is>
          <t>OSKARSHAMN</t>
        </is>
      </c>
      <c r="G6234" t="n">
        <v>8.4</v>
      </c>
      <c r="H6234" t="n">
        <v>0</v>
      </c>
      <c r="I6234" t="n">
        <v>0</v>
      </c>
      <c r="J6234" t="n">
        <v>0</v>
      </c>
      <c r="K6234" t="n">
        <v>0</v>
      </c>
      <c r="L6234" t="n">
        <v>0</v>
      </c>
      <c r="M6234" t="n">
        <v>0</v>
      </c>
      <c r="N6234" t="n">
        <v>0</v>
      </c>
      <c r="O6234" t="n">
        <v>0</v>
      </c>
      <c r="P6234" t="n">
        <v>0</v>
      </c>
      <c r="Q6234" t="n">
        <v>0</v>
      </c>
      <c r="R6234" s="2" t="inlineStr"/>
    </row>
    <row r="6235" ht="15" customHeight="1">
      <c r="A6235" t="inlineStr">
        <is>
          <t>A 29023-2022</t>
        </is>
      </c>
      <c r="B6235" s="1" t="n">
        <v>44749.78425925926</v>
      </c>
      <c r="C6235" s="1" t="n">
        <v>45884</v>
      </c>
      <c r="D6235" t="inlineStr">
        <is>
          <t>KALMAR LÄN</t>
        </is>
      </c>
      <c r="E6235" t="inlineStr">
        <is>
          <t>EMMABODA</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15451-2021</t>
        </is>
      </c>
      <c r="B6236" s="1" t="n">
        <v>44285</v>
      </c>
      <c r="C6236" s="1" t="n">
        <v>45884</v>
      </c>
      <c r="D6236" t="inlineStr">
        <is>
          <t>KALMAR LÄN</t>
        </is>
      </c>
      <c r="E6236" t="inlineStr">
        <is>
          <t>HÖGSBY</t>
        </is>
      </c>
      <c r="G6236" t="n">
        <v>3</v>
      </c>
      <c r="H6236" t="n">
        <v>0</v>
      </c>
      <c r="I6236" t="n">
        <v>0</v>
      </c>
      <c r="J6236" t="n">
        <v>0</v>
      </c>
      <c r="K6236" t="n">
        <v>0</v>
      </c>
      <c r="L6236" t="n">
        <v>0</v>
      </c>
      <c r="M6236" t="n">
        <v>0</v>
      </c>
      <c r="N6236" t="n">
        <v>0</v>
      </c>
      <c r="O6236" t="n">
        <v>0</v>
      </c>
      <c r="P6236" t="n">
        <v>0</v>
      </c>
      <c r="Q6236" t="n">
        <v>0</v>
      </c>
      <c r="R6236" s="2" t="inlineStr"/>
    </row>
    <row r="6237" ht="15" customHeight="1">
      <c r="A6237" t="inlineStr">
        <is>
          <t>A 53987-2024</t>
        </is>
      </c>
      <c r="B6237" s="1" t="n">
        <v>45615</v>
      </c>
      <c r="C6237" s="1" t="n">
        <v>45884</v>
      </c>
      <c r="D6237" t="inlineStr">
        <is>
          <t>KALMAR LÄN</t>
        </is>
      </c>
      <c r="E6237" t="inlineStr">
        <is>
          <t>NYBRO</t>
        </is>
      </c>
      <c r="G6237" t="n">
        <v>2.2</v>
      </c>
      <c r="H6237" t="n">
        <v>0</v>
      </c>
      <c r="I6237" t="n">
        <v>0</v>
      </c>
      <c r="J6237" t="n">
        <v>0</v>
      </c>
      <c r="K6237" t="n">
        <v>0</v>
      </c>
      <c r="L6237" t="n">
        <v>0</v>
      </c>
      <c r="M6237" t="n">
        <v>0</v>
      </c>
      <c r="N6237" t="n">
        <v>0</v>
      </c>
      <c r="O6237" t="n">
        <v>0</v>
      </c>
      <c r="P6237" t="n">
        <v>0</v>
      </c>
      <c r="Q6237" t="n">
        <v>0</v>
      </c>
      <c r="R6237" s="2" t="inlineStr"/>
    </row>
    <row r="6238" ht="15" customHeight="1">
      <c r="A6238" t="inlineStr">
        <is>
          <t>A 4401-2024</t>
        </is>
      </c>
      <c r="B6238" s="1" t="n">
        <v>45327.39550925926</v>
      </c>
      <c r="C6238" s="1" t="n">
        <v>45884</v>
      </c>
      <c r="D6238" t="inlineStr">
        <is>
          <t>KALMAR LÄN</t>
        </is>
      </c>
      <c r="E6238" t="inlineStr">
        <is>
          <t>EMMABODA</t>
        </is>
      </c>
      <c r="G6238" t="n">
        <v>0.6</v>
      </c>
      <c r="H6238" t="n">
        <v>0</v>
      </c>
      <c r="I6238" t="n">
        <v>0</v>
      </c>
      <c r="J6238" t="n">
        <v>0</v>
      </c>
      <c r="K6238" t="n">
        <v>0</v>
      </c>
      <c r="L6238" t="n">
        <v>0</v>
      </c>
      <c r="M6238" t="n">
        <v>0</v>
      </c>
      <c r="N6238" t="n">
        <v>0</v>
      </c>
      <c r="O6238" t="n">
        <v>0</v>
      </c>
      <c r="P6238" t="n">
        <v>0</v>
      </c>
      <c r="Q6238" t="n">
        <v>0</v>
      </c>
      <c r="R6238" s="2" t="inlineStr"/>
    </row>
    <row r="6239" ht="15" customHeight="1">
      <c r="A6239" t="inlineStr">
        <is>
          <t>A 55359-2024</t>
        </is>
      </c>
      <c r="B6239" s="1" t="n">
        <v>45621.82230324074</v>
      </c>
      <c r="C6239" s="1" t="n">
        <v>45884</v>
      </c>
      <c r="D6239" t="inlineStr">
        <is>
          <t>KALMAR LÄN</t>
        </is>
      </c>
      <c r="E6239" t="inlineStr">
        <is>
          <t>VÄSTERVIK</t>
        </is>
      </c>
      <c r="F6239" t="inlineStr">
        <is>
          <t>Sveaskog</t>
        </is>
      </c>
      <c r="G6239" t="n">
        <v>6.8</v>
      </c>
      <c r="H6239" t="n">
        <v>0</v>
      </c>
      <c r="I6239" t="n">
        <v>0</v>
      </c>
      <c r="J6239" t="n">
        <v>0</v>
      </c>
      <c r="K6239" t="n">
        <v>0</v>
      </c>
      <c r="L6239" t="n">
        <v>0</v>
      </c>
      <c r="M6239" t="n">
        <v>0</v>
      </c>
      <c r="N6239" t="n">
        <v>0</v>
      </c>
      <c r="O6239" t="n">
        <v>0</v>
      </c>
      <c r="P6239" t="n">
        <v>0</v>
      </c>
      <c r="Q6239" t="n">
        <v>0</v>
      </c>
      <c r="R6239" s="2" t="inlineStr"/>
    </row>
    <row r="6240" ht="15" customHeight="1">
      <c r="A6240" t="inlineStr">
        <is>
          <t>A 10089-2022</t>
        </is>
      </c>
      <c r="B6240" s="1" t="n">
        <v>44621.67178240741</v>
      </c>
      <c r="C6240" s="1" t="n">
        <v>45884</v>
      </c>
      <c r="D6240" t="inlineStr">
        <is>
          <t>KALMAR LÄN</t>
        </is>
      </c>
      <c r="E6240" t="inlineStr">
        <is>
          <t>OSKARSHAMN</t>
        </is>
      </c>
      <c r="G6240" t="n">
        <v>2.6</v>
      </c>
      <c r="H6240" t="n">
        <v>0</v>
      </c>
      <c r="I6240" t="n">
        <v>0</v>
      </c>
      <c r="J6240" t="n">
        <v>0</v>
      </c>
      <c r="K6240" t="n">
        <v>0</v>
      </c>
      <c r="L6240" t="n">
        <v>0</v>
      </c>
      <c r="M6240" t="n">
        <v>0</v>
      </c>
      <c r="N6240" t="n">
        <v>0</v>
      </c>
      <c r="O6240" t="n">
        <v>0</v>
      </c>
      <c r="P6240" t="n">
        <v>0</v>
      </c>
      <c r="Q6240" t="n">
        <v>0</v>
      </c>
      <c r="R6240" s="2" t="inlineStr"/>
    </row>
    <row r="6241" ht="15" customHeight="1">
      <c r="A6241" t="inlineStr">
        <is>
          <t>A 10116-2022</t>
        </is>
      </c>
      <c r="B6241" s="1" t="n">
        <v>44621</v>
      </c>
      <c r="C6241" s="1" t="n">
        <v>45884</v>
      </c>
      <c r="D6241" t="inlineStr">
        <is>
          <t>KALMAR LÄN</t>
        </is>
      </c>
      <c r="E6241" t="inlineStr">
        <is>
          <t>VÄSTERVIK</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34162-2025</t>
        </is>
      </c>
      <c r="B6242" s="1" t="n">
        <v>45845.57983796296</v>
      </c>
      <c r="C6242" s="1" t="n">
        <v>45884</v>
      </c>
      <c r="D6242" t="inlineStr">
        <is>
          <t>KALMAR LÄN</t>
        </is>
      </c>
      <c r="E6242" t="inlineStr">
        <is>
          <t>VÄSTERVIK</t>
        </is>
      </c>
      <c r="G6242" t="n">
        <v>1.7</v>
      </c>
      <c r="H6242" t="n">
        <v>0</v>
      </c>
      <c r="I6242" t="n">
        <v>0</v>
      </c>
      <c r="J6242" t="n">
        <v>0</v>
      </c>
      <c r="K6242" t="n">
        <v>0</v>
      </c>
      <c r="L6242" t="n">
        <v>0</v>
      </c>
      <c r="M6242" t="n">
        <v>0</v>
      </c>
      <c r="N6242" t="n">
        <v>0</v>
      </c>
      <c r="O6242" t="n">
        <v>0</v>
      </c>
      <c r="P6242" t="n">
        <v>0</v>
      </c>
      <c r="Q6242" t="n">
        <v>0</v>
      </c>
      <c r="R6242" s="2" t="inlineStr"/>
    </row>
    <row r="6243" ht="15" customHeight="1">
      <c r="A6243" t="inlineStr">
        <is>
          <t>A 34167-2025</t>
        </is>
      </c>
      <c r="B6243" s="1" t="n">
        <v>45845.58313657407</v>
      </c>
      <c r="C6243" s="1" t="n">
        <v>45884</v>
      </c>
      <c r="D6243" t="inlineStr">
        <is>
          <t>KALMAR LÄN</t>
        </is>
      </c>
      <c r="E6243" t="inlineStr">
        <is>
          <t>HULTSFRED</t>
        </is>
      </c>
      <c r="G6243" t="n">
        <v>12.5</v>
      </c>
      <c r="H6243" t="n">
        <v>0</v>
      </c>
      <c r="I6243" t="n">
        <v>0</v>
      </c>
      <c r="J6243" t="n">
        <v>0</v>
      </c>
      <c r="K6243" t="n">
        <v>0</v>
      </c>
      <c r="L6243" t="n">
        <v>0</v>
      </c>
      <c r="M6243" t="n">
        <v>0</v>
      </c>
      <c r="N6243" t="n">
        <v>0</v>
      </c>
      <c r="O6243" t="n">
        <v>0</v>
      </c>
      <c r="P6243" t="n">
        <v>0</v>
      </c>
      <c r="Q6243" t="n">
        <v>0</v>
      </c>
      <c r="R6243" s="2" t="inlineStr"/>
    </row>
    <row r="6244" ht="15" customHeight="1">
      <c r="A6244" t="inlineStr">
        <is>
          <t>A 36260-2022</t>
        </is>
      </c>
      <c r="B6244" s="1" t="n">
        <v>44803.59166666667</v>
      </c>
      <c r="C6244" s="1" t="n">
        <v>45884</v>
      </c>
      <c r="D6244" t="inlineStr">
        <is>
          <t>KALMAR LÄN</t>
        </is>
      </c>
      <c r="E6244" t="inlineStr">
        <is>
          <t>KALMAR</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33921-2025</t>
        </is>
      </c>
      <c r="B6245" s="1" t="n">
        <v>45842.61626157408</v>
      </c>
      <c r="C6245" s="1" t="n">
        <v>45884</v>
      </c>
      <c r="D6245" t="inlineStr">
        <is>
          <t>KALMAR LÄN</t>
        </is>
      </c>
      <c r="E6245" t="inlineStr">
        <is>
          <t>VÄSTERVIK</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33931-2025</t>
        </is>
      </c>
      <c r="B6246" s="1" t="n">
        <v>45842.63288194445</v>
      </c>
      <c r="C6246" s="1" t="n">
        <v>45884</v>
      </c>
      <c r="D6246" t="inlineStr">
        <is>
          <t>KALMAR LÄN</t>
        </is>
      </c>
      <c r="E6246" t="inlineStr">
        <is>
          <t>VÄSTERVIK</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33960-2025</t>
        </is>
      </c>
      <c r="B6247" s="1" t="n">
        <v>45842.68615740741</v>
      </c>
      <c r="C6247" s="1" t="n">
        <v>45884</v>
      </c>
      <c r="D6247" t="inlineStr">
        <is>
          <t>KALMAR LÄN</t>
        </is>
      </c>
      <c r="E6247" t="inlineStr">
        <is>
          <t>HULTSFRED</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31081-2021</t>
        </is>
      </c>
      <c r="B6248" s="1" t="n">
        <v>44368.48412037037</v>
      </c>
      <c r="C6248" s="1" t="n">
        <v>45884</v>
      </c>
      <c r="D6248" t="inlineStr">
        <is>
          <t>KALMAR LÄN</t>
        </is>
      </c>
      <c r="E6248" t="inlineStr">
        <is>
          <t>NYBRO</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22171-2023</t>
        </is>
      </c>
      <c r="B6249" s="1" t="n">
        <v>45069.67789351852</v>
      </c>
      <c r="C6249" s="1" t="n">
        <v>45884</v>
      </c>
      <c r="D6249" t="inlineStr">
        <is>
          <t>KALMAR LÄN</t>
        </is>
      </c>
      <c r="E6249" t="inlineStr">
        <is>
          <t>NYBRO</t>
        </is>
      </c>
      <c r="G6249" t="n">
        <v>3.6</v>
      </c>
      <c r="H6249" t="n">
        <v>0</v>
      </c>
      <c r="I6249" t="n">
        <v>0</v>
      </c>
      <c r="J6249" t="n">
        <v>0</v>
      </c>
      <c r="K6249" t="n">
        <v>0</v>
      </c>
      <c r="L6249" t="n">
        <v>0</v>
      </c>
      <c r="M6249" t="n">
        <v>0</v>
      </c>
      <c r="N6249" t="n">
        <v>0</v>
      </c>
      <c r="O6249" t="n">
        <v>0</v>
      </c>
      <c r="P6249" t="n">
        <v>0</v>
      </c>
      <c r="Q6249" t="n">
        <v>0</v>
      </c>
      <c r="R6249" s="2" t="inlineStr"/>
    </row>
    <row r="6250" ht="15" customHeight="1">
      <c r="A6250" t="inlineStr">
        <is>
          <t>A 4393-2024</t>
        </is>
      </c>
      <c r="B6250" s="1" t="n">
        <v>45327.37474537037</v>
      </c>
      <c r="C6250" s="1" t="n">
        <v>45884</v>
      </c>
      <c r="D6250" t="inlineStr">
        <is>
          <t>KALMAR LÄN</t>
        </is>
      </c>
      <c r="E6250" t="inlineStr">
        <is>
          <t>EMMABODA</t>
        </is>
      </c>
      <c r="G6250" t="n">
        <v>3.8</v>
      </c>
      <c r="H6250" t="n">
        <v>0</v>
      </c>
      <c r="I6250" t="n">
        <v>0</v>
      </c>
      <c r="J6250" t="n">
        <v>0</v>
      </c>
      <c r="K6250" t="n">
        <v>0</v>
      </c>
      <c r="L6250" t="n">
        <v>0</v>
      </c>
      <c r="M6250" t="n">
        <v>0</v>
      </c>
      <c r="N6250" t="n">
        <v>0</v>
      </c>
      <c r="O6250" t="n">
        <v>0</v>
      </c>
      <c r="P6250" t="n">
        <v>0</v>
      </c>
      <c r="Q6250" t="n">
        <v>0</v>
      </c>
      <c r="R6250" s="2" t="inlineStr"/>
    </row>
    <row r="6251" ht="15" customHeight="1">
      <c r="A6251" t="inlineStr">
        <is>
          <t>A 15658-2024</t>
        </is>
      </c>
      <c r="B6251" s="1" t="n">
        <v>45402</v>
      </c>
      <c r="C6251" s="1" t="n">
        <v>45884</v>
      </c>
      <c r="D6251" t="inlineStr">
        <is>
          <t>KALMAR LÄN</t>
        </is>
      </c>
      <c r="E6251" t="inlineStr">
        <is>
          <t>KALMAR</t>
        </is>
      </c>
      <c r="F6251" t="inlineStr">
        <is>
          <t>Kyrkan</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33907-2025</t>
        </is>
      </c>
      <c r="B6252" s="1" t="n">
        <v>45842.59880787037</v>
      </c>
      <c r="C6252" s="1" t="n">
        <v>45884</v>
      </c>
      <c r="D6252" t="inlineStr">
        <is>
          <t>KALMAR LÄN</t>
        </is>
      </c>
      <c r="E6252" t="inlineStr">
        <is>
          <t>VÄSTERVIK</t>
        </is>
      </c>
      <c r="G6252" t="n">
        <v>3.1</v>
      </c>
      <c r="H6252" t="n">
        <v>0</v>
      </c>
      <c r="I6252" t="n">
        <v>0</v>
      </c>
      <c r="J6252" t="n">
        <v>0</v>
      </c>
      <c r="K6252" t="n">
        <v>0</v>
      </c>
      <c r="L6252" t="n">
        <v>0</v>
      </c>
      <c r="M6252" t="n">
        <v>0</v>
      </c>
      <c r="N6252" t="n">
        <v>0</v>
      </c>
      <c r="O6252" t="n">
        <v>0</v>
      </c>
      <c r="P6252" t="n">
        <v>0</v>
      </c>
      <c r="Q6252" t="n">
        <v>0</v>
      </c>
      <c r="R6252" s="2" t="inlineStr"/>
    </row>
    <row r="6253" ht="15" customHeight="1">
      <c r="A6253" t="inlineStr">
        <is>
          <t>A 33924-2025</t>
        </is>
      </c>
      <c r="B6253" s="1" t="n">
        <v>45842.62152777778</v>
      </c>
      <c r="C6253" s="1" t="n">
        <v>45884</v>
      </c>
      <c r="D6253" t="inlineStr">
        <is>
          <t>KALMAR LÄN</t>
        </is>
      </c>
      <c r="E6253" t="inlineStr">
        <is>
          <t>VÄSTERVIK</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22889-2024</t>
        </is>
      </c>
      <c r="B6254" s="1" t="n">
        <v>45448</v>
      </c>
      <c r="C6254" s="1" t="n">
        <v>45884</v>
      </c>
      <c r="D6254" t="inlineStr">
        <is>
          <t>KALMAR LÄN</t>
        </is>
      </c>
      <c r="E6254" t="inlineStr">
        <is>
          <t>OSKARSHAMN</t>
        </is>
      </c>
      <c r="G6254" t="n">
        <v>6.2</v>
      </c>
      <c r="H6254" t="n">
        <v>0</v>
      </c>
      <c r="I6254" t="n">
        <v>0</v>
      </c>
      <c r="J6254" t="n">
        <v>0</v>
      </c>
      <c r="K6254" t="n">
        <v>0</v>
      </c>
      <c r="L6254" t="n">
        <v>0</v>
      </c>
      <c r="M6254" t="n">
        <v>0</v>
      </c>
      <c r="N6254" t="n">
        <v>0</v>
      </c>
      <c r="O6254" t="n">
        <v>0</v>
      </c>
      <c r="P6254" t="n">
        <v>0</v>
      </c>
      <c r="Q6254" t="n">
        <v>0</v>
      </c>
      <c r="R6254" s="2" t="inlineStr"/>
    </row>
    <row r="6255" ht="15" customHeight="1">
      <c r="A6255" t="inlineStr">
        <is>
          <t>A 61802-2024</t>
        </is>
      </c>
      <c r="B6255" s="1" t="n">
        <v>45649.56431712963</v>
      </c>
      <c r="C6255" s="1" t="n">
        <v>45884</v>
      </c>
      <c r="D6255" t="inlineStr">
        <is>
          <t>KALMAR LÄN</t>
        </is>
      </c>
      <c r="E6255" t="inlineStr">
        <is>
          <t>HULTSFRED</t>
        </is>
      </c>
      <c r="G6255" t="n">
        <v>1.2</v>
      </c>
      <c r="H6255" t="n">
        <v>0</v>
      </c>
      <c r="I6255" t="n">
        <v>0</v>
      </c>
      <c r="J6255" t="n">
        <v>0</v>
      </c>
      <c r="K6255" t="n">
        <v>0</v>
      </c>
      <c r="L6255" t="n">
        <v>0</v>
      </c>
      <c r="M6255" t="n">
        <v>0</v>
      </c>
      <c r="N6255" t="n">
        <v>0</v>
      </c>
      <c r="O6255" t="n">
        <v>0</v>
      </c>
      <c r="P6255" t="n">
        <v>0</v>
      </c>
      <c r="Q6255" t="n">
        <v>0</v>
      </c>
      <c r="R6255" s="2" t="inlineStr"/>
    </row>
    <row r="6256" ht="15" customHeight="1">
      <c r="A6256" t="inlineStr">
        <is>
          <t>A 55674-2023</t>
        </is>
      </c>
      <c r="B6256" s="1" t="n">
        <v>45239.30261574074</v>
      </c>
      <c r="C6256" s="1" t="n">
        <v>45884</v>
      </c>
      <c r="D6256" t="inlineStr">
        <is>
          <t>KALMAR LÄN</t>
        </is>
      </c>
      <c r="E6256" t="inlineStr">
        <is>
          <t>HULTSFRED</t>
        </is>
      </c>
      <c r="G6256" t="n">
        <v>5.6</v>
      </c>
      <c r="H6256" t="n">
        <v>0</v>
      </c>
      <c r="I6256" t="n">
        <v>0</v>
      </c>
      <c r="J6256" t="n">
        <v>0</v>
      </c>
      <c r="K6256" t="n">
        <v>0</v>
      </c>
      <c r="L6256" t="n">
        <v>0</v>
      </c>
      <c r="M6256" t="n">
        <v>0</v>
      </c>
      <c r="N6256" t="n">
        <v>0</v>
      </c>
      <c r="O6256" t="n">
        <v>0</v>
      </c>
      <c r="P6256" t="n">
        <v>0</v>
      </c>
      <c r="Q6256" t="n">
        <v>0</v>
      </c>
      <c r="R6256" s="2" t="inlineStr"/>
    </row>
    <row r="6257" ht="15" customHeight="1">
      <c r="A6257" t="inlineStr">
        <is>
          <t>A 3566-2025</t>
        </is>
      </c>
      <c r="B6257" s="1" t="n">
        <v>45680.68400462963</v>
      </c>
      <c r="C6257" s="1" t="n">
        <v>45884</v>
      </c>
      <c r="D6257" t="inlineStr">
        <is>
          <t>KALMAR LÄN</t>
        </is>
      </c>
      <c r="E6257" t="inlineStr">
        <is>
          <t>KALMAR</t>
        </is>
      </c>
      <c r="G6257" t="n">
        <v>0.4</v>
      </c>
      <c r="H6257" t="n">
        <v>0</v>
      </c>
      <c r="I6257" t="n">
        <v>0</v>
      </c>
      <c r="J6257" t="n">
        <v>0</v>
      </c>
      <c r="K6257" t="n">
        <v>0</v>
      </c>
      <c r="L6257" t="n">
        <v>0</v>
      </c>
      <c r="M6257" t="n">
        <v>0</v>
      </c>
      <c r="N6257" t="n">
        <v>0</v>
      </c>
      <c r="O6257" t="n">
        <v>0</v>
      </c>
      <c r="P6257" t="n">
        <v>0</v>
      </c>
      <c r="Q6257" t="n">
        <v>0</v>
      </c>
      <c r="R6257" s="2" t="inlineStr"/>
    </row>
    <row r="6258" ht="15" customHeight="1">
      <c r="A6258" t="inlineStr">
        <is>
          <t>A 15494-2024</t>
        </is>
      </c>
      <c r="B6258" s="1" t="n">
        <v>45401.53033564815</v>
      </c>
      <c r="C6258" s="1" t="n">
        <v>45884</v>
      </c>
      <c r="D6258" t="inlineStr">
        <is>
          <t>KALMAR LÄN</t>
        </is>
      </c>
      <c r="E6258" t="inlineStr">
        <is>
          <t>VIMMERBY</t>
        </is>
      </c>
      <c r="G6258" t="n">
        <v>3.2</v>
      </c>
      <c r="H6258" t="n">
        <v>0</v>
      </c>
      <c r="I6258" t="n">
        <v>0</v>
      </c>
      <c r="J6258" t="n">
        <v>0</v>
      </c>
      <c r="K6258" t="n">
        <v>0</v>
      </c>
      <c r="L6258" t="n">
        <v>0</v>
      </c>
      <c r="M6258" t="n">
        <v>0</v>
      </c>
      <c r="N6258" t="n">
        <v>0</v>
      </c>
      <c r="O6258" t="n">
        <v>0</v>
      </c>
      <c r="P6258" t="n">
        <v>0</v>
      </c>
      <c r="Q6258" t="n">
        <v>0</v>
      </c>
      <c r="R6258" s="2" t="inlineStr"/>
    </row>
    <row r="6259" ht="15" customHeight="1">
      <c r="A6259" t="inlineStr">
        <is>
          <t>A 14973-2025</t>
        </is>
      </c>
      <c r="B6259" s="1" t="n">
        <v>45743</v>
      </c>
      <c r="C6259" s="1" t="n">
        <v>45884</v>
      </c>
      <c r="D6259" t="inlineStr">
        <is>
          <t>KALMAR LÄN</t>
        </is>
      </c>
      <c r="E6259" t="inlineStr">
        <is>
          <t>HULTSFRED</t>
        </is>
      </c>
      <c r="G6259" t="n">
        <v>10.3</v>
      </c>
      <c r="H6259" t="n">
        <v>0</v>
      </c>
      <c r="I6259" t="n">
        <v>0</v>
      </c>
      <c r="J6259" t="n">
        <v>0</v>
      </c>
      <c r="K6259" t="n">
        <v>0</v>
      </c>
      <c r="L6259" t="n">
        <v>0</v>
      </c>
      <c r="M6259" t="n">
        <v>0</v>
      </c>
      <c r="N6259" t="n">
        <v>0</v>
      </c>
      <c r="O6259" t="n">
        <v>0</v>
      </c>
      <c r="P6259" t="n">
        <v>0</v>
      </c>
      <c r="Q6259" t="n">
        <v>0</v>
      </c>
      <c r="R6259" s="2" t="inlineStr"/>
    </row>
    <row r="6260" ht="15" customHeight="1">
      <c r="A6260" t="inlineStr">
        <is>
          <t>A 30218-2023</t>
        </is>
      </c>
      <c r="B6260" s="1" t="n">
        <v>45110</v>
      </c>
      <c r="C6260" s="1" t="n">
        <v>45884</v>
      </c>
      <c r="D6260" t="inlineStr">
        <is>
          <t>KALMAR LÄN</t>
        </is>
      </c>
      <c r="E6260" t="inlineStr">
        <is>
          <t>OSKARSHAMN</t>
        </is>
      </c>
      <c r="G6260" t="n">
        <v>3.9</v>
      </c>
      <c r="H6260" t="n">
        <v>0</v>
      </c>
      <c r="I6260" t="n">
        <v>0</v>
      </c>
      <c r="J6260" t="n">
        <v>0</v>
      </c>
      <c r="K6260" t="n">
        <v>0</v>
      </c>
      <c r="L6260" t="n">
        <v>0</v>
      </c>
      <c r="M6260" t="n">
        <v>0</v>
      </c>
      <c r="N6260" t="n">
        <v>0</v>
      </c>
      <c r="O6260" t="n">
        <v>0</v>
      </c>
      <c r="P6260" t="n">
        <v>0</v>
      </c>
      <c r="Q6260" t="n">
        <v>0</v>
      </c>
      <c r="R6260" s="2" t="inlineStr"/>
    </row>
    <row r="6261" ht="15" customHeight="1">
      <c r="A6261" t="inlineStr">
        <is>
          <t>A 13532-2025</t>
        </is>
      </c>
      <c r="B6261" s="1" t="n">
        <v>45736.50743055555</v>
      </c>
      <c r="C6261" s="1" t="n">
        <v>45884</v>
      </c>
      <c r="D6261" t="inlineStr">
        <is>
          <t>KALMAR LÄN</t>
        </is>
      </c>
      <c r="E6261" t="inlineStr">
        <is>
          <t>VIMMERBY</t>
        </is>
      </c>
      <c r="G6261" t="n">
        <v>3.6</v>
      </c>
      <c r="H6261" t="n">
        <v>0</v>
      </c>
      <c r="I6261" t="n">
        <v>0</v>
      </c>
      <c r="J6261" t="n">
        <v>0</v>
      </c>
      <c r="K6261" t="n">
        <v>0</v>
      </c>
      <c r="L6261" t="n">
        <v>0</v>
      </c>
      <c r="M6261" t="n">
        <v>0</v>
      </c>
      <c r="N6261" t="n">
        <v>0</v>
      </c>
      <c r="O6261" t="n">
        <v>0</v>
      </c>
      <c r="P6261" t="n">
        <v>0</v>
      </c>
      <c r="Q6261" t="n">
        <v>0</v>
      </c>
      <c r="R6261" s="2" t="inlineStr"/>
    </row>
    <row r="6262" ht="15" customHeight="1">
      <c r="A6262" t="inlineStr">
        <is>
          <t>A 17358-2021</t>
        </is>
      </c>
      <c r="B6262" s="1" t="n">
        <v>44298.81888888889</v>
      </c>
      <c r="C6262" s="1" t="n">
        <v>45884</v>
      </c>
      <c r="D6262" t="inlineStr">
        <is>
          <t>KALMAR LÄN</t>
        </is>
      </c>
      <c r="E6262" t="inlineStr">
        <is>
          <t>TORSÅS</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28216-2024</t>
        </is>
      </c>
      <c r="B6263" s="1" t="n">
        <v>45477.36623842592</v>
      </c>
      <c r="C6263" s="1" t="n">
        <v>45884</v>
      </c>
      <c r="D6263" t="inlineStr">
        <is>
          <t>KALMAR LÄN</t>
        </is>
      </c>
      <c r="E6263" t="inlineStr">
        <is>
          <t>HULTSFRED</t>
        </is>
      </c>
      <c r="G6263" t="n">
        <v>7.4</v>
      </c>
      <c r="H6263" t="n">
        <v>0</v>
      </c>
      <c r="I6263" t="n">
        <v>0</v>
      </c>
      <c r="J6263" t="n">
        <v>0</v>
      </c>
      <c r="K6263" t="n">
        <v>0</v>
      </c>
      <c r="L6263" t="n">
        <v>0</v>
      </c>
      <c r="M6263" t="n">
        <v>0</v>
      </c>
      <c r="N6263" t="n">
        <v>0</v>
      </c>
      <c r="O6263" t="n">
        <v>0</v>
      </c>
      <c r="P6263" t="n">
        <v>0</v>
      </c>
      <c r="Q6263" t="n">
        <v>0</v>
      </c>
      <c r="R6263" s="2" t="inlineStr"/>
    </row>
    <row r="6264" ht="15" customHeight="1">
      <c r="A6264" t="inlineStr">
        <is>
          <t>A 17652-2023</t>
        </is>
      </c>
      <c r="B6264" s="1" t="n">
        <v>45036.70626157407</v>
      </c>
      <c r="C6264" s="1" t="n">
        <v>45884</v>
      </c>
      <c r="D6264" t="inlineStr">
        <is>
          <t>KALMAR LÄN</t>
        </is>
      </c>
      <c r="E6264" t="inlineStr">
        <is>
          <t>VÄSTERVIK</t>
        </is>
      </c>
      <c r="G6264" t="n">
        <v>0.2</v>
      </c>
      <c r="H6264" t="n">
        <v>0</v>
      </c>
      <c r="I6264" t="n">
        <v>0</v>
      </c>
      <c r="J6264" t="n">
        <v>0</v>
      </c>
      <c r="K6264" t="n">
        <v>0</v>
      </c>
      <c r="L6264" t="n">
        <v>0</v>
      </c>
      <c r="M6264" t="n">
        <v>0</v>
      </c>
      <c r="N6264" t="n">
        <v>0</v>
      </c>
      <c r="O6264" t="n">
        <v>0</v>
      </c>
      <c r="P6264" t="n">
        <v>0</v>
      </c>
      <c r="Q6264" t="n">
        <v>0</v>
      </c>
      <c r="R6264" s="2" t="inlineStr"/>
    </row>
    <row r="6265" ht="15" customHeight="1">
      <c r="A6265" t="inlineStr">
        <is>
          <t>A 43038-2022</t>
        </is>
      </c>
      <c r="B6265" s="1" t="n">
        <v>44833.60123842592</v>
      </c>
      <c r="C6265" s="1" t="n">
        <v>45884</v>
      </c>
      <c r="D6265" t="inlineStr">
        <is>
          <t>KALMAR LÄN</t>
        </is>
      </c>
      <c r="E6265" t="inlineStr">
        <is>
          <t>VIMMERBY</t>
        </is>
      </c>
      <c r="G6265" t="n">
        <v>4.2</v>
      </c>
      <c r="H6265" t="n">
        <v>0</v>
      </c>
      <c r="I6265" t="n">
        <v>0</v>
      </c>
      <c r="J6265" t="n">
        <v>0</v>
      </c>
      <c r="K6265" t="n">
        <v>0</v>
      </c>
      <c r="L6265" t="n">
        <v>0</v>
      </c>
      <c r="M6265" t="n">
        <v>0</v>
      </c>
      <c r="N6265" t="n">
        <v>0</v>
      </c>
      <c r="O6265" t="n">
        <v>0</v>
      </c>
      <c r="P6265" t="n">
        <v>0</v>
      </c>
      <c r="Q6265" t="n">
        <v>0</v>
      </c>
      <c r="R6265" s="2" t="inlineStr"/>
    </row>
    <row r="6266" ht="15" customHeight="1">
      <c r="A6266" t="inlineStr">
        <is>
          <t>A 10728-2024</t>
        </is>
      </c>
      <c r="B6266" s="1" t="n">
        <v>45369.47766203704</v>
      </c>
      <c r="C6266" s="1" t="n">
        <v>45884</v>
      </c>
      <c r="D6266" t="inlineStr">
        <is>
          <t>KALMAR LÄN</t>
        </is>
      </c>
      <c r="E6266" t="inlineStr">
        <is>
          <t>OSKARSHAMN</t>
        </is>
      </c>
      <c r="G6266" t="n">
        <v>2.2</v>
      </c>
      <c r="H6266" t="n">
        <v>0</v>
      </c>
      <c r="I6266" t="n">
        <v>0</v>
      </c>
      <c r="J6266" t="n">
        <v>0</v>
      </c>
      <c r="K6266" t="n">
        <v>0</v>
      </c>
      <c r="L6266" t="n">
        <v>0</v>
      </c>
      <c r="M6266" t="n">
        <v>0</v>
      </c>
      <c r="N6266" t="n">
        <v>0</v>
      </c>
      <c r="O6266" t="n">
        <v>0</v>
      </c>
      <c r="P6266" t="n">
        <v>0</v>
      </c>
      <c r="Q6266" t="n">
        <v>0</v>
      </c>
      <c r="R6266" s="2" t="inlineStr"/>
    </row>
    <row r="6267" ht="15" customHeight="1">
      <c r="A6267" t="inlineStr">
        <is>
          <t>A 10758-2024</t>
        </is>
      </c>
      <c r="B6267" s="1" t="n">
        <v>45369.55871527778</v>
      </c>
      <c r="C6267" s="1" t="n">
        <v>45884</v>
      </c>
      <c r="D6267" t="inlineStr">
        <is>
          <t>KALMAR LÄN</t>
        </is>
      </c>
      <c r="E6267" t="inlineStr">
        <is>
          <t>NYBRO</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23193-2023</t>
        </is>
      </c>
      <c r="B6268" s="1" t="n">
        <v>45075.59990740741</v>
      </c>
      <c r="C6268" s="1" t="n">
        <v>45884</v>
      </c>
      <c r="D6268" t="inlineStr">
        <is>
          <t>KALMAR LÄN</t>
        </is>
      </c>
      <c r="E6268" t="inlineStr">
        <is>
          <t>OSKARSHAMN</t>
        </is>
      </c>
      <c r="G6268" t="n">
        <v>3.1</v>
      </c>
      <c r="H6268" t="n">
        <v>0</v>
      </c>
      <c r="I6268" t="n">
        <v>0</v>
      </c>
      <c r="J6268" t="n">
        <v>0</v>
      </c>
      <c r="K6268" t="n">
        <v>0</v>
      </c>
      <c r="L6268" t="n">
        <v>0</v>
      </c>
      <c r="M6268" t="n">
        <v>0</v>
      </c>
      <c r="N6268" t="n">
        <v>0</v>
      </c>
      <c r="O6268" t="n">
        <v>0</v>
      </c>
      <c r="P6268" t="n">
        <v>0</v>
      </c>
      <c r="Q6268" t="n">
        <v>0</v>
      </c>
      <c r="R6268" s="2" t="inlineStr"/>
    </row>
    <row r="6269" ht="15" customHeight="1">
      <c r="A6269" t="inlineStr">
        <is>
          <t>A 23200-2023</t>
        </is>
      </c>
      <c r="B6269" s="1" t="n">
        <v>45075</v>
      </c>
      <c r="C6269" s="1" t="n">
        <v>45884</v>
      </c>
      <c r="D6269" t="inlineStr">
        <is>
          <t>KALMAR LÄN</t>
        </is>
      </c>
      <c r="E6269" t="inlineStr">
        <is>
          <t>OSKARSHAMN</t>
        </is>
      </c>
      <c r="G6269" t="n">
        <v>2</v>
      </c>
      <c r="H6269" t="n">
        <v>0</v>
      </c>
      <c r="I6269" t="n">
        <v>0</v>
      </c>
      <c r="J6269" t="n">
        <v>0</v>
      </c>
      <c r="K6269" t="n">
        <v>0</v>
      </c>
      <c r="L6269" t="n">
        <v>0</v>
      </c>
      <c r="M6269" t="n">
        <v>0</v>
      </c>
      <c r="N6269" t="n">
        <v>0</v>
      </c>
      <c r="O6269" t="n">
        <v>0</v>
      </c>
      <c r="P6269" t="n">
        <v>0</v>
      </c>
      <c r="Q6269" t="n">
        <v>0</v>
      </c>
      <c r="R6269" s="2" t="inlineStr"/>
    </row>
    <row r="6270" ht="15" customHeight="1">
      <c r="A6270" t="inlineStr">
        <is>
          <t>A 9384-2024</t>
        </is>
      </c>
      <c r="B6270" s="1" t="n">
        <v>45359.38108796296</v>
      </c>
      <c r="C6270" s="1" t="n">
        <v>45884</v>
      </c>
      <c r="D6270" t="inlineStr">
        <is>
          <t>KALMAR LÄN</t>
        </is>
      </c>
      <c r="E6270" t="inlineStr">
        <is>
          <t>HÖGSBY</t>
        </is>
      </c>
      <c r="G6270" t="n">
        <v>0.7</v>
      </c>
      <c r="H6270" t="n">
        <v>0</v>
      </c>
      <c r="I6270" t="n">
        <v>0</v>
      </c>
      <c r="J6270" t="n">
        <v>0</v>
      </c>
      <c r="K6270" t="n">
        <v>0</v>
      </c>
      <c r="L6270" t="n">
        <v>0</v>
      </c>
      <c r="M6270" t="n">
        <v>0</v>
      </c>
      <c r="N6270" t="n">
        <v>0</v>
      </c>
      <c r="O6270" t="n">
        <v>0</v>
      </c>
      <c r="P6270" t="n">
        <v>0</v>
      </c>
      <c r="Q6270" t="n">
        <v>0</v>
      </c>
      <c r="R6270" s="2" t="inlineStr"/>
    </row>
    <row r="6271" ht="15" customHeight="1">
      <c r="A6271" t="inlineStr">
        <is>
          <t>A 11685-2025</t>
        </is>
      </c>
      <c r="B6271" s="1" t="n">
        <v>45727.55368055555</v>
      </c>
      <c r="C6271" s="1" t="n">
        <v>45884</v>
      </c>
      <c r="D6271" t="inlineStr">
        <is>
          <t>KALMAR LÄN</t>
        </is>
      </c>
      <c r="E6271" t="inlineStr">
        <is>
          <t>NYBRO</t>
        </is>
      </c>
      <c r="G6271" t="n">
        <v>3.6</v>
      </c>
      <c r="H6271" t="n">
        <v>0</v>
      </c>
      <c r="I6271" t="n">
        <v>0</v>
      </c>
      <c r="J6271" t="n">
        <v>0</v>
      </c>
      <c r="K6271" t="n">
        <v>0</v>
      </c>
      <c r="L6271" t="n">
        <v>0</v>
      </c>
      <c r="M6271" t="n">
        <v>0</v>
      </c>
      <c r="N6271" t="n">
        <v>0</v>
      </c>
      <c r="O6271" t="n">
        <v>0</v>
      </c>
      <c r="P6271" t="n">
        <v>0</v>
      </c>
      <c r="Q6271" t="n">
        <v>0</v>
      </c>
      <c r="R6271" s="2" t="inlineStr"/>
    </row>
    <row r="6272" ht="15" customHeight="1">
      <c r="A6272" t="inlineStr">
        <is>
          <t>A 29933-2024</t>
        </is>
      </c>
      <c r="B6272" s="1" t="n">
        <v>45488.40027777778</v>
      </c>
      <c r="C6272" s="1" t="n">
        <v>45884</v>
      </c>
      <c r="D6272" t="inlineStr">
        <is>
          <t>KALMAR LÄN</t>
        </is>
      </c>
      <c r="E6272" t="inlineStr">
        <is>
          <t>TORSÅS</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31015-2023</t>
        </is>
      </c>
      <c r="B6273" s="1" t="n">
        <v>45113</v>
      </c>
      <c r="C6273" s="1" t="n">
        <v>45884</v>
      </c>
      <c r="D6273" t="inlineStr">
        <is>
          <t>KALMAR LÄN</t>
        </is>
      </c>
      <c r="E6273" t="inlineStr">
        <is>
          <t>MÖNSTERÅS</t>
        </is>
      </c>
      <c r="G6273" t="n">
        <v>11.4</v>
      </c>
      <c r="H6273" t="n">
        <v>0</v>
      </c>
      <c r="I6273" t="n">
        <v>0</v>
      </c>
      <c r="J6273" t="n">
        <v>0</v>
      </c>
      <c r="K6273" t="n">
        <v>0</v>
      </c>
      <c r="L6273" t="n">
        <v>0</v>
      </c>
      <c r="M6273" t="n">
        <v>0</v>
      </c>
      <c r="N6273" t="n">
        <v>0</v>
      </c>
      <c r="O6273" t="n">
        <v>0</v>
      </c>
      <c r="P6273" t="n">
        <v>0</v>
      </c>
      <c r="Q6273" t="n">
        <v>0</v>
      </c>
      <c r="R6273" s="2" t="inlineStr"/>
    </row>
    <row r="6274" ht="15" customHeight="1">
      <c r="A6274" t="inlineStr">
        <is>
          <t>A 3729-2024</t>
        </is>
      </c>
      <c r="B6274" s="1" t="n">
        <v>45321.48475694445</v>
      </c>
      <c r="C6274" s="1" t="n">
        <v>45884</v>
      </c>
      <c r="D6274" t="inlineStr">
        <is>
          <t>KALMAR LÄN</t>
        </is>
      </c>
      <c r="E6274" t="inlineStr">
        <is>
          <t>HULTSFRED</t>
        </is>
      </c>
      <c r="G6274" t="n">
        <v>3.2</v>
      </c>
      <c r="H6274" t="n">
        <v>0</v>
      </c>
      <c r="I6274" t="n">
        <v>0</v>
      </c>
      <c r="J6274" t="n">
        <v>0</v>
      </c>
      <c r="K6274" t="n">
        <v>0</v>
      </c>
      <c r="L6274" t="n">
        <v>0</v>
      </c>
      <c r="M6274" t="n">
        <v>0</v>
      </c>
      <c r="N6274" t="n">
        <v>0</v>
      </c>
      <c r="O6274" t="n">
        <v>0</v>
      </c>
      <c r="P6274" t="n">
        <v>0</v>
      </c>
      <c r="Q6274" t="n">
        <v>0</v>
      </c>
      <c r="R6274" s="2" t="inlineStr"/>
    </row>
    <row r="6275" ht="15" customHeight="1">
      <c r="A6275" t="inlineStr">
        <is>
          <t>A 59235-2024</t>
        </is>
      </c>
      <c r="B6275" s="1" t="n">
        <v>45637.58633101852</v>
      </c>
      <c r="C6275" s="1" t="n">
        <v>45884</v>
      </c>
      <c r="D6275" t="inlineStr">
        <is>
          <t>KALMAR LÄN</t>
        </is>
      </c>
      <c r="E6275" t="inlineStr">
        <is>
          <t>HULTSFRED</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4750-2023</t>
        </is>
      </c>
      <c r="B6276" s="1" t="n">
        <v>44957</v>
      </c>
      <c r="C6276" s="1" t="n">
        <v>45884</v>
      </c>
      <c r="D6276" t="inlineStr">
        <is>
          <t>KALMAR LÄN</t>
        </is>
      </c>
      <c r="E6276" t="inlineStr">
        <is>
          <t>NYBRO</t>
        </is>
      </c>
      <c r="G6276" t="n">
        <v>0.6</v>
      </c>
      <c r="H6276" t="n">
        <v>0</v>
      </c>
      <c r="I6276" t="n">
        <v>0</v>
      </c>
      <c r="J6276" t="n">
        <v>0</v>
      </c>
      <c r="K6276" t="n">
        <v>0</v>
      </c>
      <c r="L6276" t="n">
        <v>0</v>
      </c>
      <c r="M6276" t="n">
        <v>0</v>
      </c>
      <c r="N6276" t="n">
        <v>0</v>
      </c>
      <c r="O6276" t="n">
        <v>0</v>
      </c>
      <c r="P6276" t="n">
        <v>0</v>
      </c>
      <c r="Q6276" t="n">
        <v>0</v>
      </c>
      <c r="R6276" s="2" t="inlineStr"/>
    </row>
    <row r="6277" ht="15" customHeight="1">
      <c r="A6277" t="inlineStr">
        <is>
          <t>A 4751-2023</t>
        </is>
      </c>
      <c r="B6277" s="1" t="n">
        <v>44957.56633101852</v>
      </c>
      <c r="C6277" s="1" t="n">
        <v>45884</v>
      </c>
      <c r="D6277" t="inlineStr">
        <is>
          <t>KALMAR LÄN</t>
        </is>
      </c>
      <c r="E6277" t="inlineStr">
        <is>
          <t>NYBRO</t>
        </is>
      </c>
      <c r="G6277" t="n">
        <v>0.5</v>
      </c>
      <c r="H6277" t="n">
        <v>0</v>
      </c>
      <c r="I6277" t="n">
        <v>0</v>
      </c>
      <c r="J6277" t="n">
        <v>0</v>
      </c>
      <c r="K6277" t="n">
        <v>0</v>
      </c>
      <c r="L6277" t="n">
        <v>0</v>
      </c>
      <c r="M6277" t="n">
        <v>0</v>
      </c>
      <c r="N6277" t="n">
        <v>0</v>
      </c>
      <c r="O6277" t="n">
        <v>0</v>
      </c>
      <c r="P6277" t="n">
        <v>0</v>
      </c>
      <c r="Q6277" t="n">
        <v>0</v>
      </c>
      <c r="R6277" s="2" t="inlineStr"/>
    </row>
    <row r="6278" ht="15" customHeight="1">
      <c r="A6278" t="inlineStr">
        <is>
          <t>A 33831-2025</t>
        </is>
      </c>
      <c r="B6278" s="1" t="n">
        <v>45842.47414351852</v>
      </c>
      <c r="C6278" s="1" t="n">
        <v>45884</v>
      </c>
      <c r="D6278" t="inlineStr">
        <is>
          <t>KALMAR LÄN</t>
        </is>
      </c>
      <c r="E6278" t="inlineStr">
        <is>
          <t>HÖGSBY</t>
        </is>
      </c>
      <c r="F6278" t="inlineStr">
        <is>
          <t>Sveaskog</t>
        </is>
      </c>
      <c r="G6278" t="n">
        <v>4</v>
      </c>
      <c r="H6278" t="n">
        <v>0</v>
      </c>
      <c r="I6278" t="n">
        <v>0</v>
      </c>
      <c r="J6278" t="n">
        <v>0</v>
      </c>
      <c r="K6278" t="n">
        <v>0</v>
      </c>
      <c r="L6278" t="n">
        <v>0</v>
      </c>
      <c r="M6278" t="n">
        <v>0</v>
      </c>
      <c r="N6278" t="n">
        <v>0</v>
      </c>
      <c r="O6278" t="n">
        <v>0</v>
      </c>
      <c r="P6278" t="n">
        <v>0</v>
      </c>
      <c r="Q6278" t="n">
        <v>0</v>
      </c>
      <c r="R6278" s="2" t="inlineStr"/>
    </row>
    <row r="6279" ht="15" customHeight="1">
      <c r="A6279" t="inlineStr">
        <is>
          <t>A 33834-2025</t>
        </is>
      </c>
      <c r="B6279" s="1" t="n">
        <v>45842.47575231481</v>
      </c>
      <c r="C6279" s="1" t="n">
        <v>45884</v>
      </c>
      <c r="D6279" t="inlineStr">
        <is>
          <t>KALMAR LÄN</t>
        </is>
      </c>
      <c r="E6279" t="inlineStr">
        <is>
          <t>HÖGSBY</t>
        </is>
      </c>
      <c r="F6279" t="inlineStr">
        <is>
          <t>Sveaskog</t>
        </is>
      </c>
      <c r="G6279" t="n">
        <v>4.4</v>
      </c>
      <c r="H6279" t="n">
        <v>0</v>
      </c>
      <c r="I6279" t="n">
        <v>0</v>
      </c>
      <c r="J6279" t="n">
        <v>0</v>
      </c>
      <c r="K6279" t="n">
        <v>0</v>
      </c>
      <c r="L6279" t="n">
        <v>0</v>
      </c>
      <c r="M6279" t="n">
        <v>0</v>
      </c>
      <c r="N6279" t="n">
        <v>0</v>
      </c>
      <c r="O6279" t="n">
        <v>0</v>
      </c>
      <c r="P6279" t="n">
        <v>0</v>
      </c>
      <c r="Q6279" t="n">
        <v>0</v>
      </c>
      <c r="R6279" s="2" t="inlineStr"/>
    </row>
    <row r="6280" ht="15" customHeight="1">
      <c r="A6280" t="inlineStr">
        <is>
          <t>A 33842-2025</t>
        </is>
      </c>
      <c r="B6280" s="1" t="n">
        <v>45842.48217592593</v>
      </c>
      <c r="C6280" s="1" t="n">
        <v>45884</v>
      </c>
      <c r="D6280" t="inlineStr">
        <is>
          <t>KALMAR LÄN</t>
        </is>
      </c>
      <c r="E6280" t="inlineStr">
        <is>
          <t>VÄSTERVIK</t>
        </is>
      </c>
      <c r="G6280" t="n">
        <v>2</v>
      </c>
      <c r="H6280" t="n">
        <v>0</v>
      </c>
      <c r="I6280" t="n">
        <v>0</v>
      </c>
      <c r="J6280" t="n">
        <v>0</v>
      </c>
      <c r="K6280" t="n">
        <v>0</v>
      </c>
      <c r="L6280" t="n">
        <v>0</v>
      </c>
      <c r="M6280" t="n">
        <v>0</v>
      </c>
      <c r="N6280" t="n">
        <v>0</v>
      </c>
      <c r="O6280" t="n">
        <v>0</v>
      </c>
      <c r="P6280" t="n">
        <v>0</v>
      </c>
      <c r="Q6280" t="n">
        <v>0</v>
      </c>
      <c r="R6280" s="2" t="inlineStr"/>
    </row>
    <row r="6281" ht="15" customHeight="1">
      <c r="A6281" t="inlineStr">
        <is>
          <t>A 62921-2023</t>
        </is>
      </c>
      <c r="B6281" s="1" t="n">
        <v>45272</v>
      </c>
      <c r="C6281" s="1" t="n">
        <v>45884</v>
      </c>
      <c r="D6281" t="inlineStr">
        <is>
          <t>KALMAR LÄN</t>
        </is>
      </c>
      <c r="E6281" t="inlineStr">
        <is>
          <t>VÄSTERVIK</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4989-2021</t>
        </is>
      </c>
      <c r="B6282" s="1" t="n">
        <v>44228</v>
      </c>
      <c r="C6282" s="1" t="n">
        <v>45884</v>
      </c>
      <c r="D6282" t="inlineStr">
        <is>
          <t>KALMAR LÄN</t>
        </is>
      </c>
      <c r="E6282" t="inlineStr">
        <is>
          <t>EMMABODA</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34362-2024</t>
        </is>
      </c>
      <c r="B6283" s="1" t="n">
        <v>45525.37091435185</v>
      </c>
      <c r="C6283" s="1" t="n">
        <v>45884</v>
      </c>
      <c r="D6283" t="inlineStr">
        <is>
          <t>KALMAR LÄN</t>
        </is>
      </c>
      <c r="E6283" t="inlineStr">
        <is>
          <t>NYBRO</t>
        </is>
      </c>
      <c r="G6283" t="n">
        <v>3</v>
      </c>
      <c r="H6283" t="n">
        <v>0</v>
      </c>
      <c r="I6283" t="n">
        <v>0</v>
      </c>
      <c r="J6283" t="n">
        <v>0</v>
      </c>
      <c r="K6283" t="n">
        <v>0</v>
      </c>
      <c r="L6283" t="n">
        <v>0</v>
      </c>
      <c r="M6283" t="n">
        <v>0</v>
      </c>
      <c r="N6283" t="n">
        <v>0</v>
      </c>
      <c r="O6283" t="n">
        <v>0</v>
      </c>
      <c r="P6283" t="n">
        <v>0</v>
      </c>
      <c r="Q6283" t="n">
        <v>0</v>
      </c>
      <c r="R6283" s="2" t="inlineStr"/>
    </row>
    <row r="6284" ht="15" customHeight="1">
      <c r="A6284" t="inlineStr">
        <is>
          <t>A 12596-2021</t>
        </is>
      </c>
      <c r="B6284" s="1" t="n">
        <v>44270.39765046296</v>
      </c>
      <c r="C6284" s="1" t="n">
        <v>45884</v>
      </c>
      <c r="D6284" t="inlineStr">
        <is>
          <t>KALMAR LÄN</t>
        </is>
      </c>
      <c r="E6284" t="inlineStr">
        <is>
          <t>VIMMERBY</t>
        </is>
      </c>
      <c r="F6284" t="inlineStr">
        <is>
          <t>Sveaskog</t>
        </is>
      </c>
      <c r="G6284" t="n">
        <v>3.1</v>
      </c>
      <c r="H6284" t="n">
        <v>0</v>
      </c>
      <c r="I6284" t="n">
        <v>0</v>
      </c>
      <c r="J6284" t="n">
        <v>0</v>
      </c>
      <c r="K6284" t="n">
        <v>0</v>
      </c>
      <c r="L6284" t="n">
        <v>0</v>
      </c>
      <c r="M6284" t="n">
        <v>0</v>
      </c>
      <c r="N6284" t="n">
        <v>0</v>
      </c>
      <c r="O6284" t="n">
        <v>0</v>
      </c>
      <c r="P6284" t="n">
        <v>0</v>
      </c>
      <c r="Q6284" t="n">
        <v>0</v>
      </c>
      <c r="R6284" s="2" t="inlineStr"/>
    </row>
    <row r="6285" ht="15" customHeight="1">
      <c r="A6285" t="inlineStr">
        <is>
          <t>A 33958-2025</t>
        </is>
      </c>
      <c r="B6285" s="1" t="n">
        <v>45842.68381944444</v>
      </c>
      <c r="C6285" s="1" t="n">
        <v>45884</v>
      </c>
      <c r="D6285" t="inlineStr">
        <is>
          <t>KALMAR LÄN</t>
        </is>
      </c>
      <c r="E6285" t="inlineStr">
        <is>
          <t>HULTSFRED</t>
        </is>
      </c>
      <c r="G6285" t="n">
        <v>1.8</v>
      </c>
      <c r="H6285" t="n">
        <v>0</v>
      </c>
      <c r="I6285" t="n">
        <v>0</v>
      </c>
      <c r="J6285" t="n">
        <v>0</v>
      </c>
      <c r="K6285" t="n">
        <v>0</v>
      </c>
      <c r="L6285" t="n">
        <v>0</v>
      </c>
      <c r="M6285" t="n">
        <v>0</v>
      </c>
      <c r="N6285" t="n">
        <v>0</v>
      </c>
      <c r="O6285" t="n">
        <v>0</v>
      </c>
      <c r="P6285" t="n">
        <v>0</v>
      </c>
      <c r="Q6285" t="n">
        <v>0</v>
      </c>
      <c r="R6285" s="2" t="inlineStr"/>
    </row>
    <row r="6286" ht="15" customHeight="1">
      <c r="A6286" t="inlineStr">
        <is>
          <t>A 33990-2025</t>
        </is>
      </c>
      <c r="B6286" s="1" t="n">
        <v>45843.54559027778</v>
      </c>
      <c r="C6286" s="1" t="n">
        <v>45884</v>
      </c>
      <c r="D6286" t="inlineStr">
        <is>
          <t>KALMAR LÄN</t>
        </is>
      </c>
      <c r="E6286" t="inlineStr">
        <is>
          <t>HULTSFRED</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34055-2025</t>
        </is>
      </c>
      <c r="B6287" s="1" t="n">
        <v>45845.41</v>
      </c>
      <c r="C6287" s="1" t="n">
        <v>45884</v>
      </c>
      <c r="D6287" t="inlineStr">
        <is>
          <t>KALMAR LÄN</t>
        </is>
      </c>
      <c r="E6287" t="inlineStr">
        <is>
          <t>EMMABODA</t>
        </is>
      </c>
      <c r="G6287" t="n">
        <v>3.9</v>
      </c>
      <c r="H6287" t="n">
        <v>0</v>
      </c>
      <c r="I6287" t="n">
        <v>0</v>
      </c>
      <c r="J6287" t="n">
        <v>0</v>
      </c>
      <c r="K6287" t="n">
        <v>0</v>
      </c>
      <c r="L6287" t="n">
        <v>0</v>
      </c>
      <c r="M6287" t="n">
        <v>0</v>
      </c>
      <c r="N6287" t="n">
        <v>0</v>
      </c>
      <c r="O6287" t="n">
        <v>0</v>
      </c>
      <c r="P6287" t="n">
        <v>0</v>
      </c>
      <c r="Q6287" t="n">
        <v>0</v>
      </c>
      <c r="R6287" s="2" t="inlineStr"/>
    </row>
    <row r="6288" ht="15" customHeight="1">
      <c r="A6288" t="inlineStr">
        <is>
          <t>A 34171-2025</t>
        </is>
      </c>
      <c r="B6288" s="1" t="n">
        <v>45845.58966435185</v>
      </c>
      <c r="C6288" s="1" t="n">
        <v>45884</v>
      </c>
      <c r="D6288" t="inlineStr">
        <is>
          <t>KALMAR LÄN</t>
        </is>
      </c>
      <c r="E6288" t="inlineStr">
        <is>
          <t>VÄSTERVIK</t>
        </is>
      </c>
      <c r="G6288" t="n">
        <v>1.6</v>
      </c>
      <c r="H6288" t="n">
        <v>0</v>
      </c>
      <c r="I6288" t="n">
        <v>0</v>
      </c>
      <c r="J6288" t="n">
        <v>0</v>
      </c>
      <c r="K6288" t="n">
        <v>0</v>
      </c>
      <c r="L6288" t="n">
        <v>0</v>
      </c>
      <c r="M6288" t="n">
        <v>0</v>
      </c>
      <c r="N6288" t="n">
        <v>0</v>
      </c>
      <c r="O6288" t="n">
        <v>0</v>
      </c>
      <c r="P6288" t="n">
        <v>0</v>
      </c>
      <c r="Q6288" t="n">
        <v>0</v>
      </c>
      <c r="R6288" s="2" t="inlineStr"/>
    </row>
    <row r="6289" ht="15" customHeight="1">
      <c r="A6289" t="inlineStr">
        <is>
          <t>A 34201-2025</t>
        </is>
      </c>
      <c r="B6289" s="1" t="n">
        <v>45845.63357638889</v>
      </c>
      <c r="C6289" s="1" t="n">
        <v>45884</v>
      </c>
      <c r="D6289" t="inlineStr">
        <is>
          <t>KALMAR LÄN</t>
        </is>
      </c>
      <c r="E6289" t="inlineStr">
        <is>
          <t>HULTSFRED</t>
        </is>
      </c>
      <c r="G6289" t="n">
        <v>1.6</v>
      </c>
      <c r="H6289" t="n">
        <v>0</v>
      </c>
      <c r="I6289" t="n">
        <v>0</v>
      </c>
      <c r="J6289" t="n">
        <v>0</v>
      </c>
      <c r="K6289" t="n">
        <v>0</v>
      </c>
      <c r="L6289" t="n">
        <v>0</v>
      </c>
      <c r="M6289" t="n">
        <v>0</v>
      </c>
      <c r="N6289" t="n">
        <v>0</v>
      </c>
      <c r="O6289" t="n">
        <v>0</v>
      </c>
      <c r="P6289" t="n">
        <v>0</v>
      </c>
      <c r="Q6289" t="n">
        <v>0</v>
      </c>
      <c r="R6289" s="2" t="inlineStr"/>
    </row>
    <row r="6290" ht="15" customHeight="1">
      <c r="A6290" t="inlineStr">
        <is>
          <t>A 33816-2025</t>
        </is>
      </c>
      <c r="B6290" s="1" t="n">
        <v>45842.45819444444</v>
      </c>
      <c r="C6290" s="1" t="n">
        <v>45884</v>
      </c>
      <c r="D6290" t="inlineStr">
        <is>
          <t>KALMAR LÄN</t>
        </is>
      </c>
      <c r="E6290" t="inlineStr">
        <is>
          <t>KALMAR</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34106-2025</t>
        </is>
      </c>
      <c r="B6291" s="1" t="n">
        <v>45845.49414351852</v>
      </c>
      <c r="C6291" s="1" t="n">
        <v>45884</v>
      </c>
      <c r="D6291" t="inlineStr">
        <is>
          <t>KALMAR LÄN</t>
        </is>
      </c>
      <c r="E6291" t="inlineStr">
        <is>
          <t>VIMMERBY</t>
        </is>
      </c>
      <c r="G6291" t="n">
        <v>6</v>
      </c>
      <c r="H6291" t="n">
        <v>0</v>
      </c>
      <c r="I6291" t="n">
        <v>0</v>
      </c>
      <c r="J6291" t="n">
        <v>0</v>
      </c>
      <c r="K6291" t="n">
        <v>0</v>
      </c>
      <c r="L6291" t="n">
        <v>0</v>
      </c>
      <c r="M6291" t="n">
        <v>0</v>
      </c>
      <c r="N6291" t="n">
        <v>0</v>
      </c>
      <c r="O6291" t="n">
        <v>0</v>
      </c>
      <c r="P6291" t="n">
        <v>0</v>
      </c>
      <c r="Q6291" t="n">
        <v>0</v>
      </c>
      <c r="R6291" s="2" t="inlineStr"/>
    </row>
    <row r="6292" ht="15" customHeight="1">
      <c r="A6292" t="inlineStr">
        <is>
          <t>A 16558-2024</t>
        </is>
      </c>
      <c r="B6292" s="1" t="n">
        <v>45408.45277777778</v>
      </c>
      <c r="C6292" s="1" t="n">
        <v>45884</v>
      </c>
      <c r="D6292" t="inlineStr">
        <is>
          <t>KALMAR LÄN</t>
        </is>
      </c>
      <c r="E6292" t="inlineStr">
        <is>
          <t>OSKARSHAMN</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29346-2024</t>
        </is>
      </c>
      <c r="B6293" s="1" t="n">
        <v>45483.4747337963</v>
      </c>
      <c r="C6293" s="1" t="n">
        <v>45884</v>
      </c>
      <c r="D6293" t="inlineStr">
        <is>
          <t>KALMAR LÄN</t>
        </is>
      </c>
      <c r="E6293" t="inlineStr">
        <is>
          <t>OSKARSHAMN</t>
        </is>
      </c>
      <c r="G6293" t="n">
        <v>3.9</v>
      </c>
      <c r="H6293" t="n">
        <v>0</v>
      </c>
      <c r="I6293" t="n">
        <v>0</v>
      </c>
      <c r="J6293" t="n">
        <v>0</v>
      </c>
      <c r="K6293" t="n">
        <v>0</v>
      </c>
      <c r="L6293" t="n">
        <v>0</v>
      </c>
      <c r="M6293" t="n">
        <v>0</v>
      </c>
      <c r="N6293" t="n">
        <v>0</v>
      </c>
      <c r="O6293" t="n">
        <v>0</v>
      </c>
      <c r="P6293" t="n">
        <v>0</v>
      </c>
      <c r="Q6293" t="n">
        <v>0</v>
      </c>
      <c r="R6293" s="2" t="inlineStr"/>
    </row>
    <row r="6294" ht="15" customHeight="1">
      <c r="A6294" t="inlineStr">
        <is>
          <t>A 41366-2024</t>
        </is>
      </c>
      <c r="B6294" s="1" t="n">
        <v>45559</v>
      </c>
      <c r="C6294" s="1" t="n">
        <v>45884</v>
      </c>
      <c r="D6294" t="inlineStr">
        <is>
          <t>KALMAR LÄN</t>
        </is>
      </c>
      <c r="E6294" t="inlineStr">
        <is>
          <t>EMMABODA</t>
        </is>
      </c>
      <c r="F6294" t="inlineStr">
        <is>
          <t>Övriga Aktiebolag</t>
        </is>
      </c>
      <c r="G6294" t="n">
        <v>5.1</v>
      </c>
      <c r="H6294" t="n">
        <v>0</v>
      </c>
      <c r="I6294" t="n">
        <v>0</v>
      </c>
      <c r="J6294" t="n">
        <v>0</v>
      </c>
      <c r="K6294" t="n">
        <v>0</v>
      </c>
      <c r="L6294" t="n">
        <v>0</v>
      </c>
      <c r="M6294" t="n">
        <v>0</v>
      </c>
      <c r="N6294" t="n">
        <v>0</v>
      </c>
      <c r="O6294" t="n">
        <v>0</v>
      </c>
      <c r="P6294" t="n">
        <v>0</v>
      </c>
      <c r="Q6294" t="n">
        <v>0</v>
      </c>
      <c r="R6294" s="2" t="inlineStr"/>
    </row>
    <row r="6295" ht="15" customHeight="1">
      <c r="A6295" t="inlineStr">
        <is>
          <t>A 61104-2020</t>
        </is>
      </c>
      <c r="B6295" s="1" t="n">
        <v>44154</v>
      </c>
      <c r="C6295" s="1" t="n">
        <v>45884</v>
      </c>
      <c r="D6295" t="inlineStr">
        <is>
          <t>KALMAR LÄN</t>
        </is>
      </c>
      <c r="E6295" t="inlineStr">
        <is>
          <t>HULTSFRED</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5899-2025</t>
        </is>
      </c>
      <c r="B6296" s="1" t="n">
        <v>45695.39430555556</v>
      </c>
      <c r="C6296" s="1" t="n">
        <v>45884</v>
      </c>
      <c r="D6296" t="inlineStr">
        <is>
          <t>KALMAR LÄN</t>
        </is>
      </c>
      <c r="E6296" t="inlineStr">
        <is>
          <t>OSKARSHAMN</t>
        </is>
      </c>
      <c r="G6296" t="n">
        <v>3.4</v>
      </c>
      <c r="H6296" t="n">
        <v>0</v>
      </c>
      <c r="I6296" t="n">
        <v>0</v>
      </c>
      <c r="J6296" t="n">
        <v>0</v>
      </c>
      <c r="K6296" t="n">
        <v>0</v>
      </c>
      <c r="L6296" t="n">
        <v>0</v>
      </c>
      <c r="M6296" t="n">
        <v>0</v>
      </c>
      <c r="N6296" t="n">
        <v>0</v>
      </c>
      <c r="O6296" t="n">
        <v>0</v>
      </c>
      <c r="P6296" t="n">
        <v>0</v>
      </c>
      <c r="Q6296" t="n">
        <v>0</v>
      </c>
      <c r="R6296" s="2" t="inlineStr"/>
    </row>
    <row r="6297" ht="15" customHeight="1">
      <c r="A6297" t="inlineStr">
        <is>
          <t>A 5900-2025</t>
        </is>
      </c>
      <c r="B6297" s="1" t="n">
        <v>45695.39592592593</v>
      </c>
      <c r="C6297" s="1" t="n">
        <v>45884</v>
      </c>
      <c r="D6297" t="inlineStr">
        <is>
          <t>KALMAR LÄN</t>
        </is>
      </c>
      <c r="E6297" t="inlineStr">
        <is>
          <t>OSKARSHAMN</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5928-2025</t>
        </is>
      </c>
      <c r="B6298" s="1" t="n">
        <v>45695.44407407408</v>
      </c>
      <c r="C6298" s="1" t="n">
        <v>45884</v>
      </c>
      <c r="D6298" t="inlineStr">
        <is>
          <t>KALMAR LÄN</t>
        </is>
      </c>
      <c r="E6298" t="inlineStr">
        <is>
          <t>NYBRO</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14610-2023</t>
        </is>
      </c>
      <c r="B6299" s="1" t="n">
        <v>45013.63350694445</v>
      </c>
      <c r="C6299" s="1" t="n">
        <v>45884</v>
      </c>
      <c r="D6299" t="inlineStr">
        <is>
          <t>KALMAR LÄN</t>
        </is>
      </c>
      <c r="E6299" t="inlineStr">
        <is>
          <t>MÖNSTERÅS</t>
        </is>
      </c>
      <c r="G6299" t="n">
        <v>2.2</v>
      </c>
      <c r="H6299" t="n">
        <v>0</v>
      </c>
      <c r="I6299" t="n">
        <v>0</v>
      </c>
      <c r="J6299" t="n">
        <v>0</v>
      </c>
      <c r="K6299" t="n">
        <v>0</v>
      </c>
      <c r="L6299" t="n">
        <v>0</v>
      </c>
      <c r="M6299" t="n">
        <v>0</v>
      </c>
      <c r="N6299" t="n">
        <v>0</v>
      </c>
      <c r="O6299" t="n">
        <v>0</v>
      </c>
      <c r="P6299" t="n">
        <v>0</v>
      </c>
      <c r="Q6299" t="n">
        <v>0</v>
      </c>
      <c r="R6299" s="2" t="inlineStr"/>
    </row>
    <row r="6300" ht="15" customHeight="1">
      <c r="A6300" t="inlineStr">
        <is>
          <t>A 23398-2021</t>
        </is>
      </c>
      <c r="B6300" s="1" t="n">
        <v>44333.63303240741</v>
      </c>
      <c r="C6300" s="1" t="n">
        <v>45884</v>
      </c>
      <c r="D6300" t="inlineStr">
        <is>
          <t>KALMAR LÄN</t>
        </is>
      </c>
      <c r="E6300" t="inlineStr">
        <is>
          <t>NYBRO</t>
        </is>
      </c>
      <c r="G6300" t="n">
        <v>0.6</v>
      </c>
      <c r="H6300" t="n">
        <v>0</v>
      </c>
      <c r="I6300" t="n">
        <v>0</v>
      </c>
      <c r="J6300" t="n">
        <v>0</v>
      </c>
      <c r="K6300" t="n">
        <v>0</v>
      </c>
      <c r="L6300" t="n">
        <v>0</v>
      </c>
      <c r="M6300" t="n">
        <v>0</v>
      </c>
      <c r="N6300" t="n">
        <v>0</v>
      </c>
      <c r="O6300" t="n">
        <v>0</v>
      </c>
      <c r="P6300" t="n">
        <v>0</v>
      </c>
      <c r="Q6300" t="n">
        <v>0</v>
      </c>
      <c r="R6300" s="2" t="inlineStr"/>
    </row>
    <row r="6301" ht="15" customHeight="1">
      <c r="A6301" t="inlineStr">
        <is>
          <t>A 70600-2021</t>
        </is>
      </c>
      <c r="B6301" s="1" t="n">
        <v>44537.4409375</v>
      </c>
      <c r="C6301" s="1" t="n">
        <v>45884</v>
      </c>
      <c r="D6301" t="inlineStr">
        <is>
          <t>KALMAR LÄN</t>
        </is>
      </c>
      <c r="E6301" t="inlineStr">
        <is>
          <t>HULTSFRED</t>
        </is>
      </c>
      <c r="G6301" t="n">
        <v>2.8</v>
      </c>
      <c r="H6301" t="n">
        <v>0</v>
      </c>
      <c r="I6301" t="n">
        <v>0</v>
      </c>
      <c r="J6301" t="n">
        <v>0</v>
      </c>
      <c r="K6301" t="n">
        <v>0</v>
      </c>
      <c r="L6301" t="n">
        <v>0</v>
      </c>
      <c r="M6301" t="n">
        <v>0</v>
      </c>
      <c r="N6301" t="n">
        <v>0</v>
      </c>
      <c r="O6301" t="n">
        <v>0</v>
      </c>
      <c r="P6301" t="n">
        <v>0</v>
      </c>
      <c r="Q6301" t="n">
        <v>0</v>
      </c>
      <c r="R6301" s="2" t="inlineStr"/>
    </row>
    <row r="6302" ht="15" customHeight="1">
      <c r="A6302" t="inlineStr">
        <is>
          <t>A 13475-2021</t>
        </is>
      </c>
      <c r="B6302" s="1" t="n">
        <v>44273</v>
      </c>
      <c r="C6302" s="1" t="n">
        <v>45884</v>
      </c>
      <c r="D6302" t="inlineStr">
        <is>
          <t>KALMAR LÄN</t>
        </is>
      </c>
      <c r="E6302" t="inlineStr">
        <is>
          <t>EMMABODA</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18843-2025</t>
        </is>
      </c>
      <c r="B6303" s="1" t="n">
        <v>45764.40966435185</v>
      </c>
      <c r="C6303" s="1" t="n">
        <v>45884</v>
      </c>
      <c r="D6303" t="inlineStr">
        <is>
          <t>KALMAR LÄN</t>
        </is>
      </c>
      <c r="E6303" t="inlineStr">
        <is>
          <t>MÖNSTERÅS</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18875-2025</t>
        </is>
      </c>
      <c r="B6304" s="1" t="n">
        <v>45764.43362268519</v>
      </c>
      <c r="C6304" s="1" t="n">
        <v>45884</v>
      </c>
      <c r="D6304" t="inlineStr">
        <is>
          <t>KALMAR LÄN</t>
        </is>
      </c>
      <c r="E6304" t="inlineStr">
        <is>
          <t>KALMAR</t>
        </is>
      </c>
      <c r="G6304" t="n">
        <v>2.2</v>
      </c>
      <c r="H6304" t="n">
        <v>0</v>
      </c>
      <c r="I6304" t="n">
        <v>0</v>
      </c>
      <c r="J6304" t="n">
        <v>0</v>
      </c>
      <c r="K6304" t="n">
        <v>0</v>
      </c>
      <c r="L6304" t="n">
        <v>0</v>
      </c>
      <c r="M6304" t="n">
        <v>0</v>
      </c>
      <c r="N6304" t="n">
        <v>0</v>
      </c>
      <c r="O6304" t="n">
        <v>0</v>
      </c>
      <c r="P6304" t="n">
        <v>0</v>
      </c>
      <c r="Q6304" t="n">
        <v>0</v>
      </c>
      <c r="R6304" s="2" t="inlineStr"/>
    </row>
    <row r="6305" ht="15" customHeight="1">
      <c r="A6305" t="inlineStr">
        <is>
          <t>A 14600-2023</t>
        </is>
      </c>
      <c r="B6305" s="1" t="n">
        <v>45013.59971064814</v>
      </c>
      <c r="C6305" s="1" t="n">
        <v>45884</v>
      </c>
      <c r="D6305" t="inlineStr">
        <is>
          <t>KALMAR LÄN</t>
        </is>
      </c>
      <c r="E6305" t="inlineStr">
        <is>
          <t>NYBRO</t>
        </is>
      </c>
      <c r="G6305" t="n">
        <v>1.9</v>
      </c>
      <c r="H6305" t="n">
        <v>0</v>
      </c>
      <c r="I6305" t="n">
        <v>0</v>
      </c>
      <c r="J6305" t="n">
        <v>0</v>
      </c>
      <c r="K6305" t="n">
        <v>0</v>
      </c>
      <c r="L6305" t="n">
        <v>0</v>
      </c>
      <c r="M6305" t="n">
        <v>0</v>
      </c>
      <c r="N6305" t="n">
        <v>0</v>
      </c>
      <c r="O6305" t="n">
        <v>0</v>
      </c>
      <c r="P6305" t="n">
        <v>0</v>
      </c>
      <c r="Q6305" t="n">
        <v>0</v>
      </c>
      <c r="R6305" s="2" t="inlineStr"/>
    </row>
    <row r="6306" ht="15" customHeight="1">
      <c r="A6306" t="inlineStr">
        <is>
          <t>A 4947-2023</t>
        </is>
      </c>
      <c r="B6306" s="1" t="n">
        <v>44958</v>
      </c>
      <c r="C6306" s="1" t="n">
        <v>45884</v>
      </c>
      <c r="D6306" t="inlineStr">
        <is>
          <t>KALMAR LÄN</t>
        </is>
      </c>
      <c r="E6306" t="inlineStr">
        <is>
          <t>EMMABODA</t>
        </is>
      </c>
      <c r="G6306" t="n">
        <v>3.3</v>
      </c>
      <c r="H6306" t="n">
        <v>0</v>
      </c>
      <c r="I6306" t="n">
        <v>0</v>
      </c>
      <c r="J6306" t="n">
        <v>0</v>
      </c>
      <c r="K6306" t="n">
        <v>0</v>
      </c>
      <c r="L6306" t="n">
        <v>0</v>
      </c>
      <c r="M6306" t="n">
        <v>0</v>
      </c>
      <c r="N6306" t="n">
        <v>0</v>
      </c>
      <c r="O6306" t="n">
        <v>0</v>
      </c>
      <c r="P6306" t="n">
        <v>0</v>
      </c>
      <c r="Q6306" t="n">
        <v>0</v>
      </c>
      <c r="R6306" s="2" t="inlineStr"/>
    </row>
    <row r="6307" ht="15" customHeight="1">
      <c r="A6307" t="inlineStr">
        <is>
          <t>A 57763-2022</t>
        </is>
      </c>
      <c r="B6307" s="1" t="n">
        <v>44897.59982638889</v>
      </c>
      <c r="C6307" s="1" t="n">
        <v>45884</v>
      </c>
      <c r="D6307" t="inlineStr">
        <is>
          <t>KALMAR LÄN</t>
        </is>
      </c>
      <c r="E6307" t="inlineStr">
        <is>
          <t>MÖNSTERÅS</t>
        </is>
      </c>
      <c r="F6307" t="inlineStr">
        <is>
          <t>Övriga Aktiebolag</t>
        </is>
      </c>
      <c r="G6307" t="n">
        <v>2.8</v>
      </c>
      <c r="H6307" t="n">
        <v>0</v>
      </c>
      <c r="I6307" t="n">
        <v>0</v>
      </c>
      <c r="J6307" t="n">
        <v>0</v>
      </c>
      <c r="K6307" t="n">
        <v>0</v>
      </c>
      <c r="L6307" t="n">
        <v>0</v>
      </c>
      <c r="M6307" t="n">
        <v>0</v>
      </c>
      <c r="N6307" t="n">
        <v>0</v>
      </c>
      <c r="O6307" t="n">
        <v>0</v>
      </c>
      <c r="P6307" t="n">
        <v>0</v>
      </c>
      <c r="Q6307" t="n">
        <v>0</v>
      </c>
      <c r="R6307" s="2" t="inlineStr"/>
    </row>
    <row r="6308" ht="15" customHeight="1">
      <c r="A6308" t="inlineStr">
        <is>
          <t>A 56895-2024</t>
        </is>
      </c>
      <c r="B6308" s="1" t="n">
        <v>45628</v>
      </c>
      <c r="C6308" s="1" t="n">
        <v>45884</v>
      </c>
      <c r="D6308" t="inlineStr">
        <is>
          <t>KALMAR LÄN</t>
        </is>
      </c>
      <c r="E6308" t="inlineStr">
        <is>
          <t>NYBRO</t>
        </is>
      </c>
      <c r="G6308" t="n">
        <v>2.3</v>
      </c>
      <c r="H6308" t="n">
        <v>0</v>
      </c>
      <c r="I6308" t="n">
        <v>0</v>
      </c>
      <c r="J6308" t="n">
        <v>0</v>
      </c>
      <c r="K6308" t="n">
        <v>0</v>
      </c>
      <c r="L6308" t="n">
        <v>0</v>
      </c>
      <c r="M6308" t="n">
        <v>0</v>
      </c>
      <c r="N6308" t="n">
        <v>0</v>
      </c>
      <c r="O6308" t="n">
        <v>0</v>
      </c>
      <c r="P6308" t="n">
        <v>0</v>
      </c>
      <c r="Q6308" t="n">
        <v>0</v>
      </c>
      <c r="R6308" s="2" t="inlineStr"/>
    </row>
    <row r="6309" ht="15" customHeight="1">
      <c r="A6309" t="inlineStr">
        <is>
          <t>A 4579-2023</t>
        </is>
      </c>
      <c r="B6309" s="1" t="n">
        <v>44956.72383101852</v>
      </c>
      <c r="C6309" s="1" t="n">
        <v>45884</v>
      </c>
      <c r="D6309" t="inlineStr">
        <is>
          <t>KALMAR LÄN</t>
        </is>
      </c>
      <c r="E6309" t="inlineStr">
        <is>
          <t>VÄSTERVIK</t>
        </is>
      </c>
      <c r="G6309" t="n">
        <v>2.2</v>
      </c>
      <c r="H6309" t="n">
        <v>0</v>
      </c>
      <c r="I6309" t="n">
        <v>0</v>
      </c>
      <c r="J6309" t="n">
        <v>0</v>
      </c>
      <c r="K6309" t="n">
        <v>0</v>
      </c>
      <c r="L6309" t="n">
        <v>0</v>
      </c>
      <c r="M6309" t="n">
        <v>0</v>
      </c>
      <c r="N6309" t="n">
        <v>0</v>
      </c>
      <c r="O6309" t="n">
        <v>0</v>
      </c>
      <c r="P6309" t="n">
        <v>0</v>
      </c>
      <c r="Q6309" t="n">
        <v>0</v>
      </c>
      <c r="R6309" s="2" t="inlineStr"/>
    </row>
    <row r="6310" ht="15" customHeight="1">
      <c r="A6310" t="inlineStr">
        <is>
          <t>A 57799-2022</t>
        </is>
      </c>
      <c r="B6310" s="1" t="n">
        <v>44897</v>
      </c>
      <c r="C6310" s="1" t="n">
        <v>45884</v>
      </c>
      <c r="D6310" t="inlineStr">
        <is>
          <t>KALMAR LÄN</t>
        </is>
      </c>
      <c r="E6310" t="inlineStr">
        <is>
          <t>VIMMERBY</t>
        </is>
      </c>
      <c r="G6310" t="n">
        <v>1.4</v>
      </c>
      <c r="H6310" t="n">
        <v>0</v>
      </c>
      <c r="I6310" t="n">
        <v>0</v>
      </c>
      <c r="J6310" t="n">
        <v>0</v>
      </c>
      <c r="K6310" t="n">
        <v>0</v>
      </c>
      <c r="L6310" t="n">
        <v>0</v>
      </c>
      <c r="M6310" t="n">
        <v>0</v>
      </c>
      <c r="N6310" t="n">
        <v>0</v>
      </c>
      <c r="O6310" t="n">
        <v>0</v>
      </c>
      <c r="P6310" t="n">
        <v>0</v>
      </c>
      <c r="Q6310" t="n">
        <v>0</v>
      </c>
      <c r="R6310" s="2" t="inlineStr"/>
    </row>
    <row r="6311" ht="15" customHeight="1">
      <c r="A6311" t="inlineStr">
        <is>
          <t>A 9519-2021</t>
        </is>
      </c>
      <c r="B6311" s="1" t="n">
        <v>44251</v>
      </c>
      <c r="C6311" s="1" t="n">
        <v>45884</v>
      </c>
      <c r="D6311" t="inlineStr">
        <is>
          <t>KALMAR LÄN</t>
        </is>
      </c>
      <c r="E6311" t="inlineStr">
        <is>
          <t>OSKARSHAMN</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25255-2025</t>
        </is>
      </c>
      <c r="B6312" s="1" t="n">
        <v>45800.50819444445</v>
      </c>
      <c r="C6312" s="1" t="n">
        <v>45884</v>
      </c>
      <c r="D6312" t="inlineStr">
        <is>
          <t>KALMAR LÄN</t>
        </is>
      </c>
      <c r="E6312" t="inlineStr">
        <is>
          <t>HULTSFRED</t>
        </is>
      </c>
      <c r="G6312" t="n">
        <v>1.9</v>
      </c>
      <c r="H6312" t="n">
        <v>0</v>
      </c>
      <c r="I6312" t="n">
        <v>0</v>
      </c>
      <c r="J6312" t="n">
        <v>0</v>
      </c>
      <c r="K6312" t="n">
        <v>0</v>
      </c>
      <c r="L6312" t="n">
        <v>0</v>
      </c>
      <c r="M6312" t="n">
        <v>0</v>
      </c>
      <c r="N6312" t="n">
        <v>0</v>
      </c>
      <c r="O6312" t="n">
        <v>0</v>
      </c>
      <c r="P6312" t="n">
        <v>0</v>
      </c>
      <c r="Q6312" t="n">
        <v>0</v>
      </c>
      <c r="R6312" s="2" t="inlineStr"/>
    </row>
    <row r="6313" ht="15" customHeight="1">
      <c r="A6313" t="inlineStr">
        <is>
          <t>A 37161-2024</t>
        </is>
      </c>
      <c r="B6313" s="1" t="n">
        <v>45539.61945601852</v>
      </c>
      <c r="C6313" s="1" t="n">
        <v>45884</v>
      </c>
      <c r="D6313" t="inlineStr">
        <is>
          <t>KALMAR LÄN</t>
        </is>
      </c>
      <c r="E6313" t="inlineStr">
        <is>
          <t>HULTSFRED</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25549-2025</t>
        </is>
      </c>
      <c r="B6314" s="1" t="n">
        <v>45803.44508101852</v>
      </c>
      <c r="C6314" s="1" t="n">
        <v>45884</v>
      </c>
      <c r="D6314" t="inlineStr">
        <is>
          <t>KALMAR LÄN</t>
        </is>
      </c>
      <c r="E6314" t="inlineStr">
        <is>
          <t>HULTSFRED</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25550-2025</t>
        </is>
      </c>
      <c r="B6315" s="1" t="n">
        <v>45803.44677083333</v>
      </c>
      <c r="C6315" s="1" t="n">
        <v>45884</v>
      </c>
      <c r="D6315" t="inlineStr">
        <is>
          <t>KALMAR LÄN</t>
        </is>
      </c>
      <c r="E6315" t="inlineStr">
        <is>
          <t>HULTSFRED</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30921-2024</t>
        </is>
      </c>
      <c r="B6316" s="1" t="n">
        <v>45498</v>
      </c>
      <c r="C6316" s="1" t="n">
        <v>45884</v>
      </c>
      <c r="D6316" t="inlineStr">
        <is>
          <t>KALMAR LÄN</t>
        </is>
      </c>
      <c r="E6316" t="inlineStr">
        <is>
          <t>VIMMERBY</t>
        </is>
      </c>
      <c r="G6316" t="n">
        <v>1.6</v>
      </c>
      <c r="H6316" t="n">
        <v>0</v>
      </c>
      <c r="I6316" t="n">
        <v>0</v>
      </c>
      <c r="J6316" t="n">
        <v>0</v>
      </c>
      <c r="K6316" t="n">
        <v>0</v>
      </c>
      <c r="L6316" t="n">
        <v>0</v>
      </c>
      <c r="M6316" t="n">
        <v>0</v>
      </c>
      <c r="N6316" t="n">
        <v>0</v>
      </c>
      <c r="O6316" t="n">
        <v>0</v>
      </c>
      <c r="P6316" t="n">
        <v>0</v>
      </c>
      <c r="Q6316" t="n">
        <v>0</v>
      </c>
      <c r="R6316" s="2" t="inlineStr"/>
    </row>
    <row r="6317" ht="15" customHeight="1">
      <c r="A6317" t="inlineStr">
        <is>
          <t>A 25612-2025</t>
        </is>
      </c>
      <c r="B6317" s="1" t="n">
        <v>45803.56060185185</v>
      </c>
      <c r="C6317" s="1" t="n">
        <v>45884</v>
      </c>
      <c r="D6317" t="inlineStr">
        <is>
          <t>KALMAR LÄN</t>
        </is>
      </c>
      <c r="E6317" t="inlineStr">
        <is>
          <t>EMMABODA</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23562-2025</t>
        </is>
      </c>
      <c r="B6318" s="1" t="n">
        <v>45792</v>
      </c>
      <c r="C6318" s="1" t="n">
        <v>45884</v>
      </c>
      <c r="D6318" t="inlineStr">
        <is>
          <t>KALMAR LÄN</t>
        </is>
      </c>
      <c r="E6318" t="inlineStr">
        <is>
          <t>OSKARSHAMN</t>
        </is>
      </c>
      <c r="F6318" t="inlineStr">
        <is>
          <t>Kyrkan</t>
        </is>
      </c>
      <c r="G6318" t="n">
        <v>2.9</v>
      </c>
      <c r="H6318" t="n">
        <v>0</v>
      </c>
      <c r="I6318" t="n">
        <v>0</v>
      </c>
      <c r="J6318" t="n">
        <v>0</v>
      </c>
      <c r="K6318" t="n">
        <v>0</v>
      </c>
      <c r="L6318" t="n">
        <v>0</v>
      </c>
      <c r="M6318" t="n">
        <v>0</v>
      </c>
      <c r="N6318" t="n">
        <v>0</v>
      </c>
      <c r="O6318" t="n">
        <v>0</v>
      </c>
      <c r="P6318" t="n">
        <v>0</v>
      </c>
      <c r="Q6318" t="n">
        <v>0</v>
      </c>
      <c r="R6318" s="2" t="inlineStr"/>
    </row>
    <row r="6319" ht="15" customHeight="1">
      <c r="A6319" t="inlineStr">
        <is>
          <t>A 34658-2024</t>
        </is>
      </c>
      <c r="B6319" s="1" t="n">
        <v>45526</v>
      </c>
      <c r="C6319" s="1" t="n">
        <v>45884</v>
      </c>
      <c r="D6319" t="inlineStr">
        <is>
          <t>KALMAR LÄN</t>
        </is>
      </c>
      <c r="E6319" t="inlineStr">
        <is>
          <t>OSKARSHAMN</t>
        </is>
      </c>
      <c r="G6319" t="n">
        <v>1.6</v>
      </c>
      <c r="H6319" t="n">
        <v>0</v>
      </c>
      <c r="I6319" t="n">
        <v>0</v>
      </c>
      <c r="J6319" t="n">
        <v>0</v>
      </c>
      <c r="K6319" t="n">
        <v>0</v>
      </c>
      <c r="L6319" t="n">
        <v>0</v>
      </c>
      <c r="M6319" t="n">
        <v>0</v>
      </c>
      <c r="N6319" t="n">
        <v>0</v>
      </c>
      <c r="O6319" t="n">
        <v>0</v>
      </c>
      <c r="P6319" t="n">
        <v>0</v>
      </c>
      <c r="Q6319" t="n">
        <v>0</v>
      </c>
      <c r="R6319" s="2" t="inlineStr"/>
    </row>
    <row r="6320" ht="15" customHeight="1">
      <c r="A6320" t="inlineStr">
        <is>
          <t>A 39624-2024</t>
        </is>
      </c>
      <c r="B6320" s="1" t="n">
        <v>45552.43833333333</v>
      </c>
      <c r="C6320" s="1" t="n">
        <v>45884</v>
      </c>
      <c r="D6320" t="inlineStr">
        <is>
          <t>KALMAR LÄN</t>
        </is>
      </c>
      <c r="E6320" t="inlineStr">
        <is>
          <t>NYBRO</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33829-2025</t>
        </is>
      </c>
      <c r="B6321" s="1" t="n">
        <v>45842.47361111111</v>
      </c>
      <c r="C6321" s="1" t="n">
        <v>45884</v>
      </c>
      <c r="D6321" t="inlineStr">
        <is>
          <t>KALMAR LÄN</t>
        </is>
      </c>
      <c r="E6321" t="inlineStr">
        <is>
          <t>NYBRO</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34071-2025</t>
        </is>
      </c>
      <c r="B6322" s="1" t="n">
        <v>45845.43803240741</v>
      </c>
      <c r="C6322" s="1" t="n">
        <v>45884</v>
      </c>
      <c r="D6322" t="inlineStr">
        <is>
          <t>KALMAR LÄN</t>
        </is>
      </c>
      <c r="E6322" t="inlineStr">
        <is>
          <t>VIMMERBY</t>
        </is>
      </c>
      <c r="G6322" t="n">
        <v>6.8</v>
      </c>
      <c r="H6322" t="n">
        <v>0</v>
      </c>
      <c r="I6322" t="n">
        <v>0</v>
      </c>
      <c r="J6322" t="n">
        <v>0</v>
      </c>
      <c r="K6322" t="n">
        <v>0</v>
      </c>
      <c r="L6322" t="n">
        <v>0</v>
      </c>
      <c r="M6322" t="n">
        <v>0</v>
      </c>
      <c r="N6322" t="n">
        <v>0</v>
      </c>
      <c r="O6322" t="n">
        <v>0</v>
      </c>
      <c r="P6322" t="n">
        <v>0</v>
      </c>
      <c r="Q6322" t="n">
        <v>0</v>
      </c>
      <c r="R6322" s="2" t="inlineStr"/>
    </row>
    <row r="6323" ht="15" customHeight="1">
      <c r="A6323" t="inlineStr">
        <is>
          <t>A 19704-2025</t>
        </is>
      </c>
      <c r="B6323" s="1" t="n">
        <v>45771</v>
      </c>
      <c r="C6323" s="1" t="n">
        <v>45884</v>
      </c>
      <c r="D6323" t="inlineStr">
        <is>
          <t>KALMAR LÄN</t>
        </is>
      </c>
      <c r="E6323" t="inlineStr">
        <is>
          <t>EMMABODA</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25321-2025</t>
        </is>
      </c>
      <c r="B6324" s="1" t="n">
        <v>45800.58695601852</v>
      </c>
      <c r="C6324" s="1" t="n">
        <v>45884</v>
      </c>
      <c r="D6324" t="inlineStr">
        <is>
          <t>KALMAR LÄN</t>
        </is>
      </c>
      <c r="E6324" t="inlineStr">
        <is>
          <t>EMMABODA</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42831-2023</t>
        </is>
      </c>
      <c r="B6325" s="1" t="n">
        <v>45182.380625</v>
      </c>
      <c r="C6325" s="1" t="n">
        <v>45884</v>
      </c>
      <c r="D6325" t="inlineStr">
        <is>
          <t>KALMAR LÄN</t>
        </is>
      </c>
      <c r="E6325" t="inlineStr">
        <is>
          <t>OSKARSHAMN</t>
        </is>
      </c>
      <c r="G6325" t="n">
        <v>1.3</v>
      </c>
      <c r="H6325" t="n">
        <v>0</v>
      </c>
      <c r="I6325" t="n">
        <v>0</v>
      </c>
      <c r="J6325" t="n">
        <v>0</v>
      </c>
      <c r="K6325" t="n">
        <v>0</v>
      </c>
      <c r="L6325" t="n">
        <v>0</v>
      </c>
      <c r="M6325" t="n">
        <v>0</v>
      </c>
      <c r="N6325" t="n">
        <v>0</v>
      </c>
      <c r="O6325" t="n">
        <v>0</v>
      </c>
      <c r="P6325" t="n">
        <v>0</v>
      </c>
      <c r="Q6325" t="n">
        <v>0</v>
      </c>
      <c r="R6325" s="2" t="inlineStr"/>
    </row>
    <row r="6326" ht="15" customHeight="1">
      <c r="A6326" t="inlineStr">
        <is>
          <t>A 42836-2023</t>
        </is>
      </c>
      <c r="B6326" s="1" t="n">
        <v>45182</v>
      </c>
      <c r="C6326" s="1" t="n">
        <v>45884</v>
      </c>
      <c r="D6326" t="inlineStr">
        <is>
          <t>KALMAR LÄN</t>
        </is>
      </c>
      <c r="E6326" t="inlineStr">
        <is>
          <t>EMMABODA</t>
        </is>
      </c>
      <c r="G6326" t="n">
        <v>2.2</v>
      </c>
      <c r="H6326" t="n">
        <v>0</v>
      </c>
      <c r="I6326" t="n">
        <v>0</v>
      </c>
      <c r="J6326" t="n">
        <v>0</v>
      </c>
      <c r="K6326" t="n">
        <v>0</v>
      </c>
      <c r="L6326" t="n">
        <v>0</v>
      </c>
      <c r="M6326" t="n">
        <v>0</v>
      </c>
      <c r="N6326" t="n">
        <v>0</v>
      </c>
      <c r="O6326" t="n">
        <v>0</v>
      </c>
      <c r="P6326" t="n">
        <v>0</v>
      </c>
      <c r="Q6326" t="n">
        <v>0</v>
      </c>
      <c r="R6326" s="2" t="inlineStr"/>
    </row>
    <row r="6327" ht="15" customHeight="1">
      <c r="A6327" t="inlineStr">
        <is>
          <t>A 38413-2024</t>
        </is>
      </c>
      <c r="B6327" s="1" t="n">
        <v>45546.34954861111</v>
      </c>
      <c r="C6327" s="1" t="n">
        <v>45884</v>
      </c>
      <c r="D6327" t="inlineStr">
        <is>
          <t>KALMAR LÄN</t>
        </is>
      </c>
      <c r="E6327" t="inlineStr">
        <is>
          <t>HULTSFRED</t>
        </is>
      </c>
      <c r="G6327" t="n">
        <v>18.6</v>
      </c>
      <c r="H6327" t="n">
        <v>0</v>
      </c>
      <c r="I6327" t="n">
        <v>0</v>
      </c>
      <c r="J6327" t="n">
        <v>0</v>
      </c>
      <c r="K6327" t="n">
        <v>0</v>
      </c>
      <c r="L6327" t="n">
        <v>0</v>
      </c>
      <c r="M6327" t="n">
        <v>0</v>
      </c>
      <c r="N6327" t="n">
        <v>0</v>
      </c>
      <c r="O6327" t="n">
        <v>0</v>
      </c>
      <c r="P6327" t="n">
        <v>0</v>
      </c>
      <c r="Q6327" t="n">
        <v>0</v>
      </c>
      <c r="R6327" s="2" t="inlineStr"/>
    </row>
    <row r="6328" ht="15" customHeight="1">
      <c r="A6328" t="inlineStr">
        <is>
          <t>A 73404-2021</t>
        </is>
      </c>
      <c r="B6328" s="1" t="n">
        <v>44551.46303240741</v>
      </c>
      <c r="C6328" s="1" t="n">
        <v>45884</v>
      </c>
      <c r="D6328" t="inlineStr">
        <is>
          <t>KALMAR LÄN</t>
        </is>
      </c>
      <c r="E6328" t="inlineStr">
        <is>
          <t>OSKARSHAMN</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34160-2025</t>
        </is>
      </c>
      <c r="B6329" s="1" t="n">
        <v>45845.57701388889</v>
      </c>
      <c r="C6329" s="1" t="n">
        <v>45884</v>
      </c>
      <c r="D6329" t="inlineStr">
        <is>
          <t>KALMAR LÄN</t>
        </is>
      </c>
      <c r="E6329" t="inlineStr">
        <is>
          <t>VÄSTERVIK</t>
        </is>
      </c>
      <c r="G6329" t="n">
        <v>2.4</v>
      </c>
      <c r="H6329" t="n">
        <v>0</v>
      </c>
      <c r="I6329" t="n">
        <v>0</v>
      </c>
      <c r="J6329" t="n">
        <v>0</v>
      </c>
      <c r="K6329" t="n">
        <v>0</v>
      </c>
      <c r="L6329" t="n">
        <v>0</v>
      </c>
      <c r="M6329" t="n">
        <v>0</v>
      </c>
      <c r="N6329" t="n">
        <v>0</v>
      </c>
      <c r="O6329" t="n">
        <v>0</v>
      </c>
      <c r="P6329" t="n">
        <v>0</v>
      </c>
      <c r="Q6329" t="n">
        <v>0</v>
      </c>
      <c r="R6329" s="2" t="inlineStr"/>
    </row>
    <row r="6330" ht="15" customHeight="1">
      <c r="A6330" t="inlineStr">
        <is>
          <t>A 14408-2025</t>
        </is>
      </c>
      <c r="B6330" s="1" t="n">
        <v>45741.47209490741</v>
      </c>
      <c r="C6330" s="1" t="n">
        <v>45884</v>
      </c>
      <c r="D6330" t="inlineStr">
        <is>
          <t>KALMAR LÄN</t>
        </is>
      </c>
      <c r="E6330" t="inlineStr">
        <is>
          <t>HULTSFRED</t>
        </is>
      </c>
      <c r="F6330" t="inlineStr">
        <is>
          <t>Sveaskog</t>
        </is>
      </c>
      <c r="G6330" t="n">
        <v>1.2</v>
      </c>
      <c r="H6330" t="n">
        <v>0</v>
      </c>
      <c r="I6330" t="n">
        <v>0</v>
      </c>
      <c r="J6330" t="n">
        <v>0</v>
      </c>
      <c r="K6330" t="n">
        <v>0</v>
      </c>
      <c r="L6330" t="n">
        <v>0</v>
      </c>
      <c r="M6330" t="n">
        <v>0</v>
      </c>
      <c r="N6330" t="n">
        <v>0</v>
      </c>
      <c r="O6330" t="n">
        <v>0</v>
      </c>
      <c r="P6330" t="n">
        <v>0</v>
      </c>
      <c r="Q6330" t="n">
        <v>0</v>
      </c>
      <c r="R6330" s="2" t="inlineStr"/>
    </row>
    <row r="6331" ht="15" customHeight="1">
      <c r="A6331" t="inlineStr">
        <is>
          <t>A 14410-2025</t>
        </is>
      </c>
      <c r="B6331" s="1" t="n">
        <v>45741.47291666667</v>
      </c>
      <c r="C6331" s="1" t="n">
        <v>45884</v>
      </c>
      <c r="D6331" t="inlineStr">
        <is>
          <t>KALMAR LÄN</t>
        </is>
      </c>
      <c r="E6331" t="inlineStr">
        <is>
          <t>KALMAR</t>
        </is>
      </c>
      <c r="G6331" t="n">
        <v>1.8</v>
      </c>
      <c r="H6331" t="n">
        <v>0</v>
      </c>
      <c r="I6331" t="n">
        <v>0</v>
      </c>
      <c r="J6331" t="n">
        <v>0</v>
      </c>
      <c r="K6331" t="n">
        <v>0</v>
      </c>
      <c r="L6331" t="n">
        <v>0</v>
      </c>
      <c r="M6331" t="n">
        <v>0</v>
      </c>
      <c r="N6331" t="n">
        <v>0</v>
      </c>
      <c r="O6331" t="n">
        <v>0</v>
      </c>
      <c r="P6331" t="n">
        <v>0</v>
      </c>
      <c r="Q6331" t="n">
        <v>0</v>
      </c>
      <c r="R6331" s="2" t="inlineStr"/>
    </row>
    <row r="6332" ht="15" customHeight="1">
      <c r="A6332" t="inlineStr">
        <is>
          <t>A 14411-2025</t>
        </is>
      </c>
      <c r="B6332" s="1" t="n">
        <v>45741.47322916667</v>
      </c>
      <c r="C6332" s="1" t="n">
        <v>45884</v>
      </c>
      <c r="D6332" t="inlineStr">
        <is>
          <t>KALMAR LÄN</t>
        </is>
      </c>
      <c r="E6332" t="inlineStr">
        <is>
          <t>HULTSFRED</t>
        </is>
      </c>
      <c r="F6332" t="inlineStr">
        <is>
          <t>Sveaskog</t>
        </is>
      </c>
      <c r="G6332" t="n">
        <v>1.7</v>
      </c>
      <c r="H6332" t="n">
        <v>0</v>
      </c>
      <c r="I6332" t="n">
        <v>0</v>
      </c>
      <c r="J6332" t="n">
        <v>0</v>
      </c>
      <c r="K6332" t="n">
        <v>0</v>
      </c>
      <c r="L6332" t="n">
        <v>0</v>
      </c>
      <c r="M6332" t="n">
        <v>0</v>
      </c>
      <c r="N6332" t="n">
        <v>0</v>
      </c>
      <c r="O6332" t="n">
        <v>0</v>
      </c>
      <c r="P6332" t="n">
        <v>0</v>
      </c>
      <c r="Q6332" t="n">
        <v>0</v>
      </c>
      <c r="R6332" s="2" t="inlineStr"/>
    </row>
    <row r="6333" ht="15" customHeight="1">
      <c r="A6333" t="inlineStr">
        <is>
          <t>A 34209-2025</t>
        </is>
      </c>
      <c r="B6333" s="1" t="n">
        <v>45845.63783564815</v>
      </c>
      <c r="C6333" s="1" t="n">
        <v>45884</v>
      </c>
      <c r="D6333" t="inlineStr">
        <is>
          <t>KALMAR LÄN</t>
        </is>
      </c>
      <c r="E6333" t="inlineStr">
        <is>
          <t>KALMAR</t>
        </is>
      </c>
      <c r="G6333" t="n">
        <v>7.8</v>
      </c>
      <c r="H6333" t="n">
        <v>0</v>
      </c>
      <c r="I6333" t="n">
        <v>0</v>
      </c>
      <c r="J6333" t="n">
        <v>0</v>
      </c>
      <c r="K6333" t="n">
        <v>0</v>
      </c>
      <c r="L6333" t="n">
        <v>0</v>
      </c>
      <c r="M6333" t="n">
        <v>0</v>
      </c>
      <c r="N6333" t="n">
        <v>0</v>
      </c>
      <c r="O6333" t="n">
        <v>0</v>
      </c>
      <c r="P6333" t="n">
        <v>0</v>
      </c>
      <c r="Q6333" t="n">
        <v>0</v>
      </c>
      <c r="R6333" s="2" t="inlineStr"/>
    </row>
    <row r="6334" ht="15" customHeight="1">
      <c r="A6334" t="inlineStr">
        <is>
          <t>A 36092-2023</t>
        </is>
      </c>
      <c r="B6334" s="1" t="n">
        <v>45149</v>
      </c>
      <c r="C6334" s="1" t="n">
        <v>45884</v>
      </c>
      <c r="D6334" t="inlineStr">
        <is>
          <t>KALMAR LÄN</t>
        </is>
      </c>
      <c r="E6334" t="inlineStr">
        <is>
          <t>HULTSFRED</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36108-2023</t>
        </is>
      </c>
      <c r="B6335" s="1" t="n">
        <v>45149.53783564815</v>
      </c>
      <c r="C6335" s="1" t="n">
        <v>45884</v>
      </c>
      <c r="D6335" t="inlineStr">
        <is>
          <t>KALMAR LÄN</t>
        </is>
      </c>
      <c r="E6335" t="inlineStr">
        <is>
          <t>NYBRO</t>
        </is>
      </c>
      <c r="G6335" t="n">
        <v>2.3</v>
      </c>
      <c r="H6335" t="n">
        <v>0</v>
      </c>
      <c r="I6335" t="n">
        <v>0</v>
      </c>
      <c r="J6335" t="n">
        <v>0</v>
      </c>
      <c r="K6335" t="n">
        <v>0</v>
      </c>
      <c r="L6335" t="n">
        <v>0</v>
      </c>
      <c r="M6335" t="n">
        <v>0</v>
      </c>
      <c r="N6335" t="n">
        <v>0</v>
      </c>
      <c r="O6335" t="n">
        <v>0</v>
      </c>
      <c r="P6335" t="n">
        <v>0</v>
      </c>
      <c r="Q6335" t="n">
        <v>0</v>
      </c>
      <c r="R6335" s="2" t="inlineStr"/>
    </row>
    <row r="6336" ht="15" customHeight="1">
      <c r="A6336" t="inlineStr">
        <is>
          <t>A 2951-2025</t>
        </is>
      </c>
      <c r="B6336" s="1" t="n">
        <v>45678</v>
      </c>
      <c r="C6336" s="1" t="n">
        <v>45884</v>
      </c>
      <c r="D6336" t="inlineStr">
        <is>
          <t>KALMAR LÄN</t>
        </is>
      </c>
      <c r="E6336" t="inlineStr">
        <is>
          <t>VÄSTERVIK</t>
        </is>
      </c>
      <c r="G6336" t="n">
        <v>0.5</v>
      </c>
      <c r="H6336" t="n">
        <v>0</v>
      </c>
      <c r="I6336" t="n">
        <v>0</v>
      </c>
      <c r="J6336" t="n">
        <v>0</v>
      </c>
      <c r="K6336" t="n">
        <v>0</v>
      </c>
      <c r="L6336" t="n">
        <v>0</v>
      </c>
      <c r="M6336" t="n">
        <v>0</v>
      </c>
      <c r="N6336" t="n">
        <v>0</v>
      </c>
      <c r="O6336" t="n">
        <v>0</v>
      </c>
      <c r="P6336" t="n">
        <v>0</v>
      </c>
      <c r="Q6336" t="n">
        <v>0</v>
      </c>
      <c r="R6336" s="2" t="inlineStr"/>
    </row>
    <row r="6337" ht="15" customHeight="1">
      <c r="A6337" t="inlineStr">
        <is>
          <t>A 25202-2025</t>
        </is>
      </c>
      <c r="B6337" s="1" t="n">
        <v>45800.46510416667</v>
      </c>
      <c r="C6337" s="1" t="n">
        <v>45884</v>
      </c>
      <c r="D6337" t="inlineStr">
        <is>
          <t>KALMAR LÄN</t>
        </is>
      </c>
      <c r="E6337" t="inlineStr">
        <is>
          <t>HULTSFRED</t>
        </is>
      </c>
      <c r="G6337" t="n">
        <v>2</v>
      </c>
      <c r="H6337" t="n">
        <v>0</v>
      </c>
      <c r="I6337" t="n">
        <v>0</v>
      </c>
      <c r="J6337" t="n">
        <v>0</v>
      </c>
      <c r="K6337" t="n">
        <v>0</v>
      </c>
      <c r="L6337" t="n">
        <v>0</v>
      </c>
      <c r="M6337" t="n">
        <v>0</v>
      </c>
      <c r="N6337" t="n">
        <v>0</v>
      </c>
      <c r="O6337" t="n">
        <v>0</v>
      </c>
      <c r="P6337" t="n">
        <v>0</v>
      </c>
      <c r="Q6337" t="n">
        <v>0</v>
      </c>
      <c r="R6337" s="2" t="inlineStr"/>
    </row>
    <row r="6338" ht="15" customHeight="1">
      <c r="A6338" t="inlineStr">
        <is>
          <t>A 33836-2025</t>
        </is>
      </c>
      <c r="B6338" s="1" t="n">
        <v>45842.47616898148</v>
      </c>
      <c r="C6338" s="1" t="n">
        <v>45884</v>
      </c>
      <c r="D6338" t="inlineStr">
        <is>
          <t>KALMAR LÄN</t>
        </is>
      </c>
      <c r="E6338" t="inlineStr">
        <is>
          <t>VÄSTERVIK</t>
        </is>
      </c>
      <c r="G6338" t="n">
        <v>4.2</v>
      </c>
      <c r="H6338" t="n">
        <v>0</v>
      </c>
      <c r="I6338" t="n">
        <v>0</v>
      </c>
      <c r="J6338" t="n">
        <v>0</v>
      </c>
      <c r="K6338" t="n">
        <v>0</v>
      </c>
      <c r="L6338" t="n">
        <v>0</v>
      </c>
      <c r="M6338" t="n">
        <v>0</v>
      </c>
      <c r="N6338" t="n">
        <v>0</v>
      </c>
      <c r="O6338" t="n">
        <v>0</v>
      </c>
      <c r="P6338" t="n">
        <v>0</v>
      </c>
      <c r="Q6338" t="n">
        <v>0</v>
      </c>
      <c r="R6338" s="2" t="inlineStr"/>
    </row>
    <row r="6339" ht="15" customHeight="1">
      <c r="A6339" t="inlineStr">
        <is>
          <t>A 6934-2025</t>
        </is>
      </c>
      <c r="B6339" s="1" t="n">
        <v>45701.45549768519</v>
      </c>
      <c r="C6339" s="1" t="n">
        <v>45884</v>
      </c>
      <c r="D6339" t="inlineStr">
        <is>
          <t>KALMAR LÄN</t>
        </is>
      </c>
      <c r="E6339" t="inlineStr">
        <is>
          <t>MÖNSTERÅS</t>
        </is>
      </c>
      <c r="G6339" t="n">
        <v>4.2</v>
      </c>
      <c r="H6339" t="n">
        <v>0</v>
      </c>
      <c r="I6339" t="n">
        <v>0</v>
      </c>
      <c r="J6339" t="n">
        <v>0</v>
      </c>
      <c r="K6339" t="n">
        <v>0</v>
      </c>
      <c r="L6339" t="n">
        <v>0</v>
      </c>
      <c r="M6339" t="n">
        <v>0</v>
      </c>
      <c r="N6339" t="n">
        <v>0</v>
      </c>
      <c r="O6339" t="n">
        <v>0</v>
      </c>
      <c r="P6339" t="n">
        <v>0</v>
      </c>
      <c r="Q6339" t="n">
        <v>0</v>
      </c>
      <c r="R6339" s="2" t="inlineStr"/>
    </row>
    <row r="6340" ht="15" customHeight="1">
      <c r="A6340" t="inlineStr">
        <is>
          <t>A 11189-2024</t>
        </is>
      </c>
      <c r="B6340" s="1" t="n">
        <v>45371</v>
      </c>
      <c r="C6340" s="1" t="n">
        <v>45884</v>
      </c>
      <c r="D6340" t="inlineStr">
        <is>
          <t>KALMAR LÄN</t>
        </is>
      </c>
      <c r="E6340" t="inlineStr">
        <is>
          <t>VÄSTERVIK</t>
        </is>
      </c>
      <c r="G6340" t="n">
        <v>5.2</v>
      </c>
      <c r="H6340" t="n">
        <v>0</v>
      </c>
      <c r="I6340" t="n">
        <v>0</v>
      </c>
      <c r="J6340" t="n">
        <v>0</v>
      </c>
      <c r="K6340" t="n">
        <v>0</v>
      </c>
      <c r="L6340" t="n">
        <v>0</v>
      </c>
      <c r="M6340" t="n">
        <v>0</v>
      </c>
      <c r="N6340" t="n">
        <v>0</v>
      </c>
      <c r="O6340" t="n">
        <v>0</v>
      </c>
      <c r="P6340" t="n">
        <v>0</v>
      </c>
      <c r="Q6340" t="n">
        <v>0</v>
      </c>
      <c r="R6340" s="2" t="inlineStr"/>
    </row>
    <row r="6341" ht="15" customHeight="1">
      <c r="A6341" t="inlineStr">
        <is>
          <t>A 33922-2025</t>
        </is>
      </c>
      <c r="B6341" s="1" t="n">
        <v>45842.61993055556</v>
      </c>
      <c r="C6341" s="1" t="n">
        <v>45884</v>
      </c>
      <c r="D6341" t="inlineStr">
        <is>
          <t>KALMAR LÄN</t>
        </is>
      </c>
      <c r="E6341" t="inlineStr">
        <is>
          <t>VÄSTERVIK</t>
        </is>
      </c>
      <c r="G6341" t="n">
        <v>1.5</v>
      </c>
      <c r="H6341" t="n">
        <v>0</v>
      </c>
      <c r="I6341" t="n">
        <v>0</v>
      </c>
      <c r="J6341" t="n">
        <v>0</v>
      </c>
      <c r="K6341" t="n">
        <v>0</v>
      </c>
      <c r="L6341" t="n">
        <v>0</v>
      </c>
      <c r="M6341" t="n">
        <v>0</v>
      </c>
      <c r="N6341" t="n">
        <v>0</v>
      </c>
      <c r="O6341" t="n">
        <v>0</v>
      </c>
      <c r="P6341" t="n">
        <v>0</v>
      </c>
      <c r="Q6341" t="n">
        <v>0</v>
      </c>
      <c r="R6341" s="2" t="inlineStr"/>
    </row>
    <row r="6342" ht="15" customHeight="1">
      <c r="A6342" t="inlineStr">
        <is>
          <t>A 33928-2025</t>
        </is>
      </c>
      <c r="B6342" s="1" t="n">
        <v>45842.62488425926</v>
      </c>
      <c r="C6342" s="1" t="n">
        <v>45884</v>
      </c>
      <c r="D6342" t="inlineStr">
        <is>
          <t>KALMAR LÄN</t>
        </is>
      </c>
      <c r="E6342" t="inlineStr">
        <is>
          <t>VÄSTERVIK</t>
        </is>
      </c>
      <c r="G6342" t="n">
        <v>2.4</v>
      </c>
      <c r="H6342" t="n">
        <v>0</v>
      </c>
      <c r="I6342" t="n">
        <v>0</v>
      </c>
      <c r="J6342" t="n">
        <v>0</v>
      </c>
      <c r="K6342" t="n">
        <v>0</v>
      </c>
      <c r="L6342" t="n">
        <v>0</v>
      </c>
      <c r="M6342" t="n">
        <v>0</v>
      </c>
      <c r="N6342" t="n">
        <v>0</v>
      </c>
      <c r="O6342" t="n">
        <v>0</v>
      </c>
      <c r="P6342" t="n">
        <v>0</v>
      </c>
      <c r="Q6342" t="n">
        <v>0</v>
      </c>
      <c r="R6342" s="2" t="inlineStr"/>
    </row>
    <row r="6343" ht="15" customHeight="1">
      <c r="A6343" t="inlineStr">
        <is>
          <t>A 33959-2025</t>
        </is>
      </c>
      <c r="B6343" s="1" t="n">
        <v>45842.68583333334</v>
      </c>
      <c r="C6343" s="1" t="n">
        <v>45884</v>
      </c>
      <c r="D6343" t="inlineStr">
        <is>
          <t>KALMAR LÄN</t>
        </is>
      </c>
      <c r="E6343" t="inlineStr">
        <is>
          <t>HÖGSBY</t>
        </is>
      </c>
      <c r="G6343" t="n">
        <v>4.1</v>
      </c>
      <c r="H6343" t="n">
        <v>0</v>
      </c>
      <c r="I6343" t="n">
        <v>0</v>
      </c>
      <c r="J6343" t="n">
        <v>0</v>
      </c>
      <c r="K6343" t="n">
        <v>0</v>
      </c>
      <c r="L6343" t="n">
        <v>0</v>
      </c>
      <c r="M6343" t="n">
        <v>0</v>
      </c>
      <c r="N6343" t="n">
        <v>0</v>
      </c>
      <c r="O6343" t="n">
        <v>0</v>
      </c>
      <c r="P6343" t="n">
        <v>0</v>
      </c>
      <c r="Q6343" t="n">
        <v>0</v>
      </c>
      <c r="R6343" s="2" t="inlineStr"/>
    </row>
    <row r="6344" ht="15" customHeight="1">
      <c r="A6344" t="inlineStr">
        <is>
          <t>A 62323-2023</t>
        </is>
      </c>
      <c r="B6344" s="1" t="n">
        <v>45267.81482638889</v>
      </c>
      <c r="C6344" s="1" t="n">
        <v>45884</v>
      </c>
      <c r="D6344" t="inlineStr">
        <is>
          <t>KALMAR LÄN</t>
        </is>
      </c>
      <c r="E6344" t="inlineStr">
        <is>
          <t>OSKARSHAMN</t>
        </is>
      </c>
      <c r="F6344" t="inlineStr">
        <is>
          <t>Sveaskog</t>
        </is>
      </c>
      <c r="G6344" t="n">
        <v>5.8</v>
      </c>
      <c r="H6344" t="n">
        <v>0</v>
      </c>
      <c r="I6344" t="n">
        <v>0</v>
      </c>
      <c r="J6344" t="n">
        <v>0</v>
      </c>
      <c r="K6344" t="n">
        <v>0</v>
      </c>
      <c r="L6344" t="n">
        <v>0</v>
      </c>
      <c r="M6344" t="n">
        <v>0</v>
      </c>
      <c r="N6344" t="n">
        <v>0</v>
      </c>
      <c r="O6344" t="n">
        <v>0</v>
      </c>
      <c r="P6344" t="n">
        <v>0</v>
      </c>
      <c r="Q6344" t="n">
        <v>0</v>
      </c>
      <c r="R6344" s="2" t="inlineStr"/>
    </row>
    <row r="6345" ht="15" customHeight="1">
      <c r="A6345" t="inlineStr">
        <is>
          <t>A 62327-2023</t>
        </is>
      </c>
      <c r="B6345" s="1" t="n">
        <v>45267.82079861111</v>
      </c>
      <c r="C6345" s="1" t="n">
        <v>45884</v>
      </c>
      <c r="D6345" t="inlineStr">
        <is>
          <t>KALMAR LÄN</t>
        </is>
      </c>
      <c r="E6345" t="inlineStr">
        <is>
          <t>OSKARSHAMN</t>
        </is>
      </c>
      <c r="F6345" t="inlineStr">
        <is>
          <t>Sveaskog</t>
        </is>
      </c>
      <c r="G6345" t="n">
        <v>3.5</v>
      </c>
      <c r="H6345" t="n">
        <v>0</v>
      </c>
      <c r="I6345" t="n">
        <v>0</v>
      </c>
      <c r="J6345" t="n">
        <v>0</v>
      </c>
      <c r="K6345" t="n">
        <v>0</v>
      </c>
      <c r="L6345" t="n">
        <v>0</v>
      </c>
      <c r="M6345" t="n">
        <v>0</v>
      </c>
      <c r="N6345" t="n">
        <v>0</v>
      </c>
      <c r="O6345" t="n">
        <v>0</v>
      </c>
      <c r="P6345" t="n">
        <v>0</v>
      </c>
      <c r="Q6345" t="n">
        <v>0</v>
      </c>
      <c r="R6345" s="2" t="inlineStr"/>
    </row>
    <row r="6346" ht="15" customHeight="1">
      <c r="A6346" t="inlineStr">
        <is>
          <t>A 36187-2023</t>
        </is>
      </c>
      <c r="B6346" s="1" t="n">
        <v>45149</v>
      </c>
      <c r="C6346" s="1" t="n">
        <v>45884</v>
      </c>
      <c r="D6346" t="inlineStr">
        <is>
          <t>KALMAR LÄN</t>
        </is>
      </c>
      <c r="E6346" t="inlineStr">
        <is>
          <t>HULTSFRED</t>
        </is>
      </c>
      <c r="G6346" t="n">
        <v>4.9</v>
      </c>
      <c r="H6346" t="n">
        <v>0</v>
      </c>
      <c r="I6346" t="n">
        <v>0</v>
      </c>
      <c r="J6346" t="n">
        <v>0</v>
      </c>
      <c r="K6346" t="n">
        <v>0</v>
      </c>
      <c r="L6346" t="n">
        <v>0</v>
      </c>
      <c r="M6346" t="n">
        <v>0</v>
      </c>
      <c r="N6346" t="n">
        <v>0</v>
      </c>
      <c r="O6346" t="n">
        <v>0</v>
      </c>
      <c r="P6346" t="n">
        <v>0</v>
      </c>
      <c r="Q6346" t="n">
        <v>0</v>
      </c>
      <c r="R6346" s="2" t="inlineStr"/>
    </row>
    <row r="6347" ht="15" customHeight="1">
      <c r="A6347" t="inlineStr">
        <is>
          <t>A 25299-2025</t>
        </is>
      </c>
      <c r="B6347" s="1" t="n">
        <v>45800.57025462963</v>
      </c>
      <c r="C6347" s="1" t="n">
        <v>45884</v>
      </c>
      <c r="D6347" t="inlineStr">
        <is>
          <t>KALMAR LÄN</t>
        </is>
      </c>
      <c r="E6347" t="inlineStr">
        <is>
          <t>MÖNSTERÅS</t>
        </is>
      </c>
      <c r="G6347" t="n">
        <v>5.5</v>
      </c>
      <c r="H6347" t="n">
        <v>0</v>
      </c>
      <c r="I6347" t="n">
        <v>0</v>
      </c>
      <c r="J6347" t="n">
        <v>0</v>
      </c>
      <c r="K6347" t="n">
        <v>0</v>
      </c>
      <c r="L6347" t="n">
        <v>0</v>
      </c>
      <c r="M6347" t="n">
        <v>0</v>
      </c>
      <c r="N6347" t="n">
        <v>0</v>
      </c>
      <c r="O6347" t="n">
        <v>0</v>
      </c>
      <c r="P6347" t="n">
        <v>0</v>
      </c>
      <c r="Q6347" t="n">
        <v>0</v>
      </c>
      <c r="R6347" s="2" t="inlineStr"/>
    </row>
    <row r="6348" ht="15" customHeight="1">
      <c r="A6348" t="inlineStr">
        <is>
          <t>A 25316-2025</t>
        </is>
      </c>
      <c r="B6348" s="1" t="n">
        <v>45800.5805787037</v>
      </c>
      <c r="C6348" s="1" t="n">
        <v>45884</v>
      </c>
      <c r="D6348" t="inlineStr">
        <is>
          <t>KALMAR LÄN</t>
        </is>
      </c>
      <c r="E6348" t="inlineStr">
        <is>
          <t>EMMABODA</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25426-2025</t>
        </is>
      </c>
      <c r="B6349" s="1" t="n">
        <v>45800.70418981482</v>
      </c>
      <c r="C6349" s="1" t="n">
        <v>45884</v>
      </c>
      <c r="D6349" t="inlineStr">
        <is>
          <t>KALMAR LÄN</t>
        </is>
      </c>
      <c r="E6349" t="inlineStr">
        <is>
          <t>HÖGSBY</t>
        </is>
      </c>
      <c r="G6349" t="n">
        <v>2.4</v>
      </c>
      <c r="H6349" t="n">
        <v>0</v>
      </c>
      <c r="I6349" t="n">
        <v>0</v>
      </c>
      <c r="J6349" t="n">
        <v>0</v>
      </c>
      <c r="K6349" t="n">
        <v>0</v>
      </c>
      <c r="L6349" t="n">
        <v>0</v>
      </c>
      <c r="M6349" t="n">
        <v>0</v>
      </c>
      <c r="N6349" t="n">
        <v>0</v>
      </c>
      <c r="O6349" t="n">
        <v>0</v>
      </c>
      <c r="P6349" t="n">
        <v>0</v>
      </c>
      <c r="Q6349" t="n">
        <v>0</v>
      </c>
      <c r="R6349" s="2" t="inlineStr"/>
    </row>
    <row r="6350" ht="15" customHeight="1">
      <c r="A6350" t="inlineStr">
        <is>
          <t>A 44865-2023</t>
        </is>
      </c>
      <c r="B6350" s="1" t="n">
        <v>45190</v>
      </c>
      <c r="C6350" s="1" t="n">
        <v>45884</v>
      </c>
      <c r="D6350" t="inlineStr">
        <is>
          <t>KALMAR LÄN</t>
        </is>
      </c>
      <c r="E6350" t="inlineStr">
        <is>
          <t>HÖGSBY</t>
        </is>
      </c>
      <c r="G6350" t="n">
        <v>2.9</v>
      </c>
      <c r="H6350" t="n">
        <v>0</v>
      </c>
      <c r="I6350" t="n">
        <v>0</v>
      </c>
      <c r="J6350" t="n">
        <v>0</v>
      </c>
      <c r="K6350" t="n">
        <v>0</v>
      </c>
      <c r="L6350" t="n">
        <v>0</v>
      </c>
      <c r="M6350" t="n">
        <v>0</v>
      </c>
      <c r="N6350" t="n">
        <v>0</v>
      </c>
      <c r="O6350" t="n">
        <v>0</v>
      </c>
      <c r="P6350" t="n">
        <v>0</v>
      </c>
      <c r="Q6350" t="n">
        <v>0</v>
      </c>
      <c r="R6350" s="2" t="inlineStr"/>
    </row>
    <row r="6351" ht="15" customHeight="1">
      <c r="A6351" t="inlineStr">
        <is>
          <t>A 2477-2023</t>
        </is>
      </c>
      <c r="B6351" s="1" t="n">
        <v>44943</v>
      </c>
      <c r="C6351" s="1" t="n">
        <v>45884</v>
      </c>
      <c r="D6351" t="inlineStr">
        <is>
          <t>KALMAR LÄN</t>
        </is>
      </c>
      <c r="E6351" t="inlineStr">
        <is>
          <t>TORSÅS</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20036-2023</t>
        </is>
      </c>
      <c r="B6352" s="1" t="n">
        <v>45054</v>
      </c>
      <c r="C6352" s="1" t="n">
        <v>45884</v>
      </c>
      <c r="D6352" t="inlineStr">
        <is>
          <t>KALMAR LÄN</t>
        </is>
      </c>
      <c r="E6352" t="inlineStr">
        <is>
          <t>HULTSFRED</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58724-2024</t>
        </is>
      </c>
      <c r="B6353" s="1" t="n">
        <v>45635.66409722222</v>
      </c>
      <c r="C6353" s="1" t="n">
        <v>45884</v>
      </c>
      <c r="D6353" t="inlineStr">
        <is>
          <t>KALMAR LÄN</t>
        </is>
      </c>
      <c r="E6353" t="inlineStr">
        <is>
          <t>VIMMERBY</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9050-2023</t>
        </is>
      </c>
      <c r="B6354" s="1" t="n">
        <v>44979.68982638889</v>
      </c>
      <c r="C6354" s="1" t="n">
        <v>45884</v>
      </c>
      <c r="D6354" t="inlineStr">
        <is>
          <t>KALMAR LÄN</t>
        </is>
      </c>
      <c r="E6354" t="inlineStr">
        <is>
          <t>MÖNSTERÅS</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21388-2024</t>
        </is>
      </c>
      <c r="B6355" s="1" t="n">
        <v>45440</v>
      </c>
      <c r="C6355" s="1" t="n">
        <v>45884</v>
      </c>
      <c r="D6355" t="inlineStr">
        <is>
          <t>KALMAR LÄN</t>
        </is>
      </c>
      <c r="E6355" t="inlineStr">
        <is>
          <t>NYBRO</t>
        </is>
      </c>
      <c r="G6355" t="n">
        <v>1.7</v>
      </c>
      <c r="H6355" t="n">
        <v>0</v>
      </c>
      <c r="I6355" t="n">
        <v>0</v>
      </c>
      <c r="J6355" t="n">
        <v>0</v>
      </c>
      <c r="K6355" t="n">
        <v>0</v>
      </c>
      <c r="L6355" t="n">
        <v>0</v>
      </c>
      <c r="M6355" t="n">
        <v>0</v>
      </c>
      <c r="N6355" t="n">
        <v>0</v>
      </c>
      <c r="O6355" t="n">
        <v>0</v>
      </c>
      <c r="P6355" t="n">
        <v>0</v>
      </c>
      <c r="Q6355" t="n">
        <v>0</v>
      </c>
      <c r="R6355" s="2" t="inlineStr"/>
    </row>
    <row r="6356" ht="15" customHeight="1">
      <c r="A6356" t="inlineStr">
        <is>
          <t>A 19881-2024</t>
        </is>
      </c>
      <c r="B6356" s="1" t="n">
        <v>45433.48228009259</v>
      </c>
      <c r="C6356" s="1" t="n">
        <v>45884</v>
      </c>
      <c r="D6356" t="inlineStr">
        <is>
          <t>KALMAR LÄN</t>
        </is>
      </c>
      <c r="E6356" t="inlineStr">
        <is>
          <t>EMMABODA</t>
        </is>
      </c>
      <c r="G6356" t="n">
        <v>0.6</v>
      </c>
      <c r="H6356" t="n">
        <v>0</v>
      </c>
      <c r="I6356" t="n">
        <v>0</v>
      </c>
      <c r="J6356" t="n">
        <v>0</v>
      </c>
      <c r="K6356" t="n">
        <v>0</v>
      </c>
      <c r="L6356" t="n">
        <v>0</v>
      </c>
      <c r="M6356" t="n">
        <v>0</v>
      </c>
      <c r="N6356" t="n">
        <v>0</v>
      </c>
      <c r="O6356" t="n">
        <v>0</v>
      </c>
      <c r="P6356" t="n">
        <v>0</v>
      </c>
      <c r="Q6356" t="n">
        <v>0</v>
      </c>
      <c r="R6356" s="2" t="inlineStr"/>
    </row>
    <row r="6357" ht="15" customHeight="1">
      <c r="A6357" t="inlineStr">
        <is>
          <t>A 54633-2024</t>
        </is>
      </c>
      <c r="B6357" s="1" t="n">
        <v>45617.87163194444</v>
      </c>
      <c r="C6357" s="1" t="n">
        <v>45884</v>
      </c>
      <c r="D6357" t="inlineStr">
        <is>
          <t>KALMAR LÄN</t>
        </is>
      </c>
      <c r="E6357" t="inlineStr">
        <is>
          <t>OSKARSHAMN</t>
        </is>
      </c>
      <c r="F6357" t="inlineStr">
        <is>
          <t>Sveaskog</t>
        </is>
      </c>
      <c r="G6357" t="n">
        <v>6.6</v>
      </c>
      <c r="H6357" t="n">
        <v>0</v>
      </c>
      <c r="I6357" t="n">
        <v>0</v>
      </c>
      <c r="J6357" t="n">
        <v>0</v>
      </c>
      <c r="K6357" t="n">
        <v>0</v>
      </c>
      <c r="L6357" t="n">
        <v>0</v>
      </c>
      <c r="M6357" t="n">
        <v>0</v>
      </c>
      <c r="N6357" t="n">
        <v>0</v>
      </c>
      <c r="O6357" t="n">
        <v>0</v>
      </c>
      <c r="P6357" t="n">
        <v>0</v>
      </c>
      <c r="Q6357" t="n">
        <v>0</v>
      </c>
      <c r="R6357" s="2" t="inlineStr"/>
    </row>
    <row r="6358" ht="15" customHeight="1">
      <c r="A6358" t="inlineStr">
        <is>
          <t>A 54741-2022</t>
        </is>
      </c>
      <c r="B6358" s="1" t="n">
        <v>44883.58351851852</v>
      </c>
      <c r="C6358" s="1" t="n">
        <v>45884</v>
      </c>
      <c r="D6358" t="inlineStr">
        <is>
          <t>KALMAR LÄN</t>
        </is>
      </c>
      <c r="E6358" t="inlineStr">
        <is>
          <t>TORSÅS</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34060-2025</t>
        </is>
      </c>
      <c r="B6359" s="1" t="n">
        <v>45845.42015046296</v>
      </c>
      <c r="C6359" s="1" t="n">
        <v>45884</v>
      </c>
      <c r="D6359" t="inlineStr">
        <is>
          <t>KALMAR LÄN</t>
        </is>
      </c>
      <c r="E6359" t="inlineStr">
        <is>
          <t>VIMMERBY</t>
        </is>
      </c>
      <c r="G6359" t="n">
        <v>5.7</v>
      </c>
      <c r="H6359" t="n">
        <v>0</v>
      </c>
      <c r="I6359" t="n">
        <v>0</v>
      </c>
      <c r="J6359" t="n">
        <v>0</v>
      </c>
      <c r="K6359" t="n">
        <v>0</v>
      </c>
      <c r="L6359" t="n">
        <v>0</v>
      </c>
      <c r="M6359" t="n">
        <v>0</v>
      </c>
      <c r="N6359" t="n">
        <v>0</v>
      </c>
      <c r="O6359" t="n">
        <v>0</v>
      </c>
      <c r="P6359" t="n">
        <v>0</v>
      </c>
      <c r="Q6359" t="n">
        <v>0</v>
      </c>
      <c r="R6359" s="2" t="inlineStr"/>
    </row>
    <row r="6360" ht="15" customHeight="1">
      <c r="A6360" t="inlineStr">
        <is>
          <t>A 54716-2024</t>
        </is>
      </c>
      <c r="B6360" s="1" t="n">
        <v>45618.43155092592</v>
      </c>
      <c r="C6360" s="1" t="n">
        <v>45884</v>
      </c>
      <c r="D6360" t="inlineStr">
        <is>
          <t>KALMAR LÄN</t>
        </is>
      </c>
      <c r="E6360" t="inlineStr">
        <is>
          <t>TORSÅS</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24452-2023</t>
        </is>
      </c>
      <c r="B6361" s="1" t="n">
        <v>45082</v>
      </c>
      <c r="C6361" s="1" t="n">
        <v>45884</v>
      </c>
      <c r="D6361" t="inlineStr">
        <is>
          <t>KALMAR LÄN</t>
        </is>
      </c>
      <c r="E6361" t="inlineStr">
        <is>
          <t>NYBRO</t>
        </is>
      </c>
      <c r="F6361" t="inlineStr">
        <is>
          <t>Kommuner</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33780-2025</t>
        </is>
      </c>
      <c r="B6362" s="1" t="n">
        <v>45842</v>
      </c>
      <c r="C6362" s="1" t="n">
        <v>45884</v>
      </c>
      <c r="D6362" t="inlineStr">
        <is>
          <t>KALMAR LÄN</t>
        </is>
      </c>
      <c r="E6362" t="inlineStr">
        <is>
          <t>KALMAR</t>
        </is>
      </c>
      <c r="G6362" t="n">
        <v>0.6</v>
      </c>
      <c r="H6362" t="n">
        <v>0</v>
      </c>
      <c r="I6362" t="n">
        <v>0</v>
      </c>
      <c r="J6362" t="n">
        <v>0</v>
      </c>
      <c r="K6362" t="n">
        <v>0</v>
      </c>
      <c r="L6362" t="n">
        <v>0</v>
      </c>
      <c r="M6362" t="n">
        <v>0</v>
      </c>
      <c r="N6362" t="n">
        <v>0</v>
      </c>
      <c r="O6362" t="n">
        <v>0</v>
      </c>
      <c r="P6362" t="n">
        <v>0</v>
      </c>
      <c r="Q6362" t="n">
        <v>0</v>
      </c>
      <c r="R6362" s="2" t="inlineStr"/>
    </row>
    <row r="6363" ht="15" customHeight="1">
      <c r="A6363" t="inlineStr">
        <is>
          <t>A 34397-2025</t>
        </is>
      </c>
      <c r="B6363" s="1" t="n">
        <v>45846.59813657407</v>
      </c>
      <c r="C6363" s="1" t="n">
        <v>45884</v>
      </c>
      <c r="D6363" t="inlineStr">
        <is>
          <t>KALMAR LÄN</t>
        </is>
      </c>
      <c r="E6363" t="inlineStr">
        <is>
          <t>VÄSTERVIK</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26101-2025</t>
        </is>
      </c>
      <c r="B6364" s="1" t="n">
        <v>45805</v>
      </c>
      <c r="C6364" s="1" t="n">
        <v>45884</v>
      </c>
      <c r="D6364" t="inlineStr">
        <is>
          <t>KALMAR LÄN</t>
        </is>
      </c>
      <c r="E6364" t="inlineStr">
        <is>
          <t>NYBRO</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25877-2025</t>
        </is>
      </c>
      <c r="B6365" s="1" t="n">
        <v>45804.49474537037</v>
      </c>
      <c r="C6365" s="1" t="n">
        <v>45884</v>
      </c>
      <c r="D6365" t="inlineStr">
        <is>
          <t>KALMAR LÄN</t>
        </is>
      </c>
      <c r="E6365" t="inlineStr">
        <is>
          <t>KALMAR</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25792-2025</t>
        </is>
      </c>
      <c r="B6366" s="1" t="n">
        <v>45804.39141203704</v>
      </c>
      <c r="C6366" s="1" t="n">
        <v>45884</v>
      </c>
      <c r="D6366" t="inlineStr">
        <is>
          <t>KALMAR LÄN</t>
        </is>
      </c>
      <c r="E6366" t="inlineStr">
        <is>
          <t>VIMMERBY</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25819-2025</t>
        </is>
      </c>
      <c r="B6367" s="1" t="n">
        <v>45804.43547453704</v>
      </c>
      <c r="C6367" s="1" t="n">
        <v>45884</v>
      </c>
      <c r="D6367" t="inlineStr">
        <is>
          <t>KALMAR LÄN</t>
        </is>
      </c>
      <c r="E6367" t="inlineStr">
        <is>
          <t>VÄSTERVIK</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25827-2025</t>
        </is>
      </c>
      <c r="B6368" s="1" t="n">
        <v>45804.443125</v>
      </c>
      <c r="C6368" s="1" t="n">
        <v>45884</v>
      </c>
      <c r="D6368" t="inlineStr">
        <is>
          <t>KALMAR LÄN</t>
        </is>
      </c>
      <c r="E6368" t="inlineStr">
        <is>
          <t>VÄSTERVIK</t>
        </is>
      </c>
      <c r="G6368" t="n">
        <v>1.8</v>
      </c>
      <c r="H6368" t="n">
        <v>0</v>
      </c>
      <c r="I6368" t="n">
        <v>0</v>
      </c>
      <c r="J6368" t="n">
        <v>0</v>
      </c>
      <c r="K6368" t="n">
        <v>0</v>
      </c>
      <c r="L6368" t="n">
        <v>0</v>
      </c>
      <c r="M6368" t="n">
        <v>0</v>
      </c>
      <c r="N6368" t="n">
        <v>0</v>
      </c>
      <c r="O6368" t="n">
        <v>0</v>
      </c>
      <c r="P6368" t="n">
        <v>0</v>
      </c>
      <c r="Q6368" t="n">
        <v>0</v>
      </c>
      <c r="R6368" s="2" t="inlineStr"/>
    </row>
    <row r="6369" ht="15" customHeight="1">
      <c r="A6369" t="inlineStr">
        <is>
          <t>A 26006-2025</t>
        </is>
      </c>
      <c r="B6369" s="1" t="n">
        <v>45804.67065972222</v>
      </c>
      <c r="C6369" s="1" t="n">
        <v>45884</v>
      </c>
      <c r="D6369" t="inlineStr">
        <is>
          <t>KALMAR LÄN</t>
        </is>
      </c>
      <c r="E6369" t="inlineStr">
        <is>
          <t>VIMMERBY</t>
        </is>
      </c>
      <c r="G6369" t="n">
        <v>2.7</v>
      </c>
      <c r="H6369" t="n">
        <v>0</v>
      </c>
      <c r="I6369" t="n">
        <v>0</v>
      </c>
      <c r="J6369" t="n">
        <v>0</v>
      </c>
      <c r="K6369" t="n">
        <v>0</v>
      </c>
      <c r="L6369" t="n">
        <v>0</v>
      </c>
      <c r="M6369" t="n">
        <v>0</v>
      </c>
      <c r="N6369" t="n">
        <v>0</v>
      </c>
      <c r="O6369" t="n">
        <v>0</v>
      </c>
      <c r="P6369" t="n">
        <v>0</v>
      </c>
      <c r="Q6369" t="n">
        <v>0</v>
      </c>
      <c r="R6369" s="2" t="inlineStr"/>
    </row>
    <row r="6370" ht="15" customHeight="1">
      <c r="A6370" t="inlineStr">
        <is>
          <t>A 26039-2025</t>
        </is>
      </c>
      <c r="B6370" s="1" t="n">
        <v>45804.6953587963</v>
      </c>
      <c r="C6370" s="1" t="n">
        <v>45884</v>
      </c>
      <c r="D6370" t="inlineStr">
        <is>
          <t>KALMAR LÄN</t>
        </is>
      </c>
      <c r="E6370" t="inlineStr">
        <is>
          <t>VIMMERBY</t>
        </is>
      </c>
      <c r="F6370" t="inlineStr">
        <is>
          <t>Sveaskog</t>
        </is>
      </c>
      <c r="G6370" t="n">
        <v>5.2</v>
      </c>
      <c r="H6370" t="n">
        <v>0</v>
      </c>
      <c r="I6370" t="n">
        <v>0</v>
      </c>
      <c r="J6370" t="n">
        <v>0</v>
      </c>
      <c r="K6370" t="n">
        <v>0</v>
      </c>
      <c r="L6370" t="n">
        <v>0</v>
      </c>
      <c r="M6370" t="n">
        <v>0</v>
      </c>
      <c r="N6370" t="n">
        <v>0</v>
      </c>
      <c r="O6370" t="n">
        <v>0</v>
      </c>
      <c r="P6370" t="n">
        <v>0</v>
      </c>
      <c r="Q6370" t="n">
        <v>0</v>
      </c>
      <c r="R6370" s="2" t="inlineStr"/>
    </row>
    <row r="6371" ht="15" customHeight="1">
      <c r="A6371" t="inlineStr">
        <is>
          <t>A 34579-2025</t>
        </is>
      </c>
      <c r="B6371" s="1" t="n">
        <v>45847.60523148148</v>
      </c>
      <c r="C6371" s="1" t="n">
        <v>45884</v>
      </c>
      <c r="D6371" t="inlineStr">
        <is>
          <t>KALMAR LÄN</t>
        </is>
      </c>
      <c r="E6371" t="inlineStr">
        <is>
          <t>HÖGSBY</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33781-2025</t>
        </is>
      </c>
      <c r="B6372" s="1" t="n">
        <v>45842</v>
      </c>
      <c r="C6372" s="1" t="n">
        <v>45884</v>
      </c>
      <c r="D6372" t="inlineStr">
        <is>
          <t>KALMAR LÄN</t>
        </is>
      </c>
      <c r="E6372" t="inlineStr">
        <is>
          <t>KALMAR</t>
        </is>
      </c>
      <c r="G6372" t="n">
        <v>3.4</v>
      </c>
      <c r="H6372" t="n">
        <v>0</v>
      </c>
      <c r="I6372" t="n">
        <v>0</v>
      </c>
      <c r="J6372" t="n">
        <v>0</v>
      </c>
      <c r="K6372" t="n">
        <v>0</v>
      </c>
      <c r="L6372" t="n">
        <v>0</v>
      </c>
      <c r="M6372" t="n">
        <v>0</v>
      </c>
      <c r="N6372" t="n">
        <v>0</v>
      </c>
      <c r="O6372" t="n">
        <v>0</v>
      </c>
      <c r="P6372" t="n">
        <v>0</v>
      </c>
      <c r="Q6372" t="n">
        <v>0</v>
      </c>
      <c r="R6372" s="2" t="inlineStr"/>
    </row>
    <row r="6373" ht="15" customHeight="1">
      <c r="A6373" t="inlineStr">
        <is>
          <t>A 26190-2025</t>
        </is>
      </c>
      <c r="B6373" s="1" t="n">
        <v>45805.48349537037</v>
      </c>
      <c r="C6373" s="1" t="n">
        <v>45884</v>
      </c>
      <c r="D6373" t="inlineStr">
        <is>
          <t>KALMAR LÄN</t>
        </is>
      </c>
      <c r="E6373" t="inlineStr">
        <is>
          <t>BORGHOLM</t>
        </is>
      </c>
      <c r="G6373" t="n">
        <v>3.2</v>
      </c>
      <c r="H6373" t="n">
        <v>0</v>
      </c>
      <c r="I6373" t="n">
        <v>0</v>
      </c>
      <c r="J6373" t="n">
        <v>0</v>
      </c>
      <c r="K6373" t="n">
        <v>0</v>
      </c>
      <c r="L6373" t="n">
        <v>0</v>
      </c>
      <c r="M6373" t="n">
        <v>0</v>
      </c>
      <c r="N6373" t="n">
        <v>0</v>
      </c>
      <c r="O6373" t="n">
        <v>0</v>
      </c>
      <c r="P6373" t="n">
        <v>0</v>
      </c>
      <c r="Q6373" t="n">
        <v>0</v>
      </c>
      <c r="R6373" s="2" t="inlineStr"/>
    </row>
    <row r="6374" ht="15" customHeight="1">
      <c r="A6374" t="inlineStr">
        <is>
          <t>A 26171-2025</t>
        </is>
      </c>
      <c r="B6374" s="1" t="n">
        <v>45805</v>
      </c>
      <c r="C6374" s="1" t="n">
        <v>45884</v>
      </c>
      <c r="D6374" t="inlineStr">
        <is>
          <t>KALMAR LÄN</t>
        </is>
      </c>
      <c r="E6374" t="inlineStr">
        <is>
          <t>MÖNSTERÅS</t>
        </is>
      </c>
      <c r="G6374" t="n">
        <v>3.8</v>
      </c>
      <c r="H6374" t="n">
        <v>0</v>
      </c>
      <c r="I6374" t="n">
        <v>0</v>
      </c>
      <c r="J6374" t="n">
        <v>0</v>
      </c>
      <c r="K6374" t="n">
        <v>0</v>
      </c>
      <c r="L6374" t="n">
        <v>0</v>
      </c>
      <c r="M6374" t="n">
        <v>0</v>
      </c>
      <c r="N6374" t="n">
        <v>0</v>
      </c>
      <c r="O6374" t="n">
        <v>0</v>
      </c>
      <c r="P6374" t="n">
        <v>0</v>
      </c>
      <c r="Q6374" t="n">
        <v>0</v>
      </c>
      <c r="R6374" s="2" t="inlineStr"/>
    </row>
    <row r="6375" ht="15" customHeight="1">
      <c r="A6375" t="inlineStr">
        <is>
          <t>A 7848-2023</t>
        </is>
      </c>
      <c r="B6375" s="1" t="n">
        <v>44973</v>
      </c>
      <c r="C6375" s="1" t="n">
        <v>45884</v>
      </c>
      <c r="D6375" t="inlineStr">
        <is>
          <t>KALMAR LÄN</t>
        </is>
      </c>
      <c r="E6375" t="inlineStr">
        <is>
          <t>NYBRO</t>
        </is>
      </c>
      <c r="G6375" t="n">
        <v>3.3</v>
      </c>
      <c r="H6375" t="n">
        <v>0</v>
      </c>
      <c r="I6375" t="n">
        <v>0</v>
      </c>
      <c r="J6375" t="n">
        <v>0</v>
      </c>
      <c r="K6375" t="n">
        <v>0</v>
      </c>
      <c r="L6375" t="n">
        <v>0</v>
      </c>
      <c r="M6375" t="n">
        <v>0</v>
      </c>
      <c r="N6375" t="n">
        <v>0</v>
      </c>
      <c r="O6375" t="n">
        <v>0</v>
      </c>
      <c r="P6375" t="n">
        <v>0</v>
      </c>
      <c r="Q6375" t="n">
        <v>0</v>
      </c>
      <c r="R6375" s="2" t="inlineStr"/>
    </row>
    <row r="6376" ht="15" customHeight="1">
      <c r="A6376" t="inlineStr">
        <is>
          <t>A 26422-2023</t>
        </is>
      </c>
      <c r="B6376" s="1" t="n">
        <v>45092.3869675926</v>
      </c>
      <c r="C6376" s="1" t="n">
        <v>45884</v>
      </c>
      <c r="D6376" t="inlineStr">
        <is>
          <t>KALMAR LÄN</t>
        </is>
      </c>
      <c r="E6376" t="inlineStr">
        <is>
          <t>NYBRO</t>
        </is>
      </c>
      <c r="F6376" t="inlineStr">
        <is>
          <t>Kommuner</t>
        </is>
      </c>
      <c r="G6376" t="n">
        <v>2.7</v>
      </c>
      <c r="H6376" t="n">
        <v>0</v>
      </c>
      <c r="I6376" t="n">
        <v>0</v>
      </c>
      <c r="J6376" t="n">
        <v>0</v>
      </c>
      <c r="K6376" t="n">
        <v>0</v>
      </c>
      <c r="L6376" t="n">
        <v>0</v>
      </c>
      <c r="M6376" t="n">
        <v>0</v>
      </c>
      <c r="N6376" t="n">
        <v>0</v>
      </c>
      <c r="O6376" t="n">
        <v>0</v>
      </c>
      <c r="P6376" t="n">
        <v>0</v>
      </c>
      <c r="Q6376" t="n">
        <v>0</v>
      </c>
      <c r="R6376" s="2" t="inlineStr"/>
    </row>
    <row r="6377" ht="15" customHeight="1">
      <c r="A6377" t="inlineStr">
        <is>
          <t>A 42460-2023</t>
        </is>
      </c>
      <c r="B6377" s="1" t="n">
        <v>45175</v>
      </c>
      <c r="C6377" s="1" t="n">
        <v>45884</v>
      </c>
      <c r="D6377" t="inlineStr">
        <is>
          <t>KALMAR LÄN</t>
        </is>
      </c>
      <c r="E6377" t="inlineStr">
        <is>
          <t>HULTSFRED</t>
        </is>
      </c>
      <c r="G6377" t="n">
        <v>1.5</v>
      </c>
      <c r="H6377" t="n">
        <v>0</v>
      </c>
      <c r="I6377" t="n">
        <v>0</v>
      </c>
      <c r="J6377" t="n">
        <v>0</v>
      </c>
      <c r="K6377" t="n">
        <v>0</v>
      </c>
      <c r="L6377" t="n">
        <v>0</v>
      </c>
      <c r="M6377" t="n">
        <v>0</v>
      </c>
      <c r="N6377" t="n">
        <v>0</v>
      </c>
      <c r="O6377" t="n">
        <v>0</v>
      </c>
      <c r="P6377" t="n">
        <v>0</v>
      </c>
      <c r="Q6377" t="n">
        <v>0</v>
      </c>
      <c r="R6377" s="2" t="inlineStr"/>
    </row>
    <row r="6378" ht="15" customHeight="1">
      <c r="A6378" t="inlineStr">
        <is>
          <t>A 6539-2023</t>
        </is>
      </c>
      <c r="B6378" s="1" t="n">
        <v>44966.42866898148</v>
      </c>
      <c r="C6378" s="1" t="n">
        <v>45884</v>
      </c>
      <c r="D6378" t="inlineStr">
        <is>
          <t>KALMAR LÄN</t>
        </is>
      </c>
      <c r="E6378" t="inlineStr">
        <is>
          <t>KALMAR</t>
        </is>
      </c>
      <c r="G6378" t="n">
        <v>0.8</v>
      </c>
      <c r="H6378" t="n">
        <v>0</v>
      </c>
      <c r="I6378" t="n">
        <v>0</v>
      </c>
      <c r="J6378" t="n">
        <v>0</v>
      </c>
      <c r="K6378" t="n">
        <v>0</v>
      </c>
      <c r="L6378" t="n">
        <v>0</v>
      </c>
      <c r="M6378" t="n">
        <v>0</v>
      </c>
      <c r="N6378" t="n">
        <v>0</v>
      </c>
      <c r="O6378" t="n">
        <v>0</v>
      </c>
      <c r="P6378" t="n">
        <v>0</v>
      </c>
      <c r="Q6378" t="n">
        <v>0</v>
      </c>
      <c r="R6378" s="2" t="inlineStr"/>
    </row>
    <row r="6379" ht="15" customHeight="1">
      <c r="A6379" t="inlineStr">
        <is>
          <t>A 29757-2023</t>
        </is>
      </c>
      <c r="B6379" s="1" t="n">
        <v>45107.47519675926</v>
      </c>
      <c r="C6379" s="1" t="n">
        <v>45884</v>
      </c>
      <c r="D6379" t="inlineStr">
        <is>
          <t>KALMAR LÄN</t>
        </is>
      </c>
      <c r="E6379" t="inlineStr">
        <is>
          <t>EMMABODA</t>
        </is>
      </c>
      <c r="G6379" t="n">
        <v>0.4</v>
      </c>
      <c r="H6379" t="n">
        <v>0</v>
      </c>
      <c r="I6379" t="n">
        <v>0</v>
      </c>
      <c r="J6379" t="n">
        <v>0</v>
      </c>
      <c r="K6379" t="n">
        <v>0</v>
      </c>
      <c r="L6379" t="n">
        <v>0</v>
      </c>
      <c r="M6379" t="n">
        <v>0</v>
      </c>
      <c r="N6379" t="n">
        <v>0</v>
      </c>
      <c r="O6379" t="n">
        <v>0</v>
      </c>
      <c r="P6379" t="n">
        <v>0</v>
      </c>
      <c r="Q6379" t="n">
        <v>0</v>
      </c>
      <c r="R6379" s="2" t="inlineStr"/>
    </row>
    <row r="6380" ht="15" customHeight="1">
      <c r="A6380" t="inlineStr">
        <is>
          <t>A 14137-2023</t>
        </is>
      </c>
      <c r="B6380" s="1" t="n">
        <v>45009.4671875</v>
      </c>
      <c r="C6380" s="1" t="n">
        <v>45884</v>
      </c>
      <c r="D6380" t="inlineStr">
        <is>
          <t>KALMAR LÄN</t>
        </is>
      </c>
      <c r="E6380" t="inlineStr">
        <is>
          <t>VIMMERBY</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24984-2023</t>
        </is>
      </c>
      <c r="B6381" s="1" t="n">
        <v>45085</v>
      </c>
      <c r="C6381" s="1" t="n">
        <v>45884</v>
      </c>
      <c r="D6381" t="inlineStr">
        <is>
          <t>KALMAR LÄN</t>
        </is>
      </c>
      <c r="E6381" t="inlineStr">
        <is>
          <t>MÖNSTERÅS</t>
        </is>
      </c>
      <c r="G6381" t="n">
        <v>7.5</v>
      </c>
      <c r="H6381" t="n">
        <v>0</v>
      </c>
      <c r="I6381" t="n">
        <v>0</v>
      </c>
      <c r="J6381" t="n">
        <v>0</v>
      </c>
      <c r="K6381" t="n">
        <v>0</v>
      </c>
      <c r="L6381" t="n">
        <v>0</v>
      </c>
      <c r="M6381" t="n">
        <v>0</v>
      </c>
      <c r="N6381" t="n">
        <v>0</v>
      </c>
      <c r="O6381" t="n">
        <v>0</v>
      </c>
      <c r="P6381" t="n">
        <v>0</v>
      </c>
      <c r="Q6381" t="n">
        <v>0</v>
      </c>
      <c r="R6381" s="2" t="inlineStr"/>
    </row>
    <row r="6382" ht="15" customHeight="1">
      <c r="A6382" t="inlineStr">
        <is>
          <t>A 47939-2023</t>
        </is>
      </c>
      <c r="B6382" s="1" t="n">
        <v>45204.56195601852</v>
      </c>
      <c r="C6382" s="1" t="n">
        <v>45884</v>
      </c>
      <c r="D6382" t="inlineStr">
        <is>
          <t>KALMAR LÄN</t>
        </is>
      </c>
      <c r="E6382" t="inlineStr">
        <is>
          <t>VÄSTERVIK</t>
        </is>
      </c>
      <c r="G6382" t="n">
        <v>3.7</v>
      </c>
      <c r="H6382" t="n">
        <v>0</v>
      </c>
      <c r="I6382" t="n">
        <v>0</v>
      </c>
      <c r="J6382" t="n">
        <v>0</v>
      </c>
      <c r="K6382" t="n">
        <v>0</v>
      </c>
      <c r="L6382" t="n">
        <v>0</v>
      </c>
      <c r="M6382" t="n">
        <v>0</v>
      </c>
      <c r="N6382" t="n">
        <v>0</v>
      </c>
      <c r="O6382" t="n">
        <v>0</v>
      </c>
      <c r="P6382" t="n">
        <v>0</v>
      </c>
      <c r="Q6382" t="n">
        <v>0</v>
      </c>
      <c r="R6382" s="2" t="inlineStr"/>
    </row>
    <row r="6383" ht="15" customHeight="1">
      <c r="A6383" t="inlineStr">
        <is>
          <t>A 30230-2023</t>
        </is>
      </c>
      <c r="B6383" s="1" t="n">
        <v>45110</v>
      </c>
      <c r="C6383" s="1" t="n">
        <v>45884</v>
      </c>
      <c r="D6383" t="inlineStr">
        <is>
          <t>KALMAR LÄN</t>
        </is>
      </c>
      <c r="E6383" t="inlineStr">
        <is>
          <t>OSKARSHAMN</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63711-2021</t>
        </is>
      </c>
      <c r="B6384" s="1" t="n">
        <v>44505</v>
      </c>
      <c r="C6384" s="1" t="n">
        <v>45884</v>
      </c>
      <c r="D6384" t="inlineStr">
        <is>
          <t>KALMAR LÄN</t>
        </is>
      </c>
      <c r="E6384" t="inlineStr">
        <is>
          <t>OSKARSHAMN</t>
        </is>
      </c>
      <c r="G6384" t="n">
        <v>4.4</v>
      </c>
      <c r="H6384" t="n">
        <v>0</v>
      </c>
      <c r="I6384" t="n">
        <v>0</v>
      </c>
      <c r="J6384" t="n">
        <v>0</v>
      </c>
      <c r="K6384" t="n">
        <v>0</v>
      </c>
      <c r="L6384" t="n">
        <v>0</v>
      </c>
      <c r="M6384" t="n">
        <v>0</v>
      </c>
      <c r="N6384" t="n">
        <v>0</v>
      </c>
      <c r="O6384" t="n">
        <v>0</v>
      </c>
      <c r="P6384" t="n">
        <v>0</v>
      </c>
      <c r="Q6384" t="n">
        <v>0</v>
      </c>
      <c r="R6384" s="2" t="inlineStr"/>
    </row>
    <row r="6385" ht="15" customHeight="1">
      <c r="A6385" t="inlineStr">
        <is>
          <t>A 3376-2023</t>
        </is>
      </c>
      <c r="B6385" s="1" t="n">
        <v>44949.49581018519</v>
      </c>
      <c r="C6385" s="1" t="n">
        <v>45884</v>
      </c>
      <c r="D6385" t="inlineStr">
        <is>
          <t>KALMAR LÄN</t>
        </is>
      </c>
      <c r="E6385" t="inlineStr">
        <is>
          <t>TORSÅS</t>
        </is>
      </c>
      <c r="G6385" t="n">
        <v>1.3</v>
      </c>
      <c r="H6385" t="n">
        <v>0</v>
      </c>
      <c r="I6385" t="n">
        <v>0</v>
      </c>
      <c r="J6385" t="n">
        <v>0</v>
      </c>
      <c r="K6385" t="n">
        <v>0</v>
      </c>
      <c r="L6385" t="n">
        <v>0</v>
      </c>
      <c r="M6385" t="n">
        <v>0</v>
      </c>
      <c r="N6385" t="n">
        <v>0</v>
      </c>
      <c r="O6385" t="n">
        <v>0</v>
      </c>
      <c r="P6385" t="n">
        <v>0</v>
      </c>
      <c r="Q6385" t="n">
        <v>0</v>
      </c>
      <c r="R6385" s="2" t="inlineStr"/>
    </row>
    <row r="6386" ht="15" customHeight="1">
      <c r="A6386" t="inlineStr">
        <is>
          <t>A 52518-2020</t>
        </is>
      </c>
      <c r="B6386" s="1" t="n">
        <v>44118</v>
      </c>
      <c r="C6386" s="1" t="n">
        <v>45884</v>
      </c>
      <c r="D6386" t="inlineStr">
        <is>
          <t>KALMAR LÄN</t>
        </is>
      </c>
      <c r="E6386" t="inlineStr">
        <is>
          <t>HULTSFRED</t>
        </is>
      </c>
      <c r="G6386" t="n">
        <v>2.2</v>
      </c>
      <c r="H6386" t="n">
        <v>0</v>
      </c>
      <c r="I6386" t="n">
        <v>0</v>
      </c>
      <c r="J6386" t="n">
        <v>0</v>
      </c>
      <c r="K6386" t="n">
        <v>0</v>
      </c>
      <c r="L6386" t="n">
        <v>0</v>
      </c>
      <c r="M6386" t="n">
        <v>0</v>
      </c>
      <c r="N6386" t="n">
        <v>0</v>
      </c>
      <c r="O6386" t="n">
        <v>0</v>
      </c>
      <c r="P6386" t="n">
        <v>0</v>
      </c>
      <c r="Q6386" t="n">
        <v>0</v>
      </c>
      <c r="R6386" s="2" t="inlineStr"/>
    </row>
    <row r="6387" ht="15" customHeight="1">
      <c r="A6387" t="inlineStr">
        <is>
          <t>A 14055-2025</t>
        </is>
      </c>
      <c r="B6387" s="1" t="n">
        <v>45740.39541666667</v>
      </c>
      <c r="C6387" s="1" t="n">
        <v>45884</v>
      </c>
      <c r="D6387" t="inlineStr">
        <is>
          <t>KALMAR LÄN</t>
        </is>
      </c>
      <c r="E6387" t="inlineStr">
        <is>
          <t>VÄSTERVIK</t>
        </is>
      </c>
      <c r="F6387" t="inlineStr">
        <is>
          <t>Sveaskog</t>
        </is>
      </c>
      <c r="G6387" t="n">
        <v>1.5</v>
      </c>
      <c r="H6387" t="n">
        <v>0</v>
      </c>
      <c r="I6387" t="n">
        <v>0</v>
      </c>
      <c r="J6387" t="n">
        <v>0</v>
      </c>
      <c r="K6387" t="n">
        <v>0</v>
      </c>
      <c r="L6387" t="n">
        <v>0</v>
      </c>
      <c r="M6387" t="n">
        <v>0</v>
      </c>
      <c r="N6387" t="n">
        <v>0</v>
      </c>
      <c r="O6387" t="n">
        <v>0</v>
      </c>
      <c r="P6387" t="n">
        <v>0</v>
      </c>
      <c r="Q6387" t="n">
        <v>0</v>
      </c>
      <c r="R6387" s="2" t="inlineStr"/>
    </row>
    <row r="6388" ht="15" customHeight="1">
      <c r="A6388" t="inlineStr">
        <is>
          <t>A 43174-2023</t>
        </is>
      </c>
      <c r="B6388" s="1" t="n">
        <v>45183.36513888889</v>
      </c>
      <c r="C6388" s="1" t="n">
        <v>45884</v>
      </c>
      <c r="D6388" t="inlineStr">
        <is>
          <t>KALMAR LÄN</t>
        </is>
      </c>
      <c r="E6388" t="inlineStr">
        <is>
          <t>TORSÅS</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5464-2022</t>
        </is>
      </c>
      <c r="B6389" s="1" t="n">
        <v>44595</v>
      </c>
      <c r="C6389" s="1" t="n">
        <v>45884</v>
      </c>
      <c r="D6389" t="inlineStr">
        <is>
          <t>KALMAR LÄN</t>
        </is>
      </c>
      <c r="E6389" t="inlineStr">
        <is>
          <t>KALMAR</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46718-2023</t>
        </is>
      </c>
      <c r="B6390" s="1" t="n">
        <v>45198</v>
      </c>
      <c r="C6390" s="1" t="n">
        <v>45884</v>
      </c>
      <c r="D6390" t="inlineStr">
        <is>
          <t>KALMAR LÄN</t>
        </is>
      </c>
      <c r="E6390" t="inlineStr">
        <is>
          <t>VÄSTERVIK</t>
        </is>
      </c>
      <c r="G6390" t="n">
        <v>0.4</v>
      </c>
      <c r="H6390" t="n">
        <v>0</v>
      </c>
      <c r="I6390" t="n">
        <v>0</v>
      </c>
      <c r="J6390" t="n">
        <v>0</v>
      </c>
      <c r="K6390" t="n">
        <v>0</v>
      </c>
      <c r="L6390" t="n">
        <v>0</v>
      </c>
      <c r="M6390" t="n">
        <v>0</v>
      </c>
      <c r="N6390" t="n">
        <v>0</v>
      </c>
      <c r="O6390" t="n">
        <v>0</v>
      </c>
      <c r="P6390" t="n">
        <v>0</v>
      </c>
      <c r="Q6390" t="n">
        <v>0</v>
      </c>
      <c r="R6390" s="2" t="inlineStr"/>
    </row>
    <row r="6391" ht="15" customHeight="1">
      <c r="A6391" t="inlineStr">
        <is>
          <t>A 43165-2024</t>
        </is>
      </c>
      <c r="B6391" s="1" t="n">
        <v>45567.65388888889</v>
      </c>
      <c r="C6391" s="1" t="n">
        <v>45884</v>
      </c>
      <c r="D6391" t="inlineStr">
        <is>
          <t>KALMAR LÄN</t>
        </is>
      </c>
      <c r="E6391" t="inlineStr">
        <is>
          <t>OSKARSHAMN</t>
        </is>
      </c>
      <c r="G6391" t="n">
        <v>1.7</v>
      </c>
      <c r="H6391" t="n">
        <v>0</v>
      </c>
      <c r="I6391" t="n">
        <v>0</v>
      </c>
      <c r="J6391" t="n">
        <v>0</v>
      </c>
      <c r="K6391" t="n">
        <v>0</v>
      </c>
      <c r="L6391" t="n">
        <v>0</v>
      </c>
      <c r="M6391" t="n">
        <v>0</v>
      </c>
      <c r="N6391" t="n">
        <v>0</v>
      </c>
      <c r="O6391" t="n">
        <v>0</v>
      </c>
      <c r="P6391" t="n">
        <v>0</v>
      </c>
      <c r="Q6391" t="n">
        <v>0</v>
      </c>
      <c r="R6391" s="2" t="inlineStr"/>
    </row>
    <row r="6392" ht="15" customHeight="1">
      <c r="A6392" t="inlineStr">
        <is>
          <t>A 13801-2023</t>
        </is>
      </c>
      <c r="B6392" s="1" t="n">
        <v>45007.52546296296</v>
      </c>
      <c r="C6392" s="1" t="n">
        <v>45884</v>
      </c>
      <c r="D6392" t="inlineStr">
        <is>
          <t>KALMAR LÄN</t>
        </is>
      </c>
      <c r="E6392" t="inlineStr">
        <is>
          <t>EMMABODA</t>
        </is>
      </c>
      <c r="G6392" t="n">
        <v>0.9</v>
      </c>
      <c r="H6392" t="n">
        <v>0</v>
      </c>
      <c r="I6392" t="n">
        <v>0</v>
      </c>
      <c r="J6392" t="n">
        <v>0</v>
      </c>
      <c r="K6392" t="n">
        <v>0</v>
      </c>
      <c r="L6392" t="n">
        <v>0</v>
      </c>
      <c r="M6392" t="n">
        <v>0</v>
      </c>
      <c r="N6392" t="n">
        <v>0</v>
      </c>
      <c r="O6392" t="n">
        <v>0</v>
      </c>
      <c r="P6392" t="n">
        <v>0</v>
      </c>
      <c r="Q6392" t="n">
        <v>0</v>
      </c>
      <c r="R6392" s="2" t="inlineStr"/>
    </row>
    <row r="6393" ht="15" customHeight="1">
      <c r="A6393" t="inlineStr">
        <is>
          <t>A 13805-2023</t>
        </is>
      </c>
      <c r="B6393" s="1" t="n">
        <v>45007.53736111111</v>
      </c>
      <c r="C6393" s="1" t="n">
        <v>45884</v>
      </c>
      <c r="D6393" t="inlineStr">
        <is>
          <t>KALMAR LÄN</t>
        </is>
      </c>
      <c r="E6393" t="inlineStr">
        <is>
          <t>EMMABODA</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72786-2021</t>
        </is>
      </c>
      <c r="B6394" s="1" t="n">
        <v>44547.35026620371</v>
      </c>
      <c r="C6394" s="1" t="n">
        <v>45884</v>
      </c>
      <c r="D6394" t="inlineStr">
        <is>
          <t>KALMAR LÄN</t>
        </is>
      </c>
      <c r="E6394" t="inlineStr">
        <is>
          <t>OSKARSHAMN</t>
        </is>
      </c>
      <c r="G6394" t="n">
        <v>1.5</v>
      </c>
      <c r="H6394" t="n">
        <v>0</v>
      </c>
      <c r="I6394" t="n">
        <v>0</v>
      </c>
      <c r="J6394" t="n">
        <v>0</v>
      </c>
      <c r="K6394" t="n">
        <v>0</v>
      </c>
      <c r="L6394" t="n">
        <v>0</v>
      </c>
      <c r="M6394" t="n">
        <v>0</v>
      </c>
      <c r="N6394" t="n">
        <v>0</v>
      </c>
      <c r="O6394" t="n">
        <v>0</v>
      </c>
      <c r="P6394" t="n">
        <v>0</v>
      </c>
      <c r="Q6394" t="n">
        <v>0</v>
      </c>
      <c r="R6394" s="2" t="inlineStr"/>
    </row>
    <row r="6395" ht="15" customHeight="1">
      <c r="A6395" t="inlineStr">
        <is>
          <t>A 10778-2025</t>
        </is>
      </c>
      <c r="B6395" s="1" t="n">
        <v>45722</v>
      </c>
      <c r="C6395" s="1" t="n">
        <v>45884</v>
      </c>
      <c r="D6395" t="inlineStr">
        <is>
          <t>KALMAR LÄN</t>
        </is>
      </c>
      <c r="E6395" t="inlineStr">
        <is>
          <t>VÄSTERVIK</t>
        </is>
      </c>
      <c r="G6395" t="n">
        <v>0.6</v>
      </c>
      <c r="H6395" t="n">
        <v>0</v>
      </c>
      <c r="I6395" t="n">
        <v>0</v>
      </c>
      <c r="J6395" t="n">
        <v>0</v>
      </c>
      <c r="K6395" t="n">
        <v>0</v>
      </c>
      <c r="L6395" t="n">
        <v>0</v>
      </c>
      <c r="M6395" t="n">
        <v>0</v>
      </c>
      <c r="N6395" t="n">
        <v>0</v>
      </c>
      <c r="O6395" t="n">
        <v>0</v>
      </c>
      <c r="P6395" t="n">
        <v>0</v>
      </c>
      <c r="Q6395" t="n">
        <v>0</v>
      </c>
      <c r="R6395" s="2" t="inlineStr"/>
    </row>
    <row r="6396" ht="15" customHeight="1">
      <c r="A6396" t="inlineStr">
        <is>
          <t>A 44196-2023</t>
        </is>
      </c>
      <c r="B6396" s="1" t="n">
        <v>45188.538125</v>
      </c>
      <c r="C6396" s="1" t="n">
        <v>45884</v>
      </c>
      <c r="D6396" t="inlineStr">
        <is>
          <t>KALMAR LÄN</t>
        </is>
      </c>
      <c r="E6396" t="inlineStr">
        <is>
          <t>HULTSFRED</t>
        </is>
      </c>
      <c r="G6396" t="n">
        <v>1.8</v>
      </c>
      <c r="H6396" t="n">
        <v>0</v>
      </c>
      <c r="I6396" t="n">
        <v>0</v>
      </c>
      <c r="J6396" t="n">
        <v>0</v>
      </c>
      <c r="K6396" t="n">
        <v>0</v>
      </c>
      <c r="L6396" t="n">
        <v>0</v>
      </c>
      <c r="M6396" t="n">
        <v>0</v>
      </c>
      <c r="N6396" t="n">
        <v>0</v>
      </c>
      <c r="O6396" t="n">
        <v>0</v>
      </c>
      <c r="P6396" t="n">
        <v>0</v>
      </c>
      <c r="Q6396" t="n">
        <v>0</v>
      </c>
      <c r="R6396" s="2" t="inlineStr"/>
    </row>
    <row r="6397" ht="15" customHeight="1">
      <c r="A6397" t="inlineStr">
        <is>
          <t>A 34100-2025</t>
        </is>
      </c>
      <c r="B6397" s="1" t="n">
        <v>45845</v>
      </c>
      <c r="C6397" s="1" t="n">
        <v>45884</v>
      </c>
      <c r="D6397" t="inlineStr">
        <is>
          <t>KALMAR LÄN</t>
        </is>
      </c>
      <c r="E6397" t="inlineStr">
        <is>
          <t>EMMABODA</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26322-2025</t>
        </is>
      </c>
      <c r="B6398" s="1" t="n">
        <v>45805.66190972222</v>
      </c>
      <c r="C6398" s="1" t="n">
        <v>45884</v>
      </c>
      <c r="D6398" t="inlineStr">
        <is>
          <t>KALMAR LÄN</t>
        </is>
      </c>
      <c r="E6398" t="inlineStr">
        <is>
          <t>KALMAR</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26335-2025</t>
        </is>
      </c>
      <c r="B6399" s="1" t="n">
        <v>45805.69365740741</v>
      </c>
      <c r="C6399" s="1" t="n">
        <v>45884</v>
      </c>
      <c r="D6399" t="inlineStr">
        <is>
          <t>KALMAR LÄN</t>
        </is>
      </c>
      <c r="E6399" t="inlineStr">
        <is>
          <t>HÖGSBY</t>
        </is>
      </c>
      <c r="G6399" t="n">
        <v>1.6</v>
      </c>
      <c r="H6399" t="n">
        <v>0</v>
      </c>
      <c r="I6399" t="n">
        <v>0</v>
      </c>
      <c r="J6399" t="n">
        <v>0</v>
      </c>
      <c r="K6399" t="n">
        <v>0</v>
      </c>
      <c r="L6399" t="n">
        <v>0</v>
      </c>
      <c r="M6399" t="n">
        <v>0</v>
      </c>
      <c r="N6399" t="n">
        <v>0</v>
      </c>
      <c r="O6399" t="n">
        <v>0</v>
      </c>
      <c r="P6399" t="n">
        <v>0</v>
      </c>
      <c r="Q6399" t="n">
        <v>0</v>
      </c>
      <c r="R6399" s="2" t="inlineStr"/>
    </row>
    <row r="6400" ht="15" customHeight="1">
      <c r="A6400" t="inlineStr">
        <is>
          <t>A 35883-2022</t>
        </is>
      </c>
      <c r="B6400" s="1" t="n">
        <v>44802</v>
      </c>
      <c r="C6400" s="1" t="n">
        <v>45884</v>
      </c>
      <c r="D6400" t="inlineStr">
        <is>
          <t>KALMAR LÄN</t>
        </is>
      </c>
      <c r="E6400" t="inlineStr">
        <is>
          <t>MÖNSTERÅS</t>
        </is>
      </c>
      <c r="G6400" t="n">
        <v>7</v>
      </c>
      <c r="H6400" t="n">
        <v>0</v>
      </c>
      <c r="I6400" t="n">
        <v>0</v>
      </c>
      <c r="J6400" t="n">
        <v>0</v>
      </c>
      <c r="K6400" t="n">
        <v>0</v>
      </c>
      <c r="L6400" t="n">
        <v>0</v>
      </c>
      <c r="M6400" t="n">
        <v>0</v>
      </c>
      <c r="N6400" t="n">
        <v>0</v>
      </c>
      <c r="O6400" t="n">
        <v>0</v>
      </c>
      <c r="P6400" t="n">
        <v>0</v>
      </c>
      <c r="Q6400" t="n">
        <v>0</v>
      </c>
      <c r="R6400" s="2" t="inlineStr"/>
    </row>
    <row r="6401" ht="15" customHeight="1">
      <c r="A6401" t="inlineStr">
        <is>
          <t>A 27565-2023</t>
        </is>
      </c>
      <c r="B6401" s="1" t="n">
        <v>45097</v>
      </c>
      <c r="C6401" s="1" t="n">
        <v>45884</v>
      </c>
      <c r="D6401" t="inlineStr">
        <is>
          <t>KALMAR LÄN</t>
        </is>
      </c>
      <c r="E6401" t="inlineStr">
        <is>
          <t>KALMAR</t>
        </is>
      </c>
      <c r="G6401" t="n">
        <v>3.9</v>
      </c>
      <c r="H6401" t="n">
        <v>0</v>
      </c>
      <c r="I6401" t="n">
        <v>0</v>
      </c>
      <c r="J6401" t="n">
        <v>0</v>
      </c>
      <c r="K6401" t="n">
        <v>0</v>
      </c>
      <c r="L6401" t="n">
        <v>0</v>
      </c>
      <c r="M6401" t="n">
        <v>0</v>
      </c>
      <c r="N6401" t="n">
        <v>0</v>
      </c>
      <c r="O6401" t="n">
        <v>0</v>
      </c>
      <c r="P6401" t="n">
        <v>0</v>
      </c>
      <c r="Q6401" t="n">
        <v>0</v>
      </c>
      <c r="R6401" s="2" t="inlineStr"/>
    </row>
    <row r="6402" ht="15" customHeight="1">
      <c r="A6402" t="inlineStr">
        <is>
          <t>A 11152-2023</t>
        </is>
      </c>
      <c r="B6402" s="1" t="n">
        <v>44992</v>
      </c>
      <c r="C6402" s="1" t="n">
        <v>45884</v>
      </c>
      <c r="D6402" t="inlineStr">
        <is>
          <t>KALMAR LÄN</t>
        </is>
      </c>
      <c r="E6402" t="inlineStr">
        <is>
          <t>VIMMERBY</t>
        </is>
      </c>
      <c r="G6402" t="n">
        <v>10.6</v>
      </c>
      <c r="H6402" t="n">
        <v>0</v>
      </c>
      <c r="I6402" t="n">
        <v>0</v>
      </c>
      <c r="J6402" t="n">
        <v>0</v>
      </c>
      <c r="K6402" t="n">
        <v>0</v>
      </c>
      <c r="L6402" t="n">
        <v>0</v>
      </c>
      <c r="M6402" t="n">
        <v>0</v>
      </c>
      <c r="N6402" t="n">
        <v>0</v>
      </c>
      <c r="O6402" t="n">
        <v>0</v>
      </c>
      <c r="P6402" t="n">
        <v>0</v>
      </c>
      <c r="Q6402" t="n">
        <v>0</v>
      </c>
      <c r="R6402" s="2" t="inlineStr"/>
    </row>
    <row r="6403" ht="15" customHeight="1">
      <c r="A6403" t="inlineStr">
        <is>
          <t>A 11162-2023</t>
        </is>
      </c>
      <c r="B6403" s="1" t="n">
        <v>44992</v>
      </c>
      <c r="C6403" s="1" t="n">
        <v>45884</v>
      </c>
      <c r="D6403" t="inlineStr">
        <is>
          <t>KALMAR LÄN</t>
        </is>
      </c>
      <c r="E6403" t="inlineStr">
        <is>
          <t>TORSÅS</t>
        </is>
      </c>
      <c r="G6403" t="n">
        <v>5.4</v>
      </c>
      <c r="H6403" t="n">
        <v>0</v>
      </c>
      <c r="I6403" t="n">
        <v>0</v>
      </c>
      <c r="J6403" t="n">
        <v>0</v>
      </c>
      <c r="K6403" t="n">
        <v>0</v>
      </c>
      <c r="L6403" t="n">
        <v>0</v>
      </c>
      <c r="M6403" t="n">
        <v>0</v>
      </c>
      <c r="N6403" t="n">
        <v>0</v>
      </c>
      <c r="O6403" t="n">
        <v>0</v>
      </c>
      <c r="P6403" t="n">
        <v>0</v>
      </c>
      <c r="Q6403" t="n">
        <v>0</v>
      </c>
      <c r="R6403" s="2" t="inlineStr"/>
    </row>
    <row r="6404" ht="15" customHeight="1">
      <c r="A6404" t="inlineStr">
        <is>
          <t>A 34350-2025</t>
        </is>
      </c>
      <c r="B6404" s="1" t="n">
        <v>45846.47327546297</v>
      </c>
      <c r="C6404" s="1" t="n">
        <v>45884</v>
      </c>
      <c r="D6404" t="inlineStr">
        <is>
          <t>KALMAR LÄN</t>
        </is>
      </c>
      <c r="E6404" t="inlineStr">
        <is>
          <t>NYBRO</t>
        </is>
      </c>
      <c r="G6404" t="n">
        <v>2.5</v>
      </c>
      <c r="H6404" t="n">
        <v>0</v>
      </c>
      <c r="I6404" t="n">
        <v>0</v>
      </c>
      <c r="J6404" t="n">
        <v>0</v>
      </c>
      <c r="K6404" t="n">
        <v>0</v>
      </c>
      <c r="L6404" t="n">
        <v>0</v>
      </c>
      <c r="M6404" t="n">
        <v>0</v>
      </c>
      <c r="N6404" t="n">
        <v>0</v>
      </c>
      <c r="O6404" t="n">
        <v>0</v>
      </c>
      <c r="P6404" t="n">
        <v>0</v>
      </c>
      <c r="Q6404" t="n">
        <v>0</v>
      </c>
      <c r="R6404" s="2" t="inlineStr"/>
    </row>
    <row r="6405" ht="15" customHeight="1">
      <c r="A6405" t="inlineStr">
        <is>
          <t>A 13748-2024</t>
        </is>
      </c>
      <c r="B6405" s="1" t="n">
        <v>45390</v>
      </c>
      <c r="C6405" s="1" t="n">
        <v>45884</v>
      </c>
      <c r="D6405" t="inlineStr">
        <is>
          <t>KALMAR LÄN</t>
        </is>
      </c>
      <c r="E6405" t="inlineStr">
        <is>
          <t>VÄSTERVIK</t>
        </is>
      </c>
      <c r="G6405" t="n">
        <v>2.2</v>
      </c>
      <c r="H6405" t="n">
        <v>0</v>
      </c>
      <c r="I6405" t="n">
        <v>0</v>
      </c>
      <c r="J6405" t="n">
        <v>0</v>
      </c>
      <c r="K6405" t="n">
        <v>0</v>
      </c>
      <c r="L6405" t="n">
        <v>0</v>
      </c>
      <c r="M6405" t="n">
        <v>0</v>
      </c>
      <c r="N6405" t="n">
        <v>0</v>
      </c>
      <c r="O6405" t="n">
        <v>0</v>
      </c>
      <c r="P6405" t="n">
        <v>0</v>
      </c>
      <c r="Q6405" t="n">
        <v>0</v>
      </c>
      <c r="R6405" s="2" t="inlineStr"/>
    </row>
    <row r="6406" ht="15" customHeight="1">
      <c r="A6406" t="inlineStr">
        <is>
          <t>A 37168-2023</t>
        </is>
      </c>
      <c r="B6406" s="1" t="n">
        <v>45155.63342592592</v>
      </c>
      <c r="C6406" s="1" t="n">
        <v>45884</v>
      </c>
      <c r="D6406" t="inlineStr">
        <is>
          <t>KALMAR LÄN</t>
        </is>
      </c>
      <c r="E6406" t="inlineStr">
        <is>
          <t>TORSÅS</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34346-2025</t>
        </is>
      </c>
      <c r="B6407" s="1" t="n">
        <v>45846.46805555555</v>
      </c>
      <c r="C6407" s="1" t="n">
        <v>45884</v>
      </c>
      <c r="D6407" t="inlineStr">
        <is>
          <t>KALMAR LÄN</t>
        </is>
      </c>
      <c r="E6407" t="inlineStr">
        <is>
          <t>NYBRO</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26046-2025</t>
        </is>
      </c>
      <c r="B6408" s="1" t="n">
        <v>45804.708125</v>
      </c>
      <c r="C6408" s="1" t="n">
        <v>45884</v>
      </c>
      <c r="D6408" t="inlineStr">
        <is>
          <t>KALMAR LÄN</t>
        </is>
      </c>
      <c r="E6408" t="inlineStr">
        <is>
          <t>VIMMERBY</t>
        </is>
      </c>
      <c r="F6408" t="inlineStr">
        <is>
          <t>Sveaskog</t>
        </is>
      </c>
      <c r="G6408" t="n">
        <v>5.1</v>
      </c>
      <c r="H6408" t="n">
        <v>0</v>
      </c>
      <c r="I6408" t="n">
        <v>0</v>
      </c>
      <c r="J6408" t="n">
        <v>0</v>
      </c>
      <c r="K6408" t="n">
        <v>0</v>
      </c>
      <c r="L6408" t="n">
        <v>0</v>
      </c>
      <c r="M6408" t="n">
        <v>0</v>
      </c>
      <c r="N6408" t="n">
        <v>0</v>
      </c>
      <c r="O6408" t="n">
        <v>0</v>
      </c>
      <c r="P6408" t="n">
        <v>0</v>
      </c>
      <c r="Q6408" t="n">
        <v>0</v>
      </c>
      <c r="R6408" s="2" t="inlineStr"/>
    </row>
    <row r="6409" ht="15" customHeight="1">
      <c r="A6409" t="inlineStr">
        <is>
          <t>A 26331-2025</t>
        </is>
      </c>
      <c r="B6409" s="1" t="n">
        <v>45805.68583333334</v>
      </c>
      <c r="C6409" s="1" t="n">
        <v>45884</v>
      </c>
      <c r="D6409" t="inlineStr">
        <is>
          <t>KALMAR LÄN</t>
        </is>
      </c>
      <c r="E6409" t="inlineStr">
        <is>
          <t>HÖGSBY</t>
        </is>
      </c>
      <c r="G6409" t="n">
        <v>3.3</v>
      </c>
      <c r="H6409" t="n">
        <v>0</v>
      </c>
      <c r="I6409" t="n">
        <v>0</v>
      </c>
      <c r="J6409" t="n">
        <v>0</v>
      </c>
      <c r="K6409" t="n">
        <v>0</v>
      </c>
      <c r="L6409" t="n">
        <v>0</v>
      </c>
      <c r="M6409" t="n">
        <v>0</v>
      </c>
      <c r="N6409" t="n">
        <v>0</v>
      </c>
      <c r="O6409" t="n">
        <v>0</v>
      </c>
      <c r="P6409" t="n">
        <v>0</v>
      </c>
      <c r="Q6409" t="n">
        <v>0</v>
      </c>
      <c r="R6409" s="2" t="inlineStr"/>
    </row>
    <row r="6410" ht="15" customHeight="1">
      <c r="A6410" t="inlineStr">
        <is>
          <t>A 26895-2021</t>
        </is>
      </c>
      <c r="B6410" s="1" t="n">
        <v>44349</v>
      </c>
      <c r="C6410" s="1" t="n">
        <v>45884</v>
      </c>
      <c r="D6410" t="inlineStr">
        <is>
          <t>KALMAR LÄN</t>
        </is>
      </c>
      <c r="E6410" t="inlineStr">
        <is>
          <t>HULTSFRED</t>
        </is>
      </c>
      <c r="F6410" t="inlineStr">
        <is>
          <t>Sveaskog</t>
        </is>
      </c>
      <c r="G6410" t="n">
        <v>3.5</v>
      </c>
      <c r="H6410" t="n">
        <v>0</v>
      </c>
      <c r="I6410" t="n">
        <v>0</v>
      </c>
      <c r="J6410" t="n">
        <v>0</v>
      </c>
      <c r="K6410" t="n">
        <v>0</v>
      </c>
      <c r="L6410" t="n">
        <v>0</v>
      </c>
      <c r="M6410" t="n">
        <v>0</v>
      </c>
      <c r="N6410" t="n">
        <v>0</v>
      </c>
      <c r="O6410" t="n">
        <v>0</v>
      </c>
      <c r="P6410" t="n">
        <v>0</v>
      </c>
      <c r="Q6410" t="n">
        <v>0</v>
      </c>
      <c r="R6410" s="2" t="inlineStr"/>
    </row>
    <row r="6411" ht="15" customHeight="1">
      <c r="A6411" t="inlineStr">
        <is>
          <t>A 25948-2025</t>
        </is>
      </c>
      <c r="B6411" s="1" t="n">
        <v>45804.59537037037</v>
      </c>
      <c r="C6411" s="1" t="n">
        <v>45884</v>
      </c>
      <c r="D6411" t="inlineStr">
        <is>
          <t>KALMAR LÄN</t>
        </is>
      </c>
      <c r="E6411" t="inlineStr">
        <is>
          <t>HÖGSBY</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25914-2025</t>
        </is>
      </c>
      <c r="B6412" s="1" t="n">
        <v>45804.56436342592</v>
      </c>
      <c r="C6412" s="1" t="n">
        <v>45884</v>
      </c>
      <c r="D6412" t="inlineStr">
        <is>
          <t>KALMAR LÄN</t>
        </is>
      </c>
      <c r="E6412" t="inlineStr">
        <is>
          <t>EMMABODA</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1877-2025</t>
        </is>
      </c>
      <c r="B6413" s="1" t="n">
        <v>45671.62141203704</v>
      </c>
      <c r="C6413" s="1" t="n">
        <v>45884</v>
      </c>
      <c r="D6413" t="inlineStr">
        <is>
          <t>KALMAR LÄN</t>
        </is>
      </c>
      <c r="E6413" t="inlineStr">
        <is>
          <t>VÄSTERVIK</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47004-2023</t>
        </is>
      </c>
      <c r="B6414" s="1" t="n">
        <v>45201.49274305555</v>
      </c>
      <c r="C6414" s="1" t="n">
        <v>45884</v>
      </c>
      <c r="D6414" t="inlineStr">
        <is>
          <t>KALMAR LÄN</t>
        </is>
      </c>
      <c r="E6414" t="inlineStr">
        <is>
          <t>TORSÅS</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26124-2025</t>
        </is>
      </c>
      <c r="B6415" s="1" t="n">
        <v>45805.39247685186</v>
      </c>
      <c r="C6415" s="1" t="n">
        <v>45884</v>
      </c>
      <c r="D6415" t="inlineStr">
        <is>
          <t>KALMAR LÄN</t>
        </is>
      </c>
      <c r="E6415" t="inlineStr">
        <is>
          <t>VIMMERBY</t>
        </is>
      </c>
      <c r="G6415" t="n">
        <v>6.6</v>
      </c>
      <c r="H6415" t="n">
        <v>0</v>
      </c>
      <c r="I6415" t="n">
        <v>0</v>
      </c>
      <c r="J6415" t="n">
        <v>0</v>
      </c>
      <c r="K6415" t="n">
        <v>0</v>
      </c>
      <c r="L6415" t="n">
        <v>0</v>
      </c>
      <c r="M6415" t="n">
        <v>0</v>
      </c>
      <c r="N6415" t="n">
        <v>0</v>
      </c>
      <c r="O6415" t="n">
        <v>0</v>
      </c>
      <c r="P6415" t="n">
        <v>0</v>
      </c>
      <c r="Q6415" t="n">
        <v>0</v>
      </c>
      <c r="R6415" s="2" t="inlineStr"/>
    </row>
    <row r="6416" ht="15" customHeight="1">
      <c r="A6416" t="inlineStr">
        <is>
          <t>A 26160-2025</t>
        </is>
      </c>
      <c r="B6416" s="1" t="n">
        <v>45805.4490162037</v>
      </c>
      <c r="C6416" s="1" t="n">
        <v>45884</v>
      </c>
      <c r="D6416" t="inlineStr">
        <is>
          <t>KALMAR LÄN</t>
        </is>
      </c>
      <c r="E6416" t="inlineStr">
        <is>
          <t>BORGHOLM</t>
        </is>
      </c>
      <c r="G6416" t="n">
        <v>3.7</v>
      </c>
      <c r="H6416" t="n">
        <v>0</v>
      </c>
      <c r="I6416" t="n">
        <v>0</v>
      </c>
      <c r="J6416" t="n">
        <v>0</v>
      </c>
      <c r="K6416" t="n">
        <v>0</v>
      </c>
      <c r="L6416" t="n">
        <v>0</v>
      </c>
      <c r="M6416" t="n">
        <v>0</v>
      </c>
      <c r="N6416" t="n">
        <v>0</v>
      </c>
      <c r="O6416" t="n">
        <v>0</v>
      </c>
      <c r="P6416" t="n">
        <v>0</v>
      </c>
      <c r="Q6416" t="n">
        <v>0</v>
      </c>
      <c r="R6416" s="2" t="inlineStr"/>
    </row>
    <row r="6417" ht="15" customHeight="1">
      <c r="A6417" t="inlineStr">
        <is>
          <t>A 26162-2025</t>
        </is>
      </c>
      <c r="B6417" s="1" t="n">
        <v>45805.44922453703</v>
      </c>
      <c r="C6417" s="1" t="n">
        <v>45884</v>
      </c>
      <c r="D6417" t="inlineStr">
        <is>
          <t>KALMAR LÄN</t>
        </is>
      </c>
      <c r="E6417" t="inlineStr">
        <is>
          <t>MÖNSTERÅS</t>
        </is>
      </c>
      <c r="G6417" t="n">
        <v>7.4</v>
      </c>
      <c r="H6417" t="n">
        <v>0</v>
      </c>
      <c r="I6417" t="n">
        <v>0</v>
      </c>
      <c r="J6417" t="n">
        <v>0</v>
      </c>
      <c r="K6417" t="n">
        <v>0</v>
      </c>
      <c r="L6417" t="n">
        <v>0</v>
      </c>
      <c r="M6417" t="n">
        <v>0</v>
      </c>
      <c r="N6417" t="n">
        <v>0</v>
      </c>
      <c r="O6417" t="n">
        <v>0</v>
      </c>
      <c r="P6417" t="n">
        <v>0</v>
      </c>
      <c r="Q6417" t="n">
        <v>0</v>
      </c>
      <c r="R6417" s="2" t="inlineStr"/>
    </row>
    <row r="6418" ht="15" customHeight="1">
      <c r="A6418" t="inlineStr">
        <is>
          <t>A 25776-2025</t>
        </is>
      </c>
      <c r="B6418" s="1" t="n">
        <v>45804.35590277778</v>
      </c>
      <c r="C6418" s="1" t="n">
        <v>45884</v>
      </c>
      <c r="D6418" t="inlineStr">
        <is>
          <t>KALMAR LÄN</t>
        </is>
      </c>
      <c r="E6418" t="inlineStr">
        <is>
          <t>EMMABODA</t>
        </is>
      </c>
      <c r="G6418" t="n">
        <v>2.2</v>
      </c>
      <c r="H6418" t="n">
        <v>0</v>
      </c>
      <c r="I6418" t="n">
        <v>0</v>
      </c>
      <c r="J6418" t="n">
        <v>0</v>
      </c>
      <c r="K6418" t="n">
        <v>0</v>
      </c>
      <c r="L6418" t="n">
        <v>0</v>
      </c>
      <c r="M6418" t="n">
        <v>0</v>
      </c>
      <c r="N6418" t="n">
        <v>0</v>
      </c>
      <c r="O6418" t="n">
        <v>0</v>
      </c>
      <c r="P6418" t="n">
        <v>0</v>
      </c>
      <c r="Q6418" t="n">
        <v>0</v>
      </c>
      <c r="R6418" s="2" t="inlineStr"/>
    </row>
    <row r="6419" ht="15" customHeight="1">
      <c r="A6419" t="inlineStr">
        <is>
          <t>A 25778-2025</t>
        </is>
      </c>
      <c r="B6419" s="1" t="n">
        <v>45804.36096064815</v>
      </c>
      <c r="C6419" s="1" t="n">
        <v>45884</v>
      </c>
      <c r="D6419" t="inlineStr">
        <is>
          <t>KALMAR LÄN</t>
        </is>
      </c>
      <c r="E6419" t="inlineStr">
        <is>
          <t>HULTSFRED</t>
        </is>
      </c>
      <c r="F6419" t="inlineStr">
        <is>
          <t>Sveaskog</t>
        </is>
      </c>
      <c r="G6419" t="n">
        <v>1.6</v>
      </c>
      <c r="H6419" t="n">
        <v>0</v>
      </c>
      <c r="I6419" t="n">
        <v>0</v>
      </c>
      <c r="J6419" t="n">
        <v>0</v>
      </c>
      <c r="K6419" t="n">
        <v>0</v>
      </c>
      <c r="L6419" t="n">
        <v>0</v>
      </c>
      <c r="M6419" t="n">
        <v>0</v>
      </c>
      <c r="N6419" t="n">
        <v>0</v>
      </c>
      <c r="O6419" t="n">
        <v>0</v>
      </c>
      <c r="P6419" t="n">
        <v>0</v>
      </c>
      <c r="Q6419" t="n">
        <v>0</v>
      </c>
      <c r="R6419" s="2" t="inlineStr"/>
    </row>
    <row r="6420" ht="15" customHeight="1">
      <c r="A6420" t="inlineStr">
        <is>
          <t>A 7719-2025</t>
        </is>
      </c>
      <c r="B6420" s="1" t="n">
        <v>45706.44140046297</v>
      </c>
      <c r="C6420" s="1" t="n">
        <v>45884</v>
      </c>
      <c r="D6420" t="inlineStr">
        <is>
          <t>KALMAR LÄN</t>
        </is>
      </c>
      <c r="E6420" t="inlineStr">
        <is>
          <t>EMMABODA</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12407-2023</t>
        </is>
      </c>
      <c r="B6421" s="1" t="n">
        <v>44999</v>
      </c>
      <c r="C6421" s="1" t="n">
        <v>45884</v>
      </c>
      <c r="D6421" t="inlineStr">
        <is>
          <t>KALMAR LÄN</t>
        </is>
      </c>
      <c r="E6421" t="inlineStr">
        <is>
          <t>NYBRO</t>
        </is>
      </c>
      <c r="G6421" t="n">
        <v>16.5</v>
      </c>
      <c r="H6421" t="n">
        <v>0</v>
      </c>
      <c r="I6421" t="n">
        <v>0</v>
      </c>
      <c r="J6421" t="n">
        <v>0</v>
      </c>
      <c r="K6421" t="n">
        <v>0</v>
      </c>
      <c r="L6421" t="n">
        <v>0</v>
      </c>
      <c r="M6421" t="n">
        <v>0</v>
      </c>
      <c r="N6421" t="n">
        <v>0</v>
      </c>
      <c r="O6421" t="n">
        <v>0</v>
      </c>
      <c r="P6421" t="n">
        <v>0</v>
      </c>
      <c r="Q6421" t="n">
        <v>0</v>
      </c>
      <c r="R6421" s="2" t="inlineStr"/>
    </row>
    <row r="6422" ht="15" customHeight="1">
      <c r="A6422" t="inlineStr">
        <is>
          <t>A 34292-2025</t>
        </is>
      </c>
      <c r="B6422" s="1" t="n">
        <v>45846.34083333334</v>
      </c>
      <c r="C6422" s="1" t="n">
        <v>45884</v>
      </c>
      <c r="D6422" t="inlineStr">
        <is>
          <t>KALMAR LÄN</t>
        </is>
      </c>
      <c r="E6422" t="inlineStr">
        <is>
          <t>VÄSTERVIK</t>
        </is>
      </c>
      <c r="G6422" t="n">
        <v>3.4</v>
      </c>
      <c r="H6422" t="n">
        <v>0</v>
      </c>
      <c r="I6422" t="n">
        <v>0</v>
      </c>
      <c r="J6422" t="n">
        <v>0</v>
      </c>
      <c r="K6422" t="n">
        <v>0</v>
      </c>
      <c r="L6422" t="n">
        <v>0</v>
      </c>
      <c r="M6422" t="n">
        <v>0</v>
      </c>
      <c r="N6422" t="n">
        <v>0</v>
      </c>
      <c r="O6422" t="n">
        <v>0</v>
      </c>
      <c r="P6422" t="n">
        <v>0</v>
      </c>
      <c r="Q6422" t="n">
        <v>0</v>
      </c>
      <c r="R6422" s="2" t="inlineStr"/>
    </row>
    <row r="6423" ht="15" customHeight="1">
      <c r="A6423" t="inlineStr">
        <is>
          <t>A 12499-2023</t>
        </is>
      </c>
      <c r="B6423" s="1" t="n">
        <v>44999.86172453704</v>
      </c>
      <c r="C6423" s="1" t="n">
        <v>45884</v>
      </c>
      <c r="D6423" t="inlineStr">
        <is>
          <t>KALMAR LÄN</t>
        </is>
      </c>
      <c r="E6423" t="inlineStr">
        <is>
          <t>VIMMERBY</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12500-2023</t>
        </is>
      </c>
      <c r="B6424" s="1" t="n">
        <v>44999.8625</v>
      </c>
      <c r="C6424" s="1" t="n">
        <v>45884</v>
      </c>
      <c r="D6424" t="inlineStr">
        <is>
          <t>KALMAR LÄN</t>
        </is>
      </c>
      <c r="E6424" t="inlineStr">
        <is>
          <t>VIMMERBY</t>
        </is>
      </c>
      <c r="G6424" t="n">
        <v>0.5</v>
      </c>
      <c r="H6424" t="n">
        <v>0</v>
      </c>
      <c r="I6424" t="n">
        <v>0</v>
      </c>
      <c r="J6424" t="n">
        <v>0</v>
      </c>
      <c r="K6424" t="n">
        <v>0</v>
      </c>
      <c r="L6424" t="n">
        <v>0</v>
      </c>
      <c r="M6424" t="n">
        <v>0</v>
      </c>
      <c r="N6424" t="n">
        <v>0</v>
      </c>
      <c r="O6424" t="n">
        <v>0</v>
      </c>
      <c r="P6424" t="n">
        <v>0</v>
      </c>
      <c r="Q6424" t="n">
        <v>0</v>
      </c>
      <c r="R6424" s="2" t="inlineStr"/>
    </row>
    <row r="6425" ht="15" customHeight="1">
      <c r="A6425" t="inlineStr">
        <is>
          <t>A 5712-2022</t>
        </is>
      </c>
      <c r="B6425" s="1" t="n">
        <v>44596.39430555556</v>
      </c>
      <c r="C6425" s="1" t="n">
        <v>45884</v>
      </c>
      <c r="D6425" t="inlineStr">
        <is>
          <t>KALMAR LÄN</t>
        </is>
      </c>
      <c r="E6425" t="inlineStr">
        <is>
          <t>NYBRO</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35846-2023</t>
        </is>
      </c>
      <c r="B6426" s="1" t="n">
        <v>45148</v>
      </c>
      <c r="C6426" s="1" t="n">
        <v>45884</v>
      </c>
      <c r="D6426" t="inlineStr">
        <is>
          <t>KALMAR LÄN</t>
        </is>
      </c>
      <c r="E6426" t="inlineStr">
        <is>
          <t>VIMMERBY</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35849-2023</t>
        </is>
      </c>
      <c r="B6427" s="1" t="n">
        <v>45148.51032407407</v>
      </c>
      <c r="C6427" s="1" t="n">
        <v>45884</v>
      </c>
      <c r="D6427" t="inlineStr">
        <is>
          <t>KALMAR LÄN</t>
        </is>
      </c>
      <c r="E6427" t="inlineStr">
        <is>
          <t>EMMABODA</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43632-2023</t>
        </is>
      </c>
      <c r="B6428" s="1" t="n">
        <v>45185</v>
      </c>
      <c r="C6428" s="1" t="n">
        <v>45884</v>
      </c>
      <c r="D6428" t="inlineStr">
        <is>
          <t>KALMAR LÄN</t>
        </is>
      </c>
      <c r="E6428" t="inlineStr">
        <is>
          <t>HULTSFRED</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24784-2023</t>
        </is>
      </c>
      <c r="B6429" s="1" t="n">
        <v>45084.66810185185</v>
      </c>
      <c r="C6429" s="1" t="n">
        <v>45884</v>
      </c>
      <c r="D6429" t="inlineStr">
        <is>
          <t>KALMAR LÄN</t>
        </is>
      </c>
      <c r="E6429" t="inlineStr">
        <is>
          <t>EMMABODA</t>
        </is>
      </c>
      <c r="G6429" t="n">
        <v>1.4</v>
      </c>
      <c r="H6429" t="n">
        <v>0</v>
      </c>
      <c r="I6429" t="n">
        <v>0</v>
      </c>
      <c r="J6429" t="n">
        <v>0</v>
      </c>
      <c r="K6429" t="n">
        <v>0</v>
      </c>
      <c r="L6429" t="n">
        <v>0</v>
      </c>
      <c r="M6429" t="n">
        <v>0</v>
      </c>
      <c r="N6429" t="n">
        <v>0</v>
      </c>
      <c r="O6429" t="n">
        <v>0</v>
      </c>
      <c r="P6429" t="n">
        <v>0</v>
      </c>
      <c r="Q6429" t="n">
        <v>0</v>
      </c>
      <c r="R6429" s="2" t="inlineStr"/>
    </row>
    <row r="6430" ht="15" customHeight="1">
      <c r="A6430" t="inlineStr">
        <is>
          <t>A 49039-2021</t>
        </is>
      </c>
      <c r="B6430" s="1" t="n">
        <v>44453.56578703703</v>
      </c>
      <c r="C6430" s="1" t="n">
        <v>45884</v>
      </c>
      <c r="D6430" t="inlineStr">
        <is>
          <t>KALMAR LÄN</t>
        </is>
      </c>
      <c r="E6430" t="inlineStr">
        <is>
          <t>VIMMERBY</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16186-2024</t>
        </is>
      </c>
      <c r="B6431" s="1" t="n">
        <v>45406.66635416666</v>
      </c>
      <c r="C6431" s="1" t="n">
        <v>45884</v>
      </c>
      <c r="D6431" t="inlineStr">
        <is>
          <t>KALMAR LÄN</t>
        </is>
      </c>
      <c r="E6431" t="inlineStr">
        <is>
          <t>OSKARSHAMN</t>
        </is>
      </c>
      <c r="G6431" t="n">
        <v>2.1</v>
      </c>
      <c r="H6431" t="n">
        <v>0</v>
      </c>
      <c r="I6431" t="n">
        <v>0</v>
      </c>
      <c r="J6431" t="n">
        <v>0</v>
      </c>
      <c r="K6431" t="n">
        <v>0</v>
      </c>
      <c r="L6431" t="n">
        <v>0</v>
      </c>
      <c r="M6431" t="n">
        <v>0</v>
      </c>
      <c r="N6431" t="n">
        <v>0</v>
      </c>
      <c r="O6431" t="n">
        <v>0</v>
      </c>
      <c r="P6431" t="n">
        <v>0</v>
      </c>
      <c r="Q6431" t="n">
        <v>0</v>
      </c>
      <c r="R6431" s="2" t="inlineStr"/>
    </row>
    <row r="6432" ht="15" customHeight="1">
      <c r="A6432" t="inlineStr">
        <is>
          <t>A 16280-2024</t>
        </is>
      </c>
      <c r="B6432" s="1" t="n">
        <v>45407.35842592592</v>
      </c>
      <c r="C6432" s="1" t="n">
        <v>45884</v>
      </c>
      <c r="D6432" t="inlineStr">
        <is>
          <t>KALMAR LÄN</t>
        </is>
      </c>
      <c r="E6432" t="inlineStr">
        <is>
          <t>OSKARSHAMN</t>
        </is>
      </c>
      <c r="G6432" t="n">
        <v>3</v>
      </c>
      <c r="H6432" t="n">
        <v>0</v>
      </c>
      <c r="I6432" t="n">
        <v>0</v>
      </c>
      <c r="J6432" t="n">
        <v>0</v>
      </c>
      <c r="K6432" t="n">
        <v>0</v>
      </c>
      <c r="L6432" t="n">
        <v>0</v>
      </c>
      <c r="M6432" t="n">
        <v>0</v>
      </c>
      <c r="N6432" t="n">
        <v>0</v>
      </c>
      <c r="O6432" t="n">
        <v>0</v>
      </c>
      <c r="P6432" t="n">
        <v>0</v>
      </c>
      <c r="Q6432" t="n">
        <v>0</v>
      </c>
      <c r="R6432" s="2" t="inlineStr"/>
    </row>
    <row r="6433" ht="15" customHeight="1">
      <c r="A6433" t="inlineStr">
        <is>
          <t>A 35962-2023</t>
        </is>
      </c>
      <c r="B6433" s="1" t="n">
        <v>45148</v>
      </c>
      <c r="C6433" s="1" t="n">
        <v>45884</v>
      </c>
      <c r="D6433" t="inlineStr">
        <is>
          <t>KALMAR LÄN</t>
        </is>
      </c>
      <c r="E6433" t="inlineStr">
        <is>
          <t>VÄSTERVIK</t>
        </is>
      </c>
      <c r="F6433" t="inlineStr">
        <is>
          <t>Sveaskog</t>
        </is>
      </c>
      <c r="G6433" t="n">
        <v>2.1</v>
      </c>
      <c r="H6433" t="n">
        <v>0</v>
      </c>
      <c r="I6433" t="n">
        <v>0</v>
      </c>
      <c r="J6433" t="n">
        <v>0</v>
      </c>
      <c r="K6433" t="n">
        <v>0</v>
      </c>
      <c r="L6433" t="n">
        <v>0</v>
      </c>
      <c r="M6433" t="n">
        <v>0</v>
      </c>
      <c r="N6433" t="n">
        <v>0</v>
      </c>
      <c r="O6433" t="n">
        <v>0</v>
      </c>
      <c r="P6433" t="n">
        <v>0</v>
      </c>
      <c r="Q6433" t="n">
        <v>0</v>
      </c>
      <c r="R6433" s="2" t="inlineStr"/>
    </row>
    <row r="6434" ht="15" customHeight="1">
      <c r="A6434" t="inlineStr">
        <is>
          <t>A 14547-2025</t>
        </is>
      </c>
      <c r="B6434" s="1" t="n">
        <v>45741.70216435185</v>
      </c>
      <c r="C6434" s="1" t="n">
        <v>45884</v>
      </c>
      <c r="D6434" t="inlineStr">
        <is>
          <t>KALMAR LÄN</t>
        </is>
      </c>
      <c r="E6434" t="inlineStr">
        <is>
          <t>EMMABODA</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25875-2025</t>
        </is>
      </c>
      <c r="B6435" s="1" t="n">
        <v>45804</v>
      </c>
      <c r="C6435" s="1" t="n">
        <v>45884</v>
      </c>
      <c r="D6435" t="inlineStr">
        <is>
          <t>KALMAR LÄN</t>
        </is>
      </c>
      <c r="E6435" t="inlineStr">
        <is>
          <t>HÖGSBY</t>
        </is>
      </c>
      <c r="G6435" t="n">
        <v>5.6</v>
      </c>
      <c r="H6435" t="n">
        <v>0</v>
      </c>
      <c r="I6435" t="n">
        <v>0</v>
      </c>
      <c r="J6435" t="n">
        <v>0</v>
      </c>
      <c r="K6435" t="n">
        <v>0</v>
      </c>
      <c r="L6435" t="n">
        <v>0</v>
      </c>
      <c r="M6435" t="n">
        <v>0</v>
      </c>
      <c r="N6435" t="n">
        <v>0</v>
      </c>
      <c r="O6435" t="n">
        <v>0</v>
      </c>
      <c r="P6435" t="n">
        <v>0</v>
      </c>
      <c r="Q6435" t="n">
        <v>0</v>
      </c>
      <c r="R6435" s="2" t="inlineStr"/>
    </row>
    <row r="6436" ht="15" customHeight="1">
      <c r="A6436" t="inlineStr">
        <is>
          <t>A 20417-2023</t>
        </is>
      </c>
      <c r="B6436" s="1" t="n">
        <v>45056.65377314815</v>
      </c>
      <c r="C6436" s="1" t="n">
        <v>45884</v>
      </c>
      <c r="D6436" t="inlineStr">
        <is>
          <t>KALMAR LÄN</t>
        </is>
      </c>
      <c r="E6436" t="inlineStr">
        <is>
          <t>OSKARSHAMN</t>
        </is>
      </c>
      <c r="G6436" t="n">
        <v>3.4</v>
      </c>
      <c r="H6436" t="n">
        <v>0</v>
      </c>
      <c r="I6436" t="n">
        <v>0</v>
      </c>
      <c r="J6436" t="n">
        <v>0</v>
      </c>
      <c r="K6436" t="n">
        <v>0</v>
      </c>
      <c r="L6436" t="n">
        <v>0</v>
      </c>
      <c r="M6436" t="n">
        <v>0</v>
      </c>
      <c r="N6436" t="n">
        <v>0</v>
      </c>
      <c r="O6436" t="n">
        <v>0</v>
      </c>
      <c r="P6436" t="n">
        <v>0</v>
      </c>
      <c r="Q6436" t="n">
        <v>0</v>
      </c>
      <c r="R6436" s="2" t="inlineStr"/>
    </row>
    <row r="6437" ht="15" customHeight="1">
      <c r="A6437" t="inlineStr">
        <is>
          <t>A 26145-2025</t>
        </is>
      </c>
      <c r="B6437" s="1" t="n">
        <v>45805.42946759259</v>
      </c>
      <c r="C6437" s="1" t="n">
        <v>45884</v>
      </c>
      <c r="D6437" t="inlineStr">
        <is>
          <t>KALMAR LÄN</t>
        </is>
      </c>
      <c r="E6437" t="inlineStr">
        <is>
          <t>MÖNSTERÅS</t>
        </is>
      </c>
      <c r="G6437" t="n">
        <v>1.4</v>
      </c>
      <c r="H6437" t="n">
        <v>0</v>
      </c>
      <c r="I6437" t="n">
        <v>0</v>
      </c>
      <c r="J6437" t="n">
        <v>0</v>
      </c>
      <c r="K6437" t="n">
        <v>0</v>
      </c>
      <c r="L6437" t="n">
        <v>0</v>
      </c>
      <c r="M6437" t="n">
        <v>0</v>
      </c>
      <c r="N6437" t="n">
        <v>0</v>
      </c>
      <c r="O6437" t="n">
        <v>0</v>
      </c>
      <c r="P6437" t="n">
        <v>0</v>
      </c>
      <c r="Q6437" t="n">
        <v>0</v>
      </c>
      <c r="R6437" s="2" t="inlineStr"/>
    </row>
    <row r="6438" ht="15" customHeight="1">
      <c r="A6438" t="inlineStr">
        <is>
          <t>A 25899-2025</t>
        </is>
      </c>
      <c r="B6438" s="1" t="n">
        <v>45804.54818287037</v>
      </c>
      <c r="C6438" s="1" t="n">
        <v>45884</v>
      </c>
      <c r="D6438" t="inlineStr">
        <is>
          <t>KALMAR LÄN</t>
        </is>
      </c>
      <c r="E6438" t="inlineStr">
        <is>
          <t>HÖGSBY</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26260-2025</t>
        </is>
      </c>
      <c r="B6439" s="1" t="n">
        <v>45805.58600694445</v>
      </c>
      <c r="C6439" s="1" t="n">
        <v>45884</v>
      </c>
      <c r="D6439" t="inlineStr">
        <is>
          <t>KALMAR LÄN</t>
        </is>
      </c>
      <c r="E6439" t="inlineStr">
        <is>
          <t>OSKARSHAMN</t>
        </is>
      </c>
      <c r="G6439" t="n">
        <v>1.6</v>
      </c>
      <c r="H6439" t="n">
        <v>0</v>
      </c>
      <c r="I6439" t="n">
        <v>0</v>
      </c>
      <c r="J6439" t="n">
        <v>0</v>
      </c>
      <c r="K6439" t="n">
        <v>0</v>
      </c>
      <c r="L6439" t="n">
        <v>0</v>
      </c>
      <c r="M6439" t="n">
        <v>0</v>
      </c>
      <c r="N6439" t="n">
        <v>0</v>
      </c>
      <c r="O6439" t="n">
        <v>0</v>
      </c>
      <c r="P6439" t="n">
        <v>0</v>
      </c>
      <c r="Q6439" t="n">
        <v>0</v>
      </c>
      <c r="R6439" s="2" t="inlineStr"/>
    </row>
    <row r="6440" ht="15" customHeight="1">
      <c r="A6440" t="inlineStr">
        <is>
          <t>A 26207-2025</t>
        </is>
      </c>
      <c r="B6440" s="1" t="n">
        <v>45805.52983796296</v>
      </c>
      <c r="C6440" s="1" t="n">
        <v>45884</v>
      </c>
      <c r="D6440" t="inlineStr">
        <is>
          <t>KALMAR LÄN</t>
        </is>
      </c>
      <c r="E6440" t="inlineStr">
        <is>
          <t>VIMMERBY</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26157-2025</t>
        </is>
      </c>
      <c r="B6441" s="1" t="n">
        <v>45805.43984953704</v>
      </c>
      <c r="C6441" s="1" t="n">
        <v>45884</v>
      </c>
      <c r="D6441" t="inlineStr">
        <is>
          <t>KALMAR LÄN</t>
        </is>
      </c>
      <c r="E6441" t="inlineStr">
        <is>
          <t>MÖNSTERÅS</t>
        </is>
      </c>
      <c r="G6441" t="n">
        <v>3.8</v>
      </c>
      <c r="H6441" t="n">
        <v>0</v>
      </c>
      <c r="I6441" t="n">
        <v>0</v>
      </c>
      <c r="J6441" t="n">
        <v>0</v>
      </c>
      <c r="K6441" t="n">
        <v>0</v>
      </c>
      <c r="L6441" t="n">
        <v>0</v>
      </c>
      <c r="M6441" t="n">
        <v>0</v>
      </c>
      <c r="N6441" t="n">
        <v>0</v>
      </c>
      <c r="O6441" t="n">
        <v>0</v>
      </c>
      <c r="P6441" t="n">
        <v>0</v>
      </c>
      <c r="Q6441" t="n">
        <v>0</v>
      </c>
      <c r="R6441" s="2" t="inlineStr"/>
    </row>
    <row r="6442" ht="15" customHeight="1">
      <c r="A6442" t="inlineStr">
        <is>
          <t>A 46415-2023</t>
        </is>
      </c>
      <c r="B6442" s="1" t="n">
        <v>45194</v>
      </c>
      <c r="C6442" s="1" t="n">
        <v>45884</v>
      </c>
      <c r="D6442" t="inlineStr">
        <is>
          <t>KALMAR LÄN</t>
        </is>
      </c>
      <c r="E6442" t="inlineStr">
        <is>
          <t>HULTSFRED</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34352-2025</t>
        </is>
      </c>
      <c r="B6443" s="1" t="n">
        <v>45846</v>
      </c>
      <c r="C6443" s="1" t="n">
        <v>45884</v>
      </c>
      <c r="D6443" t="inlineStr">
        <is>
          <t>KALMAR LÄN</t>
        </is>
      </c>
      <c r="E6443" t="inlineStr">
        <is>
          <t>EMMABODA</t>
        </is>
      </c>
      <c r="G6443" t="n">
        <v>7</v>
      </c>
      <c r="H6443" t="n">
        <v>0</v>
      </c>
      <c r="I6443" t="n">
        <v>0</v>
      </c>
      <c r="J6443" t="n">
        <v>0</v>
      </c>
      <c r="K6443" t="n">
        <v>0</v>
      </c>
      <c r="L6443" t="n">
        <v>0</v>
      </c>
      <c r="M6443" t="n">
        <v>0</v>
      </c>
      <c r="N6443" t="n">
        <v>0</v>
      </c>
      <c r="O6443" t="n">
        <v>0</v>
      </c>
      <c r="P6443" t="n">
        <v>0</v>
      </c>
      <c r="Q6443" t="n">
        <v>0</v>
      </c>
      <c r="R6443" s="2" t="inlineStr"/>
    </row>
    <row r="6444" ht="15" customHeight="1">
      <c r="A6444" t="inlineStr">
        <is>
          <t>A 26127-2025</t>
        </is>
      </c>
      <c r="B6444" s="1" t="n">
        <v>45805</v>
      </c>
      <c r="C6444" s="1" t="n">
        <v>45884</v>
      </c>
      <c r="D6444" t="inlineStr">
        <is>
          <t>KALMAR LÄN</t>
        </is>
      </c>
      <c r="E6444" t="inlineStr">
        <is>
          <t>OSKARSHAMN</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25830-2025</t>
        </is>
      </c>
      <c r="B6445" s="1" t="n">
        <v>45804.44519675926</v>
      </c>
      <c r="C6445" s="1" t="n">
        <v>45884</v>
      </c>
      <c r="D6445" t="inlineStr">
        <is>
          <t>KALMAR LÄN</t>
        </is>
      </c>
      <c r="E6445" t="inlineStr">
        <is>
          <t>VIMMERBY</t>
        </is>
      </c>
      <c r="G6445" t="n">
        <v>4.9</v>
      </c>
      <c r="H6445" t="n">
        <v>0</v>
      </c>
      <c r="I6445" t="n">
        <v>0</v>
      </c>
      <c r="J6445" t="n">
        <v>0</v>
      </c>
      <c r="K6445" t="n">
        <v>0</v>
      </c>
      <c r="L6445" t="n">
        <v>0</v>
      </c>
      <c r="M6445" t="n">
        <v>0</v>
      </c>
      <c r="N6445" t="n">
        <v>0</v>
      </c>
      <c r="O6445" t="n">
        <v>0</v>
      </c>
      <c r="P6445" t="n">
        <v>0</v>
      </c>
      <c r="Q6445" t="n">
        <v>0</v>
      </c>
      <c r="R6445" s="2" t="inlineStr"/>
    </row>
    <row r="6446" ht="15" customHeight="1">
      <c r="A6446" t="inlineStr">
        <is>
          <t>A 19479-2023</t>
        </is>
      </c>
      <c r="B6446" s="1" t="n">
        <v>45050.42804398148</v>
      </c>
      <c r="C6446" s="1" t="n">
        <v>45884</v>
      </c>
      <c r="D6446" t="inlineStr">
        <is>
          <t>KALMAR LÄN</t>
        </is>
      </c>
      <c r="E6446" t="inlineStr">
        <is>
          <t>HULTSFRED</t>
        </is>
      </c>
      <c r="G6446" t="n">
        <v>1.1</v>
      </c>
      <c r="H6446" t="n">
        <v>0</v>
      </c>
      <c r="I6446" t="n">
        <v>0</v>
      </c>
      <c r="J6446" t="n">
        <v>0</v>
      </c>
      <c r="K6446" t="n">
        <v>0</v>
      </c>
      <c r="L6446" t="n">
        <v>0</v>
      </c>
      <c r="M6446" t="n">
        <v>0</v>
      </c>
      <c r="N6446" t="n">
        <v>0</v>
      </c>
      <c r="O6446" t="n">
        <v>0</v>
      </c>
      <c r="P6446" t="n">
        <v>0</v>
      </c>
      <c r="Q6446" t="n">
        <v>0</v>
      </c>
      <c r="R6446" s="2" t="inlineStr"/>
    </row>
    <row r="6447" ht="15" customHeight="1">
      <c r="A6447" t="inlineStr">
        <is>
          <t>A 1770-2024</t>
        </is>
      </c>
      <c r="B6447" s="1" t="n">
        <v>45307</v>
      </c>
      <c r="C6447" s="1" t="n">
        <v>45884</v>
      </c>
      <c r="D6447" t="inlineStr">
        <is>
          <t>KALMAR LÄN</t>
        </is>
      </c>
      <c r="E6447" t="inlineStr">
        <is>
          <t>HULTSFRED</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25905-2025</t>
        </is>
      </c>
      <c r="B6448" s="1" t="n">
        <v>45804.55607638889</v>
      </c>
      <c r="C6448" s="1" t="n">
        <v>45884</v>
      </c>
      <c r="D6448" t="inlineStr">
        <is>
          <t>KALMAR LÄN</t>
        </is>
      </c>
      <c r="E6448" t="inlineStr">
        <is>
          <t>HÖGSBY</t>
        </is>
      </c>
      <c r="G6448" t="n">
        <v>1.6</v>
      </c>
      <c r="H6448" t="n">
        <v>0</v>
      </c>
      <c r="I6448" t="n">
        <v>0</v>
      </c>
      <c r="J6448" t="n">
        <v>0</v>
      </c>
      <c r="K6448" t="n">
        <v>0</v>
      </c>
      <c r="L6448" t="n">
        <v>0</v>
      </c>
      <c r="M6448" t="n">
        <v>0</v>
      </c>
      <c r="N6448" t="n">
        <v>0</v>
      </c>
      <c r="O6448" t="n">
        <v>0</v>
      </c>
      <c r="P6448" t="n">
        <v>0</v>
      </c>
      <c r="Q6448" t="n">
        <v>0</v>
      </c>
      <c r="R6448" s="2" t="inlineStr"/>
    </row>
    <row r="6449" ht="15" customHeight="1">
      <c r="A6449" t="inlineStr">
        <is>
          <t>A 34531-2025</t>
        </is>
      </c>
      <c r="B6449" s="1" t="n">
        <v>45847.50152777778</v>
      </c>
      <c r="C6449" s="1" t="n">
        <v>45884</v>
      </c>
      <c r="D6449" t="inlineStr">
        <is>
          <t>KALMAR LÄN</t>
        </is>
      </c>
      <c r="E6449" t="inlineStr">
        <is>
          <t>VÄSTERVIK</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34577-2025</t>
        </is>
      </c>
      <c r="B6450" s="1" t="n">
        <v>45847.60380787037</v>
      </c>
      <c r="C6450" s="1" t="n">
        <v>45884</v>
      </c>
      <c r="D6450" t="inlineStr">
        <is>
          <t>KALMAR LÄN</t>
        </is>
      </c>
      <c r="E6450" t="inlineStr">
        <is>
          <t>HÖGSBY</t>
        </is>
      </c>
      <c r="G6450" t="n">
        <v>1.7</v>
      </c>
      <c r="H6450" t="n">
        <v>0</v>
      </c>
      <c r="I6450" t="n">
        <v>0</v>
      </c>
      <c r="J6450" t="n">
        <v>0</v>
      </c>
      <c r="K6450" t="n">
        <v>0</v>
      </c>
      <c r="L6450" t="n">
        <v>0</v>
      </c>
      <c r="M6450" t="n">
        <v>0</v>
      </c>
      <c r="N6450" t="n">
        <v>0</v>
      </c>
      <c r="O6450" t="n">
        <v>0</v>
      </c>
      <c r="P6450" t="n">
        <v>0</v>
      </c>
      <c r="Q6450" t="n">
        <v>0</v>
      </c>
      <c r="R6450" s="2" t="inlineStr"/>
    </row>
    <row r="6451" ht="15" customHeight="1">
      <c r="A6451" t="inlineStr">
        <is>
          <t>A 26052-2025</t>
        </is>
      </c>
      <c r="B6451" s="1" t="n">
        <v>45804.75068287037</v>
      </c>
      <c r="C6451" s="1" t="n">
        <v>45884</v>
      </c>
      <c r="D6451" t="inlineStr">
        <is>
          <t>KALMAR LÄN</t>
        </is>
      </c>
      <c r="E6451" t="inlineStr">
        <is>
          <t>HÖGSBY</t>
        </is>
      </c>
      <c r="G6451" t="n">
        <v>0.6</v>
      </c>
      <c r="H6451" t="n">
        <v>0</v>
      </c>
      <c r="I6451" t="n">
        <v>0</v>
      </c>
      <c r="J6451" t="n">
        <v>0</v>
      </c>
      <c r="K6451" t="n">
        <v>0</v>
      </c>
      <c r="L6451" t="n">
        <v>0</v>
      </c>
      <c r="M6451" t="n">
        <v>0</v>
      </c>
      <c r="N6451" t="n">
        <v>0</v>
      </c>
      <c r="O6451" t="n">
        <v>0</v>
      </c>
      <c r="P6451" t="n">
        <v>0</v>
      </c>
      <c r="Q6451" t="n">
        <v>0</v>
      </c>
      <c r="R6451" s="2" t="inlineStr"/>
    </row>
    <row r="6452" ht="15" customHeight="1">
      <c r="A6452" t="inlineStr">
        <is>
          <t>A 26132-2025</t>
        </is>
      </c>
      <c r="B6452" s="1" t="n">
        <v>45805.41023148148</v>
      </c>
      <c r="C6452" s="1" t="n">
        <v>45884</v>
      </c>
      <c r="D6452" t="inlineStr">
        <is>
          <t>KALMAR LÄN</t>
        </is>
      </c>
      <c r="E6452" t="inlineStr">
        <is>
          <t>HULTSFRED</t>
        </is>
      </c>
      <c r="G6452" t="n">
        <v>3.7</v>
      </c>
      <c r="H6452" t="n">
        <v>0</v>
      </c>
      <c r="I6452" t="n">
        <v>0</v>
      </c>
      <c r="J6452" t="n">
        <v>0</v>
      </c>
      <c r="K6452" t="n">
        <v>0</v>
      </c>
      <c r="L6452" t="n">
        <v>0</v>
      </c>
      <c r="M6452" t="n">
        <v>0</v>
      </c>
      <c r="N6452" t="n">
        <v>0</v>
      </c>
      <c r="O6452" t="n">
        <v>0</v>
      </c>
      <c r="P6452" t="n">
        <v>0</v>
      </c>
      <c r="Q6452" t="n">
        <v>0</v>
      </c>
      <c r="R6452" s="2" t="inlineStr"/>
    </row>
    <row r="6453" ht="15" customHeight="1">
      <c r="A6453" t="inlineStr">
        <is>
          <t>A 34289-2025</t>
        </is>
      </c>
      <c r="B6453" s="1" t="n">
        <v>45846.334375</v>
      </c>
      <c r="C6453" s="1" t="n">
        <v>45884</v>
      </c>
      <c r="D6453" t="inlineStr">
        <is>
          <t>KALMAR LÄN</t>
        </is>
      </c>
      <c r="E6453" t="inlineStr">
        <is>
          <t>VÄSTERVIK</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26254-2025</t>
        </is>
      </c>
      <c r="B6454" s="1" t="n">
        <v>45805</v>
      </c>
      <c r="C6454" s="1" t="n">
        <v>45884</v>
      </c>
      <c r="D6454" t="inlineStr">
        <is>
          <t>KALMAR LÄN</t>
        </is>
      </c>
      <c r="E6454" t="inlineStr">
        <is>
          <t>VIMMERBY</t>
        </is>
      </c>
      <c r="G6454" t="n">
        <v>2</v>
      </c>
      <c r="H6454" t="n">
        <v>0</v>
      </c>
      <c r="I6454" t="n">
        <v>0</v>
      </c>
      <c r="J6454" t="n">
        <v>0</v>
      </c>
      <c r="K6454" t="n">
        <v>0</v>
      </c>
      <c r="L6454" t="n">
        <v>0</v>
      </c>
      <c r="M6454" t="n">
        <v>0</v>
      </c>
      <c r="N6454" t="n">
        <v>0</v>
      </c>
      <c r="O6454" t="n">
        <v>0</v>
      </c>
      <c r="P6454" t="n">
        <v>0</v>
      </c>
      <c r="Q6454" t="n">
        <v>0</v>
      </c>
      <c r="R6454" s="2" t="inlineStr"/>
    </row>
    <row r="6455" ht="15" customHeight="1">
      <c r="A6455" t="inlineStr">
        <is>
          <t>A 29557-2024</t>
        </is>
      </c>
      <c r="B6455" s="1" t="n">
        <v>45484.52023148148</v>
      </c>
      <c r="C6455" s="1" t="n">
        <v>45884</v>
      </c>
      <c r="D6455" t="inlineStr">
        <is>
          <t>KALMAR LÄN</t>
        </is>
      </c>
      <c r="E6455" t="inlineStr">
        <is>
          <t>VÄSTERVIK</t>
        </is>
      </c>
      <c r="G6455" t="n">
        <v>5.9</v>
      </c>
      <c r="H6455" t="n">
        <v>0</v>
      </c>
      <c r="I6455" t="n">
        <v>0</v>
      </c>
      <c r="J6455" t="n">
        <v>0</v>
      </c>
      <c r="K6455" t="n">
        <v>0</v>
      </c>
      <c r="L6455" t="n">
        <v>0</v>
      </c>
      <c r="M6455" t="n">
        <v>0</v>
      </c>
      <c r="N6455" t="n">
        <v>0</v>
      </c>
      <c r="O6455" t="n">
        <v>0</v>
      </c>
      <c r="P6455" t="n">
        <v>0</v>
      </c>
      <c r="Q6455" t="n">
        <v>0</v>
      </c>
      <c r="R6455" s="2" t="inlineStr"/>
    </row>
    <row r="6456" ht="15" customHeight="1">
      <c r="A6456" t="inlineStr">
        <is>
          <t>A 44801-2022</t>
        </is>
      </c>
      <c r="B6456" s="1" t="n">
        <v>44841</v>
      </c>
      <c r="C6456" s="1" t="n">
        <v>45884</v>
      </c>
      <c r="D6456" t="inlineStr">
        <is>
          <t>KALMAR LÄN</t>
        </is>
      </c>
      <c r="E6456" t="inlineStr">
        <is>
          <t>NYBRO</t>
        </is>
      </c>
      <c r="G6456" t="n">
        <v>7.3</v>
      </c>
      <c r="H6456" t="n">
        <v>0</v>
      </c>
      <c r="I6456" t="n">
        <v>0</v>
      </c>
      <c r="J6456" t="n">
        <v>0</v>
      </c>
      <c r="K6456" t="n">
        <v>0</v>
      </c>
      <c r="L6456" t="n">
        <v>0</v>
      </c>
      <c r="M6456" t="n">
        <v>0</v>
      </c>
      <c r="N6456" t="n">
        <v>0</v>
      </c>
      <c r="O6456" t="n">
        <v>0</v>
      </c>
      <c r="P6456" t="n">
        <v>0</v>
      </c>
      <c r="Q6456" t="n">
        <v>0</v>
      </c>
      <c r="R6456" s="2" t="inlineStr"/>
    </row>
    <row r="6457" ht="15" customHeight="1">
      <c r="A6457" t="inlineStr">
        <is>
          <t>A 21305-2024</t>
        </is>
      </c>
      <c r="B6457" s="1" t="n">
        <v>45440.6784837963</v>
      </c>
      <c r="C6457" s="1" t="n">
        <v>45884</v>
      </c>
      <c r="D6457" t="inlineStr">
        <is>
          <t>KALMAR LÄN</t>
        </is>
      </c>
      <c r="E6457" t="inlineStr">
        <is>
          <t>TORSÅS</t>
        </is>
      </c>
      <c r="G6457" t="n">
        <v>2.5</v>
      </c>
      <c r="H6457" t="n">
        <v>0</v>
      </c>
      <c r="I6457" t="n">
        <v>0</v>
      </c>
      <c r="J6457" t="n">
        <v>0</v>
      </c>
      <c r="K6457" t="n">
        <v>0</v>
      </c>
      <c r="L6457" t="n">
        <v>0</v>
      </c>
      <c r="M6457" t="n">
        <v>0</v>
      </c>
      <c r="N6457" t="n">
        <v>0</v>
      </c>
      <c r="O6457" t="n">
        <v>0</v>
      </c>
      <c r="P6457" t="n">
        <v>0</v>
      </c>
      <c r="Q6457" t="n">
        <v>0</v>
      </c>
      <c r="R6457" s="2" t="inlineStr"/>
    </row>
    <row r="6458" ht="15" customHeight="1">
      <c r="A6458" t="inlineStr">
        <is>
          <t>A 32681-2023</t>
        </is>
      </c>
      <c r="B6458" s="1" t="n">
        <v>45121</v>
      </c>
      <c r="C6458" s="1" t="n">
        <v>45884</v>
      </c>
      <c r="D6458" t="inlineStr">
        <is>
          <t>KALMAR LÄN</t>
        </is>
      </c>
      <c r="E6458" t="inlineStr">
        <is>
          <t>NYBRO</t>
        </is>
      </c>
      <c r="G6458" t="n">
        <v>2.3</v>
      </c>
      <c r="H6458" t="n">
        <v>0</v>
      </c>
      <c r="I6458" t="n">
        <v>0</v>
      </c>
      <c r="J6458" t="n">
        <v>0</v>
      </c>
      <c r="K6458" t="n">
        <v>0</v>
      </c>
      <c r="L6458" t="n">
        <v>0</v>
      </c>
      <c r="M6458" t="n">
        <v>0</v>
      </c>
      <c r="N6458" t="n">
        <v>0</v>
      </c>
      <c r="O6458" t="n">
        <v>0</v>
      </c>
      <c r="P6458" t="n">
        <v>0</v>
      </c>
      <c r="Q6458" t="n">
        <v>0</v>
      </c>
      <c r="R6458" s="2" t="inlineStr"/>
    </row>
    <row r="6459" ht="15" customHeight="1">
      <c r="A6459" t="inlineStr">
        <is>
          <t>A 48956-2024</t>
        </is>
      </c>
      <c r="B6459" s="1" t="n">
        <v>45594.44086805556</v>
      </c>
      <c r="C6459" s="1" t="n">
        <v>45884</v>
      </c>
      <c r="D6459" t="inlineStr">
        <is>
          <t>KALMAR LÄN</t>
        </is>
      </c>
      <c r="E6459" t="inlineStr">
        <is>
          <t>HULTSFRED</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36496-2024</t>
        </is>
      </c>
      <c r="B6460" s="1" t="n">
        <v>45537</v>
      </c>
      <c r="C6460" s="1" t="n">
        <v>45884</v>
      </c>
      <c r="D6460" t="inlineStr">
        <is>
          <t>KALMAR LÄN</t>
        </is>
      </c>
      <c r="E6460" t="inlineStr">
        <is>
          <t>EMMABODA</t>
        </is>
      </c>
      <c r="G6460" t="n">
        <v>0.9</v>
      </c>
      <c r="H6460" t="n">
        <v>0</v>
      </c>
      <c r="I6460" t="n">
        <v>0</v>
      </c>
      <c r="J6460" t="n">
        <v>0</v>
      </c>
      <c r="K6460" t="n">
        <v>0</v>
      </c>
      <c r="L6460" t="n">
        <v>0</v>
      </c>
      <c r="M6460" t="n">
        <v>0</v>
      </c>
      <c r="N6460" t="n">
        <v>0</v>
      </c>
      <c r="O6460" t="n">
        <v>0</v>
      </c>
      <c r="P6460" t="n">
        <v>0</v>
      </c>
      <c r="Q6460" t="n">
        <v>0</v>
      </c>
      <c r="R6460" s="2" t="inlineStr"/>
    </row>
    <row r="6461" ht="15" customHeight="1">
      <c r="A6461" t="inlineStr">
        <is>
          <t>A 60717-2024</t>
        </is>
      </c>
      <c r="B6461" s="1" t="n">
        <v>45644.52768518519</v>
      </c>
      <c r="C6461" s="1" t="n">
        <v>45884</v>
      </c>
      <c r="D6461" t="inlineStr">
        <is>
          <t>KALMAR LÄN</t>
        </is>
      </c>
      <c r="E6461" t="inlineStr">
        <is>
          <t>OSKARSHAMN</t>
        </is>
      </c>
      <c r="G6461" t="n">
        <v>3.2</v>
      </c>
      <c r="H6461" t="n">
        <v>0</v>
      </c>
      <c r="I6461" t="n">
        <v>0</v>
      </c>
      <c r="J6461" t="n">
        <v>0</v>
      </c>
      <c r="K6461" t="n">
        <v>0</v>
      </c>
      <c r="L6461" t="n">
        <v>0</v>
      </c>
      <c r="M6461" t="n">
        <v>0</v>
      </c>
      <c r="N6461" t="n">
        <v>0</v>
      </c>
      <c r="O6461" t="n">
        <v>0</v>
      </c>
      <c r="P6461" t="n">
        <v>0</v>
      </c>
      <c r="Q6461" t="n">
        <v>0</v>
      </c>
      <c r="R6461" s="2" t="inlineStr"/>
    </row>
    <row r="6462" ht="15" customHeight="1">
      <c r="A6462" t="inlineStr">
        <is>
          <t>A 36619-2024</t>
        </is>
      </c>
      <c r="B6462" s="1" t="n">
        <v>45537.5820949074</v>
      </c>
      <c r="C6462" s="1" t="n">
        <v>45884</v>
      </c>
      <c r="D6462" t="inlineStr">
        <is>
          <t>KALMAR LÄN</t>
        </is>
      </c>
      <c r="E6462" t="inlineStr">
        <is>
          <t>MÖNSTERÅS</t>
        </is>
      </c>
      <c r="G6462" t="n">
        <v>7.4</v>
      </c>
      <c r="H6462" t="n">
        <v>0</v>
      </c>
      <c r="I6462" t="n">
        <v>0</v>
      </c>
      <c r="J6462" t="n">
        <v>0</v>
      </c>
      <c r="K6462" t="n">
        <v>0</v>
      </c>
      <c r="L6462" t="n">
        <v>0</v>
      </c>
      <c r="M6462" t="n">
        <v>0</v>
      </c>
      <c r="N6462" t="n">
        <v>0</v>
      </c>
      <c r="O6462" t="n">
        <v>0</v>
      </c>
      <c r="P6462" t="n">
        <v>0</v>
      </c>
      <c r="Q6462" t="n">
        <v>0</v>
      </c>
      <c r="R6462" s="2" t="inlineStr"/>
    </row>
    <row r="6463" ht="15" customHeight="1">
      <c r="A6463" t="inlineStr">
        <is>
          <t>A 27568-2024</t>
        </is>
      </c>
      <c r="B6463" s="1" t="n">
        <v>45474</v>
      </c>
      <c r="C6463" s="1" t="n">
        <v>45884</v>
      </c>
      <c r="D6463" t="inlineStr">
        <is>
          <t>KALMAR LÄN</t>
        </is>
      </c>
      <c r="E6463" t="inlineStr">
        <is>
          <t>VÄSTERVIK</t>
        </is>
      </c>
      <c r="G6463" t="n">
        <v>7.7</v>
      </c>
      <c r="H6463" t="n">
        <v>0</v>
      </c>
      <c r="I6463" t="n">
        <v>0</v>
      </c>
      <c r="J6463" t="n">
        <v>0</v>
      </c>
      <c r="K6463" t="n">
        <v>0</v>
      </c>
      <c r="L6463" t="n">
        <v>0</v>
      </c>
      <c r="M6463" t="n">
        <v>0</v>
      </c>
      <c r="N6463" t="n">
        <v>0</v>
      </c>
      <c r="O6463" t="n">
        <v>0</v>
      </c>
      <c r="P6463" t="n">
        <v>0</v>
      </c>
      <c r="Q6463" t="n">
        <v>0</v>
      </c>
      <c r="R6463" s="2" t="inlineStr"/>
    </row>
    <row r="6464" ht="15" customHeight="1">
      <c r="A6464" t="inlineStr">
        <is>
          <t>A 34878-2025</t>
        </is>
      </c>
      <c r="B6464" s="1" t="n">
        <v>45849.46575231481</v>
      </c>
      <c r="C6464" s="1" t="n">
        <v>45884</v>
      </c>
      <c r="D6464" t="inlineStr">
        <is>
          <t>KALMAR LÄN</t>
        </is>
      </c>
      <c r="E6464" t="inlineStr">
        <is>
          <t>EMMABODA</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34945-2025</t>
        </is>
      </c>
      <c r="B6465" s="1" t="n">
        <v>45849.59052083334</v>
      </c>
      <c r="C6465" s="1" t="n">
        <v>45884</v>
      </c>
      <c r="D6465" t="inlineStr">
        <is>
          <t>KALMAR LÄN</t>
        </is>
      </c>
      <c r="E6465" t="inlineStr">
        <is>
          <t>MÖNSTERÅS</t>
        </is>
      </c>
      <c r="G6465" t="n">
        <v>4.4</v>
      </c>
      <c r="H6465" t="n">
        <v>0</v>
      </c>
      <c r="I6465" t="n">
        <v>0</v>
      </c>
      <c r="J6465" t="n">
        <v>0</v>
      </c>
      <c r="K6465" t="n">
        <v>0</v>
      </c>
      <c r="L6465" t="n">
        <v>0</v>
      </c>
      <c r="M6465" t="n">
        <v>0</v>
      </c>
      <c r="N6465" t="n">
        <v>0</v>
      </c>
      <c r="O6465" t="n">
        <v>0</v>
      </c>
      <c r="P6465" t="n">
        <v>0</v>
      </c>
      <c r="Q6465" t="n">
        <v>0</v>
      </c>
      <c r="R6465" s="2" t="inlineStr"/>
    </row>
    <row r="6466" ht="15" customHeight="1">
      <c r="A6466" t="inlineStr">
        <is>
          <t>A 47891-2022</t>
        </is>
      </c>
      <c r="B6466" s="1" t="n">
        <v>44855</v>
      </c>
      <c r="C6466" s="1" t="n">
        <v>45884</v>
      </c>
      <c r="D6466" t="inlineStr">
        <is>
          <t>KALMAR LÄN</t>
        </is>
      </c>
      <c r="E6466" t="inlineStr">
        <is>
          <t>KALMAR</t>
        </is>
      </c>
      <c r="F6466" t="inlineStr">
        <is>
          <t>Sveaskog</t>
        </is>
      </c>
      <c r="G6466" t="n">
        <v>12.2</v>
      </c>
      <c r="H6466" t="n">
        <v>0</v>
      </c>
      <c r="I6466" t="n">
        <v>0</v>
      </c>
      <c r="J6466" t="n">
        <v>0</v>
      </c>
      <c r="K6466" t="n">
        <v>0</v>
      </c>
      <c r="L6466" t="n">
        <v>0</v>
      </c>
      <c r="M6466" t="n">
        <v>0</v>
      </c>
      <c r="N6466" t="n">
        <v>0</v>
      </c>
      <c r="O6466" t="n">
        <v>0</v>
      </c>
      <c r="P6466" t="n">
        <v>0</v>
      </c>
      <c r="Q6466" t="n">
        <v>0</v>
      </c>
      <c r="R6466" s="2" t="inlineStr"/>
    </row>
    <row r="6467" ht="15" customHeight="1">
      <c r="A6467" t="inlineStr">
        <is>
          <t>A 4241-2025</t>
        </is>
      </c>
      <c r="B6467" s="1" t="n">
        <v>45685</v>
      </c>
      <c r="C6467" s="1" t="n">
        <v>45884</v>
      </c>
      <c r="D6467" t="inlineStr">
        <is>
          <t>KALMAR LÄN</t>
        </is>
      </c>
      <c r="E6467" t="inlineStr">
        <is>
          <t>KALMAR</t>
        </is>
      </c>
      <c r="G6467" t="n">
        <v>1.8</v>
      </c>
      <c r="H6467" t="n">
        <v>0</v>
      </c>
      <c r="I6467" t="n">
        <v>0</v>
      </c>
      <c r="J6467" t="n">
        <v>0</v>
      </c>
      <c r="K6467" t="n">
        <v>0</v>
      </c>
      <c r="L6467" t="n">
        <v>0</v>
      </c>
      <c r="M6467" t="n">
        <v>0</v>
      </c>
      <c r="N6467" t="n">
        <v>0</v>
      </c>
      <c r="O6467" t="n">
        <v>0</v>
      </c>
      <c r="P6467" t="n">
        <v>0</v>
      </c>
      <c r="Q6467" t="n">
        <v>0</v>
      </c>
      <c r="R6467" s="2" t="inlineStr"/>
    </row>
    <row r="6468" ht="15" customHeight="1">
      <c r="A6468" t="inlineStr">
        <is>
          <t>A 44920-2024</t>
        </is>
      </c>
      <c r="B6468" s="1" t="n">
        <v>45575.40405092593</v>
      </c>
      <c r="C6468" s="1" t="n">
        <v>45884</v>
      </c>
      <c r="D6468" t="inlineStr">
        <is>
          <t>KALMAR LÄN</t>
        </is>
      </c>
      <c r="E6468" t="inlineStr">
        <is>
          <t>NYBRO</t>
        </is>
      </c>
      <c r="G6468" t="n">
        <v>8.199999999999999</v>
      </c>
      <c r="H6468" t="n">
        <v>0</v>
      </c>
      <c r="I6468" t="n">
        <v>0</v>
      </c>
      <c r="J6468" t="n">
        <v>0</v>
      </c>
      <c r="K6468" t="n">
        <v>0</v>
      </c>
      <c r="L6468" t="n">
        <v>0</v>
      </c>
      <c r="M6468" t="n">
        <v>0</v>
      </c>
      <c r="N6468" t="n">
        <v>0</v>
      </c>
      <c r="O6468" t="n">
        <v>0</v>
      </c>
      <c r="P6468" t="n">
        <v>0</v>
      </c>
      <c r="Q6468" t="n">
        <v>0</v>
      </c>
      <c r="R6468" s="2" t="inlineStr"/>
    </row>
    <row r="6469" ht="15" customHeight="1">
      <c r="A6469" t="inlineStr">
        <is>
          <t>A 44930-2024</t>
        </is>
      </c>
      <c r="B6469" s="1" t="n">
        <v>45575.41082175926</v>
      </c>
      <c r="C6469" s="1" t="n">
        <v>45884</v>
      </c>
      <c r="D6469" t="inlineStr">
        <is>
          <t>KALMAR LÄN</t>
        </is>
      </c>
      <c r="E6469" t="inlineStr">
        <is>
          <t>KALMAR</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25936-2023</t>
        </is>
      </c>
      <c r="B6470" s="1" t="n">
        <v>45090.69114583333</v>
      </c>
      <c r="C6470" s="1" t="n">
        <v>45884</v>
      </c>
      <c r="D6470" t="inlineStr">
        <is>
          <t>KALMAR LÄN</t>
        </is>
      </c>
      <c r="E6470" t="inlineStr">
        <is>
          <t>OSKARSHAMN</t>
        </is>
      </c>
      <c r="G6470" t="n">
        <v>1.7</v>
      </c>
      <c r="H6470" t="n">
        <v>0</v>
      </c>
      <c r="I6470" t="n">
        <v>0</v>
      </c>
      <c r="J6470" t="n">
        <v>0</v>
      </c>
      <c r="K6470" t="n">
        <v>0</v>
      </c>
      <c r="L6470" t="n">
        <v>0</v>
      </c>
      <c r="M6470" t="n">
        <v>0</v>
      </c>
      <c r="N6470" t="n">
        <v>0</v>
      </c>
      <c r="O6470" t="n">
        <v>0</v>
      </c>
      <c r="P6470" t="n">
        <v>0</v>
      </c>
      <c r="Q6470" t="n">
        <v>0</v>
      </c>
      <c r="R6470" s="2" t="inlineStr"/>
    </row>
    <row r="6471" ht="15" customHeight="1">
      <c r="A6471" t="inlineStr">
        <is>
          <t>A 46224-2024</t>
        </is>
      </c>
      <c r="B6471" s="1" t="n">
        <v>45581.57016203704</v>
      </c>
      <c r="C6471" s="1" t="n">
        <v>45884</v>
      </c>
      <c r="D6471" t="inlineStr">
        <is>
          <t>KALMAR LÄN</t>
        </is>
      </c>
      <c r="E6471" t="inlineStr">
        <is>
          <t>VIMMERBY</t>
        </is>
      </c>
      <c r="G6471" t="n">
        <v>3.1</v>
      </c>
      <c r="H6471" t="n">
        <v>0</v>
      </c>
      <c r="I6471" t="n">
        <v>0</v>
      </c>
      <c r="J6471" t="n">
        <v>0</v>
      </c>
      <c r="K6471" t="n">
        <v>0</v>
      </c>
      <c r="L6471" t="n">
        <v>0</v>
      </c>
      <c r="M6471" t="n">
        <v>0</v>
      </c>
      <c r="N6471" t="n">
        <v>0</v>
      </c>
      <c r="O6471" t="n">
        <v>0</v>
      </c>
      <c r="P6471" t="n">
        <v>0</v>
      </c>
      <c r="Q6471" t="n">
        <v>0</v>
      </c>
      <c r="R6471" s="2" t="inlineStr"/>
    </row>
    <row r="6472" ht="15" customHeight="1">
      <c r="A6472" t="inlineStr">
        <is>
          <t>A 46238-2024</t>
        </is>
      </c>
      <c r="B6472" s="1" t="n">
        <v>45581.58418981481</v>
      </c>
      <c r="C6472" s="1" t="n">
        <v>45884</v>
      </c>
      <c r="D6472" t="inlineStr">
        <is>
          <t>KALMAR LÄN</t>
        </is>
      </c>
      <c r="E6472" t="inlineStr">
        <is>
          <t>VIMMERBY</t>
        </is>
      </c>
      <c r="G6472" t="n">
        <v>2.1</v>
      </c>
      <c r="H6472" t="n">
        <v>0</v>
      </c>
      <c r="I6472" t="n">
        <v>0</v>
      </c>
      <c r="J6472" t="n">
        <v>0</v>
      </c>
      <c r="K6472" t="n">
        <v>0</v>
      </c>
      <c r="L6472" t="n">
        <v>0</v>
      </c>
      <c r="M6472" t="n">
        <v>0</v>
      </c>
      <c r="N6472" t="n">
        <v>0</v>
      </c>
      <c r="O6472" t="n">
        <v>0</v>
      </c>
      <c r="P6472" t="n">
        <v>0</v>
      </c>
      <c r="Q6472" t="n">
        <v>0</v>
      </c>
      <c r="R6472" s="2" t="inlineStr"/>
    </row>
    <row r="6473" ht="15" customHeight="1">
      <c r="A6473" t="inlineStr">
        <is>
          <t>A 26568-2025</t>
        </is>
      </c>
      <c r="B6473" s="1" t="n">
        <v>45807.67447916666</v>
      </c>
      <c r="C6473" s="1" t="n">
        <v>45884</v>
      </c>
      <c r="D6473" t="inlineStr">
        <is>
          <t>KALMAR LÄN</t>
        </is>
      </c>
      <c r="E6473" t="inlineStr">
        <is>
          <t>VÄSTERVIK</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26571-2025</t>
        </is>
      </c>
      <c r="B6474" s="1" t="n">
        <v>45807.6794212963</v>
      </c>
      <c r="C6474" s="1" t="n">
        <v>45884</v>
      </c>
      <c r="D6474" t="inlineStr">
        <is>
          <t>KALMAR LÄN</t>
        </is>
      </c>
      <c r="E6474" t="inlineStr">
        <is>
          <t>VÄSTERVIK</t>
        </is>
      </c>
      <c r="G6474" t="n">
        <v>2.8</v>
      </c>
      <c r="H6474" t="n">
        <v>0</v>
      </c>
      <c r="I6474" t="n">
        <v>0</v>
      </c>
      <c r="J6474" t="n">
        <v>0</v>
      </c>
      <c r="K6474" t="n">
        <v>0</v>
      </c>
      <c r="L6474" t="n">
        <v>0</v>
      </c>
      <c r="M6474" t="n">
        <v>0</v>
      </c>
      <c r="N6474" t="n">
        <v>0</v>
      </c>
      <c r="O6474" t="n">
        <v>0</v>
      </c>
      <c r="P6474" t="n">
        <v>0</v>
      </c>
      <c r="Q6474" t="n">
        <v>0</v>
      </c>
      <c r="R6474" s="2" t="inlineStr"/>
    </row>
    <row r="6475" ht="15" customHeight="1">
      <c r="A6475" t="inlineStr">
        <is>
          <t>A 34858-2025</t>
        </is>
      </c>
      <c r="B6475" s="1" t="n">
        <v>45849.43452546297</v>
      </c>
      <c r="C6475" s="1" t="n">
        <v>45884</v>
      </c>
      <c r="D6475" t="inlineStr">
        <is>
          <t>KALMAR LÄN</t>
        </is>
      </c>
      <c r="E6475" t="inlineStr">
        <is>
          <t>KALMAR</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30633-2024</t>
        </is>
      </c>
      <c r="B6476" s="1" t="n">
        <v>45495</v>
      </c>
      <c r="C6476" s="1" t="n">
        <v>45884</v>
      </c>
      <c r="D6476" t="inlineStr">
        <is>
          <t>KALMAR LÄN</t>
        </is>
      </c>
      <c r="E6476" t="inlineStr">
        <is>
          <t>VIMMERBY</t>
        </is>
      </c>
      <c r="G6476" t="n">
        <v>0.5</v>
      </c>
      <c r="H6476" t="n">
        <v>0</v>
      </c>
      <c r="I6476" t="n">
        <v>0</v>
      </c>
      <c r="J6476" t="n">
        <v>0</v>
      </c>
      <c r="K6476" t="n">
        <v>0</v>
      </c>
      <c r="L6476" t="n">
        <v>0</v>
      </c>
      <c r="M6476" t="n">
        <v>0</v>
      </c>
      <c r="N6476" t="n">
        <v>0</v>
      </c>
      <c r="O6476" t="n">
        <v>0</v>
      </c>
      <c r="P6476" t="n">
        <v>0</v>
      </c>
      <c r="Q6476" t="n">
        <v>0</v>
      </c>
      <c r="R6476" s="2" t="inlineStr"/>
    </row>
    <row r="6477" ht="15" customHeight="1">
      <c r="A6477" t="inlineStr">
        <is>
          <t>A 13808-2024</t>
        </is>
      </c>
      <c r="B6477" s="1" t="n">
        <v>45391.39916666667</v>
      </c>
      <c r="C6477" s="1" t="n">
        <v>45884</v>
      </c>
      <c r="D6477" t="inlineStr">
        <is>
          <t>KALMAR LÄN</t>
        </is>
      </c>
      <c r="E6477" t="inlineStr">
        <is>
          <t>HÖGSBY</t>
        </is>
      </c>
      <c r="F6477" t="inlineStr">
        <is>
          <t>Sveaskog</t>
        </is>
      </c>
      <c r="G6477" t="n">
        <v>4.1</v>
      </c>
      <c r="H6477" t="n">
        <v>0</v>
      </c>
      <c r="I6477" t="n">
        <v>0</v>
      </c>
      <c r="J6477" t="n">
        <v>0</v>
      </c>
      <c r="K6477" t="n">
        <v>0</v>
      </c>
      <c r="L6477" t="n">
        <v>0</v>
      </c>
      <c r="M6477" t="n">
        <v>0</v>
      </c>
      <c r="N6477" t="n">
        <v>0</v>
      </c>
      <c r="O6477" t="n">
        <v>0</v>
      </c>
      <c r="P6477" t="n">
        <v>0</v>
      </c>
      <c r="Q6477" t="n">
        <v>0</v>
      </c>
      <c r="R6477" s="2" t="inlineStr"/>
    </row>
    <row r="6478" ht="15" customHeight="1">
      <c r="A6478" t="inlineStr">
        <is>
          <t>A 26566-2025</t>
        </is>
      </c>
      <c r="B6478" s="1" t="n">
        <v>45807.66685185185</v>
      </c>
      <c r="C6478" s="1" t="n">
        <v>45884</v>
      </c>
      <c r="D6478" t="inlineStr">
        <is>
          <t>KALMAR LÄN</t>
        </is>
      </c>
      <c r="E6478" t="inlineStr">
        <is>
          <t>VÄSTERVIK</t>
        </is>
      </c>
      <c r="G6478" t="n">
        <v>2.5</v>
      </c>
      <c r="H6478" t="n">
        <v>0</v>
      </c>
      <c r="I6478" t="n">
        <v>0</v>
      </c>
      <c r="J6478" t="n">
        <v>0</v>
      </c>
      <c r="K6478" t="n">
        <v>0</v>
      </c>
      <c r="L6478" t="n">
        <v>0</v>
      </c>
      <c r="M6478" t="n">
        <v>0</v>
      </c>
      <c r="N6478" t="n">
        <v>0</v>
      </c>
      <c r="O6478" t="n">
        <v>0</v>
      </c>
      <c r="P6478" t="n">
        <v>0</v>
      </c>
      <c r="Q6478" t="n">
        <v>0</v>
      </c>
      <c r="R6478" s="2" t="inlineStr"/>
    </row>
    <row r="6479" ht="15" customHeight="1">
      <c r="A6479" t="inlineStr">
        <is>
          <t>A 26569-2025</t>
        </is>
      </c>
      <c r="B6479" s="1" t="n">
        <v>45807.67638888889</v>
      </c>
      <c r="C6479" s="1" t="n">
        <v>45884</v>
      </c>
      <c r="D6479" t="inlineStr">
        <is>
          <t>KALMAR LÄN</t>
        </is>
      </c>
      <c r="E6479" t="inlineStr">
        <is>
          <t>VÄSTERVIK</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26572-2025</t>
        </is>
      </c>
      <c r="B6480" s="1" t="n">
        <v>45807.68232638889</v>
      </c>
      <c r="C6480" s="1" t="n">
        <v>45884</v>
      </c>
      <c r="D6480" t="inlineStr">
        <is>
          <t>KALMAR LÄN</t>
        </is>
      </c>
      <c r="E6480" t="inlineStr">
        <is>
          <t>VÄSTERVIK</t>
        </is>
      </c>
      <c r="G6480" t="n">
        <v>2.9</v>
      </c>
      <c r="H6480" t="n">
        <v>0</v>
      </c>
      <c r="I6480" t="n">
        <v>0</v>
      </c>
      <c r="J6480" t="n">
        <v>0</v>
      </c>
      <c r="K6480" t="n">
        <v>0</v>
      </c>
      <c r="L6480" t="n">
        <v>0</v>
      </c>
      <c r="M6480" t="n">
        <v>0</v>
      </c>
      <c r="N6480" t="n">
        <v>0</v>
      </c>
      <c r="O6480" t="n">
        <v>0</v>
      </c>
      <c r="P6480" t="n">
        <v>0</v>
      </c>
      <c r="Q6480" t="n">
        <v>0</v>
      </c>
      <c r="R6480" s="2" t="inlineStr"/>
    </row>
    <row r="6481" ht="15" customHeight="1">
      <c r="A6481" t="inlineStr">
        <is>
          <t>A 13836-2024</t>
        </is>
      </c>
      <c r="B6481" s="1" t="n">
        <v>45391.44385416667</v>
      </c>
      <c r="C6481" s="1" t="n">
        <v>45884</v>
      </c>
      <c r="D6481" t="inlineStr">
        <is>
          <t>KALMAR LÄN</t>
        </is>
      </c>
      <c r="E6481" t="inlineStr">
        <is>
          <t>VÄSTERVIK</t>
        </is>
      </c>
      <c r="F6481" t="inlineStr">
        <is>
          <t>Sveaskog</t>
        </is>
      </c>
      <c r="G6481" t="n">
        <v>2.6</v>
      </c>
      <c r="H6481" t="n">
        <v>0</v>
      </c>
      <c r="I6481" t="n">
        <v>0</v>
      </c>
      <c r="J6481" t="n">
        <v>0</v>
      </c>
      <c r="K6481" t="n">
        <v>0</v>
      </c>
      <c r="L6481" t="n">
        <v>0</v>
      </c>
      <c r="M6481" t="n">
        <v>0</v>
      </c>
      <c r="N6481" t="n">
        <v>0</v>
      </c>
      <c r="O6481" t="n">
        <v>0</v>
      </c>
      <c r="P6481" t="n">
        <v>0</v>
      </c>
      <c r="Q6481" t="n">
        <v>0</v>
      </c>
      <c r="R6481" s="2" t="inlineStr"/>
    </row>
    <row r="6482" ht="15" customHeight="1">
      <c r="A6482" t="inlineStr">
        <is>
          <t>A 34619-2025</t>
        </is>
      </c>
      <c r="B6482" s="1" t="n">
        <v>45847</v>
      </c>
      <c r="C6482" s="1" t="n">
        <v>45884</v>
      </c>
      <c r="D6482" t="inlineStr">
        <is>
          <t>KALMAR LÄN</t>
        </is>
      </c>
      <c r="E6482" t="inlineStr">
        <is>
          <t>VÄSTERVIK</t>
        </is>
      </c>
      <c r="G6482" t="n">
        <v>3</v>
      </c>
      <c r="H6482" t="n">
        <v>0</v>
      </c>
      <c r="I6482" t="n">
        <v>0</v>
      </c>
      <c r="J6482" t="n">
        <v>0</v>
      </c>
      <c r="K6482" t="n">
        <v>0</v>
      </c>
      <c r="L6482" t="n">
        <v>0</v>
      </c>
      <c r="M6482" t="n">
        <v>0</v>
      </c>
      <c r="N6482" t="n">
        <v>0</v>
      </c>
      <c r="O6482" t="n">
        <v>0</v>
      </c>
      <c r="P6482" t="n">
        <v>0</v>
      </c>
      <c r="Q6482" t="n">
        <v>0</v>
      </c>
      <c r="R6482" s="2" t="inlineStr"/>
    </row>
    <row r="6483" ht="15" customHeight="1">
      <c r="A6483" t="inlineStr">
        <is>
          <t>A 34628-2025</t>
        </is>
      </c>
      <c r="B6483" s="1" t="n">
        <v>45847.91280092593</v>
      </c>
      <c r="C6483" s="1" t="n">
        <v>45884</v>
      </c>
      <c r="D6483" t="inlineStr">
        <is>
          <t>KALMAR LÄN</t>
        </is>
      </c>
      <c r="E6483" t="inlineStr">
        <is>
          <t>VIMMERBY</t>
        </is>
      </c>
      <c r="G6483" t="n">
        <v>4.2</v>
      </c>
      <c r="H6483" t="n">
        <v>0</v>
      </c>
      <c r="I6483" t="n">
        <v>0</v>
      </c>
      <c r="J6483" t="n">
        <v>0</v>
      </c>
      <c r="K6483" t="n">
        <v>0</v>
      </c>
      <c r="L6483" t="n">
        <v>0</v>
      </c>
      <c r="M6483" t="n">
        <v>0</v>
      </c>
      <c r="N6483" t="n">
        <v>0</v>
      </c>
      <c r="O6483" t="n">
        <v>0</v>
      </c>
      <c r="P6483" t="n">
        <v>0</v>
      </c>
      <c r="Q6483" t="n">
        <v>0</v>
      </c>
      <c r="R6483" s="2" t="inlineStr"/>
    </row>
    <row r="6484" ht="15" customHeight="1">
      <c r="A6484" t="inlineStr">
        <is>
          <t>A 16839-2025</t>
        </is>
      </c>
      <c r="B6484" s="1" t="n">
        <v>45754.66733796296</v>
      </c>
      <c r="C6484" s="1" t="n">
        <v>45884</v>
      </c>
      <c r="D6484" t="inlineStr">
        <is>
          <t>KALMAR LÄN</t>
        </is>
      </c>
      <c r="E6484" t="inlineStr">
        <is>
          <t>VÄSTERVIK</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36890-2024</t>
        </is>
      </c>
      <c r="B6485" s="1" t="n">
        <v>45538.60950231482</v>
      </c>
      <c r="C6485" s="1" t="n">
        <v>45884</v>
      </c>
      <c r="D6485" t="inlineStr">
        <is>
          <t>KALMAR LÄN</t>
        </is>
      </c>
      <c r="E6485" t="inlineStr">
        <is>
          <t>MÖNSTERÅS</t>
        </is>
      </c>
      <c r="G6485" t="n">
        <v>3.5</v>
      </c>
      <c r="H6485" t="n">
        <v>0</v>
      </c>
      <c r="I6485" t="n">
        <v>0</v>
      </c>
      <c r="J6485" t="n">
        <v>0</v>
      </c>
      <c r="K6485" t="n">
        <v>0</v>
      </c>
      <c r="L6485" t="n">
        <v>0</v>
      </c>
      <c r="M6485" t="n">
        <v>0</v>
      </c>
      <c r="N6485" t="n">
        <v>0</v>
      </c>
      <c r="O6485" t="n">
        <v>0</v>
      </c>
      <c r="P6485" t="n">
        <v>0</v>
      </c>
      <c r="Q6485" t="n">
        <v>0</v>
      </c>
      <c r="R6485" s="2" t="inlineStr"/>
    </row>
    <row r="6486" ht="15" customHeight="1">
      <c r="A6486" t="inlineStr">
        <is>
          <t>A 36908-2024</t>
        </is>
      </c>
      <c r="B6486" s="1" t="n">
        <v>45538.63414351852</v>
      </c>
      <c r="C6486" s="1" t="n">
        <v>45884</v>
      </c>
      <c r="D6486" t="inlineStr">
        <is>
          <t>KALMAR LÄN</t>
        </is>
      </c>
      <c r="E6486" t="inlineStr">
        <is>
          <t>MÖNSTERÅS</t>
        </is>
      </c>
      <c r="G6486" t="n">
        <v>19.2</v>
      </c>
      <c r="H6486" t="n">
        <v>0</v>
      </c>
      <c r="I6486" t="n">
        <v>0</v>
      </c>
      <c r="J6486" t="n">
        <v>0</v>
      </c>
      <c r="K6486" t="n">
        <v>0</v>
      </c>
      <c r="L6486" t="n">
        <v>0</v>
      </c>
      <c r="M6486" t="n">
        <v>0</v>
      </c>
      <c r="N6486" t="n">
        <v>0</v>
      </c>
      <c r="O6486" t="n">
        <v>0</v>
      </c>
      <c r="P6486" t="n">
        <v>0</v>
      </c>
      <c r="Q6486" t="n">
        <v>0</v>
      </c>
      <c r="R6486" s="2" t="inlineStr"/>
    </row>
    <row r="6487" ht="15" customHeight="1">
      <c r="A6487" t="inlineStr">
        <is>
          <t>A 55675-2021</t>
        </is>
      </c>
      <c r="B6487" s="1" t="n">
        <v>44476</v>
      </c>
      <c r="C6487" s="1" t="n">
        <v>45884</v>
      </c>
      <c r="D6487" t="inlineStr">
        <is>
          <t>KALMAR LÄN</t>
        </is>
      </c>
      <c r="E6487" t="inlineStr">
        <is>
          <t>TORSÅS</t>
        </is>
      </c>
      <c r="G6487" t="n">
        <v>0.6</v>
      </c>
      <c r="H6487" t="n">
        <v>0</v>
      </c>
      <c r="I6487" t="n">
        <v>0</v>
      </c>
      <c r="J6487" t="n">
        <v>0</v>
      </c>
      <c r="K6487" t="n">
        <v>0</v>
      </c>
      <c r="L6487" t="n">
        <v>0</v>
      </c>
      <c r="M6487" t="n">
        <v>0</v>
      </c>
      <c r="N6487" t="n">
        <v>0</v>
      </c>
      <c r="O6487" t="n">
        <v>0</v>
      </c>
      <c r="P6487" t="n">
        <v>0</v>
      </c>
      <c r="Q6487" t="n">
        <v>0</v>
      </c>
      <c r="R6487" s="2" t="inlineStr"/>
    </row>
    <row r="6488" ht="15" customHeight="1">
      <c r="A6488" t="inlineStr">
        <is>
          <t>A 18847-2023</t>
        </is>
      </c>
      <c r="B6488" s="1" t="n">
        <v>45044</v>
      </c>
      <c r="C6488" s="1" t="n">
        <v>45884</v>
      </c>
      <c r="D6488" t="inlineStr">
        <is>
          <t>KALMAR LÄN</t>
        </is>
      </c>
      <c r="E6488" t="inlineStr">
        <is>
          <t>KALMAR</t>
        </is>
      </c>
      <c r="G6488" t="n">
        <v>2.9</v>
      </c>
      <c r="H6488" t="n">
        <v>0</v>
      </c>
      <c r="I6488" t="n">
        <v>0</v>
      </c>
      <c r="J6488" t="n">
        <v>0</v>
      </c>
      <c r="K6488" t="n">
        <v>0</v>
      </c>
      <c r="L6488" t="n">
        <v>0</v>
      </c>
      <c r="M6488" t="n">
        <v>0</v>
      </c>
      <c r="N6488" t="n">
        <v>0</v>
      </c>
      <c r="O6488" t="n">
        <v>0</v>
      </c>
      <c r="P6488" t="n">
        <v>0</v>
      </c>
      <c r="Q6488" t="n">
        <v>0</v>
      </c>
      <c r="R6488" s="2" t="inlineStr"/>
    </row>
    <row r="6489" ht="15" customHeight="1">
      <c r="A6489" t="inlineStr">
        <is>
          <t>A 54838-2024</t>
        </is>
      </c>
      <c r="B6489" s="1" t="n">
        <v>45618.56787037037</v>
      </c>
      <c r="C6489" s="1" t="n">
        <v>45884</v>
      </c>
      <c r="D6489" t="inlineStr">
        <is>
          <t>KALMAR LÄN</t>
        </is>
      </c>
      <c r="E6489" t="inlineStr">
        <is>
          <t>VIMMERBY</t>
        </is>
      </c>
      <c r="G6489" t="n">
        <v>3.3</v>
      </c>
      <c r="H6489" t="n">
        <v>0</v>
      </c>
      <c r="I6489" t="n">
        <v>0</v>
      </c>
      <c r="J6489" t="n">
        <v>0</v>
      </c>
      <c r="K6489" t="n">
        <v>0</v>
      </c>
      <c r="L6489" t="n">
        <v>0</v>
      </c>
      <c r="M6489" t="n">
        <v>0</v>
      </c>
      <c r="N6489" t="n">
        <v>0</v>
      </c>
      <c r="O6489" t="n">
        <v>0</v>
      </c>
      <c r="P6489" t="n">
        <v>0</v>
      </c>
      <c r="Q6489" t="n">
        <v>0</v>
      </c>
      <c r="R6489" s="2" t="inlineStr"/>
    </row>
    <row r="6490" ht="15" customHeight="1">
      <c r="A6490" t="inlineStr">
        <is>
          <t>A 34916-2025</t>
        </is>
      </c>
      <c r="B6490" s="1" t="n">
        <v>45849.54420138889</v>
      </c>
      <c r="C6490" s="1" t="n">
        <v>45884</v>
      </c>
      <c r="D6490" t="inlineStr">
        <is>
          <t>KALMAR LÄN</t>
        </is>
      </c>
      <c r="E6490" t="inlineStr">
        <is>
          <t>VÄSTERVIK</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35423-2021</t>
        </is>
      </c>
      <c r="B6491" s="1" t="n">
        <v>44385.44460648148</v>
      </c>
      <c r="C6491" s="1" t="n">
        <v>45884</v>
      </c>
      <c r="D6491" t="inlineStr">
        <is>
          <t>KALMAR LÄN</t>
        </is>
      </c>
      <c r="E6491" t="inlineStr">
        <is>
          <t>HÖGSBY</t>
        </is>
      </c>
      <c r="G6491" t="n">
        <v>4</v>
      </c>
      <c r="H6491" t="n">
        <v>0</v>
      </c>
      <c r="I6491" t="n">
        <v>0</v>
      </c>
      <c r="J6491" t="n">
        <v>0</v>
      </c>
      <c r="K6491" t="n">
        <v>0</v>
      </c>
      <c r="L6491" t="n">
        <v>0</v>
      </c>
      <c r="M6491" t="n">
        <v>0</v>
      </c>
      <c r="N6491" t="n">
        <v>0</v>
      </c>
      <c r="O6491" t="n">
        <v>0</v>
      </c>
      <c r="P6491" t="n">
        <v>0</v>
      </c>
      <c r="Q6491" t="n">
        <v>0</v>
      </c>
      <c r="R6491" s="2" t="inlineStr"/>
    </row>
    <row r="6492" ht="15" customHeight="1">
      <c r="A6492" t="inlineStr">
        <is>
          <t>A 34639-2025</t>
        </is>
      </c>
      <c r="B6492" s="1" t="n">
        <v>45848.3125462963</v>
      </c>
      <c r="C6492" s="1" t="n">
        <v>45884</v>
      </c>
      <c r="D6492" t="inlineStr">
        <is>
          <t>KALMAR LÄN</t>
        </is>
      </c>
      <c r="E6492" t="inlineStr">
        <is>
          <t>VÄSTERVIK</t>
        </is>
      </c>
      <c r="G6492" t="n">
        <v>0.5</v>
      </c>
      <c r="H6492" t="n">
        <v>0</v>
      </c>
      <c r="I6492" t="n">
        <v>0</v>
      </c>
      <c r="J6492" t="n">
        <v>0</v>
      </c>
      <c r="K6492" t="n">
        <v>0</v>
      </c>
      <c r="L6492" t="n">
        <v>0</v>
      </c>
      <c r="M6492" t="n">
        <v>0</v>
      </c>
      <c r="N6492" t="n">
        <v>0</v>
      </c>
      <c r="O6492" t="n">
        <v>0</v>
      </c>
      <c r="P6492" t="n">
        <v>0</v>
      </c>
      <c r="Q6492" t="n">
        <v>0</v>
      </c>
      <c r="R6492" s="2" t="inlineStr"/>
    </row>
    <row r="6493" ht="15" customHeight="1">
      <c r="A6493" t="inlineStr">
        <is>
          <t>A 34640-2025</t>
        </is>
      </c>
      <c r="B6493" s="1" t="n">
        <v>45848.31346064815</v>
      </c>
      <c r="C6493" s="1" t="n">
        <v>45884</v>
      </c>
      <c r="D6493" t="inlineStr">
        <is>
          <t>KALMAR LÄN</t>
        </is>
      </c>
      <c r="E6493" t="inlineStr">
        <is>
          <t>HÖGSBY</t>
        </is>
      </c>
      <c r="G6493" t="n">
        <v>5</v>
      </c>
      <c r="H6493" t="n">
        <v>0</v>
      </c>
      <c r="I6493" t="n">
        <v>0</v>
      </c>
      <c r="J6493" t="n">
        <v>0</v>
      </c>
      <c r="K6493" t="n">
        <v>0</v>
      </c>
      <c r="L6493" t="n">
        <v>0</v>
      </c>
      <c r="M6493" t="n">
        <v>0</v>
      </c>
      <c r="N6493" t="n">
        <v>0</v>
      </c>
      <c r="O6493" t="n">
        <v>0</v>
      </c>
      <c r="P6493" t="n">
        <v>0</v>
      </c>
      <c r="Q6493" t="n">
        <v>0</v>
      </c>
      <c r="R6493" s="2" t="inlineStr"/>
    </row>
    <row r="6494" ht="15" customHeight="1">
      <c r="A6494" t="inlineStr">
        <is>
          <t>A 34643-2025</t>
        </is>
      </c>
      <c r="B6494" s="1" t="n">
        <v>45848.32959490741</v>
      </c>
      <c r="C6494" s="1" t="n">
        <v>45884</v>
      </c>
      <c r="D6494" t="inlineStr">
        <is>
          <t>KALMAR LÄN</t>
        </is>
      </c>
      <c r="E6494" t="inlineStr">
        <is>
          <t>VÄSTERVIK</t>
        </is>
      </c>
      <c r="G6494" t="n">
        <v>0.5</v>
      </c>
      <c r="H6494" t="n">
        <v>0</v>
      </c>
      <c r="I6494" t="n">
        <v>0</v>
      </c>
      <c r="J6494" t="n">
        <v>0</v>
      </c>
      <c r="K6494" t="n">
        <v>0</v>
      </c>
      <c r="L6494" t="n">
        <v>0</v>
      </c>
      <c r="M6494" t="n">
        <v>0</v>
      </c>
      <c r="N6494" t="n">
        <v>0</v>
      </c>
      <c r="O6494" t="n">
        <v>0</v>
      </c>
      <c r="P6494" t="n">
        <v>0</v>
      </c>
      <c r="Q6494" t="n">
        <v>0</v>
      </c>
      <c r="R6494" s="2" t="inlineStr"/>
    </row>
    <row r="6495" ht="15" customHeight="1">
      <c r="A6495" t="inlineStr">
        <is>
          <t>A 6405-2025</t>
        </is>
      </c>
      <c r="B6495" s="1" t="n">
        <v>45699.45392361111</v>
      </c>
      <c r="C6495" s="1" t="n">
        <v>45884</v>
      </c>
      <c r="D6495" t="inlineStr">
        <is>
          <t>KALMAR LÄN</t>
        </is>
      </c>
      <c r="E6495" t="inlineStr">
        <is>
          <t>VIMMERBY</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49963-2023</t>
        </is>
      </c>
      <c r="B6496" s="1" t="n">
        <v>45215</v>
      </c>
      <c r="C6496" s="1" t="n">
        <v>45884</v>
      </c>
      <c r="D6496" t="inlineStr">
        <is>
          <t>KALMAR LÄN</t>
        </is>
      </c>
      <c r="E6496" t="inlineStr">
        <is>
          <t>OSKARSHAMN</t>
        </is>
      </c>
      <c r="G6496" t="n">
        <v>7.9</v>
      </c>
      <c r="H6496" t="n">
        <v>0</v>
      </c>
      <c r="I6496" t="n">
        <v>0</v>
      </c>
      <c r="J6496" t="n">
        <v>0</v>
      </c>
      <c r="K6496" t="n">
        <v>0</v>
      </c>
      <c r="L6496" t="n">
        <v>0</v>
      </c>
      <c r="M6496" t="n">
        <v>0</v>
      </c>
      <c r="N6496" t="n">
        <v>0</v>
      </c>
      <c r="O6496" t="n">
        <v>0</v>
      </c>
      <c r="P6496" t="n">
        <v>0</v>
      </c>
      <c r="Q6496" t="n">
        <v>0</v>
      </c>
      <c r="R6496" s="2" t="inlineStr"/>
    </row>
    <row r="6497" ht="15" customHeight="1">
      <c r="A6497" t="inlineStr">
        <is>
          <t>A 64681-2023</t>
        </is>
      </c>
      <c r="B6497" s="1" t="n">
        <v>45281</v>
      </c>
      <c r="C6497" s="1" t="n">
        <v>45884</v>
      </c>
      <c r="D6497" t="inlineStr">
        <is>
          <t>KALMAR LÄN</t>
        </is>
      </c>
      <c r="E6497" t="inlineStr">
        <is>
          <t>EMMABODA</t>
        </is>
      </c>
      <c r="G6497" t="n">
        <v>0.5</v>
      </c>
      <c r="H6497" t="n">
        <v>0</v>
      </c>
      <c r="I6497" t="n">
        <v>0</v>
      </c>
      <c r="J6497" t="n">
        <v>0</v>
      </c>
      <c r="K6497" t="n">
        <v>0</v>
      </c>
      <c r="L6497" t="n">
        <v>0</v>
      </c>
      <c r="M6497" t="n">
        <v>0</v>
      </c>
      <c r="N6497" t="n">
        <v>0</v>
      </c>
      <c r="O6497" t="n">
        <v>0</v>
      </c>
      <c r="P6497" t="n">
        <v>0</v>
      </c>
      <c r="Q6497" t="n">
        <v>0</v>
      </c>
      <c r="R6497" s="2" t="inlineStr"/>
    </row>
    <row r="6498" ht="15" customHeight="1">
      <c r="A6498" t="inlineStr">
        <is>
          <t>A 15612-2021</t>
        </is>
      </c>
      <c r="B6498" s="1" t="n">
        <v>44285.72333333334</v>
      </c>
      <c r="C6498" s="1" t="n">
        <v>45884</v>
      </c>
      <c r="D6498" t="inlineStr">
        <is>
          <t>KALMAR LÄN</t>
        </is>
      </c>
      <c r="E6498" t="inlineStr">
        <is>
          <t>MÖNSTERÅS</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4379-2023</t>
        </is>
      </c>
      <c r="B6499" s="1" t="n">
        <v>44955.57755787037</v>
      </c>
      <c r="C6499" s="1" t="n">
        <v>45884</v>
      </c>
      <c r="D6499" t="inlineStr">
        <is>
          <t>KALMAR LÄN</t>
        </is>
      </c>
      <c r="E6499" t="inlineStr">
        <is>
          <t>KALMAR</t>
        </is>
      </c>
      <c r="G6499" t="n">
        <v>2.6</v>
      </c>
      <c r="H6499" t="n">
        <v>0</v>
      </c>
      <c r="I6499" t="n">
        <v>0</v>
      </c>
      <c r="J6499" t="n">
        <v>0</v>
      </c>
      <c r="K6499" t="n">
        <v>0</v>
      </c>
      <c r="L6499" t="n">
        <v>0</v>
      </c>
      <c r="M6499" t="n">
        <v>0</v>
      </c>
      <c r="N6499" t="n">
        <v>0</v>
      </c>
      <c r="O6499" t="n">
        <v>0</v>
      </c>
      <c r="P6499" t="n">
        <v>0</v>
      </c>
      <c r="Q6499" t="n">
        <v>0</v>
      </c>
      <c r="R6499" s="2" t="inlineStr"/>
    </row>
    <row r="6500" ht="15" customHeight="1">
      <c r="A6500" t="inlineStr">
        <is>
          <t>A 4508-2023</t>
        </is>
      </c>
      <c r="B6500" s="1" t="n">
        <v>44956</v>
      </c>
      <c r="C6500" s="1" t="n">
        <v>45884</v>
      </c>
      <c r="D6500" t="inlineStr">
        <is>
          <t>KALMAR LÄN</t>
        </is>
      </c>
      <c r="E6500" t="inlineStr">
        <is>
          <t>VÄSTERVIK</t>
        </is>
      </c>
      <c r="G6500" t="n">
        <v>0.5</v>
      </c>
      <c r="H6500" t="n">
        <v>0</v>
      </c>
      <c r="I6500" t="n">
        <v>0</v>
      </c>
      <c r="J6500" t="n">
        <v>0</v>
      </c>
      <c r="K6500" t="n">
        <v>0</v>
      </c>
      <c r="L6500" t="n">
        <v>0</v>
      </c>
      <c r="M6500" t="n">
        <v>0</v>
      </c>
      <c r="N6500" t="n">
        <v>0</v>
      </c>
      <c r="O6500" t="n">
        <v>0</v>
      </c>
      <c r="P6500" t="n">
        <v>0</v>
      </c>
      <c r="Q6500" t="n">
        <v>0</v>
      </c>
      <c r="R6500" s="2" t="inlineStr"/>
    </row>
    <row r="6501" ht="15" customHeight="1">
      <c r="A6501" t="inlineStr">
        <is>
          <t>A 34634-2025</t>
        </is>
      </c>
      <c r="B6501" s="1" t="n">
        <v>45848.27699074074</v>
      </c>
      <c r="C6501" s="1" t="n">
        <v>45884</v>
      </c>
      <c r="D6501" t="inlineStr">
        <is>
          <t>KALMAR LÄN</t>
        </is>
      </c>
      <c r="E6501" t="inlineStr">
        <is>
          <t>HÖGSBY</t>
        </is>
      </c>
      <c r="G6501" t="n">
        <v>5.5</v>
      </c>
      <c r="H6501" t="n">
        <v>0</v>
      </c>
      <c r="I6501" t="n">
        <v>0</v>
      </c>
      <c r="J6501" t="n">
        <v>0</v>
      </c>
      <c r="K6501" t="n">
        <v>0</v>
      </c>
      <c r="L6501" t="n">
        <v>0</v>
      </c>
      <c r="M6501" t="n">
        <v>0</v>
      </c>
      <c r="N6501" t="n">
        <v>0</v>
      </c>
      <c r="O6501" t="n">
        <v>0</v>
      </c>
      <c r="P6501" t="n">
        <v>0</v>
      </c>
      <c r="Q6501" t="n">
        <v>0</v>
      </c>
      <c r="R6501" s="2" t="inlineStr"/>
    </row>
    <row r="6502" ht="15" customHeight="1">
      <c r="A6502" t="inlineStr">
        <is>
          <t>A 34635-2025</t>
        </is>
      </c>
      <c r="B6502" s="1" t="n">
        <v>45848.28428240741</v>
      </c>
      <c r="C6502" s="1" t="n">
        <v>45884</v>
      </c>
      <c r="D6502" t="inlineStr">
        <is>
          <t>KALMAR LÄN</t>
        </is>
      </c>
      <c r="E6502" t="inlineStr">
        <is>
          <t>HÖGSBY</t>
        </is>
      </c>
      <c r="G6502" t="n">
        <v>3.8</v>
      </c>
      <c r="H6502" t="n">
        <v>0</v>
      </c>
      <c r="I6502" t="n">
        <v>0</v>
      </c>
      <c r="J6502" t="n">
        <v>0</v>
      </c>
      <c r="K6502" t="n">
        <v>0</v>
      </c>
      <c r="L6502" t="n">
        <v>0</v>
      </c>
      <c r="M6502" t="n">
        <v>0</v>
      </c>
      <c r="N6502" t="n">
        <v>0</v>
      </c>
      <c r="O6502" t="n">
        <v>0</v>
      </c>
      <c r="P6502" t="n">
        <v>0</v>
      </c>
      <c r="Q6502" t="n">
        <v>0</v>
      </c>
      <c r="R6502" s="2" t="inlineStr"/>
    </row>
    <row r="6503" ht="15" customHeight="1">
      <c r="A6503" t="inlineStr">
        <is>
          <t>A 34887-2025</t>
        </is>
      </c>
      <c r="B6503" s="1" t="n">
        <v>45849.47482638889</v>
      </c>
      <c r="C6503" s="1" t="n">
        <v>45884</v>
      </c>
      <c r="D6503" t="inlineStr">
        <is>
          <t>KALMAR LÄN</t>
        </is>
      </c>
      <c r="E6503" t="inlineStr">
        <is>
          <t>NYBRO</t>
        </is>
      </c>
      <c r="G6503" t="n">
        <v>2.2</v>
      </c>
      <c r="H6503" t="n">
        <v>0</v>
      </c>
      <c r="I6503" t="n">
        <v>0</v>
      </c>
      <c r="J6503" t="n">
        <v>0</v>
      </c>
      <c r="K6503" t="n">
        <v>0</v>
      </c>
      <c r="L6503" t="n">
        <v>0</v>
      </c>
      <c r="M6503" t="n">
        <v>0</v>
      </c>
      <c r="N6503" t="n">
        <v>0</v>
      </c>
      <c r="O6503" t="n">
        <v>0</v>
      </c>
      <c r="P6503" t="n">
        <v>0</v>
      </c>
      <c r="Q6503" t="n">
        <v>0</v>
      </c>
      <c r="R6503" s="2" t="inlineStr"/>
    </row>
    <row r="6504" ht="15" customHeight="1">
      <c r="A6504" t="inlineStr">
        <is>
          <t>A 49626-2023</t>
        </is>
      </c>
      <c r="B6504" s="1" t="n">
        <v>45211</v>
      </c>
      <c r="C6504" s="1" t="n">
        <v>45884</v>
      </c>
      <c r="D6504" t="inlineStr">
        <is>
          <t>KALMAR LÄN</t>
        </is>
      </c>
      <c r="E6504" t="inlineStr">
        <is>
          <t>EMMABODA</t>
        </is>
      </c>
      <c r="G6504" t="n">
        <v>0</v>
      </c>
      <c r="H6504" t="n">
        <v>0</v>
      </c>
      <c r="I6504" t="n">
        <v>0</v>
      </c>
      <c r="J6504" t="n">
        <v>0</v>
      </c>
      <c r="K6504" t="n">
        <v>0</v>
      </c>
      <c r="L6504" t="n">
        <v>0</v>
      </c>
      <c r="M6504" t="n">
        <v>0</v>
      </c>
      <c r="N6504" t="n">
        <v>0</v>
      </c>
      <c r="O6504" t="n">
        <v>0</v>
      </c>
      <c r="P6504" t="n">
        <v>0</v>
      </c>
      <c r="Q6504" t="n">
        <v>0</v>
      </c>
      <c r="R6504" s="2" t="inlineStr"/>
    </row>
    <row r="6505" ht="15" customHeight="1">
      <c r="A6505" t="inlineStr">
        <is>
          <t>A 34937-2025</t>
        </is>
      </c>
      <c r="B6505" s="1" t="n">
        <v>45849.57783564815</v>
      </c>
      <c r="C6505" s="1" t="n">
        <v>45884</v>
      </c>
      <c r="D6505" t="inlineStr">
        <is>
          <t>KALMAR LÄN</t>
        </is>
      </c>
      <c r="E6505" t="inlineStr">
        <is>
          <t>MÖNSTERÅS</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1940-2023</t>
        </is>
      </c>
      <c r="B6506" s="1" t="n">
        <v>44939</v>
      </c>
      <c r="C6506" s="1" t="n">
        <v>45884</v>
      </c>
      <c r="D6506" t="inlineStr">
        <is>
          <t>KALMAR LÄN</t>
        </is>
      </c>
      <c r="E6506" t="inlineStr">
        <is>
          <t>KALMAR</t>
        </is>
      </c>
      <c r="G6506" t="n">
        <v>1.1</v>
      </c>
      <c r="H6506" t="n">
        <v>0</v>
      </c>
      <c r="I6506" t="n">
        <v>0</v>
      </c>
      <c r="J6506" t="n">
        <v>0</v>
      </c>
      <c r="K6506" t="n">
        <v>0</v>
      </c>
      <c r="L6506" t="n">
        <v>0</v>
      </c>
      <c r="M6506" t="n">
        <v>0</v>
      </c>
      <c r="N6506" t="n">
        <v>0</v>
      </c>
      <c r="O6506" t="n">
        <v>0</v>
      </c>
      <c r="P6506" t="n">
        <v>0</v>
      </c>
      <c r="Q6506" t="n">
        <v>0</v>
      </c>
      <c r="R6506" s="2" t="inlineStr"/>
    </row>
    <row r="6507" ht="15" customHeight="1">
      <c r="A6507" t="inlineStr">
        <is>
          <t>A 34935-2025</t>
        </is>
      </c>
      <c r="B6507" s="1" t="n">
        <v>45849.57523148148</v>
      </c>
      <c r="C6507" s="1" t="n">
        <v>45884</v>
      </c>
      <c r="D6507" t="inlineStr">
        <is>
          <t>KALMAR LÄN</t>
        </is>
      </c>
      <c r="E6507" t="inlineStr">
        <is>
          <t>MÖNSTERÅS</t>
        </is>
      </c>
      <c r="G6507" t="n">
        <v>3.1</v>
      </c>
      <c r="H6507" t="n">
        <v>0</v>
      </c>
      <c r="I6507" t="n">
        <v>0</v>
      </c>
      <c r="J6507" t="n">
        <v>0</v>
      </c>
      <c r="K6507" t="n">
        <v>0</v>
      </c>
      <c r="L6507" t="n">
        <v>0</v>
      </c>
      <c r="M6507" t="n">
        <v>0</v>
      </c>
      <c r="N6507" t="n">
        <v>0</v>
      </c>
      <c r="O6507" t="n">
        <v>0</v>
      </c>
      <c r="P6507" t="n">
        <v>0</v>
      </c>
      <c r="Q6507" t="n">
        <v>0</v>
      </c>
      <c r="R6507" s="2" t="inlineStr"/>
    </row>
    <row r="6508" ht="15" customHeight="1">
      <c r="A6508" t="inlineStr">
        <is>
          <t>A 26401-2025</t>
        </is>
      </c>
      <c r="B6508" s="1" t="n">
        <v>45807.33619212963</v>
      </c>
      <c r="C6508" s="1" t="n">
        <v>45884</v>
      </c>
      <c r="D6508" t="inlineStr">
        <is>
          <t>KALMAR LÄN</t>
        </is>
      </c>
      <c r="E6508" t="inlineStr">
        <is>
          <t>KALMAR</t>
        </is>
      </c>
      <c r="G6508" t="n">
        <v>6.8</v>
      </c>
      <c r="H6508" t="n">
        <v>0</v>
      </c>
      <c r="I6508" t="n">
        <v>0</v>
      </c>
      <c r="J6508" t="n">
        <v>0</v>
      </c>
      <c r="K6508" t="n">
        <v>0</v>
      </c>
      <c r="L6508" t="n">
        <v>0</v>
      </c>
      <c r="M6508" t="n">
        <v>0</v>
      </c>
      <c r="N6508" t="n">
        <v>0</v>
      </c>
      <c r="O6508" t="n">
        <v>0</v>
      </c>
      <c r="P6508" t="n">
        <v>0</v>
      </c>
      <c r="Q6508" t="n">
        <v>0</v>
      </c>
      <c r="R6508" s="2" t="inlineStr"/>
    </row>
    <row r="6509" ht="15" customHeight="1">
      <c r="A6509" t="inlineStr">
        <is>
          <t>A 34038-2023</t>
        </is>
      </c>
      <c r="B6509" s="1" t="n">
        <v>45135.42358796296</v>
      </c>
      <c r="C6509" s="1" t="n">
        <v>45884</v>
      </c>
      <c r="D6509" t="inlineStr">
        <is>
          <t>KALMAR LÄN</t>
        </is>
      </c>
      <c r="E6509" t="inlineStr">
        <is>
          <t>HULTSFRED</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15787-2023</t>
        </is>
      </c>
      <c r="B6510" s="1" t="n">
        <v>45021.67435185185</v>
      </c>
      <c r="C6510" s="1" t="n">
        <v>45884</v>
      </c>
      <c r="D6510" t="inlineStr">
        <is>
          <t>KALMAR LÄN</t>
        </is>
      </c>
      <c r="E6510" t="inlineStr">
        <is>
          <t>EMMABODA</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22873-2023</t>
        </is>
      </c>
      <c r="B6511" s="1" t="n">
        <v>45072.49364583333</v>
      </c>
      <c r="C6511" s="1" t="n">
        <v>45884</v>
      </c>
      <c r="D6511" t="inlineStr">
        <is>
          <t>KALMAR LÄN</t>
        </is>
      </c>
      <c r="E6511" t="inlineStr">
        <is>
          <t>NYBRO</t>
        </is>
      </c>
      <c r="G6511" t="n">
        <v>1.2</v>
      </c>
      <c r="H6511" t="n">
        <v>0</v>
      </c>
      <c r="I6511" t="n">
        <v>0</v>
      </c>
      <c r="J6511" t="n">
        <v>0</v>
      </c>
      <c r="K6511" t="n">
        <v>0</v>
      </c>
      <c r="L6511" t="n">
        <v>0</v>
      </c>
      <c r="M6511" t="n">
        <v>0</v>
      </c>
      <c r="N6511" t="n">
        <v>0</v>
      </c>
      <c r="O6511" t="n">
        <v>0</v>
      </c>
      <c r="P6511" t="n">
        <v>0</v>
      </c>
      <c r="Q6511" t="n">
        <v>0</v>
      </c>
      <c r="R6511" s="2" t="inlineStr"/>
    </row>
    <row r="6512" ht="15" customHeight="1">
      <c r="A6512" t="inlineStr">
        <is>
          <t>A 62638-2023</t>
        </is>
      </c>
      <c r="B6512" s="1" t="n">
        <v>45271.4174537037</v>
      </c>
      <c r="C6512" s="1" t="n">
        <v>45884</v>
      </c>
      <c r="D6512" t="inlineStr">
        <is>
          <t>KALMAR LÄN</t>
        </is>
      </c>
      <c r="E6512" t="inlineStr">
        <is>
          <t>MÖNSTERÅS</t>
        </is>
      </c>
      <c r="G6512" t="n">
        <v>8.300000000000001</v>
      </c>
      <c r="H6512" t="n">
        <v>0</v>
      </c>
      <c r="I6512" t="n">
        <v>0</v>
      </c>
      <c r="J6512" t="n">
        <v>0</v>
      </c>
      <c r="K6512" t="n">
        <v>0</v>
      </c>
      <c r="L6512" t="n">
        <v>0</v>
      </c>
      <c r="M6512" t="n">
        <v>0</v>
      </c>
      <c r="N6512" t="n">
        <v>0</v>
      </c>
      <c r="O6512" t="n">
        <v>0</v>
      </c>
      <c r="P6512" t="n">
        <v>0</v>
      </c>
      <c r="Q6512" t="n">
        <v>0</v>
      </c>
      <c r="R6512" s="2" t="inlineStr"/>
    </row>
    <row r="6513" ht="15" customHeight="1">
      <c r="A6513" t="inlineStr">
        <is>
          <t>A 15830-2023</t>
        </is>
      </c>
      <c r="B6513" s="1" t="n">
        <v>45022</v>
      </c>
      <c r="C6513" s="1" t="n">
        <v>45884</v>
      </c>
      <c r="D6513" t="inlineStr">
        <is>
          <t>KALMAR LÄN</t>
        </is>
      </c>
      <c r="E6513" t="inlineStr">
        <is>
          <t>NYBRO</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54917-2020</t>
        </is>
      </c>
      <c r="B6514" s="1" t="n">
        <v>44127</v>
      </c>
      <c r="C6514" s="1" t="n">
        <v>45884</v>
      </c>
      <c r="D6514" t="inlineStr">
        <is>
          <t>KALMAR LÄN</t>
        </is>
      </c>
      <c r="E6514" t="inlineStr">
        <is>
          <t>VIMMERBY</t>
        </is>
      </c>
      <c r="G6514" t="n">
        <v>9.5</v>
      </c>
      <c r="H6514" t="n">
        <v>0</v>
      </c>
      <c r="I6514" t="n">
        <v>0</v>
      </c>
      <c r="J6514" t="n">
        <v>0</v>
      </c>
      <c r="K6514" t="n">
        <v>0</v>
      </c>
      <c r="L6514" t="n">
        <v>0</v>
      </c>
      <c r="M6514" t="n">
        <v>0</v>
      </c>
      <c r="N6514" t="n">
        <v>0</v>
      </c>
      <c r="O6514" t="n">
        <v>0</v>
      </c>
      <c r="P6514" t="n">
        <v>0</v>
      </c>
      <c r="Q6514" t="n">
        <v>0</v>
      </c>
      <c r="R6514" s="2" t="inlineStr"/>
    </row>
    <row r="6515" ht="15" customHeight="1">
      <c r="A6515" t="inlineStr">
        <is>
          <t>A 26893-2024</t>
        </is>
      </c>
      <c r="B6515" s="1" t="n">
        <v>45470.66217592593</v>
      </c>
      <c r="C6515" s="1" t="n">
        <v>45884</v>
      </c>
      <c r="D6515" t="inlineStr">
        <is>
          <t>KALMAR LÄN</t>
        </is>
      </c>
      <c r="E6515" t="inlineStr">
        <is>
          <t>NYBRO</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26903-2024</t>
        </is>
      </c>
      <c r="B6516" s="1" t="n">
        <v>45470.70572916666</v>
      </c>
      <c r="C6516" s="1" t="n">
        <v>45884</v>
      </c>
      <c r="D6516" t="inlineStr">
        <is>
          <t>KALMAR LÄN</t>
        </is>
      </c>
      <c r="E6516" t="inlineStr">
        <is>
          <t>KALMAR</t>
        </is>
      </c>
      <c r="G6516" t="n">
        <v>0.6</v>
      </c>
      <c r="H6516" t="n">
        <v>0</v>
      </c>
      <c r="I6516" t="n">
        <v>0</v>
      </c>
      <c r="J6516" t="n">
        <v>0</v>
      </c>
      <c r="K6516" t="n">
        <v>0</v>
      </c>
      <c r="L6516" t="n">
        <v>0</v>
      </c>
      <c r="M6516" t="n">
        <v>0</v>
      </c>
      <c r="N6516" t="n">
        <v>0</v>
      </c>
      <c r="O6516" t="n">
        <v>0</v>
      </c>
      <c r="P6516" t="n">
        <v>0</v>
      </c>
      <c r="Q6516" t="n">
        <v>0</v>
      </c>
      <c r="R6516" s="2" t="inlineStr"/>
    </row>
    <row r="6517" ht="15" customHeight="1">
      <c r="A6517" t="inlineStr">
        <is>
          <t>A 34851-2025</t>
        </is>
      </c>
      <c r="B6517" s="1" t="n">
        <v>45849.4249537037</v>
      </c>
      <c r="C6517" s="1" t="n">
        <v>45884</v>
      </c>
      <c r="D6517" t="inlineStr">
        <is>
          <t>KALMAR LÄN</t>
        </is>
      </c>
      <c r="E6517" t="inlineStr">
        <is>
          <t>MÖNSTERÅS</t>
        </is>
      </c>
      <c r="G6517" t="n">
        <v>1.7</v>
      </c>
      <c r="H6517" t="n">
        <v>0</v>
      </c>
      <c r="I6517" t="n">
        <v>0</v>
      </c>
      <c r="J6517" t="n">
        <v>0</v>
      </c>
      <c r="K6517" t="n">
        <v>0</v>
      </c>
      <c r="L6517" t="n">
        <v>0</v>
      </c>
      <c r="M6517" t="n">
        <v>0</v>
      </c>
      <c r="N6517" t="n">
        <v>0</v>
      </c>
      <c r="O6517" t="n">
        <v>0</v>
      </c>
      <c r="P6517" t="n">
        <v>0</v>
      </c>
      <c r="Q6517" t="n">
        <v>0</v>
      </c>
      <c r="R6517" s="2" t="inlineStr"/>
    </row>
    <row r="6518" ht="15" customHeight="1">
      <c r="A6518" t="inlineStr">
        <is>
          <t>A 34877-2025</t>
        </is>
      </c>
      <c r="B6518" s="1" t="n">
        <v>45849.46460648148</v>
      </c>
      <c r="C6518" s="1" t="n">
        <v>45884</v>
      </c>
      <c r="D6518" t="inlineStr">
        <is>
          <t>KALMAR LÄN</t>
        </is>
      </c>
      <c r="E6518" t="inlineStr">
        <is>
          <t>NYBRO</t>
        </is>
      </c>
      <c r="G6518" t="n">
        <v>0.5</v>
      </c>
      <c r="H6518" t="n">
        <v>0</v>
      </c>
      <c r="I6518" t="n">
        <v>0</v>
      </c>
      <c r="J6518" t="n">
        <v>0</v>
      </c>
      <c r="K6518" t="n">
        <v>0</v>
      </c>
      <c r="L6518" t="n">
        <v>0</v>
      </c>
      <c r="M6518" t="n">
        <v>0</v>
      </c>
      <c r="N6518" t="n">
        <v>0</v>
      </c>
      <c r="O6518" t="n">
        <v>0</v>
      </c>
      <c r="P6518" t="n">
        <v>0</v>
      </c>
      <c r="Q6518" t="n">
        <v>0</v>
      </c>
      <c r="R6518" s="2" t="inlineStr"/>
    </row>
    <row r="6519" ht="15" customHeight="1">
      <c r="A6519" t="inlineStr">
        <is>
          <t>A 15437-2023</t>
        </is>
      </c>
      <c r="B6519" s="1" t="n">
        <v>45016</v>
      </c>
      <c r="C6519" s="1" t="n">
        <v>45884</v>
      </c>
      <c r="D6519" t="inlineStr">
        <is>
          <t>KALMAR LÄN</t>
        </is>
      </c>
      <c r="E6519" t="inlineStr">
        <is>
          <t>HULTSFRED</t>
        </is>
      </c>
      <c r="G6519" t="n">
        <v>1.2</v>
      </c>
      <c r="H6519" t="n">
        <v>0</v>
      </c>
      <c r="I6519" t="n">
        <v>0</v>
      </c>
      <c r="J6519" t="n">
        <v>0</v>
      </c>
      <c r="K6519" t="n">
        <v>0</v>
      </c>
      <c r="L6519" t="n">
        <v>0</v>
      </c>
      <c r="M6519" t="n">
        <v>0</v>
      </c>
      <c r="N6519" t="n">
        <v>0</v>
      </c>
      <c r="O6519" t="n">
        <v>0</v>
      </c>
      <c r="P6519" t="n">
        <v>0</v>
      </c>
      <c r="Q6519" t="n">
        <v>0</v>
      </c>
      <c r="R6519" s="2" t="inlineStr"/>
    </row>
    <row r="6520" ht="15" customHeight="1">
      <c r="A6520" t="inlineStr">
        <is>
          <t>A 18782-2025</t>
        </is>
      </c>
      <c r="B6520" s="1" t="n">
        <v>45764.33587962963</v>
      </c>
      <c r="C6520" s="1" t="n">
        <v>45884</v>
      </c>
      <c r="D6520" t="inlineStr">
        <is>
          <t>KALMAR LÄN</t>
        </is>
      </c>
      <c r="E6520" t="inlineStr">
        <is>
          <t>MÖNSTERÅS</t>
        </is>
      </c>
      <c r="G6520" t="n">
        <v>3.8</v>
      </c>
      <c r="H6520" t="n">
        <v>0</v>
      </c>
      <c r="I6520" t="n">
        <v>0</v>
      </c>
      <c r="J6520" t="n">
        <v>0</v>
      </c>
      <c r="K6520" t="n">
        <v>0</v>
      </c>
      <c r="L6520" t="n">
        <v>0</v>
      </c>
      <c r="M6520" t="n">
        <v>0</v>
      </c>
      <c r="N6520" t="n">
        <v>0</v>
      </c>
      <c r="O6520" t="n">
        <v>0</v>
      </c>
      <c r="P6520" t="n">
        <v>0</v>
      </c>
      <c r="Q6520" t="n">
        <v>0</v>
      </c>
      <c r="R6520" s="2" t="inlineStr"/>
    </row>
    <row r="6521" ht="15" customHeight="1">
      <c r="A6521" t="inlineStr">
        <is>
          <t>A 62635-2023</t>
        </is>
      </c>
      <c r="B6521" s="1" t="n">
        <v>45271.41395833333</v>
      </c>
      <c r="C6521" s="1" t="n">
        <v>45884</v>
      </c>
      <c r="D6521" t="inlineStr">
        <is>
          <t>KALMAR LÄN</t>
        </is>
      </c>
      <c r="E6521" t="inlineStr">
        <is>
          <t>HULTSFRED</t>
        </is>
      </c>
      <c r="G6521" t="n">
        <v>4.2</v>
      </c>
      <c r="H6521" t="n">
        <v>0</v>
      </c>
      <c r="I6521" t="n">
        <v>0</v>
      </c>
      <c r="J6521" t="n">
        <v>0</v>
      </c>
      <c r="K6521" t="n">
        <v>0</v>
      </c>
      <c r="L6521" t="n">
        <v>0</v>
      </c>
      <c r="M6521" t="n">
        <v>0</v>
      </c>
      <c r="N6521" t="n">
        <v>0</v>
      </c>
      <c r="O6521" t="n">
        <v>0</v>
      </c>
      <c r="P6521" t="n">
        <v>0</v>
      </c>
      <c r="Q6521" t="n">
        <v>0</v>
      </c>
      <c r="R6521" s="2" t="inlineStr"/>
    </row>
    <row r="6522" ht="15" customHeight="1">
      <c r="A6522" t="inlineStr">
        <is>
          <t>A 19789-2024</t>
        </is>
      </c>
      <c r="B6522" s="1" t="n">
        <v>45432.89364583333</v>
      </c>
      <c r="C6522" s="1" t="n">
        <v>45884</v>
      </c>
      <c r="D6522" t="inlineStr">
        <is>
          <t>KALMAR LÄN</t>
        </is>
      </c>
      <c r="E6522" t="inlineStr">
        <is>
          <t>OSKARSHAMN</t>
        </is>
      </c>
      <c r="F6522" t="inlineStr">
        <is>
          <t>Sveaskog</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61211-2021</t>
        </is>
      </c>
      <c r="B6523" s="1" t="n">
        <v>44498.49251157408</v>
      </c>
      <c r="C6523" s="1" t="n">
        <v>45884</v>
      </c>
      <c r="D6523" t="inlineStr">
        <is>
          <t>KALMAR LÄN</t>
        </is>
      </c>
      <c r="E6523" t="inlineStr">
        <is>
          <t>HULTSFRED</t>
        </is>
      </c>
      <c r="G6523" t="n">
        <v>5.4</v>
      </c>
      <c r="H6523" t="n">
        <v>0</v>
      </c>
      <c r="I6523" t="n">
        <v>0</v>
      </c>
      <c r="J6523" t="n">
        <v>0</v>
      </c>
      <c r="K6523" t="n">
        <v>0</v>
      </c>
      <c r="L6523" t="n">
        <v>0</v>
      </c>
      <c r="M6523" t="n">
        <v>0</v>
      </c>
      <c r="N6523" t="n">
        <v>0</v>
      </c>
      <c r="O6523" t="n">
        <v>0</v>
      </c>
      <c r="P6523" t="n">
        <v>0</v>
      </c>
      <c r="Q6523" t="n">
        <v>0</v>
      </c>
      <c r="R6523" s="2" t="inlineStr"/>
    </row>
    <row r="6524" ht="15" customHeight="1">
      <c r="A6524" t="inlineStr">
        <is>
          <t>A 60437-2023</t>
        </is>
      </c>
      <c r="B6524" s="1" t="n">
        <v>45259.51916666667</v>
      </c>
      <c r="C6524" s="1" t="n">
        <v>45884</v>
      </c>
      <c r="D6524" t="inlineStr">
        <is>
          <t>KALMAR LÄN</t>
        </is>
      </c>
      <c r="E6524" t="inlineStr">
        <is>
          <t>VIMMERBY</t>
        </is>
      </c>
      <c r="F6524" t="inlineStr">
        <is>
          <t>Sveaskog</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60438-2023</t>
        </is>
      </c>
      <c r="B6525" s="1" t="n">
        <v>45259.52020833334</v>
      </c>
      <c r="C6525" s="1" t="n">
        <v>45884</v>
      </c>
      <c r="D6525" t="inlineStr">
        <is>
          <t>KALMAR LÄN</t>
        </is>
      </c>
      <c r="E6525" t="inlineStr">
        <is>
          <t>VIMMERBY</t>
        </is>
      </c>
      <c r="F6525" t="inlineStr">
        <is>
          <t>Sveaskog</t>
        </is>
      </c>
      <c r="G6525" t="n">
        <v>1.2</v>
      </c>
      <c r="H6525" t="n">
        <v>0</v>
      </c>
      <c r="I6525" t="n">
        <v>0</v>
      </c>
      <c r="J6525" t="n">
        <v>0</v>
      </c>
      <c r="K6525" t="n">
        <v>0</v>
      </c>
      <c r="L6525" t="n">
        <v>0</v>
      </c>
      <c r="M6525" t="n">
        <v>0</v>
      </c>
      <c r="N6525" t="n">
        <v>0</v>
      </c>
      <c r="O6525" t="n">
        <v>0</v>
      </c>
      <c r="P6525" t="n">
        <v>0</v>
      </c>
      <c r="Q6525" t="n">
        <v>0</v>
      </c>
      <c r="R6525" s="2" t="inlineStr"/>
    </row>
    <row r="6526" ht="15" customHeight="1">
      <c r="A6526" t="inlineStr">
        <is>
          <t>A 45660-2023</t>
        </is>
      </c>
      <c r="B6526" s="1" t="n">
        <v>45194</v>
      </c>
      <c r="C6526" s="1" t="n">
        <v>45884</v>
      </c>
      <c r="D6526" t="inlineStr">
        <is>
          <t>KALMAR LÄN</t>
        </is>
      </c>
      <c r="E6526" t="inlineStr">
        <is>
          <t>HULTSFRED</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23147-2022</t>
        </is>
      </c>
      <c r="B6527" s="1" t="n">
        <v>44719</v>
      </c>
      <c r="C6527" s="1" t="n">
        <v>45884</v>
      </c>
      <c r="D6527" t="inlineStr">
        <is>
          <t>KALMAR LÄN</t>
        </is>
      </c>
      <c r="E6527" t="inlineStr">
        <is>
          <t>HULTSFRED</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68940-2021</t>
        </is>
      </c>
      <c r="B6528" s="1" t="n">
        <v>44530.5225462963</v>
      </c>
      <c r="C6528" s="1" t="n">
        <v>45884</v>
      </c>
      <c r="D6528" t="inlineStr">
        <is>
          <t>KALMAR LÄN</t>
        </is>
      </c>
      <c r="E6528" t="inlineStr">
        <is>
          <t>EMMABODA</t>
        </is>
      </c>
      <c r="G6528" t="n">
        <v>2.6</v>
      </c>
      <c r="H6528" t="n">
        <v>0</v>
      </c>
      <c r="I6528" t="n">
        <v>0</v>
      </c>
      <c r="J6528" t="n">
        <v>0</v>
      </c>
      <c r="K6528" t="n">
        <v>0</v>
      </c>
      <c r="L6528" t="n">
        <v>0</v>
      </c>
      <c r="M6528" t="n">
        <v>0</v>
      </c>
      <c r="N6528" t="n">
        <v>0</v>
      </c>
      <c r="O6528" t="n">
        <v>0</v>
      </c>
      <c r="P6528" t="n">
        <v>0</v>
      </c>
      <c r="Q6528" t="n">
        <v>0</v>
      </c>
      <c r="R6528" s="2" t="inlineStr"/>
    </row>
    <row r="6529" ht="15" customHeight="1">
      <c r="A6529" t="inlineStr">
        <is>
          <t>A 44540-2023</t>
        </is>
      </c>
      <c r="B6529" s="1" t="n">
        <v>45189.50841435185</v>
      </c>
      <c r="C6529" s="1" t="n">
        <v>45884</v>
      </c>
      <c r="D6529" t="inlineStr">
        <is>
          <t>KALMAR LÄN</t>
        </is>
      </c>
      <c r="E6529" t="inlineStr">
        <is>
          <t>EMMABODA</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5257-2023</t>
        </is>
      </c>
      <c r="B6530" s="1" t="n">
        <v>44959</v>
      </c>
      <c r="C6530" s="1" t="n">
        <v>45884</v>
      </c>
      <c r="D6530" t="inlineStr">
        <is>
          <t>KALMAR LÄN</t>
        </is>
      </c>
      <c r="E6530" t="inlineStr">
        <is>
          <t>NYBRO</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42165-2024</t>
        </is>
      </c>
      <c r="B6531" s="1" t="n">
        <v>45562.46342592593</v>
      </c>
      <c r="C6531" s="1" t="n">
        <v>45884</v>
      </c>
      <c r="D6531" t="inlineStr">
        <is>
          <t>KALMAR LÄN</t>
        </is>
      </c>
      <c r="E6531" t="inlineStr">
        <is>
          <t>VIMMERBY</t>
        </is>
      </c>
      <c r="G6531" t="n">
        <v>0.5</v>
      </c>
      <c r="H6531" t="n">
        <v>0</v>
      </c>
      <c r="I6531" t="n">
        <v>0</v>
      </c>
      <c r="J6531" t="n">
        <v>0</v>
      </c>
      <c r="K6531" t="n">
        <v>0</v>
      </c>
      <c r="L6531" t="n">
        <v>0</v>
      </c>
      <c r="M6531" t="n">
        <v>0</v>
      </c>
      <c r="N6531" t="n">
        <v>0</v>
      </c>
      <c r="O6531" t="n">
        <v>0</v>
      </c>
      <c r="P6531" t="n">
        <v>0</v>
      </c>
      <c r="Q6531" t="n">
        <v>0</v>
      </c>
      <c r="R6531" s="2" t="inlineStr"/>
    </row>
    <row r="6532" ht="15" customHeight="1">
      <c r="A6532" t="inlineStr">
        <is>
          <t>A 34617-2025</t>
        </is>
      </c>
      <c r="B6532" s="1" t="n">
        <v>45847</v>
      </c>
      <c r="C6532" s="1" t="n">
        <v>45884</v>
      </c>
      <c r="D6532" t="inlineStr">
        <is>
          <t>KALMAR LÄN</t>
        </is>
      </c>
      <c r="E6532" t="inlineStr">
        <is>
          <t>VÄSTERVIK</t>
        </is>
      </c>
      <c r="G6532" t="n">
        <v>1.4</v>
      </c>
      <c r="H6532" t="n">
        <v>0</v>
      </c>
      <c r="I6532" t="n">
        <v>0</v>
      </c>
      <c r="J6532" t="n">
        <v>0</v>
      </c>
      <c r="K6532" t="n">
        <v>0</v>
      </c>
      <c r="L6532" t="n">
        <v>0</v>
      </c>
      <c r="M6532" t="n">
        <v>0</v>
      </c>
      <c r="N6532" t="n">
        <v>0</v>
      </c>
      <c r="O6532" t="n">
        <v>0</v>
      </c>
      <c r="P6532" t="n">
        <v>0</v>
      </c>
      <c r="Q6532" t="n">
        <v>0</v>
      </c>
      <c r="R6532" s="2" t="inlineStr"/>
    </row>
    <row r="6533" ht="15" customHeight="1">
      <c r="A6533" t="inlineStr">
        <is>
          <t>A 34618-2025</t>
        </is>
      </c>
      <c r="B6533" s="1" t="n">
        <v>45847</v>
      </c>
      <c r="C6533" s="1" t="n">
        <v>45884</v>
      </c>
      <c r="D6533" t="inlineStr">
        <is>
          <t>KALMAR LÄN</t>
        </is>
      </c>
      <c r="E6533" t="inlineStr">
        <is>
          <t>VÄSTERVIK</t>
        </is>
      </c>
      <c r="G6533" t="n">
        <v>2.6</v>
      </c>
      <c r="H6533" t="n">
        <v>0</v>
      </c>
      <c r="I6533" t="n">
        <v>0</v>
      </c>
      <c r="J6533" t="n">
        <v>0</v>
      </c>
      <c r="K6533" t="n">
        <v>0</v>
      </c>
      <c r="L6533" t="n">
        <v>0</v>
      </c>
      <c r="M6533" t="n">
        <v>0</v>
      </c>
      <c r="N6533" t="n">
        <v>0</v>
      </c>
      <c r="O6533" t="n">
        <v>0</v>
      </c>
      <c r="P6533" t="n">
        <v>0</v>
      </c>
      <c r="Q6533" t="n">
        <v>0</v>
      </c>
      <c r="R6533" s="2" t="inlineStr"/>
    </row>
    <row r="6534" ht="15" customHeight="1">
      <c r="A6534" t="inlineStr">
        <is>
          <t>A 26349-2025</t>
        </is>
      </c>
      <c r="B6534" s="1" t="n">
        <v>45805.84305555555</v>
      </c>
      <c r="C6534" s="1" t="n">
        <v>45884</v>
      </c>
      <c r="D6534" t="inlineStr">
        <is>
          <t>KALMAR LÄN</t>
        </is>
      </c>
      <c r="E6534" t="inlineStr">
        <is>
          <t>MÖNSTERÅS</t>
        </is>
      </c>
      <c r="G6534" t="n">
        <v>2</v>
      </c>
      <c r="H6534" t="n">
        <v>0</v>
      </c>
      <c r="I6534" t="n">
        <v>0</v>
      </c>
      <c r="J6534" t="n">
        <v>0</v>
      </c>
      <c r="K6534" t="n">
        <v>0</v>
      </c>
      <c r="L6534" t="n">
        <v>0</v>
      </c>
      <c r="M6534" t="n">
        <v>0</v>
      </c>
      <c r="N6534" t="n">
        <v>0</v>
      </c>
      <c r="O6534" t="n">
        <v>0</v>
      </c>
      <c r="P6534" t="n">
        <v>0</v>
      </c>
      <c r="Q6534" t="n">
        <v>0</v>
      </c>
      <c r="R6534" s="2" t="inlineStr"/>
    </row>
    <row r="6535" ht="15" customHeight="1">
      <c r="A6535" t="inlineStr">
        <is>
          <t>A 35177-2025</t>
        </is>
      </c>
      <c r="B6535" s="1" t="n">
        <v>45852.91453703704</v>
      </c>
      <c r="C6535" s="1" t="n">
        <v>45884</v>
      </c>
      <c r="D6535" t="inlineStr">
        <is>
          <t>KALMAR LÄN</t>
        </is>
      </c>
      <c r="E6535" t="inlineStr">
        <is>
          <t>HULTSFRED</t>
        </is>
      </c>
      <c r="G6535" t="n">
        <v>2.4</v>
      </c>
      <c r="H6535" t="n">
        <v>0</v>
      </c>
      <c r="I6535" t="n">
        <v>0</v>
      </c>
      <c r="J6535" t="n">
        <v>0</v>
      </c>
      <c r="K6535" t="n">
        <v>0</v>
      </c>
      <c r="L6535" t="n">
        <v>0</v>
      </c>
      <c r="M6535" t="n">
        <v>0</v>
      </c>
      <c r="N6535" t="n">
        <v>0</v>
      </c>
      <c r="O6535" t="n">
        <v>0</v>
      </c>
      <c r="P6535" t="n">
        <v>0</v>
      </c>
      <c r="Q6535" t="n">
        <v>0</v>
      </c>
      <c r="R6535" s="2" t="inlineStr"/>
    </row>
    <row r="6536" ht="15" customHeight="1">
      <c r="A6536" t="inlineStr">
        <is>
          <t>A 35270-2025</t>
        </is>
      </c>
      <c r="B6536" s="1" t="n">
        <v>45853.87112268519</v>
      </c>
      <c r="C6536" s="1" t="n">
        <v>45884</v>
      </c>
      <c r="D6536" t="inlineStr">
        <is>
          <t>KALMAR LÄN</t>
        </is>
      </c>
      <c r="E6536" t="inlineStr">
        <is>
          <t>VIMMERBY</t>
        </is>
      </c>
      <c r="G6536" t="n">
        <v>2.4</v>
      </c>
      <c r="H6536" t="n">
        <v>0</v>
      </c>
      <c r="I6536" t="n">
        <v>0</v>
      </c>
      <c r="J6536" t="n">
        <v>0</v>
      </c>
      <c r="K6536" t="n">
        <v>0</v>
      </c>
      <c r="L6536" t="n">
        <v>0</v>
      </c>
      <c r="M6536" t="n">
        <v>0</v>
      </c>
      <c r="N6536" t="n">
        <v>0</v>
      </c>
      <c r="O6536" t="n">
        <v>0</v>
      </c>
      <c r="P6536" t="n">
        <v>0</v>
      </c>
      <c r="Q6536" t="n">
        <v>0</v>
      </c>
      <c r="R6536" s="2" t="inlineStr"/>
    </row>
    <row r="6537" ht="15" customHeight="1">
      <c r="A6537" t="inlineStr">
        <is>
          <t>A 35151-2025</t>
        </is>
      </c>
      <c r="B6537" s="1" t="n">
        <v>45852</v>
      </c>
      <c r="C6537" s="1" t="n">
        <v>45884</v>
      </c>
      <c r="D6537" t="inlineStr">
        <is>
          <t>KALMAR LÄN</t>
        </is>
      </c>
      <c r="E6537" t="inlineStr">
        <is>
          <t>EMMABODA</t>
        </is>
      </c>
      <c r="G6537" t="n">
        <v>2</v>
      </c>
      <c r="H6537" t="n">
        <v>0</v>
      </c>
      <c r="I6537" t="n">
        <v>0</v>
      </c>
      <c r="J6537" t="n">
        <v>0</v>
      </c>
      <c r="K6537" t="n">
        <v>0</v>
      </c>
      <c r="L6537" t="n">
        <v>0</v>
      </c>
      <c r="M6537" t="n">
        <v>0</v>
      </c>
      <c r="N6537" t="n">
        <v>0</v>
      </c>
      <c r="O6537" t="n">
        <v>0</v>
      </c>
      <c r="P6537" t="n">
        <v>0</v>
      </c>
      <c r="Q6537" t="n">
        <v>0</v>
      </c>
      <c r="R6537" s="2" t="inlineStr"/>
    </row>
    <row r="6538" ht="15" customHeight="1">
      <c r="A6538" t="inlineStr">
        <is>
          <t>A 35214-2025</t>
        </is>
      </c>
      <c r="B6538" s="1" t="n">
        <v>45853.47163194444</v>
      </c>
      <c r="C6538" s="1" t="n">
        <v>45884</v>
      </c>
      <c r="D6538" t="inlineStr">
        <is>
          <t>KALMAR LÄN</t>
        </is>
      </c>
      <c r="E6538" t="inlineStr">
        <is>
          <t>VÄSTERVIK</t>
        </is>
      </c>
      <c r="G6538" t="n">
        <v>10.7</v>
      </c>
      <c r="H6538" t="n">
        <v>0</v>
      </c>
      <c r="I6538" t="n">
        <v>0</v>
      </c>
      <c r="J6538" t="n">
        <v>0</v>
      </c>
      <c r="K6538" t="n">
        <v>0</v>
      </c>
      <c r="L6538" t="n">
        <v>0</v>
      </c>
      <c r="M6538" t="n">
        <v>0</v>
      </c>
      <c r="N6538" t="n">
        <v>0</v>
      </c>
      <c r="O6538" t="n">
        <v>0</v>
      </c>
      <c r="P6538" t="n">
        <v>0</v>
      </c>
      <c r="Q6538" t="n">
        <v>0</v>
      </c>
      <c r="R6538" s="2" t="inlineStr"/>
    </row>
    <row r="6539" ht="15" customHeight="1">
      <c r="A6539" t="inlineStr">
        <is>
          <t>A 35134-2025</t>
        </is>
      </c>
      <c r="B6539" s="1" t="n">
        <v>45852.64087962963</v>
      </c>
      <c r="C6539" s="1" t="n">
        <v>45884</v>
      </c>
      <c r="D6539" t="inlineStr">
        <is>
          <t>KALMAR LÄN</t>
        </is>
      </c>
      <c r="E6539" t="inlineStr">
        <is>
          <t>NYBRO</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18039-2025</t>
        </is>
      </c>
      <c r="B6540" s="1" t="n">
        <v>45761.4566550926</v>
      </c>
      <c r="C6540" s="1" t="n">
        <v>45884</v>
      </c>
      <c r="D6540" t="inlineStr">
        <is>
          <t>KALMAR LÄN</t>
        </is>
      </c>
      <c r="E6540" t="inlineStr">
        <is>
          <t>VIMMERBY</t>
        </is>
      </c>
      <c r="G6540" t="n">
        <v>3</v>
      </c>
      <c r="H6540" t="n">
        <v>0</v>
      </c>
      <c r="I6540" t="n">
        <v>0</v>
      </c>
      <c r="J6540" t="n">
        <v>0</v>
      </c>
      <c r="K6540" t="n">
        <v>0</v>
      </c>
      <c r="L6540" t="n">
        <v>0</v>
      </c>
      <c r="M6540" t="n">
        <v>0</v>
      </c>
      <c r="N6540" t="n">
        <v>0</v>
      </c>
      <c r="O6540" t="n">
        <v>0</v>
      </c>
      <c r="P6540" t="n">
        <v>0</v>
      </c>
      <c r="Q6540" t="n">
        <v>0</v>
      </c>
      <c r="R6540" s="2" t="inlineStr"/>
    </row>
    <row r="6541" ht="15" customHeight="1">
      <c r="A6541" t="inlineStr">
        <is>
          <t>A 14900-2023</t>
        </is>
      </c>
      <c r="B6541" s="1" t="n">
        <v>45015</v>
      </c>
      <c r="C6541" s="1" t="n">
        <v>45884</v>
      </c>
      <c r="D6541" t="inlineStr">
        <is>
          <t>KALMAR LÄN</t>
        </is>
      </c>
      <c r="E6541" t="inlineStr">
        <is>
          <t>MÖNSTERÅS</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29755-2022</t>
        </is>
      </c>
      <c r="B6542" s="1" t="n">
        <v>44755.59465277778</v>
      </c>
      <c r="C6542" s="1" t="n">
        <v>45884</v>
      </c>
      <c r="D6542" t="inlineStr">
        <is>
          <t>KALMAR LÄN</t>
        </is>
      </c>
      <c r="E6542" t="inlineStr">
        <is>
          <t>OSKARSHAMN</t>
        </is>
      </c>
      <c r="G6542" t="n">
        <v>2</v>
      </c>
      <c r="H6542" t="n">
        <v>0</v>
      </c>
      <c r="I6542" t="n">
        <v>0</v>
      </c>
      <c r="J6542" t="n">
        <v>0</v>
      </c>
      <c r="K6542" t="n">
        <v>0</v>
      </c>
      <c r="L6542" t="n">
        <v>0</v>
      </c>
      <c r="M6542" t="n">
        <v>0</v>
      </c>
      <c r="N6542" t="n">
        <v>0</v>
      </c>
      <c r="O6542" t="n">
        <v>0</v>
      </c>
      <c r="P6542" t="n">
        <v>0</v>
      </c>
      <c r="Q6542" t="n">
        <v>0</v>
      </c>
      <c r="R6542" s="2" t="inlineStr"/>
    </row>
    <row r="6543" ht="15" customHeight="1">
      <c r="A6543" t="inlineStr">
        <is>
          <t>A 26730-2025</t>
        </is>
      </c>
      <c r="B6543" s="1" t="n">
        <v>45810.50623842593</v>
      </c>
      <c r="C6543" s="1" t="n">
        <v>45884</v>
      </c>
      <c r="D6543" t="inlineStr">
        <is>
          <t>KALMAR LÄN</t>
        </is>
      </c>
      <c r="E6543" t="inlineStr">
        <is>
          <t>NYBRO</t>
        </is>
      </c>
      <c r="F6543" t="inlineStr">
        <is>
          <t>Sveaskog</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55030-2023</t>
        </is>
      </c>
      <c r="B6544" s="1" t="n">
        <v>45237</v>
      </c>
      <c r="C6544" s="1" t="n">
        <v>45884</v>
      </c>
      <c r="D6544" t="inlineStr">
        <is>
          <t>KALMAR LÄN</t>
        </is>
      </c>
      <c r="E6544" t="inlineStr">
        <is>
          <t>HULTSFRED</t>
        </is>
      </c>
      <c r="G6544" t="n">
        <v>1.5</v>
      </c>
      <c r="H6544" t="n">
        <v>0</v>
      </c>
      <c r="I6544" t="n">
        <v>0</v>
      </c>
      <c r="J6544" t="n">
        <v>0</v>
      </c>
      <c r="K6544" t="n">
        <v>0</v>
      </c>
      <c r="L6544" t="n">
        <v>0</v>
      </c>
      <c r="M6544" t="n">
        <v>0</v>
      </c>
      <c r="N6544" t="n">
        <v>0</v>
      </c>
      <c r="O6544" t="n">
        <v>0</v>
      </c>
      <c r="P6544" t="n">
        <v>0</v>
      </c>
      <c r="Q6544" t="n">
        <v>0</v>
      </c>
      <c r="R6544" s="2" t="inlineStr"/>
    </row>
    <row r="6545" ht="15" customHeight="1">
      <c r="A6545" t="inlineStr">
        <is>
          <t>A 1741-2023</t>
        </is>
      </c>
      <c r="B6545" s="1" t="n">
        <v>44938.51150462963</v>
      </c>
      <c r="C6545" s="1" t="n">
        <v>45884</v>
      </c>
      <c r="D6545" t="inlineStr">
        <is>
          <t>KALMAR LÄN</t>
        </is>
      </c>
      <c r="E6545" t="inlineStr">
        <is>
          <t>EMMABODA</t>
        </is>
      </c>
      <c r="G6545" t="n">
        <v>1.5</v>
      </c>
      <c r="H6545" t="n">
        <v>0</v>
      </c>
      <c r="I6545" t="n">
        <v>0</v>
      </c>
      <c r="J6545" t="n">
        <v>0</v>
      </c>
      <c r="K6545" t="n">
        <v>0</v>
      </c>
      <c r="L6545" t="n">
        <v>0</v>
      </c>
      <c r="M6545" t="n">
        <v>0</v>
      </c>
      <c r="N6545" t="n">
        <v>0</v>
      </c>
      <c r="O6545" t="n">
        <v>0</v>
      </c>
      <c r="P6545" t="n">
        <v>0</v>
      </c>
      <c r="Q6545" t="n">
        <v>0</v>
      </c>
      <c r="R6545" s="2" t="inlineStr"/>
    </row>
    <row r="6546" ht="15" customHeight="1">
      <c r="A6546" t="inlineStr">
        <is>
          <t>A 26700-2025</t>
        </is>
      </c>
      <c r="B6546" s="1" t="n">
        <v>45810.44914351852</v>
      </c>
      <c r="C6546" s="1" t="n">
        <v>45884</v>
      </c>
      <c r="D6546" t="inlineStr">
        <is>
          <t>KALMAR LÄN</t>
        </is>
      </c>
      <c r="E6546" t="inlineStr">
        <is>
          <t>HULTSFRED</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26706-2025</t>
        </is>
      </c>
      <c r="B6547" s="1" t="n">
        <v>45810.45333333333</v>
      </c>
      <c r="C6547" s="1" t="n">
        <v>45884</v>
      </c>
      <c r="D6547" t="inlineStr">
        <is>
          <t>KALMAR LÄN</t>
        </is>
      </c>
      <c r="E6547" t="inlineStr">
        <is>
          <t>HULTSFRED</t>
        </is>
      </c>
      <c r="G6547" t="n">
        <v>3.9</v>
      </c>
      <c r="H6547" t="n">
        <v>0</v>
      </c>
      <c r="I6547" t="n">
        <v>0</v>
      </c>
      <c r="J6547" t="n">
        <v>0</v>
      </c>
      <c r="K6547" t="n">
        <v>0</v>
      </c>
      <c r="L6547" t="n">
        <v>0</v>
      </c>
      <c r="M6547" t="n">
        <v>0</v>
      </c>
      <c r="N6547" t="n">
        <v>0</v>
      </c>
      <c r="O6547" t="n">
        <v>0</v>
      </c>
      <c r="P6547" t="n">
        <v>0</v>
      </c>
      <c r="Q6547" t="n">
        <v>0</v>
      </c>
      <c r="R6547" s="2" t="inlineStr"/>
    </row>
    <row r="6548" ht="15" customHeight="1">
      <c r="A6548" t="inlineStr">
        <is>
          <t>A 37169-2024</t>
        </is>
      </c>
      <c r="B6548" s="1" t="n">
        <v>45539</v>
      </c>
      <c r="C6548" s="1" t="n">
        <v>45884</v>
      </c>
      <c r="D6548" t="inlineStr">
        <is>
          <t>KALMAR LÄN</t>
        </is>
      </c>
      <c r="E6548" t="inlineStr">
        <is>
          <t>HULTSFRED</t>
        </is>
      </c>
      <c r="G6548" t="n">
        <v>3.1</v>
      </c>
      <c r="H6548" t="n">
        <v>0</v>
      </c>
      <c r="I6548" t="n">
        <v>0</v>
      </c>
      <c r="J6548" t="n">
        <v>0</v>
      </c>
      <c r="K6548" t="n">
        <v>0</v>
      </c>
      <c r="L6548" t="n">
        <v>0</v>
      </c>
      <c r="M6548" t="n">
        <v>0</v>
      </c>
      <c r="N6548" t="n">
        <v>0</v>
      </c>
      <c r="O6548" t="n">
        <v>0</v>
      </c>
      <c r="P6548" t="n">
        <v>0</v>
      </c>
      <c r="Q6548" t="n">
        <v>0</v>
      </c>
      <c r="R6548" s="2" t="inlineStr"/>
    </row>
    <row r="6549" ht="15" customHeight="1">
      <c r="A6549" t="inlineStr">
        <is>
          <t>A 26996-2025</t>
        </is>
      </c>
      <c r="B6549" s="1" t="n">
        <v>45811.54190972223</v>
      </c>
      <c r="C6549" s="1" t="n">
        <v>45884</v>
      </c>
      <c r="D6549" t="inlineStr">
        <is>
          <t>KALMAR LÄN</t>
        </is>
      </c>
      <c r="E6549" t="inlineStr">
        <is>
          <t>OSKARSHAMN</t>
        </is>
      </c>
      <c r="G6549" t="n">
        <v>0.6</v>
      </c>
      <c r="H6549" t="n">
        <v>0</v>
      </c>
      <c r="I6549" t="n">
        <v>0</v>
      </c>
      <c r="J6549" t="n">
        <v>0</v>
      </c>
      <c r="K6549" t="n">
        <v>0</v>
      </c>
      <c r="L6549" t="n">
        <v>0</v>
      </c>
      <c r="M6549" t="n">
        <v>0</v>
      </c>
      <c r="N6549" t="n">
        <v>0</v>
      </c>
      <c r="O6549" t="n">
        <v>0</v>
      </c>
      <c r="P6549" t="n">
        <v>0</v>
      </c>
      <c r="Q6549" t="n">
        <v>0</v>
      </c>
      <c r="R6549" s="2" t="inlineStr"/>
    </row>
    <row r="6550" ht="15" customHeight="1">
      <c r="A6550" t="inlineStr">
        <is>
          <t>A 50572-2024</t>
        </is>
      </c>
      <c r="B6550" s="1" t="n">
        <v>45601.60582175926</v>
      </c>
      <c r="C6550" s="1" t="n">
        <v>45884</v>
      </c>
      <c r="D6550" t="inlineStr">
        <is>
          <t>KALMAR LÄN</t>
        </is>
      </c>
      <c r="E6550" t="inlineStr">
        <is>
          <t>OSKARSHAMN</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26710-2025</t>
        </is>
      </c>
      <c r="B6551" s="1" t="n">
        <v>45810.45978009259</v>
      </c>
      <c r="C6551" s="1" t="n">
        <v>45884</v>
      </c>
      <c r="D6551" t="inlineStr">
        <is>
          <t>KALMAR LÄN</t>
        </is>
      </c>
      <c r="E6551" t="inlineStr">
        <is>
          <t>HULTSFRED</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51586-2024</t>
        </is>
      </c>
      <c r="B6552" s="1" t="n">
        <v>45604.64454861111</v>
      </c>
      <c r="C6552" s="1" t="n">
        <v>45884</v>
      </c>
      <c r="D6552" t="inlineStr">
        <is>
          <t>KALMAR LÄN</t>
        </is>
      </c>
      <c r="E6552" t="inlineStr">
        <is>
          <t>HULTSFRED</t>
        </is>
      </c>
      <c r="G6552" t="n">
        <v>4.7</v>
      </c>
      <c r="H6552" t="n">
        <v>0</v>
      </c>
      <c r="I6552" t="n">
        <v>0</v>
      </c>
      <c r="J6552" t="n">
        <v>0</v>
      </c>
      <c r="K6552" t="n">
        <v>0</v>
      </c>
      <c r="L6552" t="n">
        <v>0</v>
      </c>
      <c r="M6552" t="n">
        <v>0</v>
      </c>
      <c r="N6552" t="n">
        <v>0</v>
      </c>
      <c r="O6552" t="n">
        <v>0</v>
      </c>
      <c r="P6552" t="n">
        <v>0</v>
      </c>
      <c r="Q6552" t="n">
        <v>0</v>
      </c>
      <c r="R6552" s="2" t="inlineStr"/>
    </row>
    <row r="6553" ht="15" customHeight="1">
      <c r="A6553" t="inlineStr">
        <is>
          <t>A 8736-2025</t>
        </is>
      </c>
      <c r="B6553" s="1" t="n">
        <v>45712.54284722222</v>
      </c>
      <c r="C6553" s="1" t="n">
        <v>45884</v>
      </c>
      <c r="D6553" t="inlineStr">
        <is>
          <t>KALMAR LÄN</t>
        </is>
      </c>
      <c r="E6553" t="inlineStr">
        <is>
          <t>HULTSFRED</t>
        </is>
      </c>
      <c r="G6553" t="n">
        <v>1.9</v>
      </c>
      <c r="H6553" t="n">
        <v>0</v>
      </c>
      <c r="I6553" t="n">
        <v>0</v>
      </c>
      <c r="J6553" t="n">
        <v>0</v>
      </c>
      <c r="K6553" t="n">
        <v>0</v>
      </c>
      <c r="L6553" t="n">
        <v>0</v>
      </c>
      <c r="M6553" t="n">
        <v>0</v>
      </c>
      <c r="N6553" t="n">
        <v>0</v>
      </c>
      <c r="O6553" t="n">
        <v>0</v>
      </c>
      <c r="P6553" t="n">
        <v>0</v>
      </c>
      <c r="Q6553" t="n">
        <v>0</v>
      </c>
      <c r="R6553" s="2" t="inlineStr"/>
    </row>
    <row r="6554" ht="15" customHeight="1">
      <c r="A6554" t="inlineStr">
        <is>
          <t>A 8786-2025</t>
        </is>
      </c>
      <c r="B6554" s="1" t="n">
        <v>45712.63252314815</v>
      </c>
      <c r="C6554" s="1" t="n">
        <v>45884</v>
      </c>
      <c r="D6554" t="inlineStr">
        <is>
          <t>KALMAR LÄN</t>
        </is>
      </c>
      <c r="E6554" t="inlineStr">
        <is>
          <t>HULTSFRED</t>
        </is>
      </c>
      <c r="G6554" t="n">
        <v>2.8</v>
      </c>
      <c r="H6554" t="n">
        <v>0</v>
      </c>
      <c r="I6554" t="n">
        <v>0</v>
      </c>
      <c r="J6554" t="n">
        <v>0</v>
      </c>
      <c r="K6554" t="n">
        <v>0</v>
      </c>
      <c r="L6554" t="n">
        <v>0</v>
      </c>
      <c r="M6554" t="n">
        <v>0</v>
      </c>
      <c r="N6554" t="n">
        <v>0</v>
      </c>
      <c r="O6554" t="n">
        <v>0</v>
      </c>
      <c r="P6554" t="n">
        <v>0</v>
      </c>
      <c r="Q6554" t="n">
        <v>0</v>
      </c>
      <c r="R6554" s="2" t="inlineStr"/>
    </row>
    <row r="6555" ht="15" customHeight="1">
      <c r="A6555" t="inlineStr">
        <is>
          <t>A 27084-2025</t>
        </is>
      </c>
      <c r="B6555" s="1" t="n">
        <v>45811.65975694444</v>
      </c>
      <c r="C6555" s="1" t="n">
        <v>45884</v>
      </c>
      <c r="D6555" t="inlineStr">
        <is>
          <t>KALMAR LÄN</t>
        </is>
      </c>
      <c r="E6555" t="inlineStr">
        <is>
          <t>VIMMERBY</t>
        </is>
      </c>
      <c r="G6555" t="n">
        <v>1.4</v>
      </c>
      <c r="H6555" t="n">
        <v>0</v>
      </c>
      <c r="I6555" t="n">
        <v>0</v>
      </c>
      <c r="J6555" t="n">
        <v>0</v>
      </c>
      <c r="K6555" t="n">
        <v>0</v>
      </c>
      <c r="L6555" t="n">
        <v>0</v>
      </c>
      <c r="M6555" t="n">
        <v>0</v>
      </c>
      <c r="N6555" t="n">
        <v>0</v>
      </c>
      <c r="O6555" t="n">
        <v>0</v>
      </c>
      <c r="P6555" t="n">
        <v>0</v>
      </c>
      <c r="Q6555" t="n">
        <v>0</v>
      </c>
      <c r="R6555" s="2" t="inlineStr"/>
    </row>
    <row r="6556" ht="15" customHeight="1">
      <c r="A6556" t="inlineStr">
        <is>
          <t>A 15976-2025</t>
        </is>
      </c>
      <c r="B6556" s="1" t="n">
        <v>45749.56196759259</v>
      </c>
      <c r="C6556" s="1" t="n">
        <v>45884</v>
      </c>
      <c r="D6556" t="inlineStr">
        <is>
          <t>KALMAR LÄN</t>
        </is>
      </c>
      <c r="E6556" t="inlineStr">
        <is>
          <t>VIMMERBY</t>
        </is>
      </c>
      <c r="F6556" t="inlineStr">
        <is>
          <t>Kommuner</t>
        </is>
      </c>
      <c r="G6556" t="n">
        <v>2.5</v>
      </c>
      <c r="H6556" t="n">
        <v>0</v>
      </c>
      <c r="I6556" t="n">
        <v>0</v>
      </c>
      <c r="J6556" t="n">
        <v>0</v>
      </c>
      <c r="K6556" t="n">
        <v>0</v>
      </c>
      <c r="L6556" t="n">
        <v>0</v>
      </c>
      <c r="M6556" t="n">
        <v>0</v>
      </c>
      <c r="N6556" t="n">
        <v>0</v>
      </c>
      <c r="O6556" t="n">
        <v>0</v>
      </c>
      <c r="P6556" t="n">
        <v>0</v>
      </c>
      <c r="Q6556" t="n">
        <v>0</v>
      </c>
      <c r="R6556" s="2" t="inlineStr"/>
    </row>
    <row r="6557" ht="15" customHeight="1">
      <c r="A6557" t="inlineStr">
        <is>
          <t>A 30942-2023</t>
        </is>
      </c>
      <c r="B6557" s="1" t="n">
        <v>45113.45962962963</v>
      </c>
      <c r="C6557" s="1" t="n">
        <v>45884</v>
      </c>
      <c r="D6557" t="inlineStr">
        <is>
          <t>KALMAR LÄN</t>
        </is>
      </c>
      <c r="E6557" t="inlineStr">
        <is>
          <t>OSKARSHAMN</t>
        </is>
      </c>
      <c r="G6557" t="n">
        <v>11.8</v>
      </c>
      <c r="H6557" t="n">
        <v>0</v>
      </c>
      <c r="I6557" t="n">
        <v>0</v>
      </c>
      <c r="J6557" t="n">
        <v>0</v>
      </c>
      <c r="K6557" t="n">
        <v>0</v>
      </c>
      <c r="L6557" t="n">
        <v>0</v>
      </c>
      <c r="M6557" t="n">
        <v>0</v>
      </c>
      <c r="N6557" t="n">
        <v>0</v>
      </c>
      <c r="O6557" t="n">
        <v>0</v>
      </c>
      <c r="P6557" t="n">
        <v>0</v>
      </c>
      <c r="Q6557" t="n">
        <v>0</v>
      </c>
      <c r="R6557" s="2" t="inlineStr"/>
    </row>
    <row r="6558" ht="15" customHeight="1">
      <c r="A6558" t="inlineStr">
        <is>
          <t>A 24877-2023</t>
        </is>
      </c>
      <c r="B6558" s="1" t="n">
        <v>45085.43271990741</v>
      </c>
      <c r="C6558" s="1" t="n">
        <v>45884</v>
      </c>
      <c r="D6558" t="inlineStr">
        <is>
          <t>KALMAR LÄN</t>
        </is>
      </c>
      <c r="E6558" t="inlineStr">
        <is>
          <t>VÄSTERVIK</t>
        </is>
      </c>
      <c r="G6558" t="n">
        <v>3.8</v>
      </c>
      <c r="H6558" t="n">
        <v>0</v>
      </c>
      <c r="I6558" t="n">
        <v>0</v>
      </c>
      <c r="J6558" t="n">
        <v>0</v>
      </c>
      <c r="K6558" t="n">
        <v>0</v>
      </c>
      <c r="L6558" t="n">
        <v>0</v>
      </c>
      <c r="M6558" t="n">
        <v>0</v>
      </c>
      <c r="N6558" t="n">
        <v>0</v>
      </c>
      <c r="O6558" t="n">
        <v>0</v>
      </c>
      <c r="P6558" t="n">
        <v>0</v>
      </c>
      <c r="Q6558" t="n">
        <v>0</v>
      </c>
      <c r="R6558" s="2" t="inlineStr"/>
    </row>
    <row r="6559" ht="15" customHeight="1">
      <c r="A6559" t="inlineStr">
        <is>
          <t>A 24911-2023</t>
        </is>
      </c>
      <c r="B6559" s="1" t="n">
        <v>45085.48943287037</v>
      </c>
      <c r="C6559" s="1" t="n">
        <v>45884</v>
      </c>
      <c r="D6559" t="inlineStr">
        <is>
          <t>KALMAR LÄN</t>
        </is>
      </c>
      <c r="E6559" t="inlineStr">
        <is>
          <t>HÖGSBY</t>
        </is>
      </c>
      <c r="G6559" t="n">
        <v>2.9</v>
      </c>
      <c r="H6559" t="n">
        <v>0</v>
      </c>
      <c r="I6559" t="n">
        <v>0</v>
      </c>
      <c r="J6559" t="n">
        <v>0</v>
      </c>
      <c r="K6559" t="n">
        <v>0</v>
      </c>
      <c r="L6559" t="n">
        <v>0</v>
      </c>
      <c r="M6559" t="n">
        <v>0</v>
      </c>
      <c r="N6559" t="n">
        <v>0</v>
      </c>
      <c r="O6559" t="n">
        <v>0</v>
      </c>
      <c r="P6559" t="n">
        <v>0</v>
      </c>
      <c r="Q6559" t="n">
        <v>0</v>
      </c>
      <c r="R6559" s="2" t="inlineStr"/>
    </row>
    <row r="6560" ht="15" customHeight="1">
      <c r="A6560" t="inlineStr">
        <is>
          <t>A 35272-2025</t>
        </is>
      </c>
      <c r="B6560" s="1" t="n">
        <v>45853.88070601852</v>
      </c>
      <c r="C6560" s="1" t="n">
        <v>45884</v>
      </c>
      <c r="D6560" t="inlineStr">
        <is>
          <t>KALMAR LÄN</t>
        </is>
      </c>
      <c r="E6560" t="inlineStr">
        <is>
          <t>VIMMERBY</t>
        </is>
      </c>
      <c r="G6560" t="n">
        <v>0.6</v>
      </c>
      <c r="H6560" t="n">
        <v>0</v>
      </c>
      <c r="I6560" t="n">
        <v>0</v>
      </c>
      <c r="J6560" t="n">
        <v>0</v>
      </c>
      <c r="K6560" t="n">
        <v>0</v>
      </c>
      <c r="L6560" t="n">
        <v>0</v>
      </c>
      <c r="M6560" t="n">
        <v>0</v>
      </c>
      <c r="N6560" t="n">
        <v>0</v>
      </c>
      <c r="O6560" t="n">
        <v>0</v>
      </c>
      <c r="P6560" t="n">
        <v>0</v>
      </c>
      <c r="Q6560" t="n">
        <v>0</v>
      </c>
      <c r="R6560" s="2" t="inlineStr"/>
    </row>
    <row r="6561" ht="15" customHeight="1">
      <c r="A6561" t="inlineStr">
        <is>
          <t>A 25180-2023</t>
        </is>
      </c>
      <c r="B6561" s="1" t="n">
        <v>45086</v>
      </c>
      <c r="C6561" s="1" t="n">
        <v>45884</v>
      </c>
      <c r="D6561" t="inlineStr">
        <is>
          <t>KALMAR LÄN</t>
        </is>
      </c>
      <c r="E6561" t="inlineStr">
        <is>
          <t>VÄSTERVIK</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25201-2023</t>
        </is>
      </c>
      <c r="B6562" s="1" t="n">
        <v>45086</v>
      </c>
      <c r="C6562" s="1" t="n">
        <v>45884</v>
      </c>
      <c r="D6562" t="inlineStr">
        <is>
          <t>KALMAR LÄN</t>
        </is>
      </c>
      <c r="E6562" t="inlineStr">
        <is>
          <t>MÖNSTERÅS</t>
        </is>
      </c>
      <c r="G6562" t="n">
        <v>1.9</v>
      </c>
      <c r="H6562" t="n">
        <v>0</v>
      </c>
      <c r="I6562" t="n">
        <v>0</v>
      </c>
      <c r="J6562" t="n">
        <v>0</v>
      </c>
      <c r="K6562" t="n">
        <v>0</v>
      </c>
      <c r="L6562" t="n">
        <v>0</v>
      </c>
      <c r="M6562" t="n">
        <v>0</v>
      </c>
      <c r="N6562" t="n">
        <v>0</v>
      </c>
      <c r="O6562" t="n">
        <v>0</v>
      </c>
      <c r="P6562" t="n">
        <v>0</v>
      </c>
      <c r="Q6562" t="n">
        <v>0</v>
      </c>
      <c r="R6562" s="2" t="inlineStr"/>
    </row>
    <row r="6563" ht="15" customHeight="1">
      <c r="A6563" t="inlineStr">
        <is>
          <t>A 25205-2023</t>
        </is>
      </c>
      <c r="B6563" s="1" t="n">
        <v>45086</v>
      </c>
      <c r="C6563" s="1" t="n">
        <v>45884</v>
      </c>
      <c r="D6563" t="inlineStr">
        <is>
          <t>KALMAR LÄN</t>
        </is>
      </c>
      <c r="E6563" t="inlineStr">
        <is>
          <t>MÖNSTERÅS</t>
        </is>
      </c>
      <c r="G6563" t="n">
        <v>2.7</v>
      </c>
      <c r="H6563" t="n">
        <v>0</v>
      </c>
      <c r="I6563" t="n">
        <v>0</v>
      </c>
      <c r="J6563" t="n">
        <v>0</v>
      </c>
      <c r="K6563" t="n">
        <v>0</v>
      </c>
      <c r="L6563" t="n">
        <v>0</v>
      </c>
      <c r="M6563" t="n">
        <v>0</v>
      </c>
      <c r="N6563" t="n">
        <v>0</v>
      </c>
      <c r="O6563" t="n">
        <v>0</v>
      </c>
      <c r="P6563" t="n">
        <v>0</v>
      </c>
      <c r="Q6563" t="n">
        <v>0</v>
      </c>
      <c r="R6563" s="2" t="inlineStr"/>
    </row>
    <row r="6564" ht="15" customHeight="1">
      <c r="A6564" t="inlineStr">
        <is>
          <t>A 25244-2023</t>
        </is>
      </c>
      <c r="B6564" s="1" t="n">
        <v>45086</v>
      </c>
      <c r="C6564" s="1" t="n">
        <v>45884</v>
      </c>
      <c r="D6564" t="inlineStr">
        <is>
          <t>KALMAR LÄN</t>
        </is>
      </c>
      <c r="E6564" t="inlineStr">
        <is>
          <t>VIMMERBY</t>
        </is>
      </c>
      <c r="G6564" t="n">
        <v>4.7</v>
      </c>
      <c r="H6564" t="n">
        <v>0</v>
      </c>
      <c r="I6564" t="n">
        <v>0</v>
      </c>
      <c r="J6564" t="n">
        <v>0</v>
      </c>
      <c r="K6564" t="n">
        <v>0</v>
      </c>
      <c r="L6564" t="n">
        <v>0</v>
      </c>
      <c r="M6564" t="n">
        <v>0</v>
      </c>
      <c r="N6564" t="n">
        <v>0</v>
      </c>
      <c r="O6564" t="n">
        <v>0</v>
      </c>
      <c r="P6564" t="n">
        <v>0</v>
      </c>
      <c r="Q6564" t="n">
        <v>0</v>
      </c>
      <c r="R6564" s="2" t="inlineStr"/>
    </row>
    <row r="6565" ht="15" customHeight="1">
      <c r="A6565" t="inlineStr">
        <is>
          <t>A 26545-2021</t>
        </is>
      </c>
      <c r="B6565" s="1" t="n">
        <v>44348.51484953704</v>
      </c>
      <c r="C6565" s="1" t="n">
        <v>45884</v>
      </c>
      <c r="D6565" t="inlineStr">
        <is>
          <t>KALMAR LÄN</t>
        </is>
      </c>
      <c r="E6565" t="inlineStr">
        <is>
          <t>OSKARSHAMN</t>
        </is>
      </c>
      <c r="G6565" t="n">
        <v>8</v>
      </c>
      <c r="H6565" t="n">
        <v>0</v>
      </c>
      <c r="I6565" t="n">
        <v>0</v>
      </c>
      <c r="J6565" t="n">
        <v>0</v>
      </c>
      <c r="K6565" t="n">
        <v>0</v>
      </c>
      <c r="L6565" t="n">
        <v>0</v>
      </c>
      <c r="M6565" t="n">
        <v>0</v>
      </c>
      <c r="N6565" t="n">
        <v>0</v>
      </c>
      <c r="O6565" t="n">
        <v>0</v>
      </c>
      <c r="P6565" t="n">
        <v>0</v>
      </c>
      <c r="Q6565" t="n">
        <v>0</v>
      </c>
      <c r="R6565" s="2" t="inlineStr"/>
    </row>
    <row r="6566" ht="15" customHeight="1">
      <c r="A6566" t="inlineStr">
        <is>
          <t>A 27075-2025</t>
        </is>
      </c>
      <c r="B6566" s="1" t="n">
        <v>45811.64633101852</v>
      </c>
      <c r="C6566" s="1" t="n">
        <v>45884</v>
      </c>
      <c r="D6566" t="inlineStr">
        <is>
          <t>KALMAR LÄN</t>
        </is>
      </c>
      <c r="E6566" t="inlineStr">
        <is>
          <t>OSKARSHAMN</t>
        </is>
      </c>
      <c r="G6566" t="n">
        <v>1.5</v>
      </c>
      <c r="H6566" t="n">
        <v>0</v>
      </c>
      <c r="I6566" t="n">
        <v>0</v>
      </c>
      <c r="J6566" t="n">
        <v>0</v>
      </c>
      <c r="K6566" t="n">
        <v>0</v>
      </c>
      <c r="L6566" t="n">
        <v>0</v>
      </c>
      <c r="M6566" t="n">
        <v>0</v>
      </c>
      <c r="N6566" t="n">
        <v>0</v>
      </c>
      <c r="O6566" t="n">
        <v>0</v>
      </c>
      <c r="P6566" t="n">
        <v>0</v>
      </c>
      <c r="Q6566" t="n">
        <v>0</v>
      </c>
      <c r="R6566" s="2" t="inlineStr"/>
    </row>
    <row r="6567" ht="15" customHeight="1">
      <c r="A6567" t="inlineStr">
        <is>
          <t>A 4835-2022</t>
        </is>
      </c>
      <c r="B6567" s="1" t="n">
        <v>44592</v>
      </c>
      <c r="C6567" s="1" t="n">
        <v>45884</v>
      </c>
      <c r="D6567" t="inlineStr">
        <is>
          <t>KALMAR LÄN</t>
        </is>
      </c>
      <c r="E6567" t="inlineStr">
        <is>
          <t>HULTSFRED</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5923-2024</t>
        </is>
      </c>
      <c r="B6568" s="1" t="n">
        <v>45335</v>
      </c>
      <c r="C6568" s="1" t="n">
        <v>45884</v>
      </c>
      <c r="D6568" t="inlineStr">
        <is>
          <t>KALMAR LÄN</t>
        </is>
      </c>
      <c r="E6568" t="inlineStr">
        <is>
          <t>VÄSTERVIK</t>
        </is>
      </c>
      <c r="F6568" t="inlineStr">
        <is>
          <t>Holmen skog AB</t>
        </is>
      </c>
      <c r="G6568" t="n">
        <v>2.7</v>
      </c>
      <c r="H6568" t="n">
        <v>0</v>
      </c>
      <c r="I6568" t="n">
        <v>0</v>
      </c>
      <c r="J6568" t="n">
        <v>0</v>
      </c>
      <c r="K6568" t="n">
        <v>0</v>
      </c>
      <c r="L6568" t="n">
        <v>0</v>
      </c>
      <c r="M6568" t="n">
        <v>0</v>
      </c>
      <c r="N6568" t="n">
        <v>0</v>
      </c>
      <c r="O6568" t="n">
        <v>0</v>
      </c>
      <c r="P6568" t="n">
        <v>0</v>
      </c>
      <c r="Q6568" t="n">
        <v>0</v>
      </c>
      <c r="R6568" s="2" t="inlineStr"/>
    </row>
    <row r="6569" ht="15" customHeight="1">
      <c r="A6569" t="inlineStr">
        <is>
          <t>A 44395-2022</t>
        </is>
      </c>
      <c r="B6569" s="1" t="n">
        <v>44839</v>
      </c>
      <c r="C6569" s="1" t="n">
        <v>45884</v>
      </c>
      <c r="D6569" t="inlineStr">
        <is>
          <t>KALMAR LÄN</t>
        </is>
      </c>
      <c r="E6569" t="inlineStr">
        <is>
          <t>NYBRO</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66022-2021</t>
        </is>
      </c>
      <c r="B6570" s="1" t="n">
        <v>44517</v>
      </c>
      <c r="C6570" s="1" t="n">
        <v>45884</v>
      </c>
      <c r="D6570" t="inlineStr">
        <is>
          <t>KALMAR LÄN</t>
        </is>
      </c>
      <c r="E6570" t="inlineStr">
        <is>
          <t>VIMMERBY</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32919-2023</t>
        </is>
      </c>
      <c r="B6571" s="1" t="n">
        <v>45125</v>
      </c>
      <c r="C6571" s="1" t="n">
        <v>45884</v>
      </c>
      <c r="D6571" t="inlineStr">
        <is>
          <t>KALMAR LÄN</t>
        </is>
      </c>
      <c r="E6571" t="inlineStr">
        <is>
          <t>BORGHOLM</t>
        </is>
      </c>
      <c r="G6571" t="n">
        <v>2.7</v>
      </c>
      <c r="H6571" t="n">
        <v>0</v>
      </c>
      <c r="I6571" t="n">
        <v>0</v>
      </c>
      <c r="J6571" t="n">
        <v>0</v>
      </c>
      <c r="K6571" t="n">
        <v>0</v>
      </c>
      <c r="L6571" t="n">
        <v>0</v>
      </c>
      <c r="M6571" t="n">
        <v>0</v>
      </c>
      <c r="N6571" t="n">
        <v>0</v>
      </c>
      <c r="O6571" t="n">
        <v>0</v>
      </c>
      <c r="P6571" t="n">
        <v>0</v>
      </c>
      <c r="Q6571" t="n">
        <v>0</v>
      </c>
      <c r="R6571" s="2" t="inlineStr"/>
    </row>
    <row r="6572" ht="15" customHeight="1">
      <c r="A6572" t="inlineStr">
        <is>
          <t>A 32955-2023</t>
        </is>
      </c>
      <c r="B6572" s="1" t="n">
        <v>45125.51887731482</v>
      </c>
      <c r="C6572" s="1" t="n">
        <v>45884</v>
      </c>
      <c r="D6572" t="inlineStr">
        <is>
          <t>KALMAR LÄN</t>
        </is>
      </c>
      <c r="E6572" t="inlineStr">
        <is>
          <t>KALMAR</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10739-2024</t>
        </is>
      </c>
      <c r="B6573" s="1" t="n">
        <v>45369.51451388889</v>
      </c>
      <c r="C6573" s="1" t="n">
        <v>45884</v>
      </c>
      <c r="D6573" t="inlineStr">
        <is>
          <t>KALMAR LÄN</t>
        </is>
      </c>
      <c r="E6573" t="inlineStr">
        <is>
          <t>NYBRO</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35895-2024</t>
        </is>
      </c>
      <c r="B6574" s="1" t="n">
        <v>45533.38870370371</v>
      </c>
      <c r="C6574" s="1" t="n">
        <v>45884</v>
      </c>
      <c r="D6574" t="inlineStr">
        <is>
          <t>KALMAR LÄN</t>
        </is>
      </c>
      <c r="E6574" t="inlineStr">
        <is>
          <t>VIMMERBY</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776-2023</t>
        </is>
      </c>
      <c r="B6575" s="1" t="n">
        <v>44931</v>
      </c>
      <c r="C6575" s="1" t="n">
        <v>45884</v>
      </c>
      <c r="D6575" t="inlineStr">
        <is>
          <t>KALMAR LÄN</t>
        </is>
      </c>
      <c r="E6575" t="inlineStr">
        <is>
          <t>MÖNSTERÅS</t>
        </is>
      </c>
      <c r="G6575" t="n">
        <v>5</v>
      </c>
      <c r="H6575" t="n">
        <v>0</v>
      </c>
      <c r="I6575" t="n">
        <v>0</v>
      </c>
      <c r="J6575" t="n">
        <v>0</v>
      </c>
      <c r="K6575" t="n">
        <v>0</v>
      </c>
      <c r="L6575" t="n">
        <v>0</v>
      </c>
      <c r="M6575" t="n">
        <v>0</v>
      </c>
      <c r="N6575" t="n">
        <v>0</v>
      </c>
      <c r="O6575" t="n">
        <v>0</v>
      </c>
      <c r="P6575" t="n">
        <v>0</v>
      </c>
      <c r="Q6575" t="n">
        <v>0</v>
      </c>
      <c r="R6575" s="2" t="inlineStr"/>
    </row>
    <row r="6576" ht="15" customHeight="1">
      <c r="A6576" t="inlineStr">
        <is>
          <t>A 56189-2023</t>
        </is>
      </c>
      <c r="B6576" s="1" t="n">
        <v>45240.65537037037</v>
      </c>
      <c r="C6576" s="1" t="n">
        <v>45884</v>
      </c>
      <c r="D6576" t="inlineStr">
        <is>
          <t>KALMAR LÄN</t>
        </is>
      </c>
      <c r="E6576" t="inlineStr">
        <is>
          <t>OSKARSHAMN</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11073-2023</t>
        </is>
      </c>
      <c r="B6577" s="1" t="n">
        <v>44992</v>
      </c>
      <c r="C6577" s="1" t="n">
        <v>45884</v>
      </c>
      <c r="D6577" t="inlineStr">
        <is>
          <t>KALMAR LÄN</t>
        </is>
      </c>
      <c r="E6577" t="inlineStr">
        <is>
          <t>VIMMERBY</t>
        </is>
      </c>
      <c r="F6577" t="inlineStr">
        <is>
          <t>Sveaskog</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63606-2023</t>
        </is>
      </c>
      <c r="B6578" s="1" t="n">
        <v>45275</v>
      </c>
      <c r="C6578" s="1" t="n">
        <v>45884</v>
      </c>
      <c r="D6578" t="inlineStr">
        <is>
          <t>KALMAR LÄN</t>
        </is>
      </c>
      <c r="E6578" t="inlineStr">
        <is>
          <t>VÄSTERVIK</t>
        </is>
      </c>
      <c r="G6578" t="n">
        <v>2.9</v>
      </c>
      <c r="H6578" t="n">
        <v>0</v>
      </c>
      <c r="I6578" t="n">
        <v>0</v>
      </c>
      <c r="J6578" t="n">
        <v>0</v>
      </c>
      <c r="K6578" t="n">
        <v>0</v>
      </c>
      <c r="L6578" t="n">
        <v>0</v>
      </c>
      <c r="M6578" t="n">
        <v>0</v>
      </c>
      <c r="N6578" t="n">
        <v>0</v>
      </c>
      <c r="O6578" t="n">
        <v>0</v>
      </c>
      <c r="P6578" t="n">
        <v>0</v>
      </c>
      <c r="Q6578" t="n">
        <v>0</v>
      </c>
      <c r="R6578" s="2" t="inlineStr"/>
    </row>
    <row r="6579" ht="15" customHeight="1">
      <c r="A6579" t="inlineStr">
        <is>
          <t>A 13964-2025</t>
        </is>
      </c>
      <c r="B6579" s="1" t="n">
        <v>45738.34930555556</v>
      </c>
      <c r="C6579" s="1" t="n">
        <v>45884</v>
      </c>
      <c r="D6579" t="inlineStr">
        <is>
          <t>KALMAR LÄN</t>
        </is>
      </c>
      <c r="E6579" t="inlineStr">
        <is>
          <t>MÖNSTERÅS</t>
        </is>
      </c>
      <c r="G6579" t="n">
        <v>0.2</v>
      </c>
      <c r="H6579" t="n">
        <v>0</v>
      </c>
      <c r="I6579" t="n">
        <v>0</v>
      </c>
      <c r="J6579" t="n">
        <v>0</v>
      </c>
      <c r="K6579" t="n">
        <v>0</v>
      </c>
      <c r="L6579" t="n">
        <v>0</v>
      </c>
      <c r="M6579" t="n">
        <v>0</v>
      </c>
      <c r="N6579" t="n">
        <v>0</v>
      </c>
      <c r="O6579" t="n">
        <v>0</v>
      </c>
      <c r="P6579" t="n">
        <v>0</v>
      </c>
      <c r="Q6579" t="n">
        <v>0</v>
      </c>
      <c r="R6579" s="2" t="inlineStr"/>
    </row>
    <row r="6580" ht="15" customHeight="1">
      <c r="A6580" t="inlineStr">
        <is>
          <t>A 35176-2025</t>
        </is>
      </c>
      <c r="B6580" s="1" t="n">
        <v>45852.91319444445</v>
      </c>
      <c r="C6580" s="1" t="n">
        <v>45884</v>
      </c>
      <c r="D6580" t="inlineStr">
        <is>
          <t>KALMAR LÄN</t>
        </is>
      </c>
      <c r="E6580" t="inlineStr">
        <is>
          <t>HULTSFRED</t>
        </is>
      </c>
      <c r="G6580" t="n">
        <v>2.4</v>
      </c>
      <c r="H6580" t="n">
        <v>0</v>
      </c>
      <c r="I6580" t="n">
        <v>0</v>
      </c>
      <c r="J6580" t="n">
        <v>0</v>
      </c>
      <c r="K6580" t="n">
        <v>0</v>
      </c>
      <c r="L6580" t="n">
        <v>0</v>
      </c>
      <c r="M6580" t="n">
        <v>0</v>
      </c>
      <c r="N6580" t="n">
        <v>0</v>
      </c>
      <c r="O6580" t="n">
        <v>0</v>
      </c>
      <c r="P6580" t="n">
        <v>0</v>
      </c>
      <c r="Q6580" t="n">
        <v>0</v>
      </c>
      <c r="R6580" s="2" t="inlineStr"/>
    </row>
    <row r="6581" ht="15" customHeight="1">
      <c r="A6581" t="inlineStr">
        <is>
          <t>A 13967-2025</t>
        </is>
      </c>
      <c r="B6581" s="1" t="n">
        <v>45738.36251157407</v>
      </c>
      <c r="C6581" s="1" t="n">
        <v>45884</v>
      </c>
      <c r="D6581" t="inlineStr">
        <is>
          <t>KALMAR LÄN</t>
        </is>
      </c>
      <c r="E6581" t="inlineStr">
        <is>
          <t>MÖNSTERÅS</t>
        </is>
      </c>
      <c r="G6581" t="n">
        <v>0.4</v>
      </c>
      <c r="H6581" t="n">
        <v>0</v>
      </c>
      <c r="I6581" t="n">
        <v>0</v>
      </c>
      <c r="J6581" t="n">
        <v>0</v>
      </c>
      <c r="K6581" t="n">
        <v>0</v>
      </c>
      <c r="L6581" t="n">
        <v>0</v>
      </c>
      <c r="M6581" t="n">
        <v>0</v>
      </c>
      <c r="N6581" t="n">
        <v>0</v>
      </c>
      <c r="O6581" t="n">
        <v>0</v>
      </c>
      <c r="P6581" t="n">
        <v>0</v>
      </c>
      <c r="Q6581" t="n">
        <v>0</v>
      </c>
      <c r="R6581" s="2" t="inlineStr"/>
    </row>
    <row r="6582" ht="15" customHeight="1">
      <c r="A6582" t="inlineStr">
        <is>
          <t>A 4651-2025</t>
        </is>
      </c>
      <c r="B6582" s="1" t="n">
        <v>45687.66491898148</v>
      </c>
      <c r="C6582" s="1" t="n">
        <v>45884</v>
      </c>
      <c r="D6582" t="inlineStr">
        <is>
          <t>KALMAR LÄN</t>
        </is>
      </c>
      <c r="E6582" t="inlineStr">
        <is>
          <t>OSKARSHAMN</t>
        </is>
      </c>
      <c r="G6582" t="n">
        <v>3.7</v>
      </c>
      <c r="H6582" t="n">
        <v>0</v>
      </c>
      <c r="I6582" t="n">
        <v>0</v>
      </c>
      <c r="J6582" t="n">
        <v>0</v>
      </c>
      <c r="K6582" t="n">
        <v>0</v>
      </c>
      <c r="L6582" t="n">
        <v>0</v>
      </c>
      <c r="M6582" t="n">
        <v>0</v>
      </c>
      <c r="N6582" t="n">
        <v>0</v>
      </c>
      <c r="O6582" t="n">
        <v>0</v>
      </c>
      <c r="P6582" t="n">
        <v>0</v>
      </c>
      <c r="Q6582" t="n">
        <v>0</v>
      </c>
      <c r="R6582" s="2" t="inlineStr"/>
    </row>
    <row r="6583" ht="15" customHeight="1">
      <c r="A6583" t="inlineStr">
        <is>
          <t>A 46775-2022</t>
        </is>
      </c>
      <c r="B6583" s="1" t="n">
        <v>44851.49424768519</v>
      </c>
      <c r="C6583" s="1" t="n">
        <v>45884</v>
      </c>
      <c r="D6583" t="inlineStr">
        <is>
          <t>KALMAR LÄN</t>
        </is>
      </c>
      <c r="E6583" t="inlineStr">
        <is>
          <t>EMMABODA</t>
        </is>
      </c>
      <c r="G6583" t="n">
        <v>1.1</v>
      </c>
      <c r="H6583" t="n">
        <v>0</v>
      </c>
      <c r="I6583" t="n">
        <v>0</v>
      </c>
      <c r="J6583" t="n">
        <v>0</v>
      </c>
      <c r="K6583" t="n">
        <v>0</v>
      </c>
      <c r="L6583" t="n">
        <v>0</v>
      </c>
      <c r="M6583" t="n">
        <v>0</v>
      </c>
      <c r="N6583" t="n">
        <v>0</v>
      </c>
      <c r="O6583" t="n">
        <v>0</v>
      </c>
      <c r="P6583" t="n">
        <v>0</v>
      </c>
      <c r="Q6583" t="n">
        <v>0</v>
      </c>
      <c r="R6583" s="2" t="inlineStr"/>
    </row>
    <row r="6584" ht="15" customHeight="1">
      <c r="A6584" t="inlineStr">
        <is>
          <t>A 26956-2025</t>
        </is>
      </c>
      <c r="B6584" s="1" t="n">
        <v>45811.45460648148</v>
      </c>
      <c r="C6584" s="1" t="n">
        <v>45884</v>
      </c>
      <c r="D6584" t="inlineStr">
        <is>
          <t>KALMAR LÄN</t>
        </is>
      </c>
      <c r="E6584" t="inlineStr">
        <is>
          <t>VIMMERBY</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42498-2022</t>
        </is>
      </c>
      <c r="B6585" s="1" t="n">
        <v>44831</v>
      </c>
      <c r="C6585" s="1" t="n">
        <v>45884</v>
      </c>
      <c r="D6585" t="inlineStr">
        <is>
          <t>KALMAR LÄN</t>
        </is>
      </c>
      <c r="E6585" t="inlineStr">
        <is>
          <t>HULTSFRED</t>
        </is>
      </c>
      <c r="G6585" t="n">
        <v>4.9</v>
      </c>
      <c r="H6585" t="n">
        <v>0</v>
      </c>
      <c r="I6585" t="n">
        <v>0</v>
      </c>
      <c r="J6585" t="n">
        <v>0</v>
      </c>
      <c r="K6585" t="n">
        <v>0</v>
      </c>
      <c r="L6585" t="n">
        <v>0</v>
      </c>
      <c r="M6585" t="n">
        <v>0</v>
      </c>
      <c r="N6585" t="n">
        <v>0</v>
      </c>
      <c r="O6585" t="n">
        <v>0</v>
      </c>
      <c r="P6585" t="n">
        <v>0</v>
      </c>
      <c r="Q6585" t="n">
        <v>0</v>
      </c>
      <c r="R6585" s="2" t="inlineStr"/>
    </row>
    <row r="6586" ht="15" customHeight="1">
      <c r="A6586" t="inlineStr">
        <is>
          <t>A 61556-2023</t>
        </is>
      </c>
      <c r="B6586" s="1" t="n">
        <v>45261</v>
      </c>
      <c r="C6586" s="1" t="n">
        <v>45884</v>
      </c>
      <c r="D6586" t="inlineStr">
        <is>
          <t>KALMAR LÄN</t>
        </is>
      </c>
      <c r="E6586" t="inlineStr">
        <is>
          <t>VÄSTERVIK</t>
        </is>
      </c>
      <c r="F6586" t="inlineStr">
        <is>
          <t>Övriga Aktiebolag</t>
        </is>
      </c>
      <c r="G6586" t="n">
        <v>13.9</v>
      </c>
      <c r="H6586" t="n">
        <v>0</v>
      </c>
      <c r="I6586" t="n">
        <v>0</v>
      </c>
      <c r="J6586" t="n">
        <v>0</v>
      </c>
      <c r="K6586" t="n">
        <v>0</v>
      </c>
      <c r="L6586" t="n">
        <v>0</v>
      </c>
      <c r="M6586" t="n">
        <v>0</v>
      </c>
      <c r="N6586" t="n">
        <v>0</v>
      </c>
      <c r="O6586" t="n">
        <v>0</v>
      </c>
      <c r="P6586" t="n">
        <v>0</v>
      </c>
      <c r="Q6586" t="n">
        <v>0</v>
      </c>
      <c r="R6586" s="2" t="inlineStr"/>
    </row>
    <row r="6587" ht="15" customHeight="1">
      <c r="A6587" t="inlineStr">
        <is>
          <t>A 6434-2024</t>
        </is>
      </c>
      <c r="B6587" s="1" t="n">
        <v>45338</v>
      </c>
      <c r="C6587" s="1" t="n">
        <v>45884</v>
      </c>
      <c r="D6587" t="inlineStr">
        <is>
          <t>KALMAR LÄN</t>
        </is>
      </c>
      <c r="E6587" t="inlineStr">
        <is>
          <t>KALMAR</t>
        </is>
      </c>
      <c r="G6587" t="n">
        <v>4.8</v>
      </c>
      <c r="H6587" t="n">
        <v>0</v>
      </c>
      <c r="I6587" t="n">
        <v>0</v>
      </c>
      <c r="J6587" t="n">
        <v>0</v>
      </c>
      <c r="K6587" t="n">
        <v>0</v>
      </c>
      <c r="L6587" t="n">
        <v>0</v>
      </c>
      <c r="M6587" t="n">
        <v>0</v>
      </c>
      <c r="N6587" t="n">
        <v>0</v>
      </c>
      <c r="O6587" t="n">
        <v>0</v>
      </c>
      <c r="P6587" t="n">
        <v>0</v>
      </c>
      <c r="Q6587" t="n">
        <v>0</v>
      </c>
      <c r="R6587" s="2" t="inlineStr"/>
    </row>
    <row r="6588" ht="15" customHeight="1">
      <c r="A6588" t="inlineStr">
        <is>
          <t>A 26729-2023</t>
        </is>
      </c>
      <c r="B6588" s="1" t="n">
        <v>45093.41260416667</v>
      </c>
      <c r="C6588" s="1" t="n">
        <v>45884</v>
      </c>
      <c r="D6588" t="inlineStr">
        <is>
          <t>KALMAR LÄN</t>
        </is>
      </c>
      <c r="E6588" t="inlineStr">
        <is>
          <t>NYBRO</t>
        </is>
      </c>
      <c r="G6588" t="n">
        <v>2.9</v>
      </c>
      <c r="H6588" t="n">
        <v>0</v>
      </c>
      <c r="I6588" t="n">
        <v>0</v>
      </c>
      <c r="J6588" t="n">
        <v>0</v>
      </c>
      <c r="K6588" t="n">
        <v>0</v>
      </c>
      <c r="L6588" t="n">
        <v>0</v>
      </c>
      <c r="M6588" t="n">
        <v>0</v>
      </c>
      <c r="N6588" t="n">
        <v>0</v>
      </c>
      <c r="O6588" t="n">
        <v>0</v>
      </c>
      <c r="P6588" t="n">
        <v>0</v>
      </c>
      <c r="Q6588" t="n">
        <v>0</v>
      </c>
      <c r="R6588" s="2" t="inlineStr"/>
    </row>
    <row r="6589" ht="15" customHeight="1">
      <c r="A6589" t="inlineStr">
        <is>
          <t>A 5666-2023</t>
        </is>
      </c>
      <c r="B6589" s="1" t="n">
        <v>44960</v>
      </c>
      <c r="C6589" s="1" t="n">
        <v>45884</v>
      </c>
      <c r="D6589" t="inlineStr">
        <is>
          <t>KALMAR LÄN</t>
        </is>
      </c>
      <c r="E6589" t="inlineStr">
        <is>
          <t>EMMABODA</t>
        </is>
      </c>
      <c r="G6589" t="n">
        <v>2.8</v>
      </c>
      <c r="H6589" t="n">
        <v>0</v>
      </c>
      <c r="I6589" t="n">
        <v>0</v>
      </c>
      <c r="J6589" t="n">
        <v>0</v>
      </c>
      <c r="K6589" t="n">
        <v>0</v>
      </c>
      <c r="L6589" t="n">
        <v>0</v>
      </c>
      <c r="M6589" t="n">
        <v>0</v>
      </c>
      <c r="N6589" t="n">
        <v>0</v>
      </c>
      <c r="O6589" t="n">
        <v>0</v>
      </c>
      <c r="P6589" t="n">
        <v>0</v>
      </c>
      <c r="Q6589" t="n">
        <v>0</v>
      </c>
      <c r="R6589" s="2" t="inlineStr"/>
    </row>
    <row r="6590" ht="15" customHeight="1">
      <c r="A6590" t="inlineStr">
        <is>
          <t>A 35113-2025</t>
        </is>
      </c>
      <c r="B6590" s="1" t="n">
        <v>45852.58133101852</v>
      </c>
      <c r="C6590" s="1" t="n">
        <v>45884</v>
      </c>
      <c r="D6590" t="inlineStr">
        <is>
          <t>KALMAR LÄN</t>
        </is>
      </c>
      <c r="E6590" t="inlineStr">
        <is>
          <t>EMMABODA</t>
        </is>
      </c>
      <c r="G6590" t="n">
        <v>1.8</v>
      </c>
      <c r="H6590" t="n">
        <v>0</v>
      </c>
      <c r="I6590" t="n">
        <v>0</v>
      </c>
      <c r="J6590" t="n">
        <v>0</v>
      </c>
      <c r="K6590" t="n">
        <v>0</v>
      </c>
      <c r="L6590" t="n">
        <v>0</v>
      </c>
      <c r="M6590" t="n">
        <v>0</v>
      </c>
      <c r="N6590" t="n">
        <v>0</v>
      </c>
      <c r="O6590" t="n">
        <v>0</v>
      </c>
      <c r="P6590" t="n">
        <v>0</v>
      </c>
      <c r="Q6590" t="n">
        <v>0</v>
      </c>
      <c r="R6590" s="2" t="inlineStr"/>
    </row>
    <row r="6591" ht="15" customHeight="1">
      <c r="A6591" t="inlineStr">
        <is>
          <t>A 29404-2024</t>
        </is>
      </c>
      <c r="B6591" s="1" t="n">
        <v>45483</v>
      </c>
      <c r="C6591" s="1" t="n">
        <v>45884</v>
      </c>
      <c r="D6591" t="inlineStr">
        <is>
          <t>KALMAR LÄN</t>
        </is>
      </c>
      <c r="E6591" t="inlineStr">
        <is>
          <t>VÄSTERVIK</t>
        </is>
      </c>
      <c r="G6591" t="n">
        <v>2.2</v>
      </c>
      <c r="H6591" t="n">
        <v>0</v>
      </c>
      <c r="I6591" t="n">
        <v>0</v>
      </c>
      <c r="J6591" t="n">
        <v>0</v>
      </c>
      <c r="K6591" t="n">
        <v>0</v>
      </c>
      <c r="L6591" t="n">
        <v>0</v>
      </c>
      <c r="M6591" t="n">
        <v>0</v>
      </c>
      <c r="N6591" t="n">
        <v>0</v>
      </c>
      <c r="O6591" t="n">
        <v>0</v>
      </c>
      <c r="P6591" t="n">
        <v>0</v>
      </c>
      <c r="Q6591" t="n">
        <v>0</v>
      </c>
      <c r="R6591" s="2" t="inlineStr"/>
    </row>
    <row r="6592" ht="15" customHeight="1">
      <c r="A6592" t="inlineStr">
        <is>
          <t>A 4898-2023</t>
        </is>
      </c>
      <c r="B6592" s="1" t="n">
        <v>44958.36125</v>
      </c>
      <c r="C6592" s="1" t="n">
        <v>45884</v>
      </c>
      <c r="D6592" t="inlineStr">
        <is>
          <t>KALMAR LÄN</t>
        </is>
      </c>
      <c r="E6592" t="inlineStr">
        <is>
          <t>TORSÅS</t>
        </is>
      </c>
      <c r="F6592" t="inlineStr">
        <is>
          <t>Övriga Aktiebolag</t>
        </is>
      </c>
      <c r="G6592" t="n">
        <v>2.3</v>
      </c>
      <c r="H6592" t="n">
        <v>0</v>
      </c>
      <c r="I6592" t="n">
        <v>0</v>
      </c>
      <c r="J6592" t="n">
        <v>0</v>
      </c>
      <c r="K6592" t="n">
        <v>0</v>
      </c>
      <c r="L6592" t="n">
        <v>0</v>
      </c>
      <c r="M6592" t="n">
        <v>0</v>
      </c>
      <c r="N6592" t="n">
        <v>0</v>
      </c>
      <c r="O6592" t="n">
        <v>0</v>
      </c>
      <c r="P6592" t="n">
        <v>0</v>
      </c>
      <c r="Q6592" t="n">
        <v>0</v>
      </c>
      <c r="R6592" s="2" t="inlineStr"/>
    </row>
    <row r="6593" ht="15" customHeight="1">
      <c r="A6593" t="inlineStr">
        <is>
          <t>A 21714-2024</t>
        </is>
      </c>
      <c r="B6593" s="1" t="n">
        <v>45442.48394675926</v>
      </c>
      <c r="C6593" s="1" t="n">
        <v>45884</v>
      </c>
      <c r="D6593" t="inlineStr">
        <is>
          <t>KALMAR LÄN</t>
        </is>
      </c>
      <c r="E6593" t="inlineStr">
        <is>
          <t>HULTSFRED</t>
        </is>
      </c>
      <c r="G6593" t="n">
        <v>6</v>
      </c>
      <c r="H6593" t="n">
        <v>0</v>
      </c>
      <c r="I6593" t="n">
        <v>0</v>
      </c>
      <c r="J6593" t="n">
        <v>0</v>
      </c>
      <c r="K6593" t="n">
        <v>0</v>
      </c>
      <c r="L6593" t="n">
        <v>0</v>
      </c>
      <c r="M6593" t="n">
        <v>0</v>
      </c>
      <c r="N6593" t="n">
        <v>0</v>
      </c>
      <c r="O6593" t="n">
        <v>0</v>
      </c>
      <c r="P6593" t="n">
        <v>0</v>
      </c>
      <c r="Q6593" t="n">
        <v>0</v>
      </c>
      <c r="R6593" s="2" t="inlineStr"/>
    </row>
    <row r="6594" ht="15" customHeight="1">
      <c r="A6594" t="inlineStr">
        <is>
          <t>A 25547-2024</t>
        </is>
      </c>
      <c r="B6594" s="1" t="n">
        <v>45463</v>
      </c>
      <c r="C6594" s="1" t="n">
        <v>45884</v>
      </c>
      <c r="D6594" t="inlineStr">
        <is>
          <t>KALMAR LÄN</t>
        </is>
      </c>
      <c r="E6594" t="inlineStr">
        <is>
          <t>NYBRO</t>
        </is>
      </c>
      <c r="G6594" t="n">
        <v>4.7</v>
      </c>
      <c r="H6594" t="n">
        <v>0</v>
      </c>
      <c r="I6594" t="n">
        <v>0</v>
      </c>
      <c r="J6594" t="n">
        <v>0</v>
      </c>
      <c r="K6594" t="n">
        <v>0</v>
      </c>
      <c r="L6594" t="n">
        <v>0</v>
      </c>
      <c r="M6594" t="n">
        <v>0</v>
      </c>
      <c r="N6594" t="n">
        <v>0</v>
      </c>
      <c r="O6594" t="n">
        <v>0</v>
      </c>
      <c r="P6594" t="n">
        <v>0</v>
      </c>
      <c r="Q6594" t="n">
        <v>0</v>
      </c>
      <c r="R6594" s="2" t="inlineStr"/>
    </row>
    <row r="6595" ht="15" customHeight="1">
      <c r="A6595" t="inlineStr">
        <is>
          <t>A 25561-2024</t>
        </is>
      </c>
      <c r="B6595" s="1" t="n">
        <v>45463.58467592593</v>
      </c>
      <c r="C6595" s="1" t="n">
        <v>45884</v>
      </c>
      <c r="D6595" t="inlineStr">
        <is>
          <t>KALMAR LÄN</t>
        </is>
      </c>
      <c r="E6595" t="inlineStr">
        <is>
          <t>VÄSTERVIK</t>
        </is>
      </c>
      <c r="F6595" t="inlineStr">
        <is>
          <t>Holmen skog AB</t>
        </is>
      </c>
      <c r="G6595" t="n">
        <v>7.2</v>
      </c>
      <c r="H6595" t="n">
        <v>0</v>
      </c>
      <c r="I6595" t="n">
        <v>0</v>
      </c>
      <c r="J6595" t="n">
        <v>0</v>
      </c>
      <c r="K6595" t="n">
        <v>0</v>
      </c>
      <c r="L6595" t="n">
        <v>0</v>
      </c>
      <c r="M6595" t="n">
        <v>0</v>
      </c>
      <c r="N6595" t="n">
        <v>0</v>
      </c>
      <c r="O6595" t="n">
        <v>0</v>
      </c>
      <c r="P6595" t="n">
        <v>0</v>
      </c>
      <c r="Q6595" t="n">
        <v>0</v>
      </c>
      <c r="R6595" s="2" t="inlineStr"/>
    </row>
    <row r="6596" ht="15" customHeight="1">
      <c r="A6596" t="inlineStr">
        <is>
          <t>A 40188-2023</t>
        </is>
      </c>
      <c r="B6596" s="1" t="n">
        <v>45169</v>
      </c>
      <c r="C6596" s="1" t="n">
        <v>45884</v>
      </c>
      <c r="D6596" t="inlineStr">
        <is>
          <t>KALMAR LÄN</t>
        </is>
      </c>
      <c r="E6596" t="inlineStr">
        <is>
          <t>MÖNSTERÅS</t>
        </is>
      </c>
      <c r="G6596" t="n">
        <v>0.5</v>
      </c>
      <c r="H6596" t="n">
        <v>0</v>
      </c>
      <c r="I6596" t="n">
        <v>0</v>
      </c>
      <c r="J6596" t="n">
        <v>0</v>
      </c>
      <c r="K6596" t="n">
        <v>0</v>
      </c>
      <c r="L6596" t="n">
        <v>0</v>
      </c>
      <c r="M6596" t="n">
        <v>0</v>
      </c>
      <c r="N6596" t="n">
        <v>0</v>
      </c>
      <c r="O6596" t="n">
        <v>0</v>
      </c>
      <c r="P6596" t="n">
        <v>0</v>
      </c>
      <c r="Q6596" t="n">
        <v>0</v>
      </c>
      <c r="R6596" s="2" t="inlineStr"/>
    </row>
    <row r="6597" ht="15" customHeight="1">
      <c r="A6597" t="inlineStr">
        <is>
          <t>A 35021-2025</t>
        </is>
      </c>
      <c r="B6597" s="1" t="n">
        <v>45851.91469907408</v>
      </c>
      <c r="C6597" s="1" t="n">
        <v>45884</v>
      </c>
      <c r="D6597" t="inlineStr">
        <is>
          <t>KALMAR LÄN</t>
        </is>
      </c>
      <c r="E6597" t="inlineStr">
        <is>
          <t>EMMABODA</t>
        </is>
      </c>
      <c r="G6597" t="n">
        <v>4.1</v>
      </c>
      <c r="H6597" t="n">
        <v>0</v>
      </c>
      <c r="I6597" t="n">
        <v>0</v>
      </c>
      <c r="J6597" t="n">
        <v>0</v>
      </c>
      <c r="K6597" t="n">
        <v>0</v>
      </c>
      <c r="L6597" t="n">
        <v>0</v>
      </c>
      <c r="M6597" t="n">
        <v>0</v>
      </c>
      <c r="N6597" t="n">
        <v>0</v>
      </c>
      <c r="O6597" t="n">
        <v>0</v>
      </c>
      <c r="P6597" t="n">
        <v>0</v>
      </c>
      <c r="Q6597" t="n">
        <v>0</v>
      </c>
      <c r="R6597" s="2" t="inlineStr"/>
    </row>
    <row r="6598" ht="15" customHeight="1">
      <c r="A6598" t="inlineStr">
        <is>
          <t>A 40674-2023</t>
        </is>
      </c>
      <c r="B6598" s="1" t="n">
        <v>45170.59288194445</v>
      </c>
      <c r="C6598" s="1" t="n">
        <v>45884</v>
      </c>
      <c r="D6598" t="inlineStr">
        <is>
          <t>KALMAR LÄN</t>
        </is>
      </c>
      <c r="E6598" t="inlineStr">
        <is>
          <t>VÄSTERVIK</t>
        </is>
      </c>
      <c r="G6598" t="n">
        <v>4.2</v>
      </c>
      <c r="H6598" t="n">
        <v>0</v>
      </c>
      <c r="I6598" t="n">
        <v>0</v>
      </c>
      <c r="J6598" t="n">
        <v>0</v>
      </c>
      <c r="K6598" t="n">
        <v>0</v>
      </c>
      <c r="L6598" t="n">
        <v>0</v>
      </c>
      <c r="M6598" t="n">
        <v>0</v>
      </c>
      <c r="N6598" t="n">
        <v>0</v>
      </c>
      <c r="O6598" t="n">
        <v>0</v>
      </c>
      <c r="P6598" t="n">
        <v>0</v>
      </c>
      <c r="Q6598" t="n">
        <v>0</v>
      </c>
      <c r="R6598" s="2" t="inlineStr"/>
    </row>
    <row r="6599" ht="15" customHeight="1">
      <c r="A6599" t="inlineStr">
        <is>
          <t>A 40677-2023</t>
        </is>
      </c>
      <c r="B6599" s="1" t="n">
        <v>45170.59443287037</v>
      </c>
      <c r="C6599" s="1" t="n">
        <v>45884</v>
      </c>
      <c r="D6599" t="inlineStr">
        <is>
          <t>KALMAR LÄN</t>
        </is>
      </c>
      <c r="E6599" t="inlineStr">
        <is>
          <t>VÄSTERVIK</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35065-2025</t>
        </is>
      </c>
      <c r="B6600" s="1" t="n">
        <v>45852.43928240741</v>
      </c>
      <c r="C6600" s="1" t="n">
        <v>45884</v>
      </c>
      <c r="D6600" t="inlineStr">
        <is>
          <t>KALMAR LÄN</t>
        </is>
      </c>
      <c r="E6600" t="inlineStr">
        <is>
          <t>MÖNSTERÅS</t>
        </is>
      </c>
      <c r="G6600" t="n">
        <v>9.699999999999999</v>
      </c>
      <c r="H6600" t="n">
        <v>0</v>
      </c>
      <c r="I6600" t="n">
        <v>0</v>
      </c>
      <c r="J6600" t="n">
        <v>0</v>
      </c>
      <c r="K6600" t="n">
        <v>0</v>
      </c>
      <c r="L6600" t="n">
        <v>0</v>
      </c>
      <c r="M6600" t="n">
        <v>0</v>
      </c>
      <c r="N6600" t="n">
        <v>0</v>
      </c>
      <c r="O6600" t="n">
        <v>0</v>
      </c>
      <c r="P6600" t="n">
        <v>0</v>
      </c>
      <c r="Q6600" t="n">
        <v>0</v>
      </c>
      <c r="R6600" s="2" t="inlineStr"/>
    </row>
    <row r="6601" ht="15" customHeight="1">
      <c r="A6601" t="inlineStr">
        <is>
          <t>A 25582-2022</t>
        </is>
      </c>
      <c r="B6601" s="1" t="n">
        <v>44732.66290509259</v>
      </c>
      <c r="C6601" s="1" t="n">
        <v>45884</v>
      </c>
      <c r="D6601" t="inlineStr">
        <is>
          <t>KALMAR LÄN</t>
        </is>
      </c>
      <c r="E6601" t="inlineStr">
        <is>
          <t>HULTSFRED</t>
        </is>
      </c>
      <c r="G6601" t="n">
        <v>1.3</v>
      </c>
      <c r="H6601" t="n">
        <v>0</v>
      </c>
      <c r="I6601" t="n">
        <v>0</v>
      </c>
      <c r="J6601" t="n">
        <v>0</v>
      </c>
      <c r="K6601" t="n">
        <v>0</v>
      </c>
      <c r="L6601" t="n">
        <v>0</v>
      </c>
      <c r="M6601" t="n">
        <v>0</v>
      </c>
      <c r="N6601" t="n">
        <v>0</v>
      </c>
      <c r="O6601" t="n">
        <v>0</v>
      </c>
      <c r="P6601" t="n">
        <v>0</v>
      </c>
      <c r="Q6601" t="n">
        <v>0</v>
      </c>
      <c r="R6601" s="2" t="inlineStr"/>
    </row>
    <row r="6602" ht="15" customHeight="1">
      <c r="A6602" t="inlineStr">
        <is>
          <t>A 17-2025</t>
        </is>
      </c>
      <c r="B6602" s="1" t="n">
        <v>45658.78774305555</v>
      </c>
      <c r="C6602" s="1" t="n">
        <v>45884</v>
      </c>
      <c r="D6602" t="inlineStr">
        <is>
          <t>KALMAR LÄN</t>
        </is>
      </c>
      <c r="E6602" t="inlineStr">
        <is>
          <t>VIMMERBY</t>
        </is>
      </c>
      <c r="G6602" t="n">
        <v>4.4</v>
      </c>
      <c r="H6602" t="n">
        <v>0</v>
      </c>
      <c r="I6602" t="n">
        <v>0</v>
      </c>
      <c r="J6602" t="n">
        <v>0</v>
      </c>
      <c r="K6602" t="n">
        <v>0</v>
      </c>
      <c r="L6602" t="n">
        <v>0</v>
      </c>
      <c r="M6602" t="n">
        <v>0</v>
      </c>
      <c r="N6602" t="n">
        <v>0</v>
      </c>
      <c r="O6602" t="n">
        <v>0</v>
      </c>
      <c r="P6602" t="n">
        <v>0</v>
      </c>
      <c r="Q6602" t="n">
        <v>0</v>
      </c>
      <c r="R6602" s="2" t="inlineStr"/>
    </row>
    <row r="6603" ht="15" customHeight="1">
      <c r="A6603" t="inlineStr">
        <is>
          <t>A 26863-2023</t>
        </is>
      </c>
      <c r="B6603" s="1" t="n">
        <v>45093</v>
      </c>
      <c r="C6603" s="1" t="n">
        <v>45884</v>
      </c>
      <c r="D6603" t="inlineStr">
        <is>
          <t>KALMAR LÄN</t>
        </is>
      </c>
      <c r="E6603" t="inlineStr">
        <is>
          <t>NYBRO</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32647-2023</t>
        </is>
      </c>
      <c r="B6604" s="1" t="n">
        <v>45121</v>
      </c>
      <c r="C6604" s="1" t="n">
        <v>45884</v>
      </c>
      <c r="D6604" t="inlineStr">
        <is>
          <t>KALMAR LÄN</t>
        </is>
      </c>
      <c r="E6604" t="inlineStr">
        <is>
          <t>VÄSTERVIK</t>
        </is>
      </c>
      <c r="G6604" t="n">
        <v>0.9</v>
      </c>
      <c r="H6604" t="n">
        <v>0</v>
      </c>
      <c r="I6604" t="n">
        <v>0</v>
      </c>
      <c r="J6604" t="n">
        <v>0</v>
      </c>
      <c r="K6604" t="n">
        <v>0</v>
      </c>
      <c r="L6604" t="n">
        <v>0</v>
      </c>
      <c r="M6604" t="n">
        <v>0</v>
      </c>
      <c r="N6604" t="n">
        <v>0</v>
      </c>
      <c r="O6604" t="n">
        <v>0</v>
      </c>
      <c r="P6604" t="n">
        <v>0</v>
      </c>
      <c r="Q6604" t="n">
        <v>0</v>
      </c>
      <c r="R6604" s="2" t="inlineStr"/>
    </row>
    <row r="6605" ht="15" customHeight="1">
      <c r="A6605" t="inlineStr">
        <is>
          <t>A 32655-2023</t>
        </is>
      </c>
      <c r="B6605" s="1" t="n">
        <v>45121.61318287037</v>
      </c>
      <c r="C6605" s="1" t="n">
        <v>45884</v>
      </c>
      <c r="D6605" t="inlineStr">
        <is>
          <t>KALMAR LÄN</t>
        </is>
      </c>
      <c r="E6605" t="inlineStr">
        <is>
          <t>VIMMERBY</t>
        </is>
      </c>
      <c r="F6605" t="inlineStr">
        <is>
          <t>Sveaskog</t>
        </is>
      </c>
      <c r="G6605" t="n">
        <v>2</v>
      </c>
      <c r="H6605" t="n">
        <v>0</v>
      </c>
      <c r="I6605" t="n">
        <v>0</v>
      </c>
      <c r="J6605" t="n">
        <v>0</v>
      </c>
      <c r="K6605" t="n">
        <v>0</v>
      </c>
      <c r="L6605" t="n">
        <v>0</v>
      </c>
      <c r="M6605" t="n">
        <v>0</v>
      </c>
      <c r="N6605" t="n">
        <v>0</v>
      </c>
      <c r="O6605" t="n">
        <v>0</v>
      </c>
      <c r="P6605" t="n">
        <v>0</v>
      </c>
      <c r="Q6605" t="n">
        <v>0</v>
      </c>
      <c r="R6605" s="2" t="inlineStr"/>
    </row>
    <row r="6606" ht="15" customHeight="1">
      <c r="A6606" t="inlineStr">
        <is>
          <t>A 32660-2023</t>
        </is>
      </c>
      <c r="B6606" s="1" t="n">
        <v>45121.62556712963</v>
      </c>
      <c r="C6606" s="1" t="n">
        <v>45884</v>
      </c>
      <c r="D6606" t="inlineStr">
        <is>
          <t>KALMAR LÄN</t>
        </is>
      </c>
      <c r="E6606" t="inlineStr">
        <is>
          <t>NYBRO</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38955-2021</t>
        </is>
      </c>
      <c r="B6607" s="1" t="n">
        <v>44411.6815625</v>
      </c>
      <c r="C6607" s="1" t="n">
        <v>45884</v>
      </c>
      <c r="D6607" t="inlineStr">
        <is>
          <t>KALMAR LÄN</t>
        </is>
      </c>
      <c r="E6607" t="inlineStr">
        <is>
          <t>TORSÅS</t>
        </is>
      </c>
      <c r="G6607" t="n">
        <v>3.1</v>
      </c>
      <c r="H6607" t="n">
        <v>0</v>
      </c>
      <c r="I6607" t="n">
        <v>0</v>
      </c>
      <c r="J6607" t="n">
        <v>0</v>
      </c>
      <c r="K6607" t="n">
        <v>0</v>
      </c>
      <c r="L6607" t="n">
        <v>0</v>
      </c>
      <c r="M6607" t="n">
        <v>0</v>
      </c>
      <c r="N6607" t="n">
        <v>0</v>
      </c>
      <c r="O6607" t="n">
        <v>0</v>
      </c>
      <c r="P6607" t="n">
        <v>0</v>
      </c>
      <c r="Q6607" t="n">
        <v>0</v>
      </c>
      <c r="R6607" s="2" t="inlineStr"/>
    </row>
    <row r="6608" ht="15" customHeight="1">
      <c r="A6608" t="inlineStr">
        <is>
          <t>A 35020-2025</t>
        </is>
      </c>
      <c r="B6608" s="1" t="n">
        <v>45851.91112268518</v>
      </c>
      <c r="C6608" s="1" t="n">
        <v>45884</v>
      </c>
      <c r="D6608" t="inlineStr">
        <is>
          <t>KALMAR LÄN</t>
        </is>
      </c>
      <c r="E6608" t="inlineStr">
        <is>
          <t>EMMABODA</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51264-2020</t>
        </is>
      </c>
      <c r="B6609" s="1" t="n">
        <v>44112</v>
      </c>
      <c r="C6609" s="1" t="n">
        <v>45884</v>
      </c>
      <c r="D6609" t="inlineStr">
        <is>
          <t>KALMAR LÄN</t>
        </is>
      </c>
      <c r="E6609" t="inlineStr">
        <is>
          <t>VÄSTERVIK</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26609-2025</t>
        </is>
      </c>
      <c r="B6610" s="1" t="n">
        <v>45810.00048611111</v>
      </c>
      <c r="C6610" s="1" t="n">
        <v>45884</v>
      </c>
      <c r="D6610" t="inlineStr">
        <is>
          <t>KALMAR LÄN</t>
        </is>
      </c>
      <c r="E6610" t="inlineStr">
        <is>
          <t>VIMMERBY</t>
        </is>
      </c>
      <c r="G6610" t="n">
        <v>3.8</v>
      </c>
      <c r="H6610" t="n">
        <v>0</v>
      </c>
      <c r="I6610" t="n">
        <v>0</v>
      </c>
      <c r="J6610" t="n">
        <v>0</v>
      </c>
      <c r="K6610" t="n">
        <v>0</v>
      </c>
      <c r="L6610" t="n">
        <v>0</v>
      </c>
      <c r="M6610" t="n">
        <v>0</v>
      </c>
      <c r="N6610" t="n">
        <v>0</v>
      </c>
      <c r="O6610" t="n">
        <v>0</v>
      </c>
      <c r="P6610" t="n">
        <v>0</v>
      </c>
      <c r="Q6610" t="n">
        <v>0</v>
      </c>
      <c r="R6610" s="2" t="inlineStr"/>
    </row>
    <row r="6611" ht="15" customHeight="1">
      <c r="A6611" t="inlineStr">
        <is>
          <t>A 41992-2024</t>
        </is>
      </c>
      <c r="B6611" s="1" t="n">
        <v>45561</v>
      </c>
      <c r="C6611" s="1" t="n">
        <v>45884</v>
      </c>
      <c r="D6611" t="inlineStr">
        <is>
          <t>KALMAR LÄN</t>
        </is>
      </c>
      <c r="E6611" t="inlineStr">
        <is>
          <t>NYBRO</t>
        </is>
      </c>
      <c r="F6611" t="inlineStr">
        <is>
          <t>Kyrkan</t>
        </is>
      </c>
      <c r="G6611" t="n">
        <v>3.8</v>
      </c>
      <c r="H6611" t="n">
        <v>0</v>
      </c>
      <c r="I6611" t="n">
        <v>0</v>
      </c>
      <c r="J6611" t="n">
        <v>0</v>
      </c>
      <c r="K6611" t="n">
        <v>0</v>
      </c>
      <c r="L6611" t="n">
        <v>0</v>
      </c>
      <c r="M6611" t="n">
        <v>0</v>
      </c>
      <c r="N6611" t="n">
        <v>0</v>
      </c>
      <c r="O6611" t="n">
        <v>0</v>
      </c>
      <c r="P6611" t="n">
        <v>0</v>
      </c>
      <c r="Q6611" t="n">
        <v>0</v>
      </c>
      <c r="R6611" s="2" t="inlineStr"/>
    </row>
    <row r="6612" ht="15" customHeight="1">
      <c r="A6612" t="inlineStr">
        <is>
          <t>A 41993-2024</t>
        </is>
      </c>
      <c r="B6612" s="1" t="n">
        <v>45561</v>
      </c>
      <c r="C6612" s="1" t="n">
        <v>45884</v>
      </c>
      <c r="D6612" t="inlineStr">
        <is>
          <t>KALMAR LÄN</t>
        </is>
      </c>
      <c r="E6612" t="inlineStr">
        <is>
          <t>NYBRO</t>
        </is>
      </c>
      <c r="F6612" t="inlineStr">
        <is>
          <t>Kyrkan</t>
        </is>
      </c>
      <c r="G6612" t="n">
        <v>9.800000000000001</v>
      </c>
      <c r="H6612" t="n">
        <v>0</v>
      </c>
      <c r="I6612" t="n">
        <v>0</v>
      </c>
      <c r="J6612" t="n">
        <v>0</v>
      </c>
      <c r="K6612" t="n">
        <v>0</v>
      </c>
      <c r="L6612" t="n">
        <v>0</v>
      </c>
      <c r="M6612" t="n">
        <v>0</v>
      </c>
      <c r="N6612" t="n">
        <v>0</v>
      </c>
      <c r="O6612" t="n">
        <v>0</v>
      </c>
      <c r="P6612" t="n">
        <v>0</v>
      </c>
      <c r="Q6612" t="n">
        <v>0</v>
      </c>
      <c r="R6612" s="2" t="inlineStr"/>
    </row>
    <row r="6613" ht="15" customHeight="1">
      <c r="A6613" t="inlineStr">
        <is>
          <t>A 63541-2023</t>
        </is>
      </c>
      <c r="B6613" s="1" t="n">
        <v>45275.32266203704</v>
      </c>
      <c r="C6613" s="1" t="n">
        <v>45884</v>
      </c>
      <c r="D6613" t="inlineStr">
        <is>
          <t>KALMAR LÄN</t>
        </is>
      </c>
      <c r="E6613" t="inlineStr">
        <is>
          <t>VIMMERBY</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24646-2024</t>
        </is>
      </c>
      <c r="B6614" s="1" t="n">
        <v>45460.56112268518</v>
      </c>
      <c r="C6614" s="1" t="n">
        <v>45884</v>
      </c>
      <c r="D6614" t="inlineStr">
        <is>
          <t>KALMAR LÄN</t>
        </is>
      </c>
      <c r="E6614" t="inlineStr">
        <is>
          <t>KALMAR</t>
        </is>
      </c>
      <c r="G6614" t="n">
        <v>0.6</v>
      </c>
      <c r="H6614" t="n">
        <v>0</v>
      </c>
      <c r="I6614" t="n">
        <v>0</v>
      </c>
      <c r="J6614" t="n">
        <v>0</v>
      </c>
      <c r="K6614" t="n">
        <v>0</v>
      </c>
      <c r="L6614" t="n">
        <v>0</v>
      </c>
      <c r="M6614" t="n">
        <v>0</v>
      </c>
      <c r="N6614" t="n">
        <v>0</v>
      </c>
      <c r="O6614" t="n">
        <v>0</v>
      </c>
      <c r="P6614" t="n">
        <v>0</v>
      </c>
      <c r="Q6614" t="n">
        <v>0</v>
      </c>
      <c r="R6614" s="2" t="inlineStr"/>
    </row>
    <row r="6615" ht="15" customHeight="1">
      <c r="A6615" t="inlineStr">
        <is>
          <t>A 52963-2024</t>
        </is>
      </c>
      <c r="B6615" s="1" t="n">
        <v>45611.31045138889</v>
      </c>
      <c r="C6615" s="1" t="n">
        <v>45884</v>
      </c>
      <c r="D6615" t="inlineStr">
        <is>
          <t>KALMAR LÄN</t>
        </is>
      </c>
      <c r="E6615" t="inlineStr">
        <is>
          <t>MÖNSTERÅS</t>
        </is>
      </c>
      <c r="G6615" t="n">
        <v>2</v>
      </c>
      <c r="H6615" t="n">
        <v>0</v>
      </c>
      <c r="I6615" t="n">
        <v>0</v>
      </c>
      <c r="J6615" t="n">
        <v>0</v>
      </c>
      <c r="K6615" t="n">
        <v>0</v>
      </c>
      <c r="L6615" t="n">
        <v>0</v>
      </c>
      <c r="M6615" t="n">
        <v>0</v>
      </c>
      <c r="N6615" t="n">
        <v>0</v>
      </c>
      <c r="O6615" t="n">
        <v>0</v>
      </c>
      <c r="P6615" t="n">
        <v>0</v>
      </c>
      <c r="Q6615" t="n">
        <v>0</v>
      </c>
      <c r="R6615" s="2" t="inlineStr"/>
    </row>
    <row r="6616" ht="15" customHeight="1">
      <c r="A6616" t="inlineStr">
        <is>
          <t>A 13414-2024</t>
        </is>
      </c>
      <c r="B6616" s="1" t="n">
        <v>45387.4628125</v>
      </c>
      <c r="C6616" s="1" t="n">
        <v>45884</v>
      </c>
      <c r="D6616" t="inlineStr">
        <is>
          <t>KALMAR LÄN</t>
        </is>
      </c>
      <c r="E6616" t="inlineStr">
        <is>
          <t>KALMAR</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13416-2024</t>
        </is>
      </c>
      <c r="B6617" s="1" t="n">
        <v>45387.46427083333</v>
      </c>
      <c r="C6617" s="1" t="n">
        <v>45884</v>
      </c>
      <c r="D6617" t="inlineStr">
        <is>
          <t>KALMAR LÄN</t>
        </is>
      </c>
      <c r="E6617" t="inlineStr">
        <is>
          <t>KALMAR</t>
        </is>
      </c>
      <c r="G6617" t="n">
        <v>0.4</v>
      </c>
      <c r="H6617" t="n">
        <v>0</v>
      </c>
      <c r="I6617" t="n">
        <v>0</v>
      </c>
      <c r="J6617" t="n">
        <v>0</v>
      </c>
      <c r="K6617" t="n">
        <v>0</v>
      </c>
      <c r="L6617" t="n">
        <v>0</v>
      </c>
      <c r="M6617" t="n">
        <v>0</v>
      </c>
      <c r="N6617" t="n">
        <v>0</v>
      </c>
      <c r="O6617" t="n">
        <v>0</v>
      </c>
      <c r="P6617" t="n">
        <v>0</v>
      </c>
      <c r="Q6617" t="n">
        <v>0</v>
      </c>
      <c r="R6617" s="2" t="inlineStr"/>
    </row>
    <row r="6618" ht="15" customHeight="1">
      <c r="A6618" t="inlineStr">
        <is>
          <t>A 8550-2021</t>
        </is>
      </c>
      <c r="B6618" s="1" t="n">
        <v>44245</v>
      </c>
      <c r="C6618" s="1" t="n">
        <v>45884</v>
      </c>
      <c r="D6618" t="inlineStr">
        <is>
          <t>KALMAR LÄN</t>
        </is>
      </c>
      <c r="E6618" t="inlineStr">
        <is>
          <t>OSKARSHAMN</t>
        </is>
      </c>
      <c r="G6618" t="n">
        <v>8.199999999999999</v>
      </c>
      <c r="H6618" t="n">
        <v>0</v>
      </c>
      <c r="I6618" t="n">
        <v>0</v>
      </c>
      <c r="J6618" t="n">
        <v>0</v>
      </c>
      <c r="K6618" t="n">
        <v>0</v>
      </c>
      <c r="L6618" t="n">
        <v>0</v>
      </c>
      <c r="M6618" t="n">
        <v>0</v>
      </c>
      <c r="N6618" t="n">
        <v>0</v>
      </c>
      <c r="O6618" t="n">
        <v>0</v>
      </c>
      <c r="P6618" t="n">
        <v>0</v>
      </c>
      <c r="Q6618" t="n">
        <v>0</v>
      </c>
      <c r="R6618" s="2" t="inlineStr"/>
    </row>
    <row r="6619" ht="15" customHeight="1">
      <c r="A6619" t="inlineStr">
        <is>
          <t>A 39458-2023</t>
        </is>
      </c>
      <c r="B6619" s="1" t="n">
        <v>45166.81506944444</v>
      </c>
      <c r="C6619" s="1" t="n">
        <v>45884</v>
      </c>
      <c r="D6619" t="inlineStr">
        <is>
          <t>KALMAR LÄN</t>
        </is>
      </c>
      <c r="E6619" t="inlineStr">
        <is>
          <t>NYBRO</t>
        </is>
      </c>
      <c r="G6619" t="n">
        <v>1.3</v>
      </c>
      <c r="H6619" t="n">
        <v>0</v>
      </c>
      <c r="I6619" t="n">
        <v>0</v>
      </c>
      <c r="J6619" t="n">
        <v>0</v>
      </c>
      <c r="K6619" t="n">
        <v>0</v>
      </c>
      <c r="L6619" t="n">
        <v>0</v>
      </c>
      <c r="M6619" t="n">
        <v>0</v>
      </c>
      <c r="N6619" t="n">
        <v>0</v>
      </c>
      <c r="O6619" t="n">
        <v>0</v>
      </c>
      <c r="P6619" t="n">
        <v>0</v>
      </c>
      <c r="Q6619" t="n">
        <v>0</v>
      </c>
      <c r="R6619" s="2" t="inlineStr"/>
    </row>
    <row r="6620" ht="15" customHeight="1">
      <c r="A6620" t="inlineStr">
        <is>
          <t>A 11334-2025</t>
        </is>
      </c>
      <c r="B6620" s="1" t="n">
        <v>45726.48642361111</v>
      </c>
      <c r="C6620" s="1" t="n">
        <v>45884</v>
      </c>
      <c r="D6620" t="inlineStr">
        <is>
          <t>KALMAR LÄN</t>
        </is>
      </c>
      <c r="E6620" t="inlineStr">
        <is>
          <t>HULTSFRED</t>
        </is>
      </c>
      <c r="F6620" t="inlineStr">
        <is>
          <t>Sveaskog</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11439-2025</t>
        </is>
      </c>
      <c r="B6621" s="1" t="n">
        <v>45726.61862268519</v>
      </c>
      <c r="C6621" s="1" t="n">
        <v>45884</v>
      </c>
      <c r="D6621" t="inlineStr">
        <is>
          <t>KALMAR LÄN</t>
        </is>
      </c>
      <c r="E6621" t="inlineStr">
        <is>
          <t>HULTSFRED</t>
        </is>
      </c>
      <c r="G6621" t="n">
        <v>4</v>
      </c>
      <c r="H6621" t="n">
        <v>0</v>
      </c>
      <c r="I6621" t="n">
        <v>0</v>
      </c>
      <c r="J6621" t="n">
        <v>0</v>
      </c>
      <c r="K6621" t="n">
        <v>0</v>
      </c>
      <c r="L6621" t="n">
        <v>0</v>
      </c>
      <c r="M6621" t="n">
        <v>0</v>
      </c>
      <c r="N6621" t="n">
        <v>0</v>
      </c>
      <c r="O6621" t="n">
        <v>0</v>
      </c>
      <c r="P6621" t="n">
        <v>0</v>
      </c>
      <c r="Q6621" t="n">
        <v>0</v>
      </c>
      <c r="R6621" s="2" t="inlineStr"/>
    </row>
    <row r="6622" ht="15" customHeight="1">
      <c r="A6622" t="inlineStr">
        <is>
          <t>A 11440-2025</t>
        </is>
      </c>
      <c r="B6622" s="1" t="n">
        <v>45726.62087962963</v>
      </c>
      <c r="C6622" s="1" t="n">
        <v>45884</v>
      </c>
      <c r="D6622" t="inlineStr">
        <is>
          <t>KALMAR LÄN</t>
        </is>
      </c>
      <c r="E6622" t="inlineStr">
        <is>
          <t>HULTSFRED</t>
        </is>
      </c>
      <c r="G6622" t="n">
        <v>4.7</v>
      </c>
      <c r="H6622" t="n">
        <v>0</v>
      </c>
      <c r="I6622" t="n">
        <v>0</v>
      </c>
      <c r="J6622" t="n">
        <v>0</v>
      </c>
      <c r="K6622" t="n">
        <v>0</v>
      </c>
      <c r="L6622" t="n">
        <v>0</v>
      </c>
      <c r="M6622" t="n">
        <v>0</v>
      </c>
      <c r="N6622" t="n">
        <v>0</v>
      </c>
      <c r="O6622" t="n">
        <v>0</v>
      </c>
      <c r="P6622" t="n">
        <v>0</v>
      </c>
      <c r="Q6622" t="n">
        <v>0</v>
      </c>
      <c r="R6622" s="2" t="inlineStr"/>
    </row>
    <row r="6623" ht="15" customHeight="1">
      <c r="A6623" t="inlineStr">
        <is>
          <t>A 27947-2024</t>
        </is>
      </c>
      <c r="B6623" s="1" t="n">
        <v>45476.32041666667</v>
      </c>
      <c r="C6623" s="1" t="n">
        <v>45884</v>
      </c>
      <c r="D6623" t="inlineStr">
        <is>
          <t>KALMAR LÄN</t>
        </is>
      </c>
      <c r="E6623" t="inlineStr">
        <is>
          <t>KALMAR</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35115-2025</t>
        </is>
      </c>
      <c r="B6624" s="1" t="n">
        <v>45852.5841087963</v>
      </c>
      <c r="C6624" s="1" t="n">
        <v>45884</v>
      </c>
      <c r="D6624" t="inlineStr">
        <is>
          <t>KALMAR LÄN</t>
        </is>
      </c>
      <c r="E6624" t="inlineStr">
        <is>
          <t>EMMABODA</t>
        </is>
      </c>
      <c r="G6624" t="n">
        <v>1.6</v>
      </c>
      <c r="H6624" t="n">
        <v>0</v>
      </c>
      <c r="I6624" t="n">
        <v>0</v>
      </c>
      <c r="J6624" t="n">
        <v>0</v>
      </c>
      <c r="K6624" t="n">
        <v>0</v>
      </c>
      <c r="L6624" t="n">
        <v>0</v>
      </c>
      <c r="M6624" t="n">
        <v>0</v>
      </c>
      <c r="N6624" t="n">
        <v>0</v>
      </c>
      <c r="O6624" t="n">
        <v>0</v>
      </c>
      <c r="P6624" t="n">
        <v>0</v>
      </c>
      <c r="Q6624" t="n">
        <v>0</v>
      </c>
      <c r="R6624" s="2" t="inlineStr"/>
    </row>
    <row r="6625" ht="15" customHeight="1">
      <c r="A6625" t="inlineStr">
        <is>
          <t>A 62361-2021</t>
        </is>
      </c>
      <c r="B6625" s="1" t="n">
        <v>44502</v>
      </c>
      <c r="C6625" s="1" t="n">
        <v>45884</v>
      </c>
      <c r="D6625" t="inlineStr">
        <is>
          <t>KALMAR LÄN</t>
        </is>
      </c>
      <c r="E6625" t="inlineStr">
        <is>
          <t>HULTSFRED</t>
        </is>
      </c>
      <c r="G6625" t="n">
        <v>1.5</v>
      </c>
      <c r="H6625" t="n">
        <v>0</v>
      </c>
      <c r="I6625" t="n">
        <v>0</v>
      </c>
      <c r="J6625" t="n">
        <v>0</v>
      </c>
      <c r="K6625" t="n">
        <v>0</v>
      </c>
      <c r="L6625" t="n">
        <v>0</v>
      </c>
      <c r="M6625" t="n">
        <v>0</v>
      </c>
      <c r="N6625" t="n">
        <v>0</v>
      </c>
      <c r="O6625" t="n">
        <v>0</v>
      </c>
      <c r="P6625" t="n">
        <v>0</v>
      </c>
      <c r="Q6625" t="n">
        <v>0</v>
      </c>
      <c r="R6625" s="2" t="inlineStr"/>
    </row>
    <row r="6626" ht="15" customHeight="1">
      <c r="A6626" t="inlineStr">
        <is>
          <t>A 35207-2025</t>
        </is>
      </c>
      <c r="B6626" s="1" t="n">
        <v>45853.43320601852</v>
      </c>
      <c r="C6626" s="1" t="n">
        <v>45884</v>
      </c>
      <c r="D6626" t="inlineStr">
        <is>
          <t>KALMAR LÄN</t>
        </is>
      </c>
      <c r="E6626" t="inlineStr">
        <is>
          <t>VÄSTERVIK</t>
        </is>
      </c>
      <c r="G6626" t="n">
        <v>7</v>
      </c>
      <c r="H6626" t="n">
        <v>0</v>
      </c>
      <c r="I6626" t="n">
        <v>0</v>
      </c>
      <c r="J6626" t="n">
        <v>0</v>
      </c>
      <c r="K6626" t="n">
        <v>0</v>
      </c>
      <c r="L6626" t="n">
        <v>0</v>
      </c>
      <c r="M6626" t="n">
        <v>0</v>
      </c>
      <c r="N6626" t="n">
        <v>0</v>
      </c>
      <c r="O6626" t="n">
        <v>0</v>
      </c>
      <c r="P6626" t="n">
        <v>0</v>
      </c>
      <c r="Q6626" t="n">
        <v>0</v>
      </c>
      <c r="R6626" s="2" t="inlineStr"/>
    </row>
    <row r="6627" ht="15" customHeight="1">
      <c r="A6627" t="inlineStr">
        <is>
          <t>A 54629-2024</t>
        </is>
      </c>
      <c r="B6627" s="1" t="n">
        <v>45617.85399305556</v>
      </c>
      <c r="C6627" s="1" t="n">
        <v>45884</v>
      </c>
      <c r="D6627" t="inlineStr">
        <is>
          <t>KALMAR LÄN</t>
        </is>
      </c>
      <c r="E6627" t="inlineStr">
        <is>
          <t>VÄSTERVIK</t>
        </is>
      </c>
      <c r="F6627" t="inlineStr">
        <is>
          <t>Sveaskog</t>
        </is>
      </c>
      <c r="G6627" t="n">
        <v>6.7</v>
      </c>
      <c r="H6627" t="n">
        <v>0</v>
      </c>
      <c r="I6627" t="n">
        <v>0</v>
      </c>
      <c r="J6627" t="n">
        <v>0</v>
      </c>
      <c r="K6627" t="n">
        <v>0</v>
      </c>
      <c r="L6627" t="n">
        <v>0</v>
      </c>
      <c r="M6627" t="n">
        <v>0</v>
      </c>
      <c r="N6627" t="n">
        <v>0</v>
      </c>
      <c r="O6627" t="n">
        <v>0</v>
      </c>
      <c r="P6627" t="n">
        <v>0</v>
      </c>
      <c r="Q6627" t="n">
        <v>0</v>
      </c>
      <c r="R6627" s="2" t="inlineStr"/>
    </row>
    <row r="6628" ht="15" customHeight="1">
      <c r="A6628" t="inlineStr">
        <is>
          <t>A 35187-2025</t>
        </is>
      </c>
      <c r="B6628" s="1" t="n">
        <v>45853.31940972222</v>
      </c>
      <c r="C6628" s="1" t="n">
        <v>45884</v>
      </c>
      <c r="D6628" t="inlineStr">
        <is>
          <t>KALMAR LÄN</t>
        </is>
      </c>
      <c r="E6628" t="inlineStr">
        <is>
          <t>VÄSTERVIK</t>
        </is>
      </c>
      <c r="G6628" t="n">
        <v>1.6</v>
      </c>
      <c r="H6628" t="n">
        <v>0</v>
      </c>
      <c r="I6628" t="n">
        <v>0</v>
      </c>
      <c r="J6628" t="n">
        <v>0</v>
      </c>
      <c r="K6628" t="n">
        <v>0</v>
      </c>
      <c r="L6628" t="n">
        <v>0</v>
      </c>
      <c r="M6628" t="n">
        <v>0</v>
      </c>
      <c r="N6628" t="n">
        <v>0</v>
      </c>
      <c r="O6628" t="n">
        <v>0</v>
      </c>
      <c r="P6628" t="n">
        <v>0</v>
      </c>
      <c r="Q6628" t="n">
        <v>0</v>
      </c>
      <c r="R6628" s="2" t="inlineStr"/>
    </row>
    <row r="6629" ht="15" customHeight="1">
      <c r="A6629" t="inlineStr">
        <is>
          <t>A 63355-2023</t>
        </is>
      </c>
      <c r="B6629" s="1" t="n">
        <v>45274</v>
      </c>
      <c r="C6629" s="1" t="n">
        <v>45884</v>
      </c>
      <c r="D6629" t="inlineStr">
        <is>
          <t>KALMAR LÄN</t>
        </is>
      </c>
      <c r="E6629" t="inlineStr">
        <is>
          <t>MÖNSTERÅS</t>
        </is>
      </c>
      <c r="G6629" t="n">
        <v>8.199999999999999</v>
      </c>
      <c r="H6629" t="n">
        <v>0</v>
      </c>
      <c r="I6629" t="n">
        <v>0</v>
      </c>
      <c r="J6629" t="n">
        <v>0</v>
      </c>
      <c r="K6629" t="n">
        <v>0</v>
      </c>
      <c r="L6629" t="n">
        <v>0</v>
      </c>
      <c r="M6629" t="n">
        <v>0</v>
      </c>
      <c r="N6629" t="n">
        <v>0</v>
      </c>
      <c r="O6629" t="n">
        <v>0</v>
      </c>
      <c r="P6629" t="n">
        <v>0</v>
      </c>
      <c r="Q6629" t="n">
        <v>0</v>
      </c>
      <c r="R6629" s="2" t="inlineStr"/>
    </row>
    <row r="6630" ht="15" customHeight="1">
      <c r="A6630" t="inlineStr">
        <is>
          <t>A 28034-2022</t>
        </is>
      </c>
      <c r="B6630" s="1" t="n">
        <v>44746.38834490741</v>
      </c>
      <c r="C6630" s="1" t="n">
        <v>45884</v>
      </c>
      <c r="D6630" t="inlineStr">
        <is>
          <t>KALMAR LÄN</t>
        </is>
      </c>
      <c r="E6630" t="inlineStr">
        <is>
          <t>VIMMERBY</t>
        </is>
      </c>
      <c r="G6630" t="n">
        <v>2</v>
      </c>
      <c r="H6630" t="n">
        <v>0</v>
      </c>
      <c r="I6630" t="n">
        <v>0</v>
      </c>
      <c r="J6630" t="n">
        <v>0</v>
      </c>
      <c r="K6630" t="n">
        <v>0</v>
      </c>
      <c r="L6630" t="n">
        <v>0</v>
      </c>
      <c r="M6630" t="n">
        <v>0</v>
      </c>
      <c r="N6630" t="n">
        <v>0</v>
      </c>
      <c r="O6630" t="n">
        <v>0</v>
      </c>
      <c r="P6630" t="n">
        <v>0</v>
      </c>
      <c r="Q6630" t="n">
        <v>0</v>
      </c>
      <c r="R6630" s="2" t="inlineStr"/>
    </row>
    <row r="6631" ht="15" customHeight="1">
      <c r="A6631" t="inlineStr">
        <is>
          <t>A 35271-2025</t>
        </is>
      </c>
      <c r="B6631" s="1" t="n">
        <v>45853.87599537037</v>
      </c>
      <c r="C6631" s="1" t="n">
        <v>45884</v>
      </c>
      <c r="D6631" t="inlineStr">
        <is>
          <t>KALMAR LÄN</t>
        </is>
      </c>
      <c r="E6631" t="inlineStr">
        <is>
          <t>VIMMERBY</t>
        </is>
      </c>
      <c r="G6631" t="n">
        <v>0.4</v>
      </c>
      <c r="H6631" t="n">
        <v>0</v>
      </c>
      <c r="I6631" t="n">
        <v>0</v>
      </c>
      <c r="J6631" t="n">
        <v>0</v>
      </c>
      <c r="K6631" t="n">
        <v>0</v>
      </c>
      <c r="L6631" t="n">
        <v>0</v>
      </c>
      <c r="M6631" t="n">
        <v>0</v>
      </c>
      <c r="N6631" t="n">
        <v>0</v>
      </c>
      <c r="O6631" t="n">
        <v>0</v>
      </c>
      <c r="P6631" t="n">
        <v>0</v>
      </c>
      <c r="Q6631" t="n">
        <v>0</v>
      </c>
      <c r="R6631" s="2" t="inlineStr"/>
    </row>
    <row r="6632" ht="15" customHeight="1">
      <c r="A6632" t="inlineStr">
        <is>
          <t>A 26777-2025</t>
        </is>
      </c>
      <c r="B6632" s="1" t="n">
        <v>45810.579375</v>
      </c>
      <c r="C6632" s="1" t="n">
        <v>45884</v>
      </c>
      <c r="D6632" t="inlineStr">
        <is>
          <t>KALMAR LÄN</t>
        </is>
      </c>
      <c r="E6632" t="inlineStr">
        <is>
          <t>HULTSFRED</t>
        </is>
      </c>
      <c r="F6632" t="inlineStr">
        <is>
          <t>Sveaskog</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26795-2025</t>
        </is>
      </c>
      <c r="B6633" s="1" t="n">
        <v>45810</v>
      </c>
      <c r="C6633" s="1" t="n">
        <v>45884</v>
      </c>
      <c r="D6633" t="inlineStr">
        <is>
          <t>KALMAR LÄN</t>
        </is>
      </c>
      <c r="E6633" t="inlineStr">
        <is>
          <t>MÖNSTERÅS</t>
        </is>
      </c>
      <c r="G6633" t="n">
        <v>2</v>
      </c>
      <c r="H6633" t="n">
        <v>0</v>
      </c>
      <c r="I6633" t="n">
        <v>0</v>
      </c>
      <c r="J6633" t="n">
        <v>0</v>
      </c>
      <c r="K6633" t="n">
        <v>0</v>
      </c>
      <c r="L6633" t="n">
        <v>0</v>
      </c>
      <c r="M6633" t="n">
        <v>0</v>
      </c>
      <c r="N6633" t="n">
        <v>0</v>
      </c>
      <c r="O6633" t="n">
        <v>0</v>
      </c>
      <c r="P6633" t="n">
        <v>0</v>
      </c>
      <c r="Q6633" t="n">
        <v>0</v>
      </c>
      <c r="R6633" s="2" t="inlineStr"/>
    </row>
    <row r="6634" ht="15" customHeight="1">
      <c r="A6634" t="inlineStr">
        <is>
          <t>A 5938-2022</t>
        </is>
      </c>
      <c r="B6634" s="1" t="n">
        <v>44598</v>
      </c>
      <c r="C6634" s="1" t="n">
        <v>45884</v>
      </c>
      <c r="D6634" t="inlineStr">
        <is>
          <t>KALMAR LÄN</t>
        </is>
      </c>
      <c r="E6634" t="inlineStr">
        <is>
          <t>VIMMERBY</t>
        </is>
      </c>
      <c r="G6634" t="n">
        <v>2.4</v>
      </c>
      <c r="H6634" t="n">
        <v>0</v>
      </c>
      <c r="I6634" t="n">
        <v>0</v>
      </c>
      <c r="J6634" t="n">
        <v>0</v>
      </c>
      <c r="K6634" t="n">
        <v>0</v>
      </c>
      <c r="L6634" t="n">
        <v>0</v>
      </c>
      <c r="M6634" t="n">
        <v>0</v>
      </c>
      <c r="N6634" t="n">
        <v>0</v>
      </c>
      <c r="O6634" t="n">
        <v>0</v>
      </c>
      <c r="P6634" t="n">
        <v>0</v>
      </c>
      <c r="Q6634" t="n">
        <v>0</v>
      </c>
      <c r="R6634" s="2" t="inlineStr"/>
    </row>
    <row r="6635" ht="15" customHeight="1">
      <c r="A6635" t="inlineStr">
        <is>
          <t>A 28145-2022</t>
        </is>
      </c>
      <c r="B6635" s="1" t="n">
        <v>44746.52041666667</v>
      </c>
      <c r="C6635" s="1" t="n">
        <v>45884</v>
      </c>
      <c r="D6635" t="inlineStr">
        <is>
          <t>KALMAR LÄN</t>
        </is>
      </c>
      <c r="E6635" t="inlineStr">
        <is>
          <t>NYBRO</t>
        </is>
      </c>
      <c r="G6635" t="n">
        <v>8.4</v>
      </c>
      <c r="H6635" t="n">
        <v>0</v>
      </c>
      <c r="I6635" t="n">
        <v>0</v>
      </c>
      <c r="J6635" t="n">
        <v>0</v>
      </c>
      <c r="K6635" t="n">
        <v>0</v>
      </c>
      <c r="L6635" t="n">
        <v>0</v>
      </c>
      <c r="M6635" t="n">
        <v>0</v>
      </c>
      <c r="N6635" t="n">
        <v>0</v>
      </c>
      <c r="O6635" t="n">
        <v>0</v>
      </c>
      <c r="P6635" t="n">
        <v>0</v>
      </c>
      <c r="Q6635" t="n">
        <v>0</v>
      </c>
      <c r="R6635" s="2" t="inlineStr"/>
    </row>
    <row r="6636" ht="15" customHeight="1">
      <c r="A6636" t="inlineStr">
        <is>
          <t>A 27451-2021</t>
        </is>
      </c>
      <c r="B6636" s="1" t="n">
        <v>44351</v>
      </c>
      <c r="C6636" s="1" t="n">
        <v>45884</v>
      </c>
      <c r="D6636" t="inlineStr">
        <is>
          <t>KALMAR LÄN</t>
        </is>
      </c>
      <c r="E6636" t="inlineStr">
        <is>
          <t>KALMAR</t>
        </is>
      </c>
      <c r="G6636" t="n">
        <v>5.4</v>
      </c>
      <c r="H6636" t="n">
        <v>0</v>
      </c>
      <c r="I6636" t="n">
        <v>0</v>
      </c>
      <c r="J6636" t="n">
        <v>0</v>
      </c>
      <c r="K6636" t="n">
        <v>0</v>
      </c>
      <c r="L6636" t="n">
        <v>0</v>
      </c>
      <c r="M6636" t="n">
        <v>0</v>
      </c>
      <c r="N6636" t="n">
        <v>0</v>
      </c>
      <c r="O6636" t="n">
        <v>0</v>
      </c>
      <c r="P6636" t="n">
        <v>0</v>
      </c>
      <c r="Q6636" t="n">
        <v>0</v>
      </c>
      <c r="R6636" s="2" t="inlineStr"/>
    </row>
    <row r="6637" ht="15" customHeight="1">
      <c r="A6637" t="inlineStr">
        <is>
          <t>A 2862-2025</t>
        </is>
      </c>
      <c r="B6637" s="1" t="n">
        <v>45677</v>
      </c>
      <c r="C6637" s="1" t="n">
        <v>45884</v>
      </c>
      <c r="D6637" t="inlineStr">
        <is>
          <t>KALMAR LÄN</t>
        </is>
      </c>
      <c r="E6637" t="inlineStr">
        <is>
          <t>HULTSFRED</t>
        </is>
      </c>
      <c r="G6637" t="n">
        <v>6.5</v>
      </c>
      <c r="H6637" t="n">
        <v>0</v>
      </c>
      <c r="I6637" t="n">
        <v>0</v>
      </c>
      <c r="J6637" t="n">
        <v>0</v>
      </c>
      <c r="K6637" t="n">
        <v>0</v>
      </c>
      <c r="L6637" t="n">
        <v>0</v>
      </c>
      <c r="M6637" t="n">
        <v>0</v>
      </c>
      <c r="N6637" t="n">
        <v>0</v>
      </c>
      <c r="O6637" t="n">
        <v>0</v>
      </c>
      <c r="P6637" t="n">
        <v>0</v>
      </c>
      <c r="Q6637" t="n">
        <v>0</v>
      </c>
      <c r="R6637" s="2" t="inlineStr"/>
    </row>
    <row r="6638" ht="15" customHeight="1">
      <c r="A6638" t="inlineStr">
        <is>
          <t>A 54551-2022</t>
        </is>
      </c>
      <c r="B6638" s="1" t="n">
        <v>44882.86710648148</v>
      </c>
      <c r="C6638" s="1" t="n">
        <v>45884</v>
      </c>
      <c r="D6638" t="inlineStr">
        <is>
          <t>KALMAR LÄN</t>
        </is>
      </c>
      <c r="E6638" t="inlineStr">
        <is>
          <t>KALMAR</t>
        </is>
      </c>
      <c r="G6638" t="n">
        <v>0.5</v>
      </c>
      <c r="H6638" t="n">
        <v>0</v>
      </c>
      <c r="I6638" t="n">
        <v>0</v>
      </c>
      <c r="J6638" t="n">
        <v>0</v>
      </c>
      <c r="K6638" t="n">
        <v>0</v>
      </c>
      <c r="L6638" t="n">
        <v>0</v>
      </c>
      <c r="M6638" t="n">
        <v>0</v>
      </c>
      <c r="N6638" t="n">
        <v>0</v>
      </c>
      <c r="O6638" t="n">
        <v>0</v>
      </c>
      <c r="P6638" t="n">
        <v>0</v>
      </c>
      <c r="Q6638" t="n">
        <v>0</v>
      </c>
      <c r="R6638" s="2" t="inlineStr"/>
    </row>
    <row r="6639" ht="15" customHeight="1">
      <c r="A6639" t="inlineStr">
        <is>
          <t>A 56293-2024</t>
        </is>
      </c>
      <c r="B6639" s="1" t="n">
        <v>45624.68168981482</v>
      </c>
      <c r="C6639" s="1" t="n">
        <v>45884</v>
      </c>
      <c r="D6639" t="inlineStr">
        <is>
          <t>KALMAR LÄN</t>
        </is>
      </c>
      <c r="E6639" t="inlineStr">
        <is>
          <t>KALMAR</t>
        </is>
      </c>
      <c r="G6639" t="n">
        <v>0.6</v>
      </c>
      <c r="H6639" t="n">
        <v>0</v>
      </c>
      <c r="I6639" t="n">
        <v>0</v>
      </c>
      <c r="J6639" t="n">
        <v>0</v>
      </c>
      <c r="K6639" t="n">
        <v>0</v>
      </c>
      <c r="L6639" t="n">
        <v>0</v>
      </c>
      <c r="M6639" t="n">
        <v>0</v>
      </c>
      <c r="N6639" t="n">
        <v>0</v>
      </c>
      <c r="O6639" t="n">
        <v>0</v>
      </c>
      <c r="P6639" t="n">
        <v>0</v>
      </c>
      <c r="Q6639" t="n">
        <v>0</v>
      </c>
      <c r="R6639" s="2" t="inlineStr"/>
    </row>
    <row r="6640" ht="15" customHeight="1">
      <c r="A6640" t="inlineStr">
        <is>
          <t>A 32118-2024</t>
        </is>
      </c>
      <c r="B6640" s="1" t="n">
        <v>45511.45795138889</v>
      </c>
      <c r="C6640" s="1" t="n">
        <v>45884</v>
      </c>
      <c r="D6640" t="inlineStr">
        <is>
          <t>KALMAR LÄN</t>
        </is>
      </c>
      <c r="E6640" t="inlineStr">
        <is>
          <t>HULTSFRED</t>
        </is>
      </c>
      <c r="G6640" t="n">
        <v>4.2</v>
      </c>
      <c r="H6640" t="n">
        <v>0</v>
      </c>
      <c r="I6640" t="n">
        <v>0</v>
      </c>
      <c r="J6640" t="n">
        <v>0</v>
      </c>
      <c r="K6640" t="n">
        <v>0</v>
      </c>
      <c r="L6640" t="n">
        <v>0</v>
      </c>
      <c r="M6640" t="n">
        <v>0</v>
      </c>
      <c r="N6640" t="n">
        <v>0</v>
      </c>
      <c r="O6640" t="n">
        <v>0</v>
      </c>
      <c r="P6640" t="n">
        <v>0</v>
      </c>
      <c r="Q6640" t="n">
        <v>0</v>
      </c>
      <c r="R6640" s="2" t="inlineStr"/>
    </row>
    <row r="6641" ht="15" customHeight="1">
      <c r="A6641" t="inlineStr">
        <is>
          <t>A 20952-2024</t>
        </is>
      </c>
      <c r="B6641" s="1" t="n">
        <v>45439.56545138889</v>
      </c>
      <c r="C6641" s="1" t="n">
        <v>45884</v>
      </c>
      <c r="D6641" t="inlineStr">
        <is>
          <t>KALMAR LÄN</t>
        </is>
      </c>
      <c r="E6641" t="inlineStr">
        <is>
          <t>NYBRO</t>
        </is>
      </c>
      <c r="G6641" t="n">
        <v>3.6</v>
      </c>
      <c r="H6641" t="n">
        <v>0</v>
      </c>
      <c r="I6641" t="n">
        <v>0</v>
      </c>
      <c r="J6641" t="n">
        <v>0</v>
      </c>
      <c r="K6641" t="n">
        <v>0</v>
      </c>
      <c r="L6641" t="n">
        <v>0</v>
      </c>
      <c r="M6641" t="n">
        <v>0</v>
      </c>
      <c r="N6641" t="n">
        <v>0</v>
      </c>
      <c r="O6641" t="n">
        <v>0</v>
      </c>
      <c r="P6641" t="n">
        <v>0</v>
      </c>
      <c r="Q6641" t="n">
        <v>0</v>
      </c>
      <c r="R6641" s="2" t="inlineStr"/>
    </row>
    <row r="6642" ht="15" customHeight="1">
      <c r="A6642" t="inlineStr">
        <is>
          <t>A 59710-2021</t>
        </is>
      </c>
      <c r="B6642" s="1" t="n">
        <v>44494</v>
      </c>
      <c r="C6642" s="1" t="n">
        <v>45884</v>
      </c>
      <c r="D6642" t="inlineStr">
        <is>
          <t>KALMAR LÄN</t>
        </is>
      </c>
      <c r="E6642" t="inlineStr">
        <is>
          <t>OSKARSHAMN</t>
        </is>
      </c>
      <c r="G6642" t="n">
        <v>0.9</v>
      </c>
      <c r="H6642" t="n">
        <v>0</v>
      </c>
      <c r="I6642" t="n">
        <v>0</v>
      </c>
      <c r="J6642" t="n">
        <v>0</v>
      </c>
      <c r="K6642" t="n">
        <v>0</v>
      </c>
      <c r="L6642" t="n">
        <v>0</v>
      </c>
      <c r="M6642" t="n">
        <v>0</v>
      </c>
      <c r="N6642" t="n">
        <v>0</v>
      </c>
      <c r="O6642" t="n">
        <v>0</v>
      </c>
      <c r="P6642" t="n">
        <v>0</v>
      </c>
      <c r="Q6642" t="n">
        <v>0</v>
      </c>
      <c r="R6642" s="2" t="inlineStr"/>
    </row>
    <row r="6643" ht="15" customHeight="1">
      <c r="A6643" t="inlineStr">
        <is>
          <t>A 59737-2021</t>
        </is>
      </c>
      <c r="B6643" s="1" t="n">
        <v>44494</v>
      </c>
      <c r="C6643" s="1" t="n">
        <v>45884</v>
      </c>
      <c r="D6643" t="inlineStr">
        <is>
          <t>KALMAR LÄN</t>
        </is>
      </c>
      <c r="E6643" t="inlineStr">
        <is>
          <t>EMMABODA</t>
        </is>
      </c>
      <c r="G6643" t="n">
        <v>1.8</v>
      </c>
      <c r="H6643" t="n">
        <v>0</v>
      </c>
      <c r="I6643" t="n">
        <v>0</v>
      </c>
      <c r="J6643" t="n">
        <v>0</v>
      </c>
      <c r="K6643" t="n">
        <v>0</v>
      </c>
      <c r="L6643" t="n">
        <v>0</v>
      </c>
      <c r="M6643" t="n">
        <v>0</v>
      </c>
      <c r="N6643" t="n">
        <v>0</v>
      </c>
      <c r="O6643" t="n">
        <v>0</v>
      </c>
      <c r="P6643" t="n">
        <v>0</v>
      </c>
      <c r="Q6643" t="n">
        <v>0</v>
      </c>
      <c r="R6643" s="2" t="inlineStr"/>
    </row>
    <row r="6644" ht="15" customHeight="1">
      <c r="A6644" t="inlineStr">
        <is>
          <t>A 36126-2024</t>
        </is>
      </c>
      <c r="B6644" s="1" t="n">
        <v>45534.33277777778</v>
      </c>
      <c r="C6644" s="1" t="n">
        <v>45884</v>
      </c>
      <c r="D6644" t="inlineStr">
        <is>
          <t>KALMAR LÄN</t>
        </is>
      </c>
      <c r="E6644" t="inlineStr">
        <is>
          <t>KALMAR</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36162-2024</t>
        </is>
      </c>
      <c r="B6645" s="1" t="n">
        <v>45534.39119212963</v>
      </c>
      <c r="C6645" s="1" t="n">
        <v>45884</v>
      </c>
      <c r="D6645" t="inlineStr">
        <is>
          <t>KALMAR LÄN</t>
        </is>
      </c>
      <c r="E6645" t="inlineStr">
        <is>
          <t>NYBRO</t>
        </is>
      </c>
      <c r="G6645" t="n">
        <v>13.2</v>
      </c>
      <c r="H6645" t="n">
        <v>0</v>
      </c>
      <c r="I6645" t="n">
        <v>0</v>
      </c>
      <c r="J6645" t="n">
        <v>0</v>
      </c>
      <c r="K6645" t="n">
        <v>0</v>
      </c>
      <c r="L6645" t="n">
        <v>0</v>
      </c>
      <c r="M6645" t="n">
        <v>0</v>
      </c>
      <c r="N6645" t="n">
        <v>0</v>
      </c>
      <c r="O6645" t="n">
        <v>0</v>
      </c>
      <c r="P6645" t="n">
        <v>0</v>
      </c>
      <c r="Q6645" t="n">
        <v>0</v>
      </c>
      <c r="R6645" s="2" t="inlineStr"/>
    </row>
    <row r="6646" ht="15" customHeight="1">
      <c r="A6646" t="inlineStr">
        <is>
          <t>A 6513-2024</t>
        </is>
      </c>
      <c r="B6646" s="1" t="n">
        <v>45340.92813657408</v>
      </c>
      <c r="C6646" s="1" t="n">
        <v>45884</v>
      </c>
      <c r="D6646" t="inlineStr">
        <is>
          <t>KALMAR LÄN</t>
        </is>
      </c>
      <c r="E6646" t="inlineStr">
        <is>
          <t>HULTSFRED</t>
        </is>
      </c>
      <c r="G6646" t="n">
        <v>7.4</v>
      </c>
      <c r="H6646" t="n">
        <v>0</v>
      </c>
      <c r="I6646" t="n">
        <v>0</v>
      </c>
      <c r="J6646" t="n">
        <v>0</v>
      </c>
      <c r="K6646" t="n">
        <v>0</v>
      </c>
      <c r="L6646" t="n">
        <v>0</v>
      </c>
      <c r="M6646" t="n">
        <v>0</v>
      </c>
      <c r="N6646" t="n">
        <v>0</v>
      </c>
      <c r="O6646" t="n">
        <v>0</v>
      </c>
      <c r="P6646" t="n">
        <v>0</v>
      </c>
      <c r="Q6646" t="n">
        <v>0</v>
      </c>
      <c r="R6646" s="2" t="inlineStr"/>
    </row>
    <row r="6647" ht="15" customHeight="1">
      <c r="A6647" t="inlineStr">
        <is>
          <t>A 6514-2024</t>
        </is>
      </c>
      <c r="B6647" s="1" t="n">
        <v>45340.93671296296</v>
      </c>
      <c r="C6647" s="1" t="n">
        <v>45884</v>
      </c>
      <c r="D6647" t="inlineStr">
        <is>
          <t>KALMAR LÄN</t>
        </is>
      </c>
      <c r="E6647" t="inlineStr">
        <is>
          <t>HULTSFRED</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9369-2024</t>
        </is>
      </c>
      <c r="B6648" s="1" t="n">
        <v>45359.35763888889</v>
      </c>
      <c r="C6648" s="1" t="n">
        <v>45884</v>
      </c>
      <c r="D6648" t="inlineStr">
        <is>
          <t>KALMAR LÄN</t>
        </is>
      </c>
      <c r="E6648" t="inlineStr">
        <is>
          <t>HULTSFRED</t>
        </is>
      </c>
      <c r="G6648" t="n">
        <v>1.8</v>
      </c>
      <c r="H6648" t="n">
        <v>0</v>
      </c>
      <c r="I6648" t="n">
        <v>0</v>
      </c>
      <c r="J6648" t="n">
        <v>0</v>
      </c>
      <c r="K6648" t="n">
        <v>0</v>
      </c>
      <c r="L6648" t="n">
        <v>0</v>
      </c>
      <c r="M6648" t="n">
        <v>0</v>
      </c>
      <c r="N6648" t="n">
        <v>0</v>
      </c>
      <c r="O6648" t="n">
        <v>0</v>
      </c>
      <c r="P6648" t="n">
        <v>0</v>
      </c>
      <c r="Q6648" t="n">
        <v>0</v>
      </c>
      <c r="R6648" s="2" t="inlineStr"/>
    </row>
    <row r="6649" ht="15" customHeight="1">
      <c r="A6649" t="inlineStr">
        <is>
          <t>A 7164-2025</t>
        </is>
      </c>
      <c r="B6649" s="1" t="n">
        <v>45702.39331018519</v>
      </c>
      <c r="C6649" s="1" t="n">
        <v>45884</v>
      </c>
      <c r="D6649" t="inlineStr">
        <is>
          <t>KALMAR LÄN</t>
        </is>
      </c>
      <c r="E6649" t="inlineStr">
        <is>
          <t>VÄSTERVIK</t>
        </is>
      </c>
      <c r="F6649" t="inlineStr">
        <is>
          <t>Sveaskog</t>
        </is>
      </c>
      <c r="G6649" t="n">
        <v>1.6</v>
      </c>
      <c r="H6649" t="n">
        <v>0</v>
      </c>
      <c r="I6649" t="n">
        <v>0</v>
      </c>
      <c r="J6649" t="n">
        <v>0</v>
      </c>
      <c r="K6649" t="n">
        <v>0</v>
      </c>
      <c r="L6649" t="n">
        <v>0</v>
      </c>
      <c r="M6649" t="n">
        <v>0</v>
      </c>
      <c r="N6649" t="n">
        <v>0</v>
      </c>
      <c r="O6649" t="n">
        <v>0</v>
      </c>
      <c r="P6649" t="n">
        <v>0</v>
      </c>
      <c r="Q6649" t="n">
        <v>0</v>
      </c>
      <c r="R6649" s="2" t="inlineStr"/>
    </row>
    <row r="6650" ht="15" customHeight="1">
      <c r="A6650" t="inlineStr">
        <is>
          <t>A 52866-2022</t>
        </is>
      </c>
      <c r="B6650" s="1" t="n">
        <v>44875</v>
      </c>
      <c r="C6650" s="1" t="n">
        <v>45884</v>
      </c>
      <c r="D6650" t="inlineStr">
        <is>
          <t>KALMAR LÄN</t>
        </is>
      </c>
      <c r="E6650" t="inlineStr">
        <is>
          <t>MÖNSTERÅS</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53530-2022</t>
        </is>
      </c>
      <c r="B6651" s="1" t="n">
        <v>44879</v>
      </c>
      <c r="C6651" s="1" t="n">
        <v>45884</v>
      </c>
      <c r="D6651" t="inlineStr">
        <is>
          <t>KALMAR LÄN</t>
        </is>
      </c>
      <c r="E6651" t="inlineStr">
        <is>
          <t>OSKARSHAMN</t>
        </is>
      </c>
      <c r="G6651" t="n">
        <v>0.5</v>
      </c>
      <c r="H6651" t="n">
        <v>0</v>
      </c>
      <c r="I6651" t="n">
        <v>0</v>
      </c>
      <c r="J6651" t="n">
        <v>0</v>
      </c>
      <c r="K6651" t="n">
        <v>0</v>
      </c>
      <c r="L6651" t="n">
        <v>0</v>
      </c>
      <c r="M6651" t="n">
        <v>0</v>
      </c>
      <c r="N6651" t="n">
        <v>0</v>
      </c>
      <c r="O6651" t="n">
        <v>0</v>
      </c>
      <c r="P6651" t="n">
        <v>0</v>
      </c>
      <c r="Q6651" t="n">
        <v>0</v>
      </c>
      <c r="R6651" s="2" t="inlineStr"/>
    </row>
    <row r="6652" ht="15" customHeight="1">
      <c r="A6652" t="inlineStr">
        <is>
          <t>A 24283-2023</t>
        </is>
      </c>
      <c r="B6652" s="1" t="n">
        <v>45079.87827546296</v>
      </c>
      <c r="C6652" s="1" t="n">
        <v>45884</v>
      </c>
      <c r="D6652" t="inlineStr">
        <is>
          <t>KALMAR LÄN</t>
        </is>
      </c>
      <c r="E6652" t="inlineStr">
        <is>
          <t>VIMMERBY</t>
        </is>
      </c>
      <c r="G6652" t="n">
        <v>2</v>
      </c>
      <c r="H6652" t="n">
        <v>0</v>
      </c>
      <c r="I6652" t="n">
        <v>0</v>
      </c>
      <c r="J6652" t="n">
        <v>0</v>
      </c>
      <c r="K6652" t="n">
        <v>0</v>
      </c>
      <c r="L6652" t="n">
        <v>0</v>
      </c>
      <c r="M6652" t="n">
        <v>0</v>
      </c>
      <c r="N6652" t="n">
        <v>0</v>
      </c>
      <c r="O6652" t="n">
        <v>0</v>
      </c>
      <c r="P6652" t="n">
        <v>0</v>
      </c>
      <c r="Q6652" t="n">
        <v>0</v>
      </c>
      <c r="R6652" s="2" t="inlineStr"/>
    </row>
    <row r="6653" ht="15" customHeight="1">
      <c r="A6653" t="inlineStr">
        <is>
          <t>A 24337-2023</t>
        </is>
      </c>
      <c r="B6653" s="1" t="n">
        <v>45081.89592592593</v>
      </c>
      <c r="C6653" s="1" t="n">
        <v>45884</v>
      </c>
      <c r="D6653" t="inlineStr">
        <is>
          <t>KALMAR LÄN</t>
        </is>
      </c>
      <c r="E6653" t="inlineStr">
        <is>
          <t>HULTSFRED</t>
        </is>
      </c>
      <c r="G6653" t="n">
        <v>0.5</v>
      </c>
      <c r="H6653" t="n">
        <v>0</v>
      </c>
      <c r="I6653" t="n">
        <v>0</v>
      </c>
      <c r="J6653" t="n">
        <v>0</v>
      </c>
      <c r="K6653" t="n">
        <v>0</v>
      </c>
      <c r="L6653" t="n">
        <v>0</v>
      </c>
      <c r="M6653" t="n">
        <v>0</v>
      </c>
      <c r="N6653" t="n">
        <v>0</v>
      </c>
      <c r="O6653" t="n">
        <v>0</v>
      </c>
      <c r="P6653" t="n">
        <v>0</v>
      </c>
      <c r="Q6653" t="n">
        <v>0</v>
      </c>
      <c r="R6653" s="2" t="inlineStr"/>
    </row>
    <row r="6654" ht="15" customHeight="1">
      <c r="A6654" t="inlineStr">
        <is>
          <t>A 44678-2022</t>
        </is>
      </c>
      <c r="B6654" s="1" t="n">
        <v>44840.65100694444</v>
      </c>
      <c r="C6654" s="1" t="n">
        <v>45884</v>
      </c>
      <c r="D6654" t="inlineStr">
        <is>
          <t>KALMAR LÄN</t>
        </is>
      </c>
      <c r="E6654" t="inlineStr">
        <is>
          <t>BORGHOLM</t>
        </is>
      </c>
      <c r="G6654" t="n">
        <v>2.4</v>
      </c>
      <c r="H6654" t="n">
        <v>0</v>
      </c>
      <c r="I6654" t="n">
        <v>0</v>
      </c>
      <c r="J6654" t="n">
        <v>0</v>
      </c>
      <c r="K6654" t="n">
        <v>0</v>
      </c>
      <c r="L6654" t="n">
        <v>0</v>
      </c>
      <c r="M6654" t="n">
        <v>0</v>
      </c>
      <c r="N6654" t="n">
        <v>0</v>
      </c>
      <c r="O6654" t="n">
        <v>0</v>
      </c>
      <c r="P6654" t="n">
        <v>0</v>
      </c>
      <c r="Q6654" t="n">
        <v>0</v>
      </c>
      <c r="R6654" s="2" t="inlineStr"/>
    </row>
    <row r="6655" ht="15" customHeight="1">
      <c r="A6655" t="inlineStr">
        <is>
          <t>A 31226-2022</t>
        </is>
      </c>
      <c r="B6655" s="1" t="n">
        <v>44771.43327546296</v>
      </c>
      <c r="C6655" s="1" t="n">
        <v>45884</v>
      </c>
      <c r="D6655" t="inlineStr">
        <is>
          <t>KALMAR LÄN</t>
        </is>
      </c>
      <c r="E6655" t="inlineStr">
        <is>
          <t>EMMABODA</t>
        </is>
      </c>
      <c r="G6655" t="n">
        <v>0</v>
      </c>
      <c r="H6655" t="n">
        <v>0</v>
      </c>
      <c r="I6655" t="n">
        <v>0</v>
      </c>
      <c r="J6655" t="n">
        <v>0</v>
      </c>
      <c r="K6655" t="n">
        <v>0</v>
      </c>
      <c r="L6655" t="n">
        <v>0</v>
      </c>
      <c r="M6655" t="n">
        <v>0</v>
      </c>
      <c r="N6655" t="n">
        <v>0</v>
      </c>
      <c r="O6655" t="n">
        <v>0</v>
      </c>
      <c r="P6655" t="n">
        <v>0</v>
      </c>
      <c r="Q6655" t="n">
        <v>0</v>
      </c>
      <c r="R6655" s="2" t="inlineStr"/>
    </row>
    <row r="6656" ht="15" customHeight="1">
      <c r="A6656" t="inlineStr">
        <is>
          <t>A 31222-2025</t>
        </is>
      </c>
      <c r="B6656" s="1" t="n">
        <v>45832</v>
      </c>
      <c r="C6656" s="1" t="n">
        <v>45884</v>
      </c>
      <c r="D6656" t="inlineStr">
        <is>
          <t>KALMAR LÄN</t>
        </is>
      </c>
      <c r="E6656" t="inlineStr">
        <is>
          <t>NYBRO</t>
        </is>
      </c>
      <c r="G6656" t="n">
        <v>2.4</v>
      </c>
      <c r="H6656" t="n">
        <v>0</v>
      </c>
      <c r="I6656" t="n">
        <v>0</v>
      </c>
      <c r="J6656" t="n">
        <v>0</v>
      </c>
      <c r="K6656" t="n">
        <v>0</v>
      </c>
      <c r="L6656" t="n">
        <v>0</v>
      </c>
      <c r="M6656" t="n">
        <v>0</v>
      </c>
      <c r="N6656" t="n">
        <v>0</v>
      </c>
      <c r="O6656" t="n">
        <v>0</v>
      </c>
      <c r="P6656" t="n">
        <v>0</v>
      </c>
      <c r="Q6656" t="n">
        <v>0</v>
      </c>
      <c r="R6656" s="2" t="inlineStr"/>
    </row>
    <row r="6657" ht="15" customHeight="1">
      <c r="A6657" t="inlineStr">
        <is>
          <t>A 3882-2023</t>
        </is>
      </c>
      <c r="B6657" s="1" t="n">
        <v>44951.89928240741</v>
      </c>
      <c r="C6657" s="1" t="n">
        <v>45884</v>
      </c>
      <c r="D6657" t="inlineStr">
        <is>
          <t>KALMAR LÄN</t>
        </is>
      </c>
      <c r="E6657" t="inlineStr">
        <is>
          <t>HULTSFRED</t>
        </is>
      </c>
      <c r="G6657" t="n">
        <v>1.6</v>
      </c>
      <c r="H6657" t="n">
        <v>0</v>
      </c>
      <c r="I6657" t="n">
        <v>0</v>
      </c>
      <c r="J6657" t="n">
        <v>0</v>
      </c>
      <c r="K6657" t="n">
        <v>0</v>
      </c>
      <c r="L6657" t="n">
        <v>0</v>
      </c>
      <c r="M6657" t="n">
        <v>0</v>
      </c>
      <c r="N6657" t="n">
        <v>0</v>
      </c>
      <c r="O6657" t="n">
        <v>0</v>
      </c>
      <c r="P6657" t="n">
        <v>0</v>
      </c>
      <c r="Q6657" t="n">
        <v>0</v>
      </c>
      <c r="R6657" s="2" t="inlineStr"/>
    </row>
    <row r="6658" ht="15" customHeight="1">
      <c r="A6658" t="inlineStr">
        <is>
          <t>A 14930-2023</t>
        </is>
      </c>
      <c r="B6658" s="1" t="n">
        <v>45015</v>
      </c>
      <c r="C6658" s="1" t="n">
        <v>45884</v>
      </c>
      <c r="D6658" t="inlineStr">
        <is>
          <t>KALMAR LÄN</t>
        </is>
      </c>
      <c r="E6658" t="inlineStr">
        <is>
          <t>MÖNSTERÅS</t>
        </is>
      </c>
      <c r="G6658" t="n">
        <v>6.7</v>
      </c>
      <c r="H6658" t="n">
        <v>0</v>
      </c>
      <c r="I6658" t="n">
        <v>0</v>
      </c>
      <c r="J6658" t="n">
        <v>0</v>
      </c>
      <c r="K6658" t="n">
        <v>0</v>
      </c>
      <c r="L6658" t="n">
        <v>0</v>
      </c>
      <c r="M6658" t="n">
        <v>0</v>
      </c>
      <c r="N6658" t="n">
        <v>0</v>
      </c>
      <c r="O6658" t="n">
        <v>0</v>
      </c>
      <c r="P6658" t="n">
        <v>0</v>
      </c>
      <c r="Q6658" t="n">
        <v>0</v>
      </c>
      <c r="R6658" s="2" t="inlineStr"/>
    </row>
    <row r="6659" ht="15" customHeight="1">
      <c r="A6659" t="inlineStr">
        <is>
          <t>A 20770-2023</t>
        </is>
      </c>
      <c r="B6659" s="1" t="n">
        <v>45058</v>
      </c>
      <c r="C6659" s="1" t="n">
        <v>45884</v>
      </c>
      <c r="D6659" t="inlineStr">
        <is>
          <t>KALMAR LÄN</t>
        </is>
      </c>
      <c r="E6659" t="inlineStr">
        <is>
          <t>HÖGSBY</t>
        </is>
      </c>
      <c r="G6659" t="n">
        <v>4.6</v>
      </c>
      <c r="H6659" t="n">
        <v>0</v>
      </c>
      <c r="I6659" t="n">
        <v>0</v>
      </c>
      <c r="J6659" t="n">
        <v>0</v>
      </c>
      <c r="K6659" t="n">
        <v>0</v>
      </c>
      <c r="L6659" t="n">
        <v>0</v>
      </c>
      <c r="M6659" t="n">
        <v>0</v>
      </c>
      <c r="N6659" t="n">
        <v>0</v>
      </c>
      <c r="O6659" t="n">
        <v>0</v>
      </c>
      <c r="P6659" t="n">
        <v>0</v>
      </c>
      <c r="Q6659" t="n">
        <v>0</v>
      </c>
      <c r="R6659" s="2" t="inlineStr"/>
    </row>
    <row r="6660" ht="15" customHeight="1">
      <c r="A6660" t="inlineStr">
        <is>
          <t>A 27085-2025</t>
        </is>
      </c>
      <c r="B6660" s="1" t="n">
        <v>45811.66133101852</v>
      </c>
      <c r="C6660" s="1" t="n">
        <v>45884</v>
      </c>
      <c r="D6660" t="inlineStr">
        <is>
          <t>KALMAR LÄN</t>
        </is>
      </c>
      <c r="E6660" t="inlineStr">
        <is>
          <t>VIMMERBY</t>
        </is>
      </c>
      <c r="G6660" t="n">
        <v>2.4</v>
      </c>
      <c r="H6660" t="n">
        <v>0</v>
      </c>
      <c r="I6660" t="n">
        <v>0</v>
      </c>
      <c r="J6660" t="n">
        <v>0</v>
      </c>
      <c r="K6660" t="n">
        <v>0</v>
      </c>
      <c r="L6660" t="n">
        <v>0</v>
      </c>
      <c r="M6660" t="n">
        <v>0</v>
      </c>
      <c r="N6660" t="n">
        <v>0</v>
      </c>
      <c r="O6660" t="n">
        <v>0</v>
      </c>
      <c r="P6660" t="n">
        <v>0</v>
      </c>
      <c r="Q6660" t="n">
        <v>0</v>
      </c>
      <c r="R6660" s="2" t="inlineStr"/>
    </row>
    <row r="6661" ht="15" customHeight="1">
      <c r="A6661" t="inlineStr">
        <is>
          <t>A 35147-2025</t>
        </is>
      </c>
      <c r="B6661" s="1" t="n">
        <v>45852.67128472222</v>
      </c>
      <c r="C6661" s="1" t="n">
        <v>45884</v>
      </c>
      <c r="D6661" t="inlineStr">
        <is>
          <t>KALMAR LÄN</t>
        </is>
      </c>
      <c r="E6661" t="inlineStr">
        <is>
          <t>NYBRO</t>
        </is>
      </c>
      <c r="G6661" t="n">
        <v>0.5</v>
      </c>
      <c r="H6661" t="n">
        <v>0</v>
      </c>
      <c r="I6661" t="n">
        <v>0</v>
      </c>
      <c r="J6661" t="n">
        <v>0</v>
      </c>
      <c r="K6661" t="n">
        <v>0</v>
      </c>
      <c r="L6661" t="n">
        <v>0</v>
      </c>
      <c r="M6661" t="n">
        <v>0</v>
      </c>
      <c r="N6661" t="n">
        <v>0</v>
      </c>
      <c r="O6661" t="n">
        <v>0</v>
      </c>
      <c r="P6661" t="n">
        <v>0</v>
      </c>
      <c r="Q6661" t="n">
        <v>0</v>
      </c>
      <c r="R6661" s="2" t="inlineStr"/>
    </row>
    <row r="6662" ht="15" customHeight="1">
      <c r="A6662" t="inlineStr">
        <is>
          <t>A 26633-2025</t>
        </is>
      </c>
      <c r="B6662" s="1" t="n">
        <v>45810.35262731482</v>
      </c>
      <c r="C6662" s="1" t="n">
        <v>45884</v>
      </c>
      <c r="D6662" t="inlineStr">
        <is>
          <t>KALMAR LÄN</t>
        </is>
      </c>
      <c r="E6662" t="inlineStr">
        <is>
          <t>VÄSTERVIK</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27357-2025</t>
        </is>
      </c>
      <c r="B6663" s="1" t="n">
        <v>45812.63650462963</v>
      </c>
      <c r="C6663" s="1" t="n">
        <v>45884</v>
      </c>
      <c r="D6663" t="inlineStr">
        <is>
          <t>KALMAR LÄN</t>
        </is>
      </c>
      <c r="E6663" t="inlineStr">
        <is>
          <t>BORGHOLM</t>
        </is>
      </c>
      <c r="F6663" t="inlineStr">
        <is>
          <t>Sveaskog</t>
        </is>
      </c>
      <c r="G6663" t="n">
        <v>4.5</v>
      </c>
      <c r="H6663" t="n">
        <v>0</v>
      </c>
      <c r="I6663" t="n">
        <v>0</v>
      </c>
      <c r="J6663" t="n">
        <v>0</v>
      </c>
      <c r="K6663" t="n">
        <v>0</v>
      </c>
      <c r="L6663" t="n">
        <v>0</v>
      </c>
      <c r="M6663" t="n">
        <v>0</v>
      </c>
      <c r="N6663" t="n">
        <v>0</v>
      </c>
      <c r="O6663" t="n">
        <v>0</v>
      </c>
      <c r="P6663" t="n">
        <v>0</v>
      </c>
      <c r="Q6663" t="n">
        <v>0</v>
      </c>
      <c r="R6663" s="2" t="inlineStr"/>
    </row>
    <row r="6664" ht="15" customHeight="1">
      <c r="A6664" t="inlineStr">
        <is>
          <t>A 56522-2022</t>
        </is>
      </c>
      <c r="B6664" s="1" t="n">
        <v>44893.45002314815</v>
      </c>
      <c r="C6664" s="1" t="n">
        <v>45884</v>
      </c>
      <c r="D6664" t="inlineStr">
        <is>
          <t>KALMAR LÄN</t>
        </is>
      </c>
      <c r="E6664" t="inlineStr">
        <is>
          <t>TORSÅS</t>
        </is>
      </c>
      <c r="G6664" t="n">
        <v>3.3</v>
      </c>
      <c r="H6664" t="n">
        <v>0</v>
      </c>
      <c r="I6664" t="n">
        <v>0</v>
      </c>
      <c r="J6664" t="n">
        <v>0</v>
      </c>
      <c r="K6664" t="n">
        <v>0</v>
      </c>
      <c r="L6664" t="n">
        <v>0</v>
      </c>
      <c r="M6664" t="n">
        <v>0</v>
      </c>
      <c r="N6664" t="n">
        <v>0</v>
      </c>
      <c r="O6664" t="n">
        <v>0</v>
      </c>
      <c r="P6664" t="n">
        <v>0</v>
      </c>
      <c r="Q6664" t="n">
        <v>0</v>
      </c>
      <c r="R6664" s="2" t="inlineStr"/>
    </row>
    <row r="6665" ht="15" customHeight="1">
      <c r="A6665" t="inlineStr">
        <is>
          <t>A 56610-2022</t>
        </is>
      </c>
      <c r="B6665" s="1" t="n">
        <v>44893.5862037037</v>
      </c>
      <c r="C6665" s="1" t="n">
        <v>45884</v>
      </c>
      <c r="D6665" t="inlineStr">
        <is>
          <t>KALMAR LÄN</t>
        </is>
      </c>
      <c r="E6665" t="inlineStr">
        <is>
          <t>VÄSTERVIK</t>
        </is>
      </c>
      <c r="G6665" t="n">
        <v>0.5</v>
      </c>
      <c r="H6665" t="n">
        <v>0</v>
      </c>
      <c r="I6665" t="n">
        <v>0</v>
      </c>
      <c r="J6665" t="n">
        <v>0</v>
      </c>
      <c r="K6665" t="n">
        <v>0</v>
      </c>
      <c r="L6665" t="n">
        <v>0</v>
      </c>
      <c r="M6665" t="n">
        <v>0</v>
      </c>
      <c r="N6665" t="n">
        <v>0</v>
      </c>
      <c r="O6665" t="n">
        <v>0</v>
      </c>
      <c r="P6665" t="n">
        <v>0</v>
      </c>
      <c r="Q6665" t="n">
        <v>0</v>
      </c>
      <c r="R6665" s="2" t="inlineStr"/>
    </row>
    <row r="6666" ht="15" customHeight="1">
      <c r="A6666" t="inlineStr">
        <is>
          <t>A 35481-2025</t>
        </is>
      </c>
      <c r="B6666" s="1" t="n">
        <v>45855.72674768518</v>
      </c>
      <c r="C6666" s="1" t="n">
        <v>45884</v>
      </c>
      <c r="D6666" t="inlineStr">
        <is>
          <t>KALMAR LÄN</t>
        </is>
      </c>
      <c r="E6666" t="inlineStr">
        <is>
          <t>EMMABODA</t>
        </is>
      </c>
      <c r="G6666" t="n">
        <v>1.7</v>
      </c>
      <c r="H6666" t="n">
        <v>0</v>
      </c>
      <c r="I6666" t="n">
        <v>0</v>
      </c>
      <c r="J6666" t="n">
        <v>0</v>
      </c>
      <c r="K6666" t="n">
        <v>0</v>
      </c>
      <c r="L6666" t="n">
        <v>0</v>
      </c>
      <c r="M6666" t="n">
        <v>0</v>
      </c>
      <c r="N6666" t="n">
        <v>0</v>
      </c>
      <c r="O6666" t="n">
        <v>0</v>
      </c>
      <c r="P6666" t="n">
        <v>0</v>
      </c>
      <c r="Q6666" t="n">
        <v>0</v>
      </c>
      <c r="R6666" s="2" t="inlineStr"/>
    </row>
    <row r="6667" ht="15" customHeight="1">
      <c r="A6667" t="inlineStr">
        <is>
          <t>A 27188-2025</t>
        </is>
      </c>
      <c r="B6667" s="1" t="n">
        <v>45812.36815972222</v>
      </c>
      <c r="C6667" s="1" t="n">
        <v>45884</v>
      </c>
      <c r="D6667" t="inlineStr">
        <is>
          <t>KALMAR LÄN</t>
        </is>
      </c>
      <c r="E6667" t="inlineStr">
        <is>
          <t>OSKARSHAMN</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54314-2022</t>
        </is>
      </c>
      <c r="B6668" s="1" t="n">
        <v>44882</v>
      </c>
      <c r="C6668" s="1" t="n">
        <v>45884</v>
      </c>
      <c r="D6668" t="inlineStr">
        <is>
          <t>KALMAR LÄN</t>
        </is>
      </c>
      <c r="E6668" t="inlineStr">
        <is>
          <t>NYBRO</t>
        </is>
      </c>
      <c r="G6668" t="n">
        <v>0.5</v>
      </c>
      <c r="H6668" t="n">
        <v>0</v>
      </c>
      <c r="I6668" t="n">
        <v>0</v>
      </c>
      <c r="J6668" t="n">
        <v>0</v>
      </c>
      <c r="K6668" t="n">
        <v>0</v>
      </c>
      <c r="L6668" t="n">
        <v>0</v>
      </c>
      <c r="M6668" t="n">
        <v>0</v>
      </c>
      <c r="N6668" t="n">
        <v>0</v>
      </c>
      <c r="O6668" t="n">
        <v>0</v>
      </c>
      <c r="P6668" t="n">
        <v>0</v>
      </c>
      <c r="Q6668" t="n">
        <v>0</v>
      </c>
      <c r="R6668" s="2" t="inlineStr"/>
    </row>
    <row r="6669" ht="15" customHeight="1">
      <c r="A6669" t="inlineStr">
        <is>
          <t>A 27150-2025</t>
        </is>
      </c>
      <c r="B6669" s="1" t="n">
        <v>45812.31928240741</v>
      </c>
      <c r="C6669" s="1" t="n">
        <v>45884</v>
      </c>
      <c r="D6669" t="inlineStr">
        <is>
          <t>KALMAR LÄN</t>
        </is>
      </c>
      <c r="E6669" t="inlineStr">
        <is>
          <t>NYBRO</t>
        </is>
      </c>
      <c r="G6669" t="n">
        <v>3.5</v>
      </c>
      <c r="H6669" t="n">
        <v>0</v>
      </c>
      <c r="I6669" t="n">
        <v>0</v>
      </c>
      <c r="J6669" t="n">
        <v>0</v>
      </c>
      <c r="K6669" t="n">
        <v>0</v>
      </c>
      <c r="L6669" t="n">
        <v>0</v>
      </c>
      <c r="M6669" t="n">
        <v>0</v>
      </c>
      <c r="N6669" t="n">
        <v>0</v>
      </c>
      <c r="O6669" t="n">
        <v>0</v>
      </c>
      <c r="P6669" t="n">
        <v>0</v>
      </c>
      <c r="Q6669" t="n">
        <v>0</v>
      </c>
      <c r="R6669" s="2" t="inlineStr"/>
    </row>
    <row r="6670" ht="15" customHeight="1">
      <c r="A6670" t="inlineStr">
        <is>
          <t>A 27189-2025</t>
        </is>
      </c>
      <c r="B6670" s="1" t="n">
        <v>45812.36875</v>
      </c>
      <c r="C6670" s="1" t="n">
        <v>45884</v>
      </c>
      <c r="D6670" t="inlineStr">
        <is>
          <t>KALMAR LÄN</t>
        </is>
      </c>
      <c r="E6670" t="inlineStr">
        <is>
          <t>OSKARSHAMN</t>
        </is>
      </c>
      <c r="G6670" t="n">
        <v>1.7</v>
      </c>
      <c r="H6670" t="n">
        <v>0</v>
      </c>
      <c r="I6670" t="n">
        <v>0</v>
      </c>
      <c r="J6670" t="n">
        <v>0</v>
      </c>
      <c r="K6670" t="n">
        <v>0</v>
      </c>
      <c r="L6670" t="n">
        <v>0</v>
      </c>
      <c r="M6670" t="n">
        <v>0</v>
      </c>
      <c r="N6670" t="n">
        <v>0</v>
      </c>
      <c r="O6670" t="n">
        <v>0</v>
      </c>
      <c r="P6670" t="n">
        <v>0</v>
      </c>
      <c r="Q6670" t="n">
        <v>0</v>
      </c>
      <c r="R6670" s="2" t="inlineStr"/>
    </row>
    <row r="6671" ht="15" customHeight="1">
      <c r="A6671" t="inlineStr">
        <is>
          <t>A 5332-2023</t>
        </is>
      </c>
      <c r="B6671" s="1" t="n">
        <v>44959.58509259259</v>
      </c>
      <c r="C6671" s="1" t="n">
        <v>45884</v>
      </c>
      <c r="D6671" t="inlineStr">
        <is>
          <t>KALMAR LÄN</t>
        </is>
      </c>
      <c r="E6671" t="inlineStr">
        <is>
          <t>KALMAR</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27250-2025</t>
        </is>
      </c>
      <c r="B6672" s="1" t="n">
        <v>45812.4690162037</v>
      </c>
      <c r="C6672" s="1" t="n">
        <v>45884</v>
      </c>
      <c r="D6672" t="inlineStr">
        <is>
          <t>KALMAR LÄN</t>
        </is>
      </c>
      <c r="E6672" t="inlineStr">
        <is>
          <t>KALMAR</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2462-2022</t>
        </is>
      </c>
      <c r="B6673" s="1" t="n">
        <v>44579.62225694444</v>
      </c>
      <c r="C6673" s="1" t="n">
        <v>45884</v>
      </c>
      <c r="D6673" t="inlineStr">
        <is>
          <t>KALMAR LÄN</t>
        </is>
      </c>
      <c r="E6673" t="inlineStr">
        <is>
          <t>VIMMERBY</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27658-2025</t>
        </is>
      </c>
      <c r="B6674" s="1" t="n">
        <v>45813.61375</v>
      </c>
      <c r="C6674" s="1" t="n">
        <v>45884</v>
      </c>
      <c r="D6674" t="inlineStr">
        <is>
          <t>KALMAR LÄN</t>
        </is>
      </c>
      <c r="E6674" t="inlineStr">
        <is>
          <t>NYBRO</t>
        </is>
      </c>
      <c r="F6674" t="inlineStr">
        <is>
          <t>Sveaskog</t>
        </is>
      </c>
      <c r="G6674" t="n">
        <v>3.2</v>
      </c>
      <c r="H6674" t="n">
        <v>0</v>
      </c>
      <c r="I6674" t="n">
        <v>0</v>
      </c>
      <c r="J6674" t="n">
        <v>0</v>
      </c>
      <c r="K6674" t="n">
        <v>0</v>
      </c>
      <c r="L6674" t="n">
        <v>0</v>
      </c>
      <c r="M6674" t="n">
        <v>0</v>
      </c>
      <c r="N6674" t="n">
        <v>0</v>
      </c>
      <c r="O6674" t="n">
        <v>0</v>
      </c>
      <c r="P6674" t="n">
        <v>0</v>
      </c>
      <c r="Q6674" t="n">
        <v>0</v>
      </c>
      <c r="R6674" s="2" t="inlineStr"/>
    </row>
    <row r="6675" ht="15" customHeight="1">
      <c r="A6675" t="inlineStr">
        <is>
          <t>A 27531-2025</t>
        </is>
      </c>
      <c r="B6675" s="1" t="n">
        <v>45813.45608796296</v>
      </c>
      <c r="C6675" s="1" t="n">
        <v>45884</v>
      </c>
      <c r="D6675" t="inlineStr">
        <is>
          <t>KALMAR LÄN</t>
        </is>
      </c>
      <c r="E6675" t="inlineStr">
        <is>
          <t>HULTSFRED</t>
        </is>
      </c>
      <c r="G6675" t="n">
        <v>3.5</v>
      </c>
      <c r="H6675" t="n">
        <v>0</v>
      </c>
      <c r="I6675" t="n">
        <v>0</v>
      </c>
      <c r="J6675" t="n">
        <v>0</v>
      </c>
      <c r="K6675" t="n">
        <v>0</v>
      </c>
      <c r="L6675" t="n">
        <v>0</v>
      </c>
      <c r="M6675" t="n">
        <v>0</v>
      </c>
      <c r="N6675" t="n">
        <v>0</v>
      </c>
      <c r="O6675" t="n">
        <v>0</v>
      </c>
      <c r="P6675" t="n">
        <v>0</v>
      </c>
      <c r="Q6675" t="n">
        <v>0</v>
      </c>
      <c r="R6675" s="2" t="inlineStr"/>
    </row>
    <row r="6676" ht="15" customHeight="1">
      <c r="A6676" t="inlineStr">
        <is>
          <t>A 27537-2025</t>
        </is>
      </c>
      <c r="B6676" s="1" t="n">
        <v>45813.45994212963</v>
      </c>
      <c r="C6676" s="1" t="n">
        <v>45884</v>
      </c>
      <c r="D6676" t="inlineStr">
        <is>
          <t>KALMAR LÄN</t>
        </is>
      </c>
      <c r="E6676" t="inlineStr">
        <is>
          <t>HULTSFRED</t>
        </is>
      </c>
      <c r="G6676" t="n">
        <v>1.8</v>
      </c>
      <c r="H6676" t="n">
        <v>0</v>
      </c>
      <c r="I6676" t="n">
        <v>0</v>
      </c>
      <c r="J6676" t="n">
        <v>0</v>
      </c>
      <c r="K6676" t="n">
        <v>0</v>
      </c>
      <c r="L6676" t="n">
        <v>0</v>
      </c>
      <c r="M6676" t="n">
        <v>0</v>
      </c>
      <c r="N6676" t="n">
        <v>0</v>
      </c>
      <c r="O6676" t="n">
        <v>0</v>
      </c>
      <c r="P6676" t="n">
        <v>0</v>
      </c>
      <c r="Q6676" t="n">
        <v>0</v>
      </c>
      <c r="R6676" s="2" t="inlineStr"/>
    </row>
    <row r="6677" ht="15" customHeight="1">
      <c r="A6677" t="inlineStr">
        <is>
          <t>A 27474-2025</t>
        </is>
      </c>
      <c r="B6677" s="1" t="n">
        <v>45813.37483796296</v>
      </c>
      <c r="C6677" s="1" t="n">
        <v>45884</v>
      </c>
      <c r="D6677" t="inlineStr">
        <is>
          <t>KALMAR LÄN</t>
        </is>
      </c>
      <c r="E6677" t="inlineStr">
        <is>
          <t>TORSÅS</t>
        </is>
      </c>
      <c r="G6677" t="n">
        <v>3.1</v>
      </c>
      <c r="H6677" t="n">
        <v>0</v>
      </c>
      <c r="I6677" t="n">
        <v>0</v>
      </c>
      <c r="J6677" t="n">
        <v>0</v>
      </c>
      <c r="K6677" t="n">
        <v>0</v>
      </c>
      <c r="L6677" t="n">
        <v>0</v>
      </c>
      <c r="M6677" t="n">
        <v>0</v>
      </c>
      <c r="N6677" t="n">
        <v>0</v>
      </c>
      <c r="O6677" t="n">
        <v>0</v>
      </c>
      <c r="P6677" t="n">
        <v>0</v>
      </c>
      <c r="Q6677" t="n">
        <v>0</v>
      </c>
      <c r="R6677" s="2" t="inlineStr"/>
    </row>
    <row r="6678" ht="15" customHeight="1">
      <c r="A6678" t="inlineStr">
        <is>
          <t>A 27304-2025</t>
        </is>
      </c>
      <c r="B6678" s="1" t="n">
        <v>45812.57268518519</v>
      </c>
      <c r="C6678" s="1" t="n">
        <v>45884</v>
      </c>
      <c r="D6678" t="inlineStr">
        <is>
          <t>KALMAR LÄN</t>
        </is>
      </c>
      <c r="E6678" t="inlineStr">
        <is>
          <t>HULTSFRED</t>
        </is>
      </c>
      <c r="G6678" t="n">
        <v>1</v>
      </c>
      <c r="H6678" t="n">
        <v>0</v>
      </c>
      <c r="I6678" t="n">
        <v>0</v>
      </c>
      <c r="J6678" t="n">
        <v>0</v>
      </c>
      <c r="K6678" t="n">
        <v>0</v>
      </c>
      <c r="L6678" t="n">
        <v>0</v>
      </c>
      <c r="M6678" t="n">
        <v>0</v>
      </c>
      <c r="N6678" t="n">
        <v>0</v>
      </c>
      <c r="O6678" t="n">
        <v>0</v>
      </c>
      <c r="P6678" t="n">
        <v>0</v>
      </c>
      <c r="Q6678" t="n">
        <v>0</v>
      </c>
      <c r="R6678" s="2" t="inlineStr"/>
    </row>
    <row r="6679" ht="15" customHeight="1">
      <c r="A6679" t="inlineStr">
        <is>
          <t>A 27310-2025</t>
        </is>
      </c>
      <c r="B6679" s="1" t="n">
        <v>45812.57512731481</v>
      </c>
      <c r="C6679" s="1" t="n">
        <v>45884</v>
      </c>
      <c r="D6679" t="inlineStr">
        <is>
          <t>KALMAR LÄN</t>
        </is>
      </c>
      <c r="E6679" t="inlineStr">
        <is>
          <t>HULTSFRED</t>
        </is>
      </c>
      <c r="G6679" t="n">
        <v>2</v>
      </c>
      <c r="H6679" t="n">
        <v>0</v>
      </c>
      <c r="I6679" t="n">
        <v>0</v>
      </c>
      <c r="J6679" t="n">
        <v>0</v>
      </c>
      <c r="K6679" t="n">
        <v>0</v>
      </c>
      <c r="L6679" t="n">
        <v>0</v>
      </c>
      <c r="M6679" t="n">
        <v>0</v>
      </c>
      <c r="N6679" t="n">
        <v>0</v>
      </c>
      <c r="O6679" t="n">
        <v>0</v>
      </c>
      <c r="P6679" t="n">
        <v>0</v>
      </c>
      <c r="Q6679" t="n">
        <v>0</v>
      </c>
      <c r="R6679" s="2" t="inlineStr"/>
    </row>
    <row r="6680" ht="15" customHeight="1">
      <c r="A6680" t="inlineStr">
        <is>
          <t>A 60228-2021</t>
        </is>
      </c>
      <c r="B6680" s="1" t="n">
        <v>44495</v>
      </c>
      <c r="C6680" s="1" t="n">
        <v>45884</v>
      </c>
      <c r="D6680" t="inlineStr">
        <is>
          <t>KALMAR LÄN</t>
        </is>
      </c>
      <c r="E6680" t="inlineStr">
        <is>
          <t>VIMMERBY</t>
        </is>
      </c>
      <c r="G6680" t="n">
        <v>4.1</v>
      </c>
      <c r="H6680" t="n">
        <v>0</v>
      </c>
      <c r="I6680" t="n">
        <v>0</v>
      </c>
      <c r="J6680" t="n">
        <v>0</v>
      </c>
      <c r="K6680" t="n">
        <v>0</v>
      </c>
      <c r="L6680" t="n">
        <v>0</v>
      </c>
      <c r="M6680" t="n">
        <v>0</v>
      </c>
      <c r="N6680" t="n">
        <v>0</v>
      </c>
      <c r="O6680" t="n">
        <v>0</v>
      </c>
      <c r="P6680" t="n">
        <v>0</v>
      </c>
      <c r="Q6680" t="n">
        <v>0</v>
      </c>
      <c r="R6680" s="2" t="inlineStr"/>
    </row>
    <row r="6681" ht="15" customHeight="1">
      <c r="A6681" t="inlineStr">
        <is>
          <t>A 23926-2023</t>
        </is>
      </c>
      <c r="B6681" s="1" t="n">
        <v>45075</v>
      </c>
      <c r="C6681" s="1" t="n">
        <v>45884</v>
      </c>
      <c r="D6681" t="inlineStr">
        <is>
          <t>KALMAR LÄN</t>
        </is>
      </c>
      <c r="E6681" t="inlineStr">
        <is>
          <t>NYBRO</t>
        </is>
      </c>
      <c r="G6681" t="n">
        <v>0.5</v>
      </c>
      <c r="H6681" t="n">
        <v>0</v>
      </c>
      <c r="I6681" t="n">
        <v>0</v>
      </c>
      <c r="J6681" t="n">
        <v>0</v>
      </c>
      <c r="K6681" t="n">
        <v>0</v>
      </c>
      <c r="L6681" t="n">
        <v>0</v>
      </c>
      <c r="M6681" t="n">
        <v>0</v>
      </c>
      <c r="N6681" t="n">
        <v>0</v>
      </c>
      <c r="O6681" t="n">
        <v>0</v>
      </c>
      <c r="P6681" t="n">
        <v>0</v>
      </c>
      <c r="Q6681" t="n">
        <v>0</v>
      </c>
      <c r="R6681" s="2" t="inlineStr"/>
    </row>
    <row r="6682" ht="15" customHeight="1">
      <c r="A6682" t="inlineStr">
        <is>
          <t>A 56549-2022</t>
        </is>
      </c>
      <c r="B6682" s="1" t="n">
        <v>44893.48324074074</v>
      </c>
      <c r="C6682" s="1" t="n">
        <v>45884</v>
      </c>
      <c r="D6682" t="inlineStr">
        <is>
          <t>KALMAR LÄN</t>
        </is>
      </c>
      <c r="E6682" t="inlineStr">
        <is>
          <t>EMMABODA</t>
        </is>
      </c>
      <c r="G6682" t="n">
        <v>4.2</v>
      </c>
      <c r="H6682" t="n">
        <v>0</v>
      </c>
      <c r="I6682" t="n">
        <v>0</v>
      </c>
      <c r="J6682" t="n">
        <v>0</v>
      </c>
      <c r="K6682" t="n">
        <v>0</v>
      </c>
      <c r="L6682" t="n">
        <v>0</v>
      </c>
      <c r="M6682" t="n">
        <v>0</v>
      </c>
      <c r="N6682" t="n">
        <v>0</v>
      </c>
      <c r="O6682" t="n">
        <v>0</v>
      </c>
      <c r="P6682" t="n">
        <v>0</v>
      </c>
      <c r="Q6682" t="n">
        <v>0</v>
      </c>
      <c r="R6682" s="2" t="inlineStr"/>
    </row>
    <row r="6683" ht="15" customHeight="1">
      <c r="A6683" t="inlineStr">
        <is>
          <t>A 25979-2023</t>
        </is>
      </c>
      <c r="B6683" s="1" t="n">
        <v>45090.89653935185</v>
      </c>
      <c r="C6683" s="1" t="n">
        <v>45884</v>
      </c>
      <c r="D6683" t="inlineStr">
        <is>
          <t>KALMAR LÄN</t>
        </is>
      </c>
      <c r="E6683" t="inlineStr">
        <is>
          <t>VIMMERBY</t>
        </is>
      </c>
      <c r="G6683" t="n">
        <v>2</v>
      </c>
      <c r="H6683" t="n">
        <v>0</v>
      </c>
      <c r="I6683" t="n">
        <v>0</v>
      </c>
      <c r="J6683" t="n">
        <v>0</v>
      </c>
      <c r="K6683" t="n">
        <v>0</v>
      </c>
      <c r="L6683" t="n">
        <v>0</v>
      </c>
      <c r="M6683" t="n">
        <v>0</v>
      </c>
      <c r="N6683" t="n">
        <v>0</v>
      </c>
      <c r="O6683" t="n">
        <v>0</v>
      </c>
      <c r="P6683" t="n">
        <v>0</v>
      </c>
      <c r="Q6683" t="n">
        <v>0</v>
      </c>
      <c r="R6683" s="2" t="inlineStr"/>
    </row>
    <row r="6684" ht="15" customHeight="1">
      <c r="A6684" t="inlineStr">
        <is>
          <t>A 25980-2023</t>
        </is>
      </c>
      <c r="B6684" s="1" t="n">
        <v>45090.89880787037</v>
      </c>
      <c r="C6684" s="1" t="n">
        <v>45884</v>
      </c>
      <c r="D6684" t="inlineStr">
        <is>
          <t>KALMAR LÄN</t>
        </is>
      </c>
      <c r="E6684" t="inlineStr">
        <is>
          <t>VIMMERBY</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41452-2022</t>
        </is>
      </c>
      <c r="B6685" s="1" t="n">
        <v>44826.84994212963</v>
      </c>
      <c r="C6685" s="1" t="n">
        <v>45884</v>
      </c>
      <c r="D6685" t="inlineStr">
        <is>
          <t>KALMAR LÄN</t>
        </is>
      </c>
      <c r="E6685" t="inlineStr">
        <is>
          <t>TORSÅS</t>
        </is>
      </c>
      <c r="G6685" t="n">
        <v>1.3</v>
      </c>
      <c r="H6685" t="n">
        <v>0</v>
      </c>
      <c r="I6685" t="n">
        <v>0</v>
      </c>
      <c r="J6685" t="n">
        <v>0</v>
      </c>
      <c r="K6685" t="n">
        <v>0</v>
      </c>
      <c r="L6685" t="n">
        <v>0</v>
      </c>
      <c r="M6685" t="n">
        <v>0</v>
      </c>
      <c r="N6685" t="n">
        <v>0</v>
      </c>
      <c r="O6685" t="n">
        <v>0</v>
      </c>
      <c r="P6685" t="n">
        <v>0</v>
      </c>
      <c r="Q6685" t="n">
        <v>0</v>
      </c>
      <c r="R6685" s="2" t="inlineStr"/>
    </row>
    <row r="6686" ht="15" customHeight="1">
      <c r="A6686" t="inlineStr">
        <is>
          <t>A 12510-2022</t>
        </is>
      </c>
      <c r="B6686" s="1" t="n">
        <v>44638.55256944444</v>
      </c>
      <c r="C6686" s="1" t="n">
        <v>45884</v>
      </c>
      <c r="D6686" t="inlineStr">
        <is>
          <t>KALMAR LÄN</t>
        </is>
      </c>
      <c r="E6686" t="inlineStr">
        <is>
          <t>VIMMERBY</t>
        </is>
      </c>
      <c r="G6686" t="n">
        <v>2.4</v>
      </c>
      <c r="H6686" t="n">
        <v>0</v>
      </c>
      <c r="I6686" t="n">
        <v>0</v>
      </c>
      <c r="J6686" t="n">
        <v>0</v>
      </c>
      <c r="K6686" t="n">
        <v>0</v>
      </c>
      <c r="L6686" t="n">
        <v>0</v>
      </c>
      <c r="M6686" t="n">
        <v>0</v>
      </c>
      <c r="N6686" t="n">
        <v>0</v>
      </c>
      <c r="O6686" t="n">
        <v>0</v>
      </c>
      <c r="P6686" t="n">
        <v>0</v>
      </c>
      <c r="Q6686" t="n">
        <v>0</v>
      </c>
      <c r="R6686" s="2" t="inlineStr"/>
    </row>
    <row r="6687" ht="15" customHeight="1">
      <c r="A6687" t="inlineStr">
        <is>
          <t>A 6358-2022</t>
        </is>
      </c>
      <c r="B6687" s="1" t="n">
        <v>44600</v>
      </c>
      <c r="C6687" s="1" t="n">
        <v>45884</v>
      </c>
      <c r="D6687" t="inlineStr">
        <is>
          <t>KALMAR LÄN</t>
        </is>
      </c>
      <c r="E6687" t="inlineStr">
        <is>
          <t>VIMMERBY</t>
        </is>
      </c>
      <c r="G6687" t="n">
        <v>1.7</v>
      </c>
      <c r="H6687" t="n">
        <v>0</v>
      </c>
      <c r="I6687" t="n">
        <v>0</v>
      </c>
      <c r="J6687" t="n">
        <v>0</v>
      </c>
      <c r="K6687" t="n">
        <v>0</v>
      </c>
      <c r="L6687" t="n">
        <v>0</v>
      </c>
      <c r="M6687" t="n">
        <v>0</v>
      </c>
      <c r="N6687" t="n">
        <v>0</v>
      </c>
      <c r="O6687" t="n">
        <v>0</v>
      </c>
      <c r="P6687" t="n">
        <v>0</v>
      </c>
      <c r="Q6687" t="n">
        <v>0</v>
      </c>
      <c r="R6687" s="2" t="inlineStr"/>
    </row>
    <row r="6688" ht="15" customHeight="1">
      <c r="A6688" t="inlineStr">
        <is>
          <t>A 3507-2021</t>
        </is>
      </c>
      <c r="B6688" s="1" t="n">
        <v>44216</v>
      </c>
      <c r="C6688" s="1" t="n">
        <v>45884</v>
      </c>
      <c r="D6688" t="inlineStr">
        <is>
          <t>KALMAR LÄN</t>
        </is>
      </c>
      <c r="E6688" t="inlineStr">
        <is>
          <t>HÖGSBY</t>
        </is>
      </c>
      <c r="G6688" t="n">
        <v>7.3</v>
      </c>
      <c r="H6688" t="n">
        <v>0</v>
      </c>
      <c r="I6688" t="n">
        <v>0</v>
      </c>
      <c r="J6688" t="n">
        <v>0</v>
      </c>
      <c r="K6688" t="n">
        <v>0</v>
      </c>
      <c r="L6688" t="n">
        <v>0</v>
      </c>
      <c r="M6688" t="n">
        <v>0</v>
      </c>
      <c r="N6688" t="n">
        <v>0</v>
      </c>
      <c r="O6688" t="n">
        <v>0</v>
      </c>
      <c r="P6688" t="n">
        <v>0</v>
      </c>
      <c r="Q6688" t="n">
        <v>0</v>
      </c>
      <c r="R6688" s="2" t="inlineStr"/>
    </row>
    <row r="6689" ht="15" customHeight="1">
      <c r="A6689" t="inlineStr">
        <is>
          <t>A 22429-2023</t>
        </is>
      </c>
      <c r="B6689" s="1" t="n">
        <v>45070</v>
      </c>
      <c r="C6689" s="1" t="n">
        <v>45884</v>
      </c>
      <c r="D6689" t="inlineStr">
        <is>
          <t>KALMAR LÄN</t>
        </is>
      </c>
      <c r="E6689" t="inlineStr">
        <is>
          <t>NYBRO</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39566-2021</t>
        </is>
      </c>
      <c r="B6690" s="1" t="n">
        <v>44416</v>
      </c>
      <c r="C6690" s="1" t="n">
        <v>45884</v>
      </c>
      <c r="D6690" t="inlineStr">
        <is>
          <t>KALMAR LÄN</t>
        </is>
      </c>
      <c r="E6690" t="inlineStr">
        <is>
          <t>EMMABODA</t>
        </is>
      </c>
      <c r="G6690" t="n">
        <v>3.7</v>
      </c>
      <c r="H6690" t="n">
        <v>0</v>
      </c>
      <c r="I6690" t="n">
        <v>0</v>
      </c>
      <c r="J6690" t="n">
        <v>0</v>
      </c>
      <c r="K6690" t="n">
        <v>0</v>
      </c>
      <c r="L6690" t="n">
        <v>0</v>
      </c>
      <c r="M6690" t="n">
        <v>0</v>
      </c>
      <c r="N6690" t="n">
        <v>0</v>
      </c>
      <c r="O6690" t="n">
        <v>0</v>
      </c>
      <c r="P6690" t="n">
        <v>0</v>
      </c>
      <c r="Q6690" t="n">
        <v>0</v>
      </c>
      <c r="R6690" s="2" t="inlineStr"/>
    </row>
    <row r="6691" ht="15" customHeight="1">
      <c r="A6691" t="inlineStr">
        <is>
          <t>A 24148-2022</t>
        </is>
      </c>
      <c r="B6691" s="1" t="n">
        <v>44725.47578703704</v>
      </c>
      <c r="C6691" s="1" t="n">
        <v>45884</v>
      </c>
      <c r="D6691" t="inlineStr">
        <is>
          <t>KALMAR LÄN</t>
        </is>
      </c>
      <c r="E6691" t="inlineStr">
        <is>
          <t>TORSÅS</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34827-2024</t>
        </is>
      </c>
      <c r="B6692" s="1" t="n">
        <v>45526.77328703704</v>
      </c>
      <c r="C6692" s="1" t="n">
        <v>45884</v>
      </c>
      <c r="D6692" t="inlineStr">
        <is>
          <t>KALMAR LÄN</t>
        </is>
      </c>
      <c r="E6692" t="inlineStr">
        <is>
          <t>OSKARSHAMN</t>
        </is>
      </c>
      <c r="F6692" t="inlineStr">
        <is>
          <t>Sveaskog</t>
        </is>
      </c>
      <c r="G6692" t="n">
        <v>0.4</v>
      </c>
      <c r="H6692" t="n">
        <v>0</v>
      </c>
      <c r="I6692" t="n">
        <v>0</v>
      </c>
      <c r="J6692" t="n">
        <v>0</v>
      </c>
      <c r="K6692" t="n">
        <v>0</v>
      </c>
      <c r="L6692" t="n">
        <v>0</v>
      </c>
      <c r="M6692" t="n">
        <v>0</v>
      </c>
      <c r="N6692" t="n">
        <v>0</v>
      </c>
      <c r="O6692" t="n">
        <v>0</v>
      </c>
      <c r="P6692" t="n">
        <v>0</v>
      </c>
      <c r="Q6692" t="n">
        <v>0</v>
      </c>
      <c r="R6692" s="2" t="inlineStr"/>
    </row>
    <row r="6693" ht="15" customHeight="1">
      <c r="A6693" t="inlineStr">
        <is>
          <t>A 34830-2024</t>
        </is>
      </c>
      <c r="B6693" s="1" t="n">
        <v>45526.77930555555</v>
      </c>
      <c r="C6693" s="1" t="n">
        <v>45884</v>
      </c>
      <c r="D6693" t="inlineStr">
        <is>
          <t>KALMAR LÄN</t>
        </is>
      </c>
      <c r="E6693" t="inlineStr">
        <is>
          <t>OSKARSHAMN</t>
        </is>
      </c>
      <c r="F6693" t="inlineStr">
        <is>
          <t>Sveaskog</t>
        </is>
      </c>
      <c r="G6693" t="n">
        <v>6.5</v>
      </c>
      <c r="H6693" t="n">
        <v>0</v>
      </c>
      <c r="I6693" t="n">
        <v>0</v>
      </c>
      <c r="J6693" t="n">
        <v>0</v>
      </c>
      <c r="K6693" t="n">
        <v>0</v>
      </c>
      <c r="L6693" t="n">
        <v>0</v>
      </c>
      <c r="M6693" t="n">
        <v>0</v>
      </c>
      <c r="N6693" t="n">
        <v>0</v>
      </c>
      <c r="O6693" t="n">
        <v>0</v>
      </c>
      <c r="P6693" t="n">
        <v>0</v>
      </c>
      <c r="Q6693" t="n">
        <v>0</v>
      </c>
      <c r="R6693" s="2" t="inlineStr"/>
    </row>
    <row r="6694" ht="15" customHeight="1">
      <c r="A6694" t="inlineStr">
        <is>
          <t>A 27591-2025</t>
        </is>
      </c>
      <c r="B6694" s="1" t="n">
        <v>45813.51774305556</v>
      </c>
      <c r="C6694" s="1" t="n">
        <v>45884</v>
      </c>
      <c r="D6694" t="inlineStr">
        <is>
          <t>KALMAR LÄN</t>
        </is>
      </c>
      <c r="E6694" t="inlineStr">
        <is>
          <t>HULTSFRED</t>
        </is>
      </c>
      <c r="G6694" t="n">
        <v>1.7</v>
      </c>
      <c r="H6694" t="n">
        <v>0</v>
      </c>
      <c r="I6694" t="n">
        <v>0</v>
      </c>
      <c r="J6694" t="n">
        <v>0</v>
      </c>
      <c r="K6694" t="n">
        <v>0</v>
      </c>
      <c r="L6694" t="n">
        <v>0</v>
      </c>
      <c r="M6694" t="n">
        <v>0</v>
      </c>
      <c r="N6694" t="n">
        <v>0</v>
      </c>
      <c r="O6694" t="n">
        <v>0</v>
      </c>
      <c r="P6694" t="n">
        <v>0</v>
      </c>
      <c r="Q6694" t="n">
        <v>0</v>
      </c>
      <c r="R6694" s="2" t="inlineStr"/>
    </row>
    <row r="6695" ht="15" customHeight="1">
      <c r="A6695" t="inlineStr">
        <is>
          <t>A 27594-2025</t>
        </is>
      </c>
      <c r="B6695" s="1" t="n">
        <v>45813.52047453704</v>
      </c>
      <c r="C6695" s="1" t="n">
        <v>45884</v>
      </c>
      <c r="D6695" t="inlineStr">
        <is>
          <t>KALMAR LÄN</t>
        </is>
      </c>
      <c r="E6695" t="inlineStr">
        <is>
          <t>HULTSFRED</t>
        </is>
      </c>
      <c r="G6695" t="n">
        <v>2.2</v>
      </c>
      <c r="H6695" t="n">
        <v>0</v>
      </c>
      <c r="I6695" t="n">
        <v>0</v>
      </c>
      <c r="J6695" t="n">
        <v>0</v>
      </c>
      <c r="K6695" t="n">
        <v>0</v>
      </c>
      <c r="L6695" t="n">
        <v>0</v>
      </c>
      <c r="M6695" t="n">
        <v>0</v>
      </c>
      <c r="N6695" t="n">
        <v>0</v>
      </c>
      <c r="O6695" t="n">
        <v>0</v>
      </c>
      <c r="P6695" t="n">
        <v>0</v>
      </c>
      <c r="Q6695" t="n">
        <v>0</v>
      </c>
      <c r="R6695" s="2" t="inlineStr"/>
    </row>
    <row r="6696" ht="15" customHeight="1">
      <c r="A6696" t="inlineStr">
        <is>
          <t>A 6207-2022</t>
        </is>
      </c>
      <c r="B6696" s="1" t="n">
        <v>44600.35996527778</v>
      </c>
      <c r="C6696" s="1" t="n">
        <v>45884</v>
      </c>
      <c r="D6696" t="inlineStr">
        <is>
          <t>KALMAR LÄN</t>
        </is>
      </c>
      <c r="E6696" t="inlineStr">
        <is>
          <t>TORSÅS</t>
        </is>
      </c>
      <c r="G6696" t="n">
        <v>2.2</v>
      </c>
      <c r="H6696" t="n">
        <v>0</v>
      </c>
      <c r="I6696" t="n">
        <v>0</v>
      </c>
      <c r="J6696" t="n">
        <v>0</v>
      </c>
      <c r="K6696" t="n">
        <v>0</v>
      </c>
      <c r="L6696" t="n">
        <v>0</v>
      </c>
      <c r="M6696" t="n">
        <v>0</v>
      </c>
      <c r="N6696" t="n">
        <v>0</v>
      </c>
      <c r="O6696" t="n">
        <v>0</v>
      </c>
      <c r="P6696" t="n">
        <v>0</v>
      </c>
      <c r="Q6696" t="n">
        <v>0</v>
      </c>
      <c r="R6696" s="2" t="inlineStr"/>
    </row>
    <row r="6697" ht="15" customHeight="1">
      <c r="A6697" t="inlineStr">
        <is>
          <t>A 27366-2025</t>
        </is>
      </c>
      <c r="B6697" s="1" t="n">
        <v>45812.64475694444</v>
      </c>
      <c r="C6697" s="1" t="n">
        <v>45884</v>
      </c>
      <c r="D6697" t="inlineStr">
        <is>
          <t>KALMAR LÄN</t>
        </is>
      </c>
      <c r="E6697" t="inlineStr">
        <is>
          <t>BORGHOLM</t>
        </is>
      </c>
      <c r="F6697" t="inlineStr">
        <is>
          <t>Sveaskog</t>
        </is>
      </c>
      <c r="G6697" t="n">
        <v>2.5</v>
      </c>
      <c r="H6697" t="n">
        <v>0</v>
      </c>
      <c r="I6697" t="n">
        <v>0</v>
      </c>
      <c r="J6697" t="n">
        <v>0</v>
      </c>
      <c r="K6697" t="n">
        <v>0</v>
      </c>
      <c r="L6697" t="n">
        <v>0</v>
      </c>
      <c r="M6697" t="n">
        <v>0</v>
      </c>
      <c r="N6697" t="n">
        <v>0</v>
      </c>
      <c r="O6697" t="n">
        <v>0</v>
      </c>
      <c r="P6697" t="n">
        <v>0</v>
      </c>
      <c r="Q6697" t="n">
        <v>0</v>
      </c>
      <c r="R6697" s="2" t="inlineStr"/>
    </row>
    <row r="6698" ht="15" customHeight="1">
      <c r="A6698" t="inlineStr">
        <is>
          <t>A 31720-2022</t>
        </is>
      </c>
      <c r="B6698" s="1" t="n">
        <v>44776</v>
      </c>
      <c r="C6698" s="1" t="n">
        <v>45884</v>
      </c>
      <c r="D6698" t="inlineStr">
        <is>
          <t>KALMAR LÄN</t>
        </is>
      </c>
      <c r="E6698" t="inlineStr">
        <is>
          <t>BORGHOLM</t>
        </is>
      </c>
      <c r="F6698" t="inlineStr">
        <is>
          <t>Sveaskog</t>
        </is>
      </c>
      <c r="G6698" t="n">
        <v>4.5</v>
      </c>
      <c r="H6698" t="n">
        <v>0</v>
      </c>
      <c r="I6698" t="n">
        <v>0</v>
      </c>
      <c r="J6698" t="n">
        <v>0</v>
      </c>
      <c r="K6698" t="n">
        <v>0</v>
      </c>
      <c r="L6698" t="n">
        <v>0</v>
      </c>
      <c r="M6698" t="n">
        <v>0</v>
      </c>
      <c r="N6698" t="n">
        <v>0</v>
      </c>
      <c r="O6698" t="n">
        <v>0</v>
      </c>
      <c r="P6698" t="n">
        <v>0</v>
      </c>
      <c r="Q6698" t="n">
        <v>0</v>
      </c>
      <c r="R6698" s="2" t="inlineStr"/>
    </row>
    <row r="6699" ht="15" customHeight="1">
      <c r="A6699" t="inlineStr">
        <is>
          <t>A 38104-2021</t>
        </is>
      </c>
      <c r="B6699" s="1" t="n">
        <v>44405.3347337963</v>
      </c>
      <c r="C6699" s="1" t="n">
        <v>45884</v>
      </c>
      <c r="D6699" t="inlineStr">
        <is>
          <t>KALMAR LÄN</t>
        </is>
      </c>
      <c r="E6699" t="inlineStr">
        <is>
          <t>EMMABODA</t>
        </is>
      </c>
      <c r="G6699" t="n">
        <v>4.1</v>
      </c>
      <c r="H6699" t="n">
        <v>0</v>
      </c>
      <c r="I6699" t="n">
        <v>0</v>
      </c>
      <c r="J6699" t="n">
        <v>0</v>
      </c>
      <c r="K6699" t="n">
        <v>0</v>
      </c>
      <c r="L6699" t="n">
        <v>0</v>
      </c>
      <c r="M6699" t="n">
        <v>0</v>
      </c>
      <c r="N6699" t="n">
        <v>0</v>
      </c>
      <c r="O6699" t="n">
        <v>0</v>
      </c>
      <c r="P6699" t="n">
        <v>0</v>
      </c>
      <c r="Q6699" t="n">
        <v>0</v>
      </c>
      <c r="R6699" s="2" t="inlineStr"/>
    </row>
    <row r="6700" ht="15" customHeight="1">
      <c r="A6700" t="inlineStr">
        <is>
          <t>A 21522-2023</t>
        </is>
      </c>
      <c r="B6700" s="1" t="n">
        <v>45063</v>
      </c>
      <c r="C6700" s="1" t="n">
        <v>45884</v>
      </c>
      <c r="D6700" t="inlineStr">
        <is>
          <t>KALMAR LÄN</t>
        </is>
      </c>
      <c r="E6700" t="inlineStr">
        <is>
          <t>KALMAR</t>
        </is>
      </c>
      <c r="F6700" t="inlineStr">
        <is>
          <t>Sveaskog</t>
        </is>
      </c>
      <c r="G6700" t="n">
        <v>5.2</v>
      </c>
      <c r="H6700" t="n">
        <v>0</v>
      </c>
      <c r="I6700" t="n">
        <v>0</v>
      </c>
      <c r="J6700" t="n">
        <v>0</v>
      </c>
      <c r="K6700" t="n">
        <v>0</v>
      </c>
      <c r="L6700" t="n">
        <v>0</v>
      </c>
      <c r="M6700" t="n">
        <v>0</v>
      </c>
      <c r="N6700" t="n">
        <v>0</v>
      </c>
      <c r="O6700" t="n">
        <v>0</v>
      </c>
      <c r="P6700" t="n">
        <v>0</v>
      </c>
      <c r="Q6700" t="n">
        <v>0</v>
      </c>
      <c r="R6700" s="2" t="inlineStr"/>
    </row>
    <row r="6701" ht="15" customHeight="1">
      <c r="A6701" t="inlineStr">
        <is>
          <t>A 57818-2023</t>
        </is>
      </c>
      <c r="B6701" s="1" t="n">
        <v>45244</v>
      </c>
      <c r="C6701" s="1" t="n">
        <v>45884</v>
      </c>
      <c r="D6701" t="inlineStr">
        <is>
          <t>KALMAR LÄN</t>
        </is>
      </c>
      <c r="E6701" t="inlineStr">
        <is>
          <t>NYBRO</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27316-2025</t>
        </is>
      </c>
      <c r="B6702" s="1" t="n">
        <v>45812.58846064815</v>
      </c>
      <c r="C6702" s="1" t="n">
        <v>45884</v>
      </c>
      <c r="D6702" t="inlineStr">
        <is>
          <t>KALMAR LÄN</t>
        </is>
      </c>
      <c r="E6702" t="inlineStr">
        <is>
          <t>NYBRO</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27320-2025</t>
        </is>
      </c>
      <c r="B6703" s="1" t="n">
        <v>45812.59289351852</v>
      </c>
      <c r="C6703" s="1" t="n">
        <v>45884</v>
      </c>
      <c r="D6703" t="inlineStr">
        <is>
          <t>KALMAR LÄN</t>
        </is>
      </c>
      <c r="E6703" t="inlineStr">
        <is>
          <t>NYBRO</t>
        </is>
      </c>
      <c r="G6703" t="n">
        <v>0.5</v>
      </c>
      <c r="H6703" t="n">
        <v>0</v>
      </c>
      <c r="I6703" t="n">
        <v>0</v>
      </c>
      <c r="J6703" t="n">
        <v>0</v>
      </c>
      <c r="K6703" t="n">
        <v>0</v>
      </c>
      <c r="L6703" t="n">
        <v>0</v>
      </c>
      <c r="M6703" t="n">
        <v>0</v>
      </c>
      <c r="N6703" t="n">
        <v>0</v>
      </c>
      <c r="O6703" t="n">
        <v>0</v>
      </c>
      <c r="P6703" t="n">
        <v>0</v>
      </c>
      <c r="Q6703" t="n">
        <v>0</v>
      </c>
      <c r="R6703" s="2" t="inlineStr"/>
    </row>
    <row r="6704" ht="15" customHeight="1">
      <c r="A6704" t="inlineStr">
        <is>
          <t>A 54051-2022</t>
        </is>
      </c>
      <c r="B6704" s="1" t="n">
        <v>44881.47697916667</v>
      </c>
      <c r="C6704" s="1" t="n">
        <v>45884</v>
      </c>
      <c r="D6704" t="inlineStr">
        <is>
          <t>KALMAR LÄN</t>
        </is>
      </c>
      <c r="E6704" t="inlineStr">
        <is>
          <t>NYBRO</t>
        </is>
      </c>
      <c r="G6704" t="n">
        <v>2.2</v>
      </c>
      <c r="H6704" t="n">
        <v>0</v>
      </c>
      <c r="I6704" t="n">
        <v>0</v>
      </c>
      <c r="J6704" t="n">
        <v>0</v>
      </c>
      <c r="K6704" t="n">
        <v>0</v>
      </c>
      <c r="L6704" t="n">
        <v>0</v>
      </c>
      <c r="M6704" t="n">
        <v>0</v>
      </c>
      <c r="N6704" t="n">
        <v>0</v>
      </c>
      <c r="O6704" t="n">
        <v>0</v>
      </c>
      <c r="P6704" t="n">
        <v>0</v>
      </c>
      <c r="Q6704" t="n">
        <v>0</v>
      </c>
      <c r="R6704" s="2" t="inlineStr"/>
    </row>
    <row r="6705" ht="15" customHeight="1">
      <c r="A6705" t="inlineStr">
        <is>
          <t>A 27446-2025</t>
        </is>
      </c>
      <c r="B6705" s="1" t="n">
        <v>45813.32667824074</v>
      </c>
      <c r="C6705" s="1" t="n">
        <v>45884</v>
      </c>
      <c r="D6705" t="inlineStr">
        <is>
          <t>KALMAR LÄN</t>
        </is>
      </c>
      <c r="E6705" t="inlineStr">
        <is>
          <t>VÄSTERVIK</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10244-2024</t>
        </is>
      </c>
      <c r="B6706" s="1" t="n">
        <v>45365.37284722222</v>
      </c>
      <c r="C6706" s="1" t="n">
        <v>45884</v>
      </c>
      <c r="D6706" t="inlineStr">
        <is>
          <t>KALMAR LÄN</t>
        </is>
      </c>
      <c r="E6706" t="inlineStr">
        <is>
          <t>HÖGSBY</t>
        </is>
      </c>
      <c r="G6706" t="n">
        <v>2.5</v>
      </c>
      <c r="H6706" t="n">
        <v>0</v>
      </c>
      <c r="I6706" t="n">
        <v>0</v>
      </c>
      <c r="J6706" t="n">
        <v>0</v>
      </c>
      <c r="K6706" t="n">
        <v>0</v>
      </c>
      <c r="L6706" t="n">
        <v>0</v>
      </c>
      <c r="M6706" t="n">
        <v>0</v>
      </c>
      <c r="N6706" t="n">
        <v>0</v>
      </c>
      <c r="O6706" t="n">
        <v>0</v>
      </c>
      <c r="P6706" t="n">
        <v>0</v>
      </c>
      <c r="Q6706" t="n">
        <v>0</v>
      </c>
      <c r="R6706" s="2" t="inlineStr"/>
    </row>
    <row r="6707" ht="15" customHeight="1">
      <c r="A6707" t="inlineStr">
        <is>
          <t>A 12193-2025</t>
        </is>
      </c>
      <c r="B6707" s="1" t="n">
        <v>45729.47229166667</v>
      </c>
      <c r="C6707" s="1" t="n">
        <v>45884</v>
      </c>
      <c r="D6707" t="inlineStr">
        <is>
          <t>KALMAR LÄN</t>
        </is>
      </c>
      <c r="E6707" t="inlineStr">
        <is>
          <t>HULTSFRED</t>
        </is>
      </c>
      <c r="F6707" t="inlineStr">
        <is>
          <t>Sveaskog</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12200-2025</t>
        </is>
      </c>
      <c r="B6708" s="1" t="n">
        <v>45729.481875</v>
      </c>
      <c r="C6708" s="1" t="n">
        <v>45884</v>
      </c>
      <c r="D6708" t="inlineStr">
        <is>
          <t>KALMAR LÄN</t>
        </is>
      </c>
      <c r="E6708" t="inlineStr">
        <is>
          <t>HULTSFRED</t>
        </is>
      </c>
      <c r="G6708" t="n">
        <v>0.7</v>
      </c>
      <c r="H6708" t="n">
        <v>0</v>
      </c>
      <c r="I6708" t="n">
        <v>0</v>
      </c>
      <c r="J6708" t="n">
        <v>0</v>
      </c>
      <c r="K6708" t="n">
        <v>0</v>
      </c>
      <c r="L6708" t="n">
        <v>0</v>
      </c>
      <c r="M6708" t="n">
        <v>0</v>
      </c>
      <c r="N6708" t="n">
        <v>0</v>
      </c>
      <c r="O6708" t="n">
        <v>0</v>
      </c>
      <c r="P6708" t="n">
        <v>0</v>
      </c>
      <c r="Q6708" t="n">
        <v>0</v>
      </c>
      <c r="R6708" s="2" t="inlineStr"/>
    </row>
    <row r="6709" ht="15" customHeight="1">
      <c r="A6709" t="inlineStr">
        <is>
          <t>A 28676-2024</t>
        </is>
      </c>
      <c r="B6709" s="1" t="n">
        <v>45478.47974537037</v>
      </c>
      <c r="C6709" s="1" t="n">
        <v>45884</v>
      </c>
      <c r="D6709" t="inlineStr">
        <is>
          <t>KALMAR LÄN</t>
        </is>
      </c>
      <c r="E6709" t="inlineStr">
        <is>
          <t>NYBRO</t>
        </is>
      </c>
      <c r="G6709" t="n">
        <v>1.8</v>
      </c>
      <c r="H6709" t="n">
        <v>0</v>
      </c>
      <c r="I6709" t="n">
        <v>0</v>
      </c>
      <c r="J6709" t="n">
        <v>0</v>
      </c>
      <c r="K6709" t="n">
        <v>0</v>
      </c>
      <c r="L6709" t="n">
        <v>0</v>
      </c>
      <c r="M6709" t="n">
        <v>0</v>
      </c>
      <c r="N6709" t="n">
        <v>0</v>
      </c>
      <c r="O6709" t="n">
        <v>0</v>
      </c>
      <c r="P6709" t="n">
        <v>0</v>
      </c>
      <c r="Q6709" t="n">
        <v>0</v>
      </c>
      <c r="R6709" s="2" t="inlineStr"/>
    </row>
    <row r="6710" ht="15" customHeight="1">
      <c r="A6710" t="inlineStr">
        <is>
          <t>A 2314-2023</t>
        </is>
      </c>
      <c r="B6710" s="1" t="n">
        <v>44942</v>
      </c>
      <c r="C6710" s="1" t="n">
        <v>45884</v>
      </c>
      <c r="D6710" t="inlineStr">
        <is>
          <t>KALMAR LÄN</t>
        </is>
      </c>
      <c r="E6710" t="inlineStr">
        <is>
          <t>VÄSTERVIK</t>
        </is>
      </c>
      <c r="G6710" t="n">
        <v>2.3</v>
      </c>
      <c r="H6710" t="n">
        <v>0</v>
      </c>
      <c r="I6710" t="n">
        <v>0</v>
      </c>
      <c r="J6710" t="n">
        <v>0</v>
      </c>
      <c r="K6710" t="n">
        <v>0</v>
      </c>
      <c r="L6710" t="n">
        <v>0</v>
      </c>
      <c r="M6710" t="n">
        <v>0</v>
      </c>
      <c r="N6710" t="n">
        <v>0</v>
      </c>
      <c r="O6710" t="n">
        <v>0</v>
      </c>
      <c r="P6710" t="n">
        <v>0</v>
      </c>
      <c r="Q6710" t="n">
        <v>0</v>
      </c>
      <c r="R6710" s="2" t="inlineStr"/>
    </row>
    <row r="6711" ht="15" customHeight="1">
      <c r="A6711" t="inlineStr">
        <is>
          <t>A 13838-2024</t>
        </is>
      </c>
      <c r="B6711" s="1" t="n">
        <v>45391.44646990741</v>
      </c>
      <c r="C6711" s="1" t="n">
        <v>45884</v>
      </c>
      <c r="D6711" t="inlineStr">
        <is>
          <t>KALMAR LÄN</t>
        </is>
      </c>
      <c r="E6711" t="inlineStr">
        <is>
          <t>VÄSTERVIK</t>
        </is>
      </c>
      <c r="F6711" t="inlineStr">
        <is>
          <t>Sveaskog</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13862-2024</t>
        </is>
      </c>
      <c r="B6712" s="1" t="n">
        <v>45390</v>
      </c>
      <c r="C6712" s="1" t="n">
        <v>45884</v>
      </c>
      <c r="D6712" t="inlineStr">
        <is>
          <t>KALMAR LÄN</t>
        </is>
      </c>
      <c r="E6712" t="inlineStr">
        <is>
          <t>HULTSFRED</t>
        </is>
      </c>
      <c r="G6712" t="n">
        <v>5.3</v>
      </c>
      <c r="H6712" t="n">
        <v>0</v>
      </c>
      <c r="I6712" t="n">
        <v>0</v>
      </c>
      <c r="J6712" t="n">
        <v>0</v>
      </c>
      <c r="K6712" t="n">
        <v>0</v>
      </c>
      <c r="L6712" t="n">
        <v>0</v>
      </c>
      <c r="M6712" t="n">
        <v>0</v>
      </c>
      <c r="N6712" t="n">
        <v>0</v>
      </c>
      <c r="O6712" t="n">
        <v>0</v>
      </c>
      <c r="P6712" t="n">
        <v>0</v>
      </c>
      <c r="Q6712" t="n">
        <v>0</v>
      </c>
      <c r="R6712" s="2" t="inlineStr"/>
    </row>
    <row r="6713" ht="15" customHeight="1">
      <c r="A6713" t="inlineStr">
        <is>
          <t>A 27292-2025</t>
        </is>
      </c>
      <c r="B6713" s="1" t="n">
        <v>45812.5667824074</v>
      </c>
      <c r="C6713" s="1" t="n">
        <v>45884</v>
      </c>
      <c r="D6713" t="inlineStr">
        <is>
          <t>KALMAR LÄN</t>
        </is>
      </c>
      <c r="E6713" t="inlineStr">
        <is>
          <t>HULTSFRED</t>
        </is>
      </c>
      <c r="G6713" t="n">
        <v>2.4</v>
      </c>
      <c r="H6713" t="n">
        <v>0</v>
      </c>
      <c r="I6713" t="n">
        <v>0</v>
      </c>
      <c r="J6713" t="n">
        <v>0</v>
      </c>
      <c r="K6713" t="n">
        <v>0</v>
      </c>
      <c r="L6713" t="n">
        <v>0</v>
      </c>
      <c r="M6713" t="n">
        <v>0</v>
      </c>
      <c r="N6713" t="n">
        <v>0</v>
      </c>
      <c r="O6713" t="n">
        <v>0</v>
      </c>
      <c r="P6713" t="n">
        <v>0</v>
      </c>
      <c r="Q6713" t="n">
        <v>0</v>
      </c>
      <c r="R6713" s="2" t="inlineStr"/>
    </row>
    <row r="6714" ht="15" customHeight="1">
      <c r="A6714" t="inlineStr">
        <is>
          <t>A 66333-2021</t>
        </is>
      </c>
      <c r="B6714" s="1" t="n">
        <v>44518</v>
      </c>
      <c r="C6714" s="1" t="n">
        <v>45884</v>
      </c>
      <c r="D6714" t="inlineStr">
        <is>
          <t>KALMAR LÄN</t>
        </is>
      </c>
      <c r="E6714" t="inlineStr">
        <is>
          <t>EMMABODA</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27559-2025</t>
        </is>
      </c>
      <c r="B6715" s="1" t="n">
        <v>45813.48049768519</v>
      </c>
      <c r="C6715" s="1" t="n">
        <v>45884</v>
      </c>
      <c r="D6715" t="inlineStr">
        <is>
          <t>KALMAR LÄN</t>
        </is>
      </c>
      <c r="E6715" t="inlineStr">
        <is>
          <t>HULTSFRED</t>
        </is>
      </c>
      <c r="G6715" t="n">
        <v>15.9</v>
      </c>
      <c r="H6715" t="n">
        <v>0</v>
      </c>
      <c r="I6715" t="n">
        <v>0</v>
      </c>
      <c r="J6715" t="n">
        <v>0</v>
      </c>
      <c r="K6715" t="n">
        <v>0</v>
      </c>
      <c r="L6715" t="n">
        <v>0</v>
      </c>
      <c r="M6715" t="n">
        <v>0</v>
      </c>
      <c r="N6715" t="n">
        <v>0</v>
      </c>
      <c r="O6715" t="n">
        <v>0</v>
      </c>
      <c r="P6715" t="n">
        <v>0</v>
      </c>
      <c r="Q6715" t="n">
        <v>0</v>
      </c>
      <c r="R6715" s="2" t="inlineStr"/>
    </row>
    <row r="6716" ht="15" customHeight="1">
      <c r="A6716" t="inlineStr">
        <is>
          <t>A 27527-2025</t>
        </is>
      </c>
      <c r="B6716" s="1" t="n">
        <v>45813.44929398148</v>
      </c>
      <c r="C6716" s="1" t="n">
        <v>45884</v>
      </c>
      <c r="D6716" t="inlineStr">
        <is>
          <t>KALMAR LÄN</t>
        </is>
      </c>
      <c r="E6716" t="inlineStr">
        <is>
          <t>HULTSFRED</t>
        </is>
      </c>
      <c r="G6716" t="n">
        <v>4</v>
      </c>
      <c r="H6716" t="n">
        <v>0</v>
      </c>
      <c r="I6716" t="n">
        <v>0</v>
      </c>
      <c r="J6716" t="n">
        <v>0</v>
      </c>
      <c r="K6716" t="n">
        <v>0</v>
      </c>
      <c r="L6716" t="n">
        <v>0</v>
      </c>
      <c r="M6716" t="n">
        <v>0</v>
      </c>
      <c r="N6716" t="n">
        <v>0</v>
      </c>
      <c r="O6716" t="n">
        <v>0</v>
      </c>
      <c r="P6716" t="n">
        <v>0</v>
      </c>
      <c r="Q6716" t="n">
        <v>0</v>
      </c>
      <c r="R6716" s="2" t="inlineStr"/>
    </row>
    <row r="6717" ht="15" customHeight="1">
      <c r="A6717" t="inlineStr">
        <is>
          <t>A 27530-2025</t>
        </is>
      </c>
      <c r="B6717" s="1" t="n">
        <v>45813.45128472222</v>
      </c>
      <c r="C6717" s="1" t="n">
        <v>45884</v>
      </c>
      <c r="D6717" t="inlineStr">
        <is>
          <t>KALMAR LÄN</t>
        </is>
      </c>
      <c r="E6717" t="inlineStr">
        <is>
          <t>HULTSFRED</t>
        </is>
      </c>
      <c r="G6717" t="n">
        <v>3.2</v>
      </c>
      <c r="H6717" t="n">
        <v>0</v>
      </c>
      <c r="I6717" t="n">
        <v>0</v>
      </c>
      <c r="J6717" t="n">
        <v>0</v>
      </c>
      <c r="K6717" t="n">
        <v>0</v>
      </c>
      <c r="L6717" t="n">
        <v>0</v>
      </c>
      <c r="M6717" t="n">
        <v>0</v>
      </c>
      <c r="N6717" t="n">
        <v>0</v>
      </c>
      <c r="O6717" t="n">
        <v>0</v>
      </c>
      <c r="P6717" t="n">
        <v>0</v>
      </c>
      <c r="Q6717" t="n">
        <v>0</v>
      </c>
      <c r="R6717" s="2" t="inlineStr"/>
    </row>
    <row r="6718" ht="15" customHeight="1">
      <c r="A6718" t="inlineStr">
        <is>
          <t>A 27533-2025</t>
        </is>
      </c>
      <c r="B6718" s="1" t="n">
        <v>45813.45756944444</v>
      </c>
      <c r="C6718" s="1" t="n">
        <v>45884</v>
      </c>
      <c r="D6718" t="inlineStr">
        <is>
          <t>KALMAR LÄN</t>
        </is>
      </c>
      <c r="E6718" t="inlineStr">
        <is>
          <t>EMMABODA</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27663-2025</t>
        </is>
      </c>
      <c r="B6719" s="1" t="n">
        <v>45813.61592592593</v>
      </c>
      <c r="C6719" s="1" t="n">
        <v>45884</v>
      </c>
      <c r="D6719" t="inlineStr">
        <is>
          <t>KALMAR LÄN</t>
        </is>
      </c>
      <c r="E6719" t="inlineStr">
        <is>
          <t>NYBRO</t>
        </is>
      </c>
      <c r="F6719" t="inlineStr">
        <is>
          <t>Sveaskog</t>
        </is>
      </c>
      <c r="G6719" t="n">
        <v>4</v>
      </c>
      <c r="H6719" t="n">
        <v>0</v>
      </c>
      <c r="I6719" t="n">
        <v>0</v>
      </c>
      <c r="J6719" t="n">
        <v>0</v>
      </c>
      <c r="K6719" t="n">
        <v>0</v>
      </c>
      <c r="L6719" t="n">
        <v>0</v>
      </c>
      <c r="M6719" t="n">
        <v>0</v>
      </c>
      <c r="N6719" t="n">
        <v>0</v>
      </c>
      <c r="O6719" t="n">
        <v>0</v>
      </c>
      <c r="P6719" t="n">
        <v>0</v>
      </c>
      <c r="Q6719" t="n">
        <v>0</v>
      </c>
      <c r="R6719" s="2" t="inlineStr"/>
    </row>
    <row r="6720" ht="15" customHeight="1">
      <c r="A6720" t="inlineStr">
        <is>
          <t>A 27664-2025</t>
        </is>
      </c>
      <c r="B6720" s="1" t="n">
        <v>45813.61734953704</v>
      </c>
      <c r="C6720" s="1" t="n">
        <v>45884</v>
      </c>
      <c r="D6720" t="inlineStr">
        <is>
          <t>KALMAR LÄN</t>
        </is>
      </c>
      <c r="E6720" t="inlineStr">
        <is>
          <t>NYBRO</t>
        </is>
      </c>
      <c r="F6720" t="inlineStr">
        <is>
          <t>Sveaskog</t>
        </is>
      </c>
      <c r="G6720" t="n">
        <v>2.9</v>
      </c>
      <c r="H6720" t="n">
        <v>0</v>
      </c>
      <c r="I6720" t="n">
        <v>0</v>
      </c>
      <c r="J6720" t="n">
        <v>0</v>
      </c>
      <c r="K6720" t="n">
        <v>0</v>
      </c>
      <c r="L6720" t="n">
        <v>0</v>
      </c>
      <c r="M6720" t="n">
        <v>0</v>
      </c>
      <c r="N6720" t="n">
        <v>0</v>
      </c>
      <c r="O6720" t="n">
        <v>0</v>
      </c>
      <c r="P6720" t="n">
        <v>0</v>
      </c>
      <c r="Q6720" t="n">
        <v>0</v>
      </c>
      <c r="R6720" s="2" t="inlineStr"/>
    </row>
    <row r="6721" ht="15" customHeight="1">
      <c r="A6721" t="inlineStr">
        <is>
          <t>A 27298-2025</t>
        </is>
      </c>
      <c r="B6721" s="1" t="n">
        <v>45812.57081018519</v>
      </c>
      <c r="C6721" s="1" t="n">
        <v>45884</v>
      </c>
      <c r="D6721" t="inlineStr">
        <is>
          <t>KALMAR LÄN</t>
        </is>
      </c>
      <c r="E6721" t="inlineStr">
        <is>
          <t>HULTSFRED</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14223-2025</t>
        </is>
      </c>
      <c r="B6722" s="1" t="n">
        <v>45740.58935185185</v>
      </c>
      <c r="C6722" s="1" t="n">
        <v>45884</v>
      </c>
      <c r="D6722" t="inlineStr">
        <is>
          <t>KALMAR LÄN</t>
        </is>
      </c>
      <c r="E6722" t="inlineStr">
        <is>
          <t>NYBRO</t>
        </is>
      </c>
      <c r="G6722" t="n">
        <v>1</v>
      </c>
      <c r="H6722" t="n">
        <v>0</v>
      </c>
      <c r="I6722" t="n">
        <v>0</v>
      </c>
      <c r="J6722" t="n">
        <v>0</v>
      </c>
      <c r="K6722" t="n">
        <v>0</v>
      </c>
      <c r="L6722" t="n">
        <v>0</v>
      </c>
      <c r="M6722" t="n">
        <v>0</v>
      </c>
      <c r="N6722" t="n">
        <v>0</v>
      </c>
      <c r="O6722" t="n">
        <v>0</v>
      </c>
      <c r="P6722" t="n">
        <v>0</v>
      </c>
      <c r="Q6722" t="n">
        <v>0</v>
      </c>
      <c r="R6722" s="2" t="inlineStr"/>
    </row>
    <row r="6723" ht="15" customHeight="1">
      <c r="A6723" t="inlineStr">
        <is>
          <t>A 24776-2022</t>
        </is>
      </c>
      <c r="B6723" s="1" t="n">
        <v>44728.36712962963</v>
      </c>
      <c r="C6723" s="1" t="n">
        <v>45884</v>
      </c>
      <c r="D6723" t="inlineStr">
        <is>
          <t>KALMAR LÄN</t>
        </is>
      </c>
      <c r="E6723" t="inlineStr">
        <is>
          <t>EMMABODA</t>
        </is>
      </c>
      <c r="G6723" t="n">
        <v>3.2</v>
      </c>
      <c r="H6723" t="n">
        <v>0</v>
      </c>
      <c r="I6723" t="n">
        <v>0</v>
      </c>
      <c r="J6723" t="n">
        <v>0</v>
      </c>
      <c r="K6723" t="n">
        <v>0</v>
      </c>
      <c r="L6723" t="n">
        <v>0</v>
      </c>
      <c r="M6723" t="n">
        <v>0</v>
      </c>
      <c r="N6723" t="n">
        <v>0</v>
      </c>
      <c r="O6723" t="n">
        <v>0</v>
      </c>
      <c r="P6723" t="n">
        <v>0</v>
      </c>
      <c r="Q6723" t="n">
        <v>0</v>
      </c>
      <c r="R6723" s="2" t="inlineStr"/>
    </row>
    <row r="6724" ht="15" customHeight="1">
      <c r="A6724" t="inlineStr">
        <is>
          <t>A 8613-2022</t>
        </is>
      </c>
      <c r="B6724" s="1" t="n">
        <v>44613</v>
      </c>
      <c r="C6724" s="1" t="n">
        <v>45884</v>
      </c>
      <c r="D6724" t="inlineStr">
        <is>
          <t>KALMAR LÄN</t>
        </is>
      </c>
      <c r="E6724" t="inlineStr">
        <is>
          <t>HÖGSBY</t>
        </is>
      </c>
      <c r="G6724" t="n">
        <v>0.3</v>
      </c>
      <c r="H6724" t="n">
        <v>0</v>
      </c>
      <c r="I6724" t="n">
        <v>0</v>
      </c>
      <c r="J6724" t="n">
        <v>0</v>
      </c>
      <c r="K6724" t="n">
        <v>0</v>
      </c>
      <c r="L6724" t="n">
        <v>0</v>
      </c>
      <c r="M6724" t="n">
        <v>0</v>
      </c>
      <c r="N6724" t="n">
        <v>0</v>
      </c>
      <c r="O6724" t="n">
        <v>0</v>
      </c>
      <c r="P6724" t="n">
        <v>0</v>
      </c>
      <c r="Q6724" t="n">
        <v>0</v>
      </c>
      <c r="R6724" s="2" t="inlineStr"/>
    </row>
    <row r="6725" ht="15" customHeight="1">
      <c r="A6725" t="inlineStr">
        <is>
          <t>A 14096-2023</t>
        </is>
      </c>
      <c r="B6725" s="1" t="n">
        <v>45009.36045138889</v>
      </c>
      <c r="C6725" s="1" t="n">
        <v>45884</v>
      </c>
      <c r="D6725" t="inlineStr">
        <is>
          <t>KALMAR LÄN</t>
        </is>
      </c>
      <c r="E6725" t="inlineStr">
        <is>
          <t>EMMABODA</t>
        </is>
      </c>
      <c r="G6725" t="n">
        <v>0.5</v>
      </c>
      <c r="H6725" t="n">
        <v>0</v>
      </c>
      <c r="I6725" t="n">
        <v>0</v>
      </c>
      <c r="J6725" t="n">
        <v>0</v>
      </c>
      <c r="K6725" t="n">
        <v>0</v>
      </c>
      <c r="L6725" t="n">
        <v>0</v>
      </c>
      <c r="M6725" t="n">
        <v>0</v>
      </c>
      <c r="N6725" t="n">
        <v>0</v>
      </c>
      <c r="O6725" t="n">
        <v>0</v>
      </c>
      <c r="P6725" t="n">
        <v>0</v>
      </c>
      <c r="Q6725" t="n">
        <v>0</v>
      </c>
      <c r="R6725" s="2" t="inlineStr"/>
    </row>
    <row r="6726" ht="15" customHeight="1">
      <c r="A6726" t="inlineStr">
        <is>
          <t>A 14112-2023</t>
        </is>
      </c>
      <c r="B6726" s="1" t="n">
        <v>45009.40710648148</v>
      </c>
      <c r="C6726" s="1" t="n">
        <v>45884</v>
      </c>
      <c r="D6726" t="inlineStr">
        <is>
          <t>KALMAR LÄN</t>
        </is>
      </c>
      <c r="E6726" t="inlineStr">
        <is>
          <t>EMMABODA</t>
        </is>
      </c>
      <c r="G6726" t="n">
        <v>0.6</v>
      </c>
      <c r="H6726" t="n">
        <v>0</v>
      </c>
      <c r="I6726" t="n">
        <v>0</v>
      </c>
      <c r="J6726" t="n">
        <v>0</v>
      </c>
      <c r="K6726" t="n">
        <v>0</v>
      </c>
      <c r="L6726" t="n">
        <v>0</v>
      </c>
      <c r="M6726" t="n">
        <v>0</v>
      </c>
      <c r="N6726" t="n">
        <v>0</v>
      </c>
      <c r="O6726" t="n">
        <v>0</v>
      </c>
      <c r="P6726" t="n">
        <v>0</v>
      </c>
      <c r="Q6726" t="n">
        <v>0</v>
      </c>
      <c r="R6726" s="2" t="inlineStr"/>
    </row>
    <row r="6727" ht="15" customHeight="1">
      <c r="A6727" t="inlineStr">
        <is>
          <t>A 16409-2023</t>
        </is>
      </c>
      <c r="B6727" s="1" t="n">
        <v>45029.41724537037</v>
      </c>
      <c r="C6727" s="1" t="n">
        <v>45884</v>
      </c>
      <c r="D6727" t="inlineStr">
        <is>
          <t>KALMAR LÄN</t>
        </is>
      </c>
      <c r="E6727" t="inlineStr">
        <is>
          <t>TORSÅS</t>
        </is>
      </c>
      <c r="G6727" t="n">
        <v>3.2</v>
      </c>
      <c r="H6727" t="n">
        <v>0</v>
      </c>
      <c r="I6727" t="n">
        <v>0</v>
      </c>
      <c r="J6727" t="n">
        <v>0</v>
      </c>
      <c r="K6727" t="n">
        <v>0</v>
      </c>
      <c r="L6727" t="n">
        <v>0</v>
      </c>
      <c r="M6727" t="n">
        <v>0</v>
      </c>
      <c r="N6727" t="n">
        <v>0</v>
      </c>
      <c r="O6727" t="n">
        <v>0</v>
      </c>
      <c r="P6727" t="n">
        <v>0</v>
      </c>
      <c r="Q6727" t="n">
        <v>0</v>
      </c>
      <c r="R6727" s="2" t="inlineStr"/>
    </row>
    <row r="6728" ht="15" customHeight="1">
      <c r="A6728" t="inlineStr">
        <is>
          <t>A 14138-2023</t>
        </is>
      </c>
      <c r="B6728" s="1" t="n">
        <v>45009.46947916667</v>
      </c>
      <c r="C6728" s="1" t="n">
        <v>45884</v>
      </c>
      <c r="D6728" t="inlineStr">
        <is>
          <t>KALMAR LÄN</t>
        </is>
      </c>
      <c r="E6728" t="inlineStr">
        <is>
          <t>EMMABODA</t>
        </is>
      </c>
      <c r="G6728" t="n">
        <v>1.8</v>
      </c>
      <c r="H6728" t="n">
        <v>0</v>
      </c>
      <c r="I6728" t="n">
        <v>0</v>
      </c>
      <c r="J6728" t="n">
        <v>0</v>
      </c>
      <c r="K6728" t="n">
        <v>0</v>
      </c>
      <c r="L6728" t="n">
        <v>0</v>
      </c>
      <c r="M6728" t="n">
        <v>0</v>
      </c>
      <c r="N6728" t="n">
        <v>0</v>
      </c>
      <c r="O6728" t="n">
        <v>0</v>
      </c>
      <c r="P6728" t="n">
        <v>0</v>
      </c>
      <c r="Q6728" t="n">
        <v>0</v>
      </c>
      <c r="R6728" s="2" t="inlineStr"/>
    </row>
    <row r="6729" ht="15" customHeight="1">
      <c r="A6729" t="inlineStr">
        <is>
          <t>A 14140-2023</t>
        </is>
      </c>
      <c r="B6729" s="1" t="n">
        <v>45009</v>
      </c>
      <c r="C6729" s="1" t="n">
        <v>45884</v>
      </c>
      <c r="D6729" t="inlineStr">
        <is>
          <t>KALMAR LÄN</t>
        </is>
      </c>
      <c r="E6729" t="inlineStr">
        <is>
          <t>EMMABODA</t>
        </is>
      </c>
      <c r="G6729" t="n">
        <v>1.5</v>
      </c>
      <c r="H6729" t="n">
        <v>0</v>
      </c>
      <c r="I6729" t="n">
        <v>0</v>
      </c>
      <c r="J6729" t="n">
        <v>0</v>
      </c>
      <c r="K6729" t="n">
        <v>0</v>
      </c>
      <c r="L6729" t="n">
        <v>0</v>
      </c>
      <c r="M6729" t="n">
        <v>0</v>
      </c>
      <c r="N6729" t="n">
        <v>0</v>
      </c>
      <c r="O6729" t="n">
        <v>0</v>
      </c>
      <c r="P6729" t="n">
        <v>0</v>
      </c>
      <c r="Q6729" t="n">
        <v>0</v>
      </c>
      <c r="R6729" s="2" t="inlineStr"/>
    </row>
    <row r="6730" ht="15" customHeight="1">
      <c r="A6730" t="inlineStr">
        <is>
          <t>A 16428-2023</t>
        </is>
      </c>
      <c r="B6730" s="1" t="n">
        <v>45022</v>
      </c>
      <c r="C6730" s="1" t="n">
        <v>45884</v>
      </c>
      <c r="D6730" t="inlineStr">
        <is>
          <t>KALMAR LÄN</t>
        </is>
      </c>
      <c r="E6730" t="inlineStr">
        <is>
          <t>MÖNSTERÅS</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26545-2024</t>
        </is>
      </c>
      <c r="B6731" s="1" t="n">
        <v>45469.61905092592</v>
      </c>
      <c r="C6731" s="1" t="n">
        <v>45884</v>
      </c>
      <c r="D6731" t="inlineStr">
        <is>
          <t>KALMAR LÄN</t>
        </is>
      </c>
      <c r="E6731" t="inlineStr">
        <is>
          <t>HÖGSBY</t>
        </is>
      </c>
      <c r="F6731" t="inlineStr">
        <is>
          <t>Sveaskog</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27268-2023</t>
        </is>
      </c>
      <c r="B6732" s="1" t="n">
        <v>45096.62898148148</v>
      </c>
      <c r="C6732" s="1" t="n">
        <v>45884</v>
      </c>
      <c r="D6732" t="inlineStr">
        <is>
          <t>KALMAR LÄN</t>
        </is>
      </c>
      <c r="E6732" t="inlineStr">
        <is>
          <t>TORSÅS</t>
        </is>
      </c>
      <c r="G6732" t="n">
        <v>7.4</v>
      </c>
      <c r="H6732" t="n">
        <v>0</v>
      </c>
      <c r="I6732" t="n">
        <v>0</v>
      </c>
      <c r="J6732" t="n">
        <v>0</v>
      </c>
      <c r="K6732" t="n">
        <v>0</v>
      </c>
      <c r="L6732" t="n">
        <v>0</v>
      </c>
      <c r="M6732" t="n">
        <v>0</v>
      </c>
      <c r="N6732" t="n">
        <v>0</v>
      </c>
      <c r="O6732" t="n">
        <v>0</v>
      </c>
      <c r="P6732" t="n">
        <v>0</v>
      </c>
      <c r="Q6732" t="n">
        <v>0</v>
      </c>
      <c r="R6732" s="2" t="inlineStr"/>
    </row>
    <row r="6733" ht="15" customHeight="1">
      <c r="A6733" t="inlineStr">
        <is>
          <t>A 3830-2023</t>
        </is>
      </c>
      <c r="B6733" s="1" t="n">
        <v>44951.6371412037</v>
      </c>
      <c r="C6733" s="1" t="n">
        <v>45884</v>
      </c>
      <c r="D6733" t="inlineStr">
        <is>
          <t>KALMAR LÄN</t>
        </is>
      </c>
      <c r="E6733" t="inlineStr">
        <is>
          <t>OSKARSHAMN</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2571-2025</t>
        </is>
      </c>
      <c r="B6734" s="1" t="n">
        <v>45674.6674537037</v>
      </c>
      <c r="C6734" s="1" t="n">
        <v>45884</v>
      </c>
      <c r="D6734" t="inlineStr">
        <is>
          <t>KALMAR LÄN</t>
        </is>
      </c>
      <c r="E6734" t="inlineStr">
        <is>
          <t>MÖNSTERÅS</t>
        </is>
      </c>
      <c r="G6734" t="n">
        <v>0.5</v>
      </c>
      <c r="H6734" t="n">
        <v>0</v>
      </c>
      <c r="I6734" t="n">
        <v>0</v>
      </c>
      <c r="J6734" t="n">
        <v>0</v>
      </c>
      <c r="K6734" t="n">
        <v>0</v>
      </c>
      <c r="L6734" t="n">
        <v>0</v>
      </c>
      <c r="M6734" t="n">
        <v>0</v>
      </c>
      <c r="N6734" t="n">
        <v>0</v>
      </c>
      <c r="O6734" t="n">
        <v>0</v>
      </c>
      <c r="P6734" t="n">
        <v>0</v>
      </c>
      <c r="Q6734" t="n">
        <v>0</v>
      </c>
      <c r="R6734" s="2" t="inlineStr"/>
    </row>
    <row r="6735" ht="15" customHeight="1">
      <c r="A6735" t="inlineStr">
        <is>
          <t>A 55990-2022</t>
        </is>
      </c>
      <c r="B6735" s="1" t="n">
        <v>44889.47004629629</v>
      </c>
      <c r="C6735" s="1" t="n">
        <v>45884</v>
      </c>
      <c r="D6735" t="inlineStr">
        <is>
          <t>KALMAR LÄN</t>
        </is>
      </c>
      <c r="E6735" t="inlineStr">
        <is>
          <t>HULTSFRED</t>
        </is>
      </c>
      <c r="G6735" t="n">
        <v>2.6</v>
      </c>
      <c r="H6735" t="n">
        <v>0</v>
      </c>
      <c r="I6735" t="n">
        <v>0</v>
      </c>
      <c r="J6735" t="n">
        <v>0</v>
      </c>
      <c r="K6735" t="n">
        <v>0</v>
      </c>
      <c r="L6735" t="n">
        <v>0</v>
      </c>
      <c r="M6735" t="n">
        <v>0</v>
      </c>
      <c r="N6735" t="n">
        <v>0</v>
      </c>
      <c r="O6735" t="n">
        <v>0</v>
      </c>
      <c r="P6735" t="n">
        <v>0</v>
      </c>
      <c r="Q6735" t="n">
        <v>0</v>
      </c>
      <c r="R6735" s="2" t="inlineStr"/>
    </row>
    <row r="6736" ht="15" customHeight="1">
      <c r="A6736" t="inlineStr">
        <is>
          <t>A 51406-2022</t>
        </is>
      </c>
      <c r="B6736" s="1" t="n">
        <v>44869.44665509259</v>
      </c>
      <c r="C6736" s="1" t="n">
        <v>45884</v>
      </c>
      <c r="D6736" t="inlineStr">
        <is>
          <t>KALMAR LÄN</t>
        </is>
      </c>
      <c r="E6736" t="inlineStr">
        <is>
          <t>NYBRO</t>
        </is>
      </c>
      <c r="G6736" t="n">
        <v>2.6</v>
      </c>
      <c r="H6736" t="n">
        <v>0</v>
      </c>
      <c r="I6736" t="n">
        <v>0</v>
      </c>
      <c r="J6736" t="n">
        <v>0</v>
      </c>
      <c r="K6736" t="n">
        <v>0</v>
      </c>
      <c r="L6736" t="n">
        <v>0</v>
      </c>
      <c r="M6736" t="n">
        <v>0</v>
      </c>
      <c r="N6736" t="n">
        <v>0</v>
      </c>
      <c r="O6736" t="n">
        <v>0</v>
      </c>
      <c r="P6736" t="n">
        <v>0</v>
      </c>
      <c r="Q6736" t="n">
        <v>0</v>
      </c>
      <c r="R6736" s="2" t="inlineStr"/>
    </row>
    <row r="6737" ht="15" customHeight="1">
      <c r="A6737" t="inlineStr">
        <is>
          <t>A 36825-2023</t>
        </is>
      </c>
      <c r="B6737" s="1" t="n">
        <v>45154.46340277778</v>
      </c>
      <c r="C6737" s="1" t="n">
        <v>45884</v>
      </c>
      <c r="D6737" t="inlineStr">
        <is>
          <t>KALMAR LÄN</t>
        </is>
      </c>
      <c r="E6737" t="inlineStr">
        <is>
          <t>NYBRO</t>
        </is>
      </c>
      <c r="F6737" t="inlineStr">
        <is>
          <t>Sveaskog</t>
        </is>
      </c>
      <c r="G6737" t="n">
        <v>20.3</v>
      </c>
      <c r="H6737" t="n">
        <v>0</v>
      </c>
      <c r="I6737" t="n">
        <v>0</v>
      </c>
      <c r="J6737" t="n">
        <v>0</v>
      </c>
      <c r="K6737" t="n">
        <v>0</v>
      </c>
      <c r="L6737" t="n">
        <v>0</v>
      </c>
      <c r="M6737" t="n">
        <v>0</v>
      </c>
      <c r="N6737" t="n">
        <v>0</v>
      </c>
      <c r="O6737" t="n">
        <v>0</v>
      </c>
      <c r="P6737" t="n">
        <v>0</v>
      </c>
      <c r="Q6737" t="n">
        <v>0</v>
      </c>
      <c r="R6737" s="2" t="inlineStr"/>
    </row>
    <row r="6738" ht="15" customHeight="1">
      <c r="A6738" t="inlineStr">
        <is>
          <t>A 13204-2024</t>
        </is>
      </c>
      <c r="B6738" s="1" t="n">
        <v>45386</v>
      </c>
      <c r="C6738" s="1" t="n">
        <v>45884</v>
      </c>
      <c r="D6738" t="inlineStr">
        <is>
          <t>KALMAR LÄN</t>
        </is>
      </c>
      <c r="E6738" t="inlineStr">
        <is>
          <t>OSKARSHAMN</t>
        </is>
      </c>
      <c r="G6738" t="n">
        <v>5.8</v>
      </c>
      <c r="H6738" t="n">
        <v>0</v>
      </c>
      <c r="I6738" t="n">
        <v>0</v>
      </c>
      <c r="J6738" t="n">
        <v>0</v>
      </c>
      <c r="K6738" t="n">
        <v>0</v>
      </c>
      <c r="L6738" t="n">
        <v>0</v>
      </c>
      <c r="M6738" t="n">
        <v>0</v>
      </c>
      <c r="N6738" t="n">
        <v>0</v>
      </c>
      <c r="O6738" t="n">
        <v>0</v>
      </c>
      <c r="P6738" t="n">
        <v>0</v>
      </c>
      <c r="Q6738" t="n">
        <v>0</v>
      </c>
      <c r="R6738" s="2" t="inlineStr"/>
    </row>
    <row r="6739" ht="15" customHeight="1">
      <c r="A6739" t="inlineStr">
        <is>
          <t>A 38150-2020</t>
        </is>
      </c>
      <c r="B6739" s="1" t="n">
        <v>44060</v>
      </c>
      <c r="C6739" s="1" t="n">
        <v>45884</v>
      </c>
      <c r="D6739" t="inlineStr">
        <is>
          <t>KALMAR LÄN</t>
        </is>
      </c>
      <c r="E6739" t="inlineStr">
        <is>
          <t>KALMAR</t>
        </is>
      </c>
      <c r="G6739" t="n">
        <v>5.4</v>
      </c>
      <c r="H6739" t="n">
        <v>0</v>
      </c>
      <c r="I6739" t="n">
        <v>0</v>
      </c>
      <c r="J6739" t="n">
        <v>0</v>
      </c>
      <c r="K6739" t="n">
        <v>0</v>
      </c>
      <c r="L6739" t="n">
        <v>0</v>
      </c>
      <c r="M6739" t="n">
        <v>0</v>
      </c>
      <c r="N6739" t="n">
        <v>0</v>
      </c>
      <c r="O6739" t="n">
        <v>0</v>
      </c>
      <c r="P6739" t="n">
        <v>0</v>
      </c>
      <c r="Q6739" t="n">
        <v>0</v>
      </c>
      <c r="R6739" s="2" t="inlineStr"/>
    </row>
    <row r="6740" ht="15" customHeight="1">
      <c r="A6740" t="inlineStr">
        <is>
          <t>A 52311-2022</t>
        </is>
      </c>
      <c r="B6740" s="1" t="n">
        <v>44873.78972222222</v>
      </c>
      <c r="C6740" s="1" t="n">
        <v>45884</v>
      </c>
      <c r="D6740" t="inlineStr">
        <is>
          <t>KALMAR LÄN</t>
        </is>
      </c>
      <c r="E6740" t="inlineStr">
        <is>
          <t>NYBRO</t>
        </is>
      </c>
      <c r="G6740" t="n">
        <v>4.1</v>
      </c>
      <c r="H6740" t="n">
        <v>0</v>
      </c>
      <c r="I6740" t="n">
        <v>0</v>
      </c>
      <c r="J6740" t="n">
        <v>0</v>
      </c>
      <c r="K6740" t="n">
        <v>0</v>
      </c>
      <c r="L6740" t="n">
        <v>0</v>
      </c>
      <c r="M6740" t="n">
        <v>0</v>
      </c>
      <c r="N6740" t="n">
        <v>0</v>
      </c>
      <c r="O6740" t="n">
        <v>0</v>
      </c>
      <c r="P6740" t="n">
        <v>0</v>
      </c>
      <c r="Q6740" t="n">
        <v>0</v>
      </c>
      <c r="R6740" s="2" t="inlineStr"/>
    </row>
    <row r="6741" ht="15" customHeight="1">
      <c r="A6741" t="inlineStr">
        <is>
          <t>A 47527-2021</t>
        </is>
      </c>
      <c r="B6741" s="1" t="n">
        <v>44447</v>
      </c>
      <c r="C6741" s="1" t="n">
        <v>45884</v>
      </c>
      <c r="D6741" t="inlineStr">
        <is>
          <t>KALMAR LÄN</t>
        </is>
      </c>
      <c r="E6741" t="inlineStr">
        <is>
          <t>VÄSTERVIK</t>
        </is>
      </c>
      <c r="F6741" t="inlineStr">
        <is>
          <t>Sveaskog</t>
        </is>
      </c>
      <c r="G6741" t="n">
        <v>1.8</v>
      </c>
      <c r="H6741" t="n">
        <v>0</v>
      </c>
      <c r="I6741" t="n">
        <v>0</v>
      </c>
      <c r="J6741" t="n">
        <v>0</v>
      </c>
      <c r="K6741" t="n">
        <v>0</v>
      </c>
      <c r="L6741" t="n">
        <v>0</v>
      </c>
      <c r="M6741" t="n">
        <v>0</v>
      </c>
      <c r="N6741" t="n">
        <v>0</v>
      </c>
      <c r="O6741" t="n">
        <v>0</v>
      </c>
      <c r="P6741" t="n">
        <v>0</v>
      </c>
      <c r="Q6741" t="n">
        <v>0</v>
      </c>
      <c r="R6741" s="2" t="inlineStr"/>
    </row>
    <row r="6742" ht="15" customHeight="1">
      <c r="A6742" t="inlineStr">
        <is>
          <t>A 7671-2024</t>
        </is>
      </c>
      <c r="B6742" s="1" t="n">
        <v>45348.83865740741</v>
      </c>
      <c r="C6742" s="1" t="n">
        <v>45884</v>
      </c>
      <c r="D6742" t="inlineStr">
        <is>
          <t>KALMAR LÄN</t>
        </is>
      </c>
      <c r="E6742" t="inlineStr">
        <is>
          <t>OSKARSHAMN</t>
        </is>
      </c>
      <c r="F6742" t="inlineStr">
        <is>
          <t>Sveaskog</t>
        </is>
      </c>
      <c r="G6742" t="n">
        <v>8.199999999999999</v>
      </c>
      <c r="H6742" t="n">
        <v>0</v>
      </c>
      <c r="I6742" t="n">
        <v>0</v>
      </c>
      <c r="J6742" t="n">
        <v>0</v>
      </c>
      <c r="K6742" t="n">
        <v>0</v>
      </c>
      <c r="L6742" t="n">
        <v>0</v>
      </c>
      <c r="M6742" t="n">
        <v>0</v>
      </c>
      <c r="N6742" t="n">
        <v>0</v>
      </c>
      <c r="O6742" t="n">
        <v>0</v>
      </c>
      <c r="P6742" t="n">
        <v>0</v>
      </c>
      <c r="Q6742" t="n">
        <v>0</v>
      </c>
      <c r="R6742" s="2" t="inlineStr"/>
    </row>
    <row r="6743" ht="15" customHeight="1">
      <c r="A6743" t="inlineStr">
        <is>
          <t>A 61122-2022</t>
        </is>
      </c>
      <c r="B6743" s="1" t="n">
        <v>44908</v>
      </c>
      <c r="C6743" s="1" t="n">
        <v>45884</v>
      </c>
      <c r="D6743" t="inlineStr">
        <is>
          <t>KALMAR LÄN</t>
        </is>
      </c>
      <c r="E6743" t="inlineStr">
        <is>
          <t>OSKARSHAMN</t>
        </is>
      </c>
      <c r="G6743" t="n">
        <v>3.6</v>
      </c>
      <c r="H6743" t="n">
        <v>0</v>
      </c>
      <c r="I6743" t="n">
        <v>0</v>
      </c>
      <c r="J6743" t="n">
        <v>0</v>
      </c>
      <c r="K6743" t="n">
        <v>0</v>
      </c>
      <c r="L6743" t="n">
        <v>0</v>
      </c>
      <c r="M6743" t="n">
        <v>0</v>
      </c>
      <c r="N6743" t="n">
        <v>0</v>
      </c>
      <c r="O6743" t="n">
        <v>0</v>
      </c>
      <c r="P6743" t="n">
        <v>0</v>
      </c>
      <c r="Q6743" t="n">
        <v>0</v>
      </c>
      <c r="R6743" s="2" t="inlineStr"/>
    </row>
    <row r="6744" ht="15" customHeight="1">
      <c r="A6744" t="inlineStr">
        <is>
          <t>A 7680-2024</t>
        </is>
      </c>
      <c r="B6744" s="1" t="n">
        <v>45348.89568287037</v>
      </c>
      <c r="C6744" s="1" t="n">
        <v>45884</v>
      </c>
      <c r="D6744" t="inlineStr">
        <is>
          <t>KALMAR LÄN</t>
        </is>
      </c>
      <c r="E6744" t="inlineStr">
        <is>
          <t>HÖGSBY</t>
        </is>
      </c>
      <c r="G6744" t="n">
        <v>3.2</v>
      </c>
      <c r="H6744" t="n">
        <v>0</v>
      </c>
      <c r="I6744" t="n">
        <v>0</v>
      </c>
      <c r="J6744" t="n">
        <v>0</v>
      </c>
      <c r="K6744" t="n">
        <v>0</v>
      </c>
      <c r="L6744" t="n">
        <v>0</v>
      </c>
      <c r="M6744" t="n">
        <v>0</v>
      </c>
      <c r="N6744" t="n">
        <v>0</v>
      </c>
      <c r="O6744" t="n">
        <v>0</v>
      </c>
      <c r="P6744" t="n">
        <v>0</v>
      </c>
      <c r="Q6744" t="n">
        <v>0</v>
      </c>
      <c r="R6744" s="2" t="inlineStr"/>
    </row>
    <row r="6745" ht="15" customHeight="1">
      <c r="A6745" t="inlineStr">
        <is>
          <t>A 61127-2022</t>
        </is>
      </c>
      <c r="B6745" s="1" t="n">
        <v>44915</v>
      </c>
      <c r="C6745" s="1" t="n">
        <v>45884</v>
      </c>
      <c r="D6745" t="inlineStr">
        <is>
          <t>KALMAR LÄN</t>
        </is>
      </c>
      <c r="E6745" t="inlineStr">
        <is>
          <t>MÖNSTERÅS</t>
        </is>
      </c>
      <c r="G6745" t="n">
        <v>1.9</v>
      </c>
      <c r="H6745" t="n">
        <v>0</v>
      </c>
      <c r="I6745" t="n">
        <v>0</v>
      </c>
      <c r="J6745" t="n">
        <v>0</v>
      </c>
      <c r="K6745" t="n">
        <v>0</v>
      </c>
      <c r="L6745" t="n">
        <v>0</v>
      </c>
      <c r="M6745" t="n">
        <v>0</v>
      </c>
      <c r="N6745" t="n">
        <v>0</v>
      </c>
      <c r="O6745" t="n">
        <v>0</v>
      </c>
      <c r="P6745" t="n">
        <v>0</v>
      </c>
      <c r="Q6745" t="n">
        <v>0</v>
      </c>
      <c r="R6745" s="2" t="inlineStr"/>
    </row>
    <row r="6746" ht="15" customHeight="1">
      <c r="A6746" t="inlineStr">
        <is>
          <t>A 61140-2022</t>
        </is>
      </c>
      <c r="B6746" s="1" t="n">
        <v>44908</v>
      </c>
      <c r="C6746" s="1" t="n">
        <v>45884</v>
      </c>
      <c r="D6746" t="inlineStr">
        <is>
          <t>KALMAR LÄN</t>
        </is>
      </c>
      <c r="E6746" t="inlineStr">
        <is>
          <t>NYBRO</t>
        </is>
      </c>
      <c r="G6746" t="n">
        <v>0.4</v>
      </c>
      <c r="H6746" t="n">
        <v>0</v>
      </c>
      <c r="I6746" t="n">
        <v>0</v>
      </c>
      <c r="J6746" t="n">
        <v>0</v>
      </c>
      <c r="K6746" t="n">
        <v>0</v>
      </c>
      <c r="L6746" t="n">
        <v>0</v>
      </c>
      <c r="M6746" t="n">
        <v>0</v>
      </c>
      <c r="N6746" t="n">
        <v>0</v>
      </c>
      <c r="O6746" t="n">
        <v>0</v>
      </c>
      <c r="P6746" t="n">
        <v>0</v>
      </c>
      <c r="Q6746" t="n">
        <v>0</v>
      </c>
      <c r="R6746" s="2" t="inlineStr"/>
    </row>
    <row r="6747" ht="15" customHeight="1">
      <c r="A6747" t="inlineStr">
        <is>
          <t>A 37016-2023</t>
        </is>
      </c>
      <c r="B6747" s="1" t="n">
        <v>45155</v>
      </c>
      <c r="C6747" s="1" t="n">
        <v>45884</v>
      </c>
      <c r="D6747" t="inlineStr">
        <is>
          <t>KALMAR LÄN</t>
        </is>
      </c>
      <c r="E6747" t="inlineStr">
        <is>
          <t>NYBRO</t>
        </is>
      </c>
      <c r="G6747" t="n">
        <v>6.4</v>
      </c>
      <c r="H6747" t="n">
        <v>0</v>
      </c>
      <c r="I6747" t="n">
        <v>0</v>
      </c>
      <c r="J6747" t="n">
        <v>0</v>
      </c>
      <c r="K6747" t="n">
        <v>0</v>
      </c>
      <c r="L6747" t="n">
        <v>0</v>
      </c>
      <c r="M6747" t="n">
        <v>0</v>
      </c>
      <c r="N6747" t="n">
        <v>0</v>
      </c>
      <c r="O6747" t="n">
        <v>0</v>
      </c>
      <c r="P6747" t="n">
        <v>0</v>
      </c>
      <c r="Q6747" t="n">
        <v>0</v>
      </c>
      <c r="R6747" s="2" t="inlineStr"/>
    </row>
    <row r="6748" ht="15" customHeight="1">
      <c r="A6748" t="inlineStr">
        <is>
          <t>A 48373-2021</t>
        </is>
      </c>
      <c r="B6748" s="1" t="n">
        <v>44451</v>
      </c>
      <c r="C6748" s="1" t="n">
        <v>45884</v>
      </c>
      <c r="D6748" t="inlineStr">
        <is>
          <t>KALMAR LÄN</t>
        </is>
      </c>
      <c r="E6748" t="inlineStr">
        <is>
          <t>VIMMERBY</t>
        </is>
      </c>
      <c r="G6748" t="n">
        <v>2.2</v>
      </c>
      <c r="H6748" t="n">
        <v>0</v>
      </c>
      <c r="I6748" t="n">
        <v>0</v>
      </c>
      <c r="J6748" t="n">
        <v>0</v>
      </c>
      <c r="K6748" t="n">
        <v>0</v>
      </c>
      <c r="L6748" t="n">
        <v>0</v>
      </c>
      <c r="M6748" t="n">
        <v>0</v>
      </c>
      <c r="N6748" t="n">
        <v>0</v>
      </c>
      <c r="O6748" t="n">
        <v>0</v>
      </c>
      <c r="P6748" t="n">
        <v>0</v>
      </c>
      <c r="Q6748" t="n">
        <v>0</v>
      </c>
      <c r="R6748" s="2" t="inlineStr"/>
    </row>
    <row r="6749" ht="15" customHeight="1">
      <c r="A6749" t="inlineStr">
        <is>
          <t>A 27936-2025</t>
        </is>
      </c>
      <c r="B6749" s="1" t="n">
        <v>45817.49964120371</v>
      </c>
      <c r="C6749" s="1" t="n">
        <v>45884</v>
      </c>
      <c r="D6749" t="inlineStr">
        <is>
          <t>KALMAR LÄN</t>
        </is>
      </c>
      <c r="E6749" t="inlineStr">
        <is>
          <t>HULTSFRED</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24689-2023</t>
        </is>
      </c>
      <c r="B6750" s="1" t="n">
        <v>45084.52010416667</v>
      </c>
      <c r="C6750" s="1" t="n">
        <v>45884</v>
      </c>
      <c r="D6750" t="inlineStr">
        <is>
          <t>KALMAR LÄN</t>
        </is>
      </c>
      <c r="E6750" t="inlineStr">
        <is>
          <t>NYBRO</t>
        </is>
      </c>
      <c r="G6750" t="n">
        <v>3.6</v>
      </c>
      <c r="H6750" t="n">
        <v>0</v>
      </c>
      <c r="I6750" t="n">
        <v>0</v>
      </c>
      <c r="J6750" t="n">
        <v>0</v>
      </c>
      <c r="K6750" t="n">
        <v>0</v>
      </c>
      <c r="L6750" t="n">
        <v>0</v>
      </c>
      <c r="M6750" t="n">
        <v>0</v>
      </c>
      <c r="N6750" t="n">
        <v>0</v>
      </c>
      <c r="O6750" t="n">
        <v>0</v>
      </c>
      <c r="P6750" t="n">
        <v>0</v>
      </c>
      <c r="Q6750" t="n">
        <v>0</v>
      </c>
      <c r="R6750" s="2" t="inlineStr"/>
    </row>
    <row r="6751" ht="15" customHeight="1">
      <c r="A6751" t="inlineStr">
        <is>
          <t>A 36418-2023</t>
        </is>
      </c>
      <c r="B6751" s="1" t="n">
        <v>45152</v>
      </c>
      <c r="C6751" s="1" t="n">
        <v>45884</v>
      </c>
      <c r="D6751" t="inlineStr">
        <is>
          <t>KALMAR LÄN</t>
        </is>
      </c>
      <c r="E6751" t="inlineStr">
        <is>
          <t>VÄSTERVIK</t>
        </is>
      </c>
      <c r="G6751" t="n">
        <v>1.1</v>
      </c>
      <c r="H6751" t="n">
        <v>0</v>
      </c>
      <c r="I6751" t="n">
        <v>0</v>
      </c>
      <c r="J6751" t="n">
        <v>0</v>
      </c>
      <c r="K6751" t="n">
        <v>0</v>
      </c>
      <c r="L6751" t="n">
        <v>0</v>
      </c>
      <c r="M6751" t="n">
        <v>0</v>
      </c>
      <c r="N6751" t="n">
        <v>0</v>
      </c>
      <c r="O6751" t="n">
        <v>0</v>
      </c>
      <c r="P6751" t="n">
        <v>0</v>
      </c>
      <c r="Q6751" t="n">
        <v>0</v>
      </c>
      <c r="R6751" s="2" t="inlineStr"/>
      <c r="U6751">
        <f>HYPERLINK("https://klasma.github.io/Logging_0883/knärot/A 36418-2023 karta knärot.png", "A 36418-2023")</f>
        <v/>
      </c>
      <c r="V6751">
        <f>HYPERLINK("https://klasma.github.io/Logging_0883/klagomål/A 36418-2023 FSC-klagomål.docx", "A 36418-2023")</f>
        <v/>
      </c>
      <c r="W6751">
        <f>HYPERLINK("https://klasma.github.io/Logging_0883/klagomålsmail/A 36418-2023 FSC-klagomål mail.docx", "A 36418-2023")</f>
        <v/>
      </c>
      <c r="X6751">
        <f>HYPERLINK("https://klasma.github.io/Logging_0883/tillsyn/A 36418-2023 tillsynsbegäran.docx", "A 36418-2023")</f>
        <v/>
      </c>
      <c r="Y6751">
        <f>HYPERLINK("https://klasma.github.io/Logging_0883/tillsynsmail/A 36418-2023 tillsynsbegäran mail.docx", "A 36418-2023")</f>
        <v/>
      </c>
    </row>
    <row r="6752" ht="15" customHeight="1">
      <c r="A6752" t="inlineStr">
        <is>
          <t>A 35959-2023</t>
        </is>
      </c>
      <c r="B6752" s="1" t="n">
        <v>45148.84875</v>
      </c>
      <c r="C6752" s="1" t="n">
        <v>45884</v>
      </c>
      <c r="D6752" t="inlineStr">
        <is>
          <t>KALMAR LÄN</t>
        </is>
      </c>
      <c r="E6752" t="inlineStr">
        <is>
          <t>VÄSTERVIK</t>
        </is>
      </c>
      <c r="F6752" t="inlineStr">
        <is>
          <t>Sveaskog</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585-2025</t>
        </is>
      </c>
      <c r="B6753" s="1" t="n">
        <v>45660</v>
      </c>
      <c r="C6753" s="1" t="n">
        <v>45884</v>
      </c>
      <c r="D6753" t="inlineStr">
        <is>
          <t>KALMAR LÄN</t>
        </is>
      </c>
      <c r="E6753" t="inlineStr">
        <is>
          <t>HULTSFRED</t>
        </is>
      </c>
      <c r="G6753" t="n">
        <v>6</v>
      </c>
      <c r="H6753" t="n">
        <v>0</v>
      </c>
      <c r="I6753" t="n">
        <v>0</v>
      </c>
      <c r="J6753" t="n">
        <v>0</v>
      </c>
      <c r="K6753" t="n">
        <v>0</v>
      </c>
      <c r="L6753" t="n">
        <v>0</v>
      </c>
      <c r="M6753" t="n">
        <v>0</v>
      </c>
      <c r="N6753" t="n">
        <v>0</v>
      </c>
      <c r="O6753" t="n">
        <v>0</v>
      </c>
      <c r="P6753" t="n">
        <v>0</v>
      </c>
      <c r="Q6753" t="n">
        <v>0</v>
      </c>
      <c r="R6753" s="2" t="inlineStr"/>
    </row>
    <row r="6754" ht="15" customHeight="1">
      <c r="A6754" t="inlineStr">
        <is>
          <t>A 7934-2023</t>
        </is>
      </c>
      <c r="B6754" s="1" t="n">
        <v>44973.65422453704</v>
      </c>
      <c r="C6754" s="1" t="n">
        <v>45884</v>
      </c>
      <c r="D6754" t="inlineStr">
        <is>
          <t>KALMAR LÄN</t>
        </is>
      </c>
      <c r="E6754" t="inlineStr">
        <is>
          <t>VÄSTERVIK</t>
        </is>
      </c>
      <c r="G6754" t="n">
        <v>4.1</v>
      </c>
      <c r="H6754" t="n">
        <v>0</v>
      </c>
      <c r="I6754" t="n">
        <v>0</v>
      </c>
      <c r="J6754" t="n">
        <v>0</v>
      </c>
      <c r="K6754" t="n">
        <v>0</v>
      </c>
      <c r="L6754" t="n">
        <v>0</v>
      </c>
      <c r="M6754" t="n">
        <v>0</v>
      </c>
      <c r="N6754" t="n">
        <v>0</v>
      </c>
      <c r="O6754" t="n">
        <v>0</v>
      </c>
      <c r="P6754" t="n">
        <v>0</v>
      </c>
      <c r="Q6754" t="n">
        <v>0</v>
      </c>
      <c r="R6754" s="2" t="inlineStr"/>
    </row>
    <row r="6755" ht="15" customHeight="1">
      <c r="A6755" t="inlineStr">
        <is>
          <t>A 7956-2023</t>
        </is>
      </c>
      <c r="B6755" s="1" t="n">
        <v>44973.68172453704</v>
      </c>
      <c r="C6755" s="1" t="n">
        <v>45884</v>
      </c>
      <c r="D6755" t="inlineStr">
        <is>
          <t>KALMAR LÄN</t>
        </is>
      </c>
      <c r="E6755" t="inlineStr">
        <is>
          <t>NYBRO</t>
        </is>
      </c>
      <c r="G6755" t="n">
        <v>3.2</v>
      </c>
      <c r="H6755" t="n">
        <v>0</v>
      </c>
      <c r="I6755" t="n">
        <v>0</v>
      </c>
      <c r="J6755" t="n">
        <v>0</v>
      </c>
      <c r="K6755" t="n">
        <v>0</v>
      </c>
      <c r="L6755" t="n">
        <v>0</v>
      </c>
      <c r="M6755" t="n">
        <v>0</v>
      </c>
      <c r="N6755" t="n">
        <v>0</v>
      </c>
      <c r="O6755" t="n">
        <v>0</v>
      </c>
      <c r="P6755" t="n">
        <v>0</v>
      </c>
      <c r="Q6755" t="n">
        <v>0</v>
      </c>
      <c r="R6755" s="2" t="inlineStr"/>
    </row>
    <row r="6756" ht="15" customHeight="1">
      <c r="A6756" t="inlineStr">
        <is>
          <t>A 4472-2025</t>
        </is>
      </c>
      <c r="B6756" s="1" t="n">
        <v>45686.61859953704</v>
      </c>
      <c r="C6756" s="1" t="n">
        <v>45884</v>
      </c>
      <c r="D6756" t="inlineStr">
        <is>
          <t>KALMAR LÄN</t>
        </is>
      </c>
      <c r="E6756" t="inlineStr">
        <is>
          <t>MÖNSTERÅS</t>
        </is>
      </c>
      <c r="G6756" t="n">
        <v>4.2</v>
      </c>
      <c r="H6756" t="n">
        <v>0</v>
      </c>
      <c r="I6756" t="n">
        <v>0</v>
      </c>
      <c r="J6756" t="n">
        <v>0</v>
      </c>
      <c r="K6756" t="n">
        <v>0</v>
      </c>
      <c r="L6756" t="n">
        <v>0</v>
      </c>
      <c r="M6756" t="n">
        <v>0</v>
      </c>
      <c r="N6756" t="n">
        <v>0</v>
      </c>
      <c r="O6756" t="n">
        <v>0</v>
      </c>
      <c r="P6756" t="n">
        <v>0</v>
      </c>
      <c r="Q6756" t="n">
        <v>0</v>
      </c>
      <c r="R6756" s="2" t="inlineStr"/>
    </row>
    <row r="6757" ht="15" customHeight="1">
      <c r="A6757" t="inlineStr">
        <is>
          <t>A 68493-2021</t>
        </is>
      </c>
      <c r="B6757" s="1" t="n">
        <v>44529</v>
      </c>
      <c r="C6757" s="1" t="n">
        <v>45884</v>
      </c>
      <c r="D6757" t="inlineStr">
        <is>
          <t>KALMAR LÄN</t>
        </is>
      </c>
      <c r="E6757" t="inlineStr">
        <is>
          <t>TORSÅS</t>
        </is>
      </c>
      <c r="G6757" t="n">
        <v>2.1</v>
      </c>
      <c r="H6757" t="n">
        <v>0</v>
      </c>
      <c r="I6757" t="n">
        <v>0</v>
      </c>
      <c r="J6757" t="n">
        <v>0</v>
      </c>
      <c r="K6757" t="n">
        <v>0</v>
      </c>
      <c r="L6757" t="n">
        <v>0</v>
      </c>
      <c r="M6757" t="n">
        <v>0</v>
      </c>
      <c r="N6757" t="n">
        <v>0</v>
      </c>
      <c r="O6757" t="n">
        <v>0</v>
      </c>
      <c r="P6757" t="n">
        <v>0</v>
      </c>
      <c r="Q6757" t="n">
        <v>0</v>
      </c>
      <c r="R6757" s="2" t="inlineStr"/>
    </row>
    <row r="6758" ht="15" customHeight="1">
      <c r="A6758" t="inlineStr">
        <is>
          <t>A 72194-2021</t>
        </is>
      </c>
      <c r="B6758" s="1" t="n">
        <v>44544.66945601852</v>
      </c>
      <c r="C6758" s="1" t="n">
        <v>45884</v>
      </c>
      <c r="D6758" t="inlineStr">
        <is>
          <t>KALMAR LÄN</t>
        </is>
      </c>
      <c r="E6758" t="inlineStr">
        <is>
          <t>KALMAR</t>
        </is>
      </c>
      <c r="G6758" t="n">
        <v>2.4</v>
      </c>
      <c r="H6758" t="n">
        <v>0</v>
      </c>
      <c r="I6758" t="n">
        <v>0</v>
      </c>
      <c r="J6758" t="n">
        <v>0</v>
      </c>
      <c r="K6758" t="n">
        <v>0</v>
      </c>
      <c r="L6758" t="n">
        <v>0</v>
      </c>
      <c r="M6758" t="n">
        <v>0</v>
      </c>
      <c r="N6758" t="n">
        <v>0</v>
      </c>
      <c r="O6758" t="n">
        <v>0</v>
      </c>
      <c r="P6758" t="n">
        <v>0</v>
      </c>
      <c r="Q6758" t="n">
        <v>0</v>
      </c>
      <c r="R6758" s="2" t="inlineStr"/>
    </row>
    <row r="6759" ht="15" customHeight="1">
      <c r="A6759" t="inlineStr">
        <is>
          <t>A 21695-2024</t>
        </is>
      </c>
      <c r="B6759" s="1" t="n">
        <v>45442.44923611111</v>
      </c>
      <c r="C6759" s="1" t="n">
        <v>45884</v>
      </c>
      <c r="D6759" t="inlineStr">
        <is>
          <t>KALMAR LÄN</t>
        </is>
      </c>
      <c r="E6759" t="inlineStr">
        <is>
          <t>NYBRO</t>
        </is>
      </c>
      <c r="G6759" t="n">
        <v>1.8</v>
      </c>
      <c r="H6759" t="n">
        <v>0</v>
      </c>
      <c r="I6759" t="n">
        <v>0</v>
      </c>
      <c r="J6759" t="n">
        <v>0</v>
      </c>
      <c r="K6759" t="n">
        <v>0</v>
      </c>
      <c r="L6759" t="n">
        <v>0</v>
      </c>
      <c r="M6759" t="n">
        <v>0</v>
      </c>
      <c r="N6759" t="n">
        <v>0</v>
      </c>
      <c r="O6759" t="n">
        <v>0</v>
      </c>
      <c r="P6759" t="n">
        <v>0</v>
      </c>
      <c r="Q6759" t="n">
        <v>0</v>
      </c>
      <c r="R6759" s="2" t="inlineStr"/>
    </row>
    <row r="6760" ht="15" customHeight="1">
      <c r="A6760" t="inlineStr">
        <is>
          <t>A 3401-2023</t>
        </is>
      </c>
      <c r="B6760" s="1" t="n">
        <v>44949</v>
      </c>
      <c r="C6760" s="1" t="n">
        <v>45884</v>
      </c>
      <c r="D6760" t="inlineStr">
        <is>
          <t>KALMAR LÄN</t>
        </is>
      </c>
      <c r="E6760" t="inlineStr">
        <is>
          <t>KALMAR</t>
        </is>
      </c>
      <c r="G6760" t="n">
        <v>2.6</v>
      </c>
      <c r="H6760" t="n">
        <v>0</v>
      </c>
      <c r="I6760" t="n">
        <v>0</v>
      </c>
      <c r="J6760" t="n">
        <v>0</v>
      </c>
      <c r="K6760" t="n">
        <v>0</v>
      </c>
      <c r="L6760" t="n">
        <v>0</v>
      </c>
      <c r="M6760" t="n">
        <v>0</v>
      </c>
      <c r="N6760" t="n">
        <v>0</v>
      </c>
      <c r="O6760" t="n">
        <v>0</v>
      </c>
      <c r="P6760" t="n">
        <v>0</v>
      </c>
      <c r="Q6760" t="n">
        <v>0</v>
      </c>
      <c r="R6760" s="2" t="inlineStr"/>
    </row>
    <row r="6761" ht="15" customHeight="1">
      <c r="A6761" t="inlineStr">
        <is>
          <t>A 39977-2023</t>
        </is>
      </c>
      <c r="B6761" s="1" t="n">
        <v>45168</v>
      </c>
      <c r="C6761" s="1" t="n">
        <v>45884</v>
      </c>
      <c r="D6761" t="inlineStr">
        <is>
          <t>KALMAR LÄN</t>
        </is>
      </c>
      <c r="E6761" t="inlineStr">
        <is>
          <t>HULTSFRED</t>
        </is>
      </c>
      <c r="G6761" t="n">
        <v>1.8</v>
      </c>
      <c r="H6761" t="n">
        <v>0</v>
      </c>
      <c r="I6761" t="n">
        <v>0</v>
      </c>
      <c r="J6761" t="n">
        <v>0</v>
      </c>
      <c r="K6761" t="n">
        <v>0</v>
      </c>
      <c r="L6761" t="n">
        <v>0</v>
      </c>
      <c r="M6761" t="n">
        <v>0</v>
      </c>
      <c r="N6761" t="n">
        <v>0</v>
      </c>
      <c r="O6761" t="n">
        <v>0</v>
      </c>
      <c r="P6761" t="n">
        <v>0</v>
      </c>
      <c r="Q6761" t="n">
        <v>0</v>
      </c>
      <c r="R6761" s="2" t="inlineStr"/>
    </row>
    <row r="6762" ht="15" customHeight="1">
      <c r="A6762" t="inlineStr">
        <is>
          <t>A 46239-2022</t>
        </is>
      </c>
      <c r="B6762" s="1" t="n">
        <v>44847.61641203704</v>
      </c>
      <c r="C6762" s="1" t="n">
        <v>45884</v>
      </c>
      <c r="D6762" t="inlineStr">
        <is>
          <t>KALMAR LÄN</t>
        </is>
      </c>
      <c r="E6762" t="inlineStr">
        <is>
          <t>KALMAR</t>
        </is>
      </c>
      <c r="G6762" t="n">
        <v>2.7</v>
      </c>
      <c r="H6762" t="n">
        <v>0</v>
      </c>
      <c r="I6762" t="n">
        <v>0</v>
      </c>
      <c r="J6762" t="n">
        <v>0</v>
      </c>
      <c r="K6762" t="n">
        <v>0</v>
      </c>
      <c r="L6762" t="n">
        <v>0</v>
      </c>
      <c r="M6762" t="n">
        <v>0</v>
      </c>
      <c r="N6762" t="n">
        <v>0</v>
      </c>
      <c r="O6762" t="n">
        <v>0</v>
      </c>
      <c r="P6762" t="n">
        <v>0</v>
      </c>
      <c r="Q6762" t="n">
        <v>0</v>
      </c>
      <c r="R6762" s="2" t="inlineStr"/>
    </row>
    <row r="6763" ht="15" customHeight="1">
      <c r="A6763" t="inlineStr">
        <is>
          <t>A 61197-2022</t>
        </is>
      </c>
      <c r="B6763" s="1" t="n">
        <v>44915.53012731481</v>
      </c>
      <c r="C6763" s="1" t="n">
        <v>45884</v>
      </c>
      <c r="D6763" t="inlineStr">
        <is>
          <t>KALMAR LÄN</t>
        </is>
      </c>
      <c r="E6763" t="inlineStr">
        <is>
          <t>MÖNSTERÅS</t>
        </is>
      </c>
      <c r="G6763" t="n">
        <v>3.3</v>
      </c>
      <c r="H6763" t="n">
        <v>0</v>
      </c>
      <c r="I6763" t="n">
        <v>0</v>
      </c>
      <c r="J6763" t="n">
        <v>0</v>
      </c>
      <c r="K6763" t="n">
        <v>0</v>
      </c>
      <c r="L6763" t="n">
        <v>0</v>
      </c>
      <c r="M6763" t="n">
        <v>0</v>
      </c>
      <c r="N6763" t="n">
        <v>0</v>
      </c>
      <c r="O6763" t="n">
        <v>0</v>
      </c>
      <c r="P6763" t="n">
        <v>0</v>
      </c>
      <c r="Q6763" t="n">
        <v>0</v>
      </c>
      <c r="R6763" s="2" t="inlineStr"/>
    </row>
    <row r="6764" ht="15" customHeight="1">
      <c r="A6764" t="inlineStr">
        <is>
          <t>A 61204-2022</t>
        </is>
      </c>
      <c r="B6764" s="1" t="n">
        <v>44915.53577546297</v>
      </c>
      <c r="C6764" s="1" t="n">
        <v>45884</v>
      </c>
      <c r="D6764" t="inlineStr">
        <is>
          <t>KALMAR LÄN</t>
        </is>
      </c>
      <c r="E6764" t="inlineStr">
        <is>
          <t>MÖNSTERÅS</t>
        </is>
      </c>
      <c r="G6764" t="n">
        <v>5.7</v>
      </c>
      <c r="H6764" t="n">
        <v>0</v>
      </c>
      <c r="I6764" t="n">
        <v>0</v>
      </c>
      <c r="J6764" t="n">
        <v>0</v>
      </c>
      <c r="K6764" t="n">
        <v>0</v>
      </c>
      <c r="L6764" t="n">
        <v>0</v>
      </c>
      <c r="M6764" t="n">
        <v>0</v>
      </c>
      <c r="N6764" t="n">
        <v>0</v>
      </c>
      <c r="O6764" t="n">
        <v>0</v>
      </c>
      <c r="P6764" t="n">
        <v>0</v>
      </c>
      <c r="Q6764" t="n">
        <v>0</v>
      </c>
      <c r="R6764" s="2" t="inlineStr"/>
    </row>
    <row r="6765" ht="15" customHeight="1">
      <c r="A6765" t="inlineStr">
        <is>
          <t>A 61791-2022</t>
        </is>
      </c>
      <c r="B6765" s="1" t="n">
        <v>44911</v>
      </c>
      <c r="C6765" s="1" t="n">
        <v>45884</v>
      </c>
      <c r="D6765" t="inlineStr">
        <is>
          <t>KALMAR LÄN</t>
        </is>
      </c>
      <c r="E6765" t="inlineStr">
        <is>
          <t>EMMABODA</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27831-2025</t>
        </is>
      </c>
      <c r="B6766" s="1" t="n">
        <v>45817.36287037037</v>
      </c>
      <c r="C6766" s="1" t="n">
        <v>45884</v>
      </c>
      <c r="D6766" t="inlineStr">
        <is>
          <t>KALMAR LÄN</t>
        </is>
      </c>
      <c r="E6766" t="inlineStr">
        <is>
          <t>KALMAR</t>
        </is>
      </c>
      <c r="G6766" t="n">
        <v>3.6</v>
      </c>
      <c r="H6766" t="n">
        <v>0</v>
      </c>
      <c r="I6766" t="n">
        <v>0</v>
      </c>
      <c r="J6766" t="n">
        <v>0</v>
      </c>
      <c r="K6766" t="n">
        <v>0</v>
      </c>
      <c r="L6766" t="n">
        <v>0</v>
      </c>
      <c r="M6766" t="n">
        <v>0</v>
      </c>
      <c r="N6766" t="n">
        <v>0</v>
      </c>
      <c r="O6766" t="n">
        <v>0</v>
      </c>
      <c r="P6766" t="n">
        <v>0</v>
      </c>
      <c r="Q6766" t="n">
        <v>0</v>
      </c>
      <c r="R6766" s="2" t="inlineStr"/>
    </row>
    <row r="6767" ht="15" customHeight="1">
      <c r="A6767" t="inlineStr">
        <is>
          <t>A 37630-2023</t>
        </is>
      </c>
      <c r="B6767" s="1" t="n">
        <v>45159.4650925926</v>
      </c>
      <c r="C6767" s="1" t="n">
        <v>45884</v>
      </c>
      <c r="D6767" t="inlineStr">
        <is>
          <t>KALMAR LÄN</t>
        </is>
      </c>
      <c r="E6767" t="inlineStr">
        <is>
          <t>EMMABODA</t>
        </is>
      </c>
      <c r="G6767" t="n">
        <v>3.9</v>
      </c>
      <c r="H6767" t="n">
        <v>0</v>
      </c>
      <c r="I6767" t="n">
        <v>0</v>
      </c>
      <c r="J6767" t="n">
        <v>0</v>
      </c>
      <c r="K6767" t="n">
        <v>0</v>
      </c>
      <c r="L6767" t="n">
        <v>0</v>
      </c>
      <c r="M6767" t="n">
        <v>0</v>
      </c>
      <c r="N6767" t="n">
        <v>0</v>
      </c>
      <c r="O6767" t="n">
        <v>0</v>
      </c>
      <c r="P6767" t="n">
        <v>0</v>
      </c>
      <c r="Q6767" t="n">
        <v>0</v>
      </c>
      <c r="R6767" s="2" t="inlineStr"/>
    </row>
    <row r="6768" ht="15" customHeight="1">
      <c r="A6768" t="inlineStr">
        <is>
          <t>A 35596-2025</t>
        </is>
      </c>
      <c r="B6768" s="1" t="n">
        <v>45858.60641203704</v>
      </c>
      <c r="C6768" s="1" t="n">
        <v>45884</v>
      </c>
      <c r="D6768" t="inlineStr">
        <is>
          <t>KALMAR LÄN</t>
        </is>
      </c>
      <c r="E6768" t="inlineStr">
        <is>
          <t>VIMMERBY</t>
        </is>
      </c>
      <c r="G6768" t="n">
        <v>2.8</v>
      </c>
      <c r="H6768" t="n">
        <v>0</v>
      </c>
      <c r="I6768" t="n">
        <v>0</v>
      </c>
      <c r="J6768" t="n">
        <v>0</v>
      </c>
      <c r="K6768" t="n">
        <v>0</v>
      </c>
      <c r="L6768" t="n">
        <v>0</v>
      </c>
      <c r="M6768" t="n">
        <v>0</v>
      </c>
      <c r="N6768" t="n">
        <v>0</v>
      </c>
      <c r="O6768" t="n">
        <v>0</v>
      </c>
      <c r="P6768" t="n">
        <v>0</v>
      </c>
      <c r="Q6768" t="n">
        <v>0</v>
      </c>
      <c r="R6768" s="2" t="inlineStr"/>
    </row>
    <row r="6769" ht="15" customHeight="1">
      <c r="A6769" t="inlineStr">
        <is>
          <t>A 35529-2025</t>
        </is>
      </c>
      <c r="B6769" s="1" t="n">
        <v>45856.43209490741</v>
      </c>
      <c r="C6769" s="1" t="n">
        <v>45884</v>
      </c>
      <c r="D6769" t="inlineStr">
        <is>
          <t>KALMAR LÄN</t>
        </is>
      </c>
      <c r="E6769" t="inlineStr">
        <is>
          <t>NYBRO</t>
        </is>
      </c>
      <c r="F6769" t="inlineStr">
        <is>
          <t>Sveaskog</t>
        </is>
      </c>
      <c r="G6769" t="n">
        <v>1.2</v>
      </c>
      <c r="H6769" t="n">
        <v>0</v>
      </c>
      <c r="I6769" t="n">
        <v>0</v>
      </c>
      <c r="J6769" t="n">
        <v>0</v>
      </c>
      <c r="K6769" t="n">
        <v>0</v>
      </c>
      <c r="L6769" t="n">
        <v>0</v>
      </c>
      <c r="M6769" t="n">
        <v>0</v>
      </c>
      <c r="N6769" t="n">
        <v>0</v>
      </c>
      <c r="O6769" t="n">
        <v>0</v>
      </c>
      <c r="P6769" t="n">
        <v>0</v>
      </c>
      <c r="Q6769" t="n">
        <v>0</v>
      </c>
      <c r="R6769" s="2" t="inlineStr"/>
    </row>
    <row r="6770" ht="15" customHeight="1">
      <c r="A6770" t="inlineStr">
        <is>
          <t>A 27980-2025</t>
        </is>
      </c>
      <c r="B6770" s="1" t="n">
        <v>45817.57395833333</v>
      </c>
      <c r="C6770" s="1" t="n">
        <v>45884</v>
      </c>
      <c r="D6770" t="inlineStr">
        <is>
          <t>KALMAR LÄN</t>
        </is>
      </c>
      <c r="E6770" t="inlineStr">
        <is>
          <t>VÄSTERVIK</t>
        </is>
      </c>
      <c r="F6770" t="inlineStr">
        <is>
          <t>Sveaskog</t>
        </is>
      </c>
      <c r="G6770" t="n">
        <v>7.2</v>
      </c>
      <c r="H6770" t="n">
        <v>0</v>
      </c>
      <c r="I6770" t="n">
        <v>0</v>
      </c>
      <c r="J6770" t="n">
        <v>0</v>
      </c>
      <c r="K6770" t="n">
        <v>0</v>
      </c>
      <c r="L6770" t="n">
        <v>0</v>
      </c>
      <c r="M6770" t="n">
        <v>0</v>
      </c>
      <c r="N6770" t="n">
        <v>0</v>
      </c>
      <c r="O6770" t="n">
        <v>0</v>
      </c>
      <c r="P6770" t="n">
        <v>0</v>
      </c>
      <c r="Q6770" t="n">
        <v>0</v>
      </c>
      <c r="R6770" s="2" t="inlineStr"/>
    </row>
    <row r="6771" ht="15" customHeight="1">
      <c r="A6771" t="inlineStr">
        <is>
          <t>A 27935-2025</t>
        </is>
      </c>
      <c r="B6771" s="1" t="n">
        <v>45817.49847222222</v>
      </c>
      <c r="C6771" s="1" t="n">
        <v>45884</v>
      </c>
      <c r="D6771" t="inlineStr">
        <is>
          <t>KALMAR LÄN</t>
        </is>
      </c>
      <c r="E6771" t="inlineStr">
        <is>
          <t>NYBRO</t>
        </is>
      </c>
      <c r="G6771" t="n">
        <v>9</v>
      </c>
      <c r="H6771" t="n">
        <v>0</v>
      </c>
      <c r="I6771" t="n">
        <v>0</v>
      </c>
      <c r="J6771" t="n">
        <v>0</v>
      </c>
      <c r="K6771" t="n">
        <v>0</v>
      </c>
      <c r="L6771" t="n">
        <v>0</v>
      </c>
      <c r="M6771" t="n">
        <v>0</v>
      </c>
      <c r="N6771" t="n">
        <v>0</v>
      </c>
      <c r="O6771" t="n">
        <v>0</v>
      </c>
      <c r="P6771" t="n">
        <v>0</v>
      </c>
      <c r="Q6771" t="n">
        <v>0</v>
      </c>
      <c r="R6771" s="2" t="inlineStr"/>
    </row>
    <row r="6772" ht="15" customHeight="1">
      <c r="A6772" t="inlineStr">
        <is>
          <t>A 44547-2021</t>
        </is>
      </c>
      <c r="B6772" s="1" t="n">
        <v>44435</v>
      </c>
      <c r="C6772" s="1" t="n">
        <v>45884</v>
      </c>
      <c r="D6772" t="inlineStr">
        <is>
          <t>KALMAR LÄN</t>
        </is>
      </c>
      <c r="E6772" t="inlineStr">
        <is>
          <t>BORGHOLM</t>
        </is>
      </c>
      <c r="G6772" t="n">
        <v>1.4</v>
      </c>
      <c r="H6772" t="n">
        <v>0</v>
      </c>
      <c r="I6772" t="n">
        <v>0</v>
      </c>
      <c r="J6772" t="n">
        <v>0</v>
      </c>
      <c r="K6772" t="n">
        <v>0</v>
      </c>
      <c r="L6772" t="n">
        <v>0</v>
      </c>
      <c r="M6772" t="n">
        <v>0</v>
      </c>
      <c r="N6772" t="n">
        <v>0</v>
      </c>
      <c r="O6772" t="n">
        <v>0</v>
      </c>
      <c r="P6772" t="n">
        <v>0</v>
      </c>
      <c r="Q6772" t="n">
        <v>0</v>
      </c>
      <c r="R6772" s="2" t="inlineStr"/>
    </row>
    <row r="6773" ht="15" customHeight="1">
      <c r="A6773" t="inlineStr">
        <is>
          <t>A 35532-2025</t>
        </is>
      </c>
      <c r="B6773" s="1" t="n">
        <v>45856.43569444444</v>
      </c>
      <c r="C6773" s="1" t="n">
        <v>45884</v>
      </c>
      <c r="D6773" t="inlineStr">
        <is>
          <t>KALMAR LÄN</t>
        </is>
      </c>
      <c r="E6773" t="inlineStr">
        <is>
          <t>KALMAR</t>
        </is>
      </c>
      <c r="F6773" t="inlineStr">
        <is>
          <t>Sveaskog</t>
        </is>
      </c>
      <c r="G6773" t="n">
        <v>3.2</v>
      </c>
      <c r="H6773" t="n">
        <v>0</v>
      </c>
      <c r="I6773" t="n">
        <v>0</v>
      </c>
      <c r="J6773" t="n">
        <v>0</v>
      </c>
      <c r="K6773" t="n">
        <v>0</v>
      </c>
      <c r="L6773" t="n">
        <v>0</v>
      </c>
      <c r="M6773" t="n">
        <v>0</v>
      </c>
      <c r="N6773" t="n">
        <v>0</v>
      </c>
      <c r="O6773" t="n">
        <v>0</v>
      </c>
      <c r="P6773" t="n">
        <v>0</v>
      </c>
      <c r="Q6773" t="n">
        <v>0</v>
      </c>
      <c r="R6773" s="2" t="inlineStr"/>
    </row>
    <row r="6774" ht="15" customHeight="1">
      <c r="A6774" t="inlineStr">
        <is>
          <t>A 5175-2024</t>
        </is>
      </c>
      <c r="B6774" s="1" t="n">
        <v>45330</v>
      </c>
      <c r="C6774" s="1" t="n">
        <v>45884</v>
      </c>
      <c r="D6774" t="inlineStr">
        <is>
          <t>KALMAR LÄN</t>
        </is>
      </c>
      <c r="E6774" t="inlineStr">
        <is>
          <t>BORGHOLM</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5944-2024</t>
        </is>
      </c>
      <c r="B6775" s="1" t="n">
        <v>45336</v>
      </c>
      <c r="C6775" s="1" t="n">
        <v>45884</v>
      </c>
      <c r="D6775" t="inlineStr">
        <is>
          <t>KALMAR LÄN</t>
        </is>
      </c>
      <c r="E6775" t="inlineStr">
        <is>
          <t>NYBRO</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27718-2025</t>
        </is>
      </c>
      <c r="B6776" s="1" t="n">
        <v>45814.38221064815</v>
      </c>
      <c r="C6776" s="1" t="n">
        <v>45884</v>
      </c>
      <c r="D6776" t="inlineStr">
        <is>
          <t>KALMAR LÄN</t>
        </is>
      </c>
      <c r="E6776" t="inlineStr">
        <is>
          <t>VIMMERBY</t>
        </is>
      </c>
      <c r="G6776" t="n">
        <v>0.9</v>
      </c>
      <c r="H6776" t="n">
        <v>0</v>
      </c>
      <c r="I6776" t="n">
        <v>0</v>
      </c>
      <c r="J6776" t="n">
        <v>0</v>
      </c>
      <c r="K6776" t="n">
        <v>0</v>
      </c>
      <c r="L6776" t="n">
        <v>0</v>
      </c>
      <c r="M6776" t="n">
        <v>0</v>
      </c>
      <c r="N6776" t="n">
        <v>0</v>
      </c>
      <c r="O6776" t="n">
        <v>0</v>
      </c>
      <c r="P6776" t="n">
        <v>0</v>
      </c>
      <c r="Q6776" t="n">
        <v>0</v>
      </c>
      <c r="R6776" s="2" t="inlineStr"/>
    </row>
    <row r="6777" ht="15" customHeight="1">
      <c r="A6777" t="inlineStr">
        <is>
          <t>A 6815-2025</t>
        </is>
      </c>
      <c r="B6777" s="1" t="n">
        <v>45700.69986111111</v>
      </c>
      <c r="C6777" s="1" t="n">
        <v>45884</v>
      </c>
      <c r="D6777" t="inlineStr">
        <is>
          <t>KALMAR LÄN</t>
        </is>
      </c>
      <c r="E6777" t="inlineStr">
        <is>
          <t>OSKARSHAMN</t>
        </is>
      </c>
      <c r="G6777" t="n">
        <v>1.4</v>
      </c>
      <c r="H6777" t="n">
        <v>0</v>
      </c>
      <c r="I6777" t="n">
        <v>0</v>
      </c>
      <c r="J6777" t="n">
        <v>0</v>
      </c>
      <c r="K6777" t="n">
        <v>0</v>
      </c>
      <c r="L6777" t="n">
        <v>0</v>
      </c>
      <c r="M6777" t="n">
        <v>0</v>
      </c>
      <c r="N6777" t="n">
        <v>0</v>
      </c>
      <c r="O6777" t="n">
        <v>0</v>
      </c>
      <c r="P6777" t="n">
        <v>0</v>
      </c>
      <c r="Q6777" t="n">
        <v>0</v>
      </c>
      <c r="R6777" s="2" t="inlineStr"/>
    </row>
    <row r="6778" ht="15" customHeight="1">
      <c r="A6778" t="inlineStr">
        <is>
          <t>A 44188-2024</t>
        </is>
      </c>
      <c r="B6778" s="1" t="n">
        <v>45573.00284722223</v>
      </c>
      <c r="C6778" s="1" t="n">
        <v>45884</v>
      </c>
      <c r="D6778" t="inlineStr">
        <is>
          <t>KALMAR LÄN</t>
        </is>
      </c>
      <c r="E6778" t="inlineStr">
        <is>
          <t>HULTSFRED</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35522-2025</t>
        </is>
      </c>
      <c r="B6779" s="1" t="n">
        <v>45856.42729166667</v>
      </c>
      <c r="C6779" s="1" t="n">
        <v>45884</v>
      </c>
      <c r="D6779" t="inlineStr">
        <is>
          <t>KALMAR LÄN</t>
        </is>
      </c>
      <c r="E6779" t="inlineStr">
        <is>
          <t>NYBRO</t>
        </is>
      </c>
      <c r="F6779" t="inlineStr">
        <is>
          <t>Sveaskog</t>
        </is>
      </c>
      <c r="G6779" t="n">
        <v>1.4</v>
      </c>
      <c r="H6779" t="n">
        <v>0</v>
      </c>
      <c r="I6779" t="n">
        <v>0</v>
      </c>
      <c r="J6779" t="n">
        <v>0</v>
      </c>
      <c r="K6779" t="n">
        <v>0</v>
      </c>
      <c r="L6779" t="n">
        <v>0</v>
      </c>
      <c r="M6779" t="n">
        <v>0</v>
      </c>
      <c r="N6779" t="n">
        <v>0</v>
      </c>
      <c r="O6779" t="n">
        <v>0</v>
      </c>
      <c r="P6779" t="n">
        <v>0</v>
      </c>
      <c r="Q6779" t="n">
        <v>0</v>
      </c>
      <c r="R6779" s="2" t="inlineStr"/>
    </row>
    <row r="6780" ht="15" customHeight="1">
      <c r="A6780" t="inlineStr">
        <is>
          <t>A 56553-2024</t>
        </is>
      </c>
      <c r="B6780" s="1" t="n">
        <v>45625.57662037037</v>
      </c>
      <c r="C6780" s="1" t="n">
        <v>45884</v>
      </c>
      <c r="D6780" t="inlineStr">
        <is>
          <t>KALMAR LÄN</t>
        </is>
      </c>
      <c r="E6780" t="inlineStr">
        <is>
          <t>HULTSFRED</t>
        </is>
      </c>
      <c r="G6780" t="n">
        <v>2.3</v>
      </c>
      <c r="H6780" t="n">
        <v>0</v>
      </c>
      <c r="I6780" t="n">
        <v>0</v>
      </c>
      <c r="J6780" t="n">
        <v>0</v>
      </c>
      <c r="K6780" t="n">
        <v>0</v>
      </c>
      <c r="L6780" t="n">
        <v>0</v>
      </c>
      <c r="M6780" t="n">
        <v>0</v>
      </c>
      <c r="N6780" t="n">
        <v>0</v>
      </c>
      <c r="O6780" t="n">
        <v>0</v>
      </c>
      <c r="P6780" t="n">
        <v>0</v>
      </c>
      <c r="Q6780" t="n">
        <v>0</v>
      </c>
      <c r="R6780" s="2" t="inlineStr"/>
    </row>
    <row r="6781" ht="15" customHeight="1">
      <c r="A6781" t="inlineStr">
        <is>
          <t>A 28098-2025</t>
        </is>
      </c>
      <c r="B6781" s="1" t="n">
        <v>45817</v>
      </c>
      <c r="C6781" s="1" t="n">
        <v>45884</v>
      </c>
      <c r="D6781" t="inlineStr">
        <is>
          <t>KALMAR LÄN</t>
        </is>
      </c>
      <c r="E6781" t="inlineStr">
        <is>
          <t>VÄSTERVIK</t>
        </is>
      </c>
      <c r="G6781" t="n">
        <v>0.9</v>
      </c>
      <c r="H6781" t="n">
        <v>0</v>
      </c>
      <c r="I6781" t="n">
        <v>0</v>
      </c>
      <c r="J6781" t="n">
        <v>0</v>
      </c>
      <c r="K6781" t="n">
        <v>0</v>
      </c>
      <c r="L6781" t="n">
        <v>0</v>
      </c>
      <c r="M6781" t="n">
        <v>0</v>
      </c>
      <c r="N6781" t="n">
        <v>0</v>
      </c>
      <c r="O6781" t="n">
        <v>0</v>
      </c>
      <c r="P6781" t="n">
        <v>0</v>
      </c>
      <c r="Q6781" t="n">
        <v>0</v>
      </c>
      <c r="R6781" s="2" t="inlineStr"/>
    </row>
    <row r="6782" ht="15" customHeight="1">
      <c r="A6782" t="inlineStr">
        <is>
          <t>A 27930-2025</t>
        </is>
      </c>
      <c r="B6782" s="1" t="n">
        <v>45817.4940625</v>
      </c>
      <c r="C6782" s="1" t="n">
        <v>45884</v>
      </c>
      <c r="D6782" t="inlineStr">
        <is>
          <t>KALMAR LÄN</t>
        </is>
      </c>
      <c r="E6782" t="inlineStr">
        <is>
          <t>NYBRO</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27974-2025</t>
        </is>
      </c>
      <c r="B6783" s="1" t="n">
        <v>45817.56891203704</v>
      </c>
      <c r="C6783" s="1" t="n">
        <v>45884</v>
      </c>
      <c r="D6783" t="inlineStr">
        <is>
          <t>KALMAR LÄN</t>
        </is>
      </c>
      <c r="E6783" t="inlineStr">
        <is>
          <t>VÄSTERVIK</t>
        </is>
      </c>
      <c r="F6783" t="inlineStr">
        <is>
          <t>Sveaskog</t>
        </is>
      </c>
      <c r="G6783" t="n">
        <v>5</v>
      </c>
      <c r="H6783" t="n">
        <v>0</v>
      </c>
      <c r="I6783" t="n">
        <v>0</v>
      </c>
      <c r="J6783" t="n">
        <v>0</v>
      </c>
      <c r="K6783" t="n">
        <v>0</v>
      </c>
      <c r="L6783" t="n">
        <v>0</v>
      </c>
      <c r="M6783" t="n">
        <v>0</v>
      </c>
      <c r="N6783" t="n">
        <v>0</v>
      </c>
      <c r="O6783" t="n">
        <v>0</v>
      </c>
      <c r="P6783" t="n">
        <v>0</v>
      </c>
      <c r="Q6783" t="n">
        <v>0</v>
      </c>
      <c r="R6783" s="2" t="inlineStr"/>
    </row>
    <row r="6784" ht="15" customHeight="1">
      <c r="A6784" t="inlineStr">
        <is>
          <t>A 27991-2025</t>
        </is>
      </c>
      <c r="B6784" s="1" t="n">
        <v>45817.58832175926</v>
      </c>
      <c r="C6784" s="1" t="n">
        <v>45884</v>
      </c>
      <c r="D6784" t="inlineStr">
        <is>
          <t>KALMAR LÄN</t>
        </is>
      </c>
      <c r="E6784" t="inlineStr">
        <is>
          <t>VÄSTERVIK</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27719-2025</t>
        </is>
      </c>
      <c r="B6785" s="1" t="n">
        <v>45814.3865625</v>
      </c>
      <c r="C6785" s="1" t="n">
        <v>45884</v>
      </c>
      <c r="D6785" t="inlineStr">
        <is>
          <t>KALMAR LÄN</t>
        </is>
      </c>
      <c r="E6785" t="inlineStr">
        <is>
          <t>VIMMERBY</t>
        </is>
      </c>
      <c r="G6785" t="n">
        <v>2</v>
      </c>
      <c r="H6785" t="n">
        <v>0</v>
      </c>
      <c r="I6785" t="n">
        <v>0</v>
      </c>
      <c r="J6785" t="n">
        <v>0</v>
      </c>
      <c r="K6785" t="n">
        <v>0</v>
      </c>
      <c r="L6785" t="n">
        <v>0</v>
      </c>
      <c r="M6785" t="n">
        <v>0</v>
      </c>
      <c r="N6785" t="n">
        <v>0</v>
      </c>
      <c r="O6785" t="n">
        <v>0</v>
      </c>
      <c r="P6785" t="n">
        <v>0</v>
      </c>
      <c r="Q6785" t="n">
        <v>0</v>
      </c>
      <c r="R6785" s="2" t="inlineStr"/>
    </row>
    <row r="6786" ht="15" customHeight="1">
      <c r="A6786" t="inlineStr">
        <is>
          <t>A 27978-2025</t>
        </is>
      </c>
      <c r="B6786" s="1" t="n">
        <v>45817.57153935185</v>
      </c>
      <c r="C6786" s="1" t="n">
        <v>45884</v>
      </c>
      <c r="D6786" t="inlineStr">
        <is>
          <t>KALMAR LÄN</t>
        </is>
      </c>
      <c r="E6786" t="inlineStr">
        <is>
          <t>VÄSTERVIK</t>
        </is>
      </c>
      <c r="F6786" t="inlineStr">
        <is>
          <t>Sveaskog</t>
        </is>
      </c>
      <c r="G6786" t="n">
        <v>10.8</v>
      </c>
      <c r="H6786" t="n">
        <v>0</v>
      </c>
      <c r="I6786" t="n">
        <v>0</v>
      </c>
      <c r="J6786" t="n">
        <v>0</v>
      </c>
      <c r="K6786" t="n">
        <v>0</v>
      </c>
      <c r="L6786" t="n">
        <v>0</v>
      </c>
      <c r="M6786" t="n">
        <v>0</v>
      </c>
      <c r="N6786" t="n">
        <v>0</v>
      </c>
      <c r="O6786" t="n">
        <v>0</v>
      </c>
      <c r="P6786" t="n">
        <v>0</v>
      </c>
      <c r="Q6786" t="n">
        <v>0</v>
      </c>
      <c r="R6786" s="2" t="inlineStr"/>
    </row>
    <row r="6787" ht="15" customHeight="1">
      <c r="A6787" t="inlineStr">
        <is>
          <t>A 27982-2025</t>
        </is>
      </c>
      <c r="B6787" s="1" t="n">
        <v>45817.57549768518</v>
      </c>
      <c r="C6787" s="1" t="n">
        <v>45884</v>
      </c>
      <c r="D6787" t="inlineStr">
        <is>
          <t>KALMAR LÄN</t>
        </is>
      </c>
      <c r="E6787" t="inlineStr">
        <is>
          <t>VÄSTERVIK</t>
        </is>
      </c>
      <c r="G6787" t="n">
        <v>2.5</v>
      </c>
      <c r="H6787" t="n">
        <v>0</v>
      </c>
      <c r="I6787" t="n">
        <v>0</v>
      </c>
      <c r="J6787" t="n">
        <v>0</v>
      </c>
      <c r="K6787" t="n">
        <v>0</v>
      </c>
      <c r="L6787" t="n">
        <v>0</v>
      </c>
      <c r="M6787" t="n">
        <v>0</v>
      </c>
      <c r="N6787" t="n">
        <v>0</v>
      </c>
      <c r="O6787" t="n">
        <v>0</v>
      </c>
      <c r="P6787" t="n">
        <v>0</v>
      </c>
      <c r="Q6787" t="n">
        <v>0</v>
      </c>
      <c r="R6787" s="2" t="inlineStr"/>
    </row>
    <row r="6788" ht="15" customHeight="1">
      <c r="A6788" t="inlineStr">
        <is>
          <t>A 17714-2025</t>
        </is>
      </c>
      <c r="B6788" s="1" t="n">
        <v>45758.44347222222</v>
      </c>
      <c r="C6788" s="1" t="n">
        <v>45884</v>
      </c>
      <c r="D6788" t="inlineStr">
        <is>
          <t>KALMAR LÄN</t>
        </is>
      </c>
      <c r="E6788" t="inlineStr">
        <is>
          <t>NYBRO</t>
        </is>
      </c>
      <c r="G6788" t="n">
        <v>1.9</v>
      </c>
      <c r="H6788" t="n">
        <v>0</v>
      </c>
      <c r="I6788" t="n">
        <v>0</v>
      </c>
      <c r="J6788" t="n">
        <v>0</v>
      </c>
      <c r="K6788" t="n">
        <v>0</v>
      </c>
      <c r="L6788" t="n">
        <v>0</v>
      </c>
      <c r="M6788" t="n">
        <v>0</v>
      </c>
      <c r="N6788" t="n">
        <v>0</v>
      </c>
      <c r="O6788" t="n">
        <v>0</v>
      </c>
      <c r="P6788" t="n">
        <v>0</v>
      </c>
      <c r="Q6788" t="n">
        <v>0</v>
      </c>
      <c r="R6788" s="2" t="inlineStr"/>
    </row>
    <row r="6789" ht="15" customHeight="1">
      <c r="A6789" t="inlineStr">
        <is>
          <t>A 57256-2023</t>
        </is>
      </c>
      <c r="B6789" s="1" t="n">
        <v>45245.5735300926</v>
      </c>
      <c r="C6789" s="1" t="n">
        <v>45884</v>
      </c>
      <c r="D6789" t="inlineStr">
        <is>
          <t>KALMAR LÄN</t>
        </is>
      </c>
      <c r="E6789" t="inlineStr">
        <is>
          <t>VIMMERBY</t>
        </is>
      </c>
      <c r="G6789" t="n">
        <v>0.5</v>
      </c>
      <c r="H6789" t="n">
        <v>0</v>
      </c>
      <c r="I6789" t="n">
        <v>0</v>
      </c>
      <c r="J6789" t="n">
        <v>0</v>
      </c>
      <c r="K6789" t="n">
        <v>0</v>
      </c>
      <c r="L6789" t="n">
        <v>0</v>
      </c>
      <c r="M6789" t="n">
        <v>0</v>
      </c>
      <c r="N6789" t="n">
        <v>0</v>
      </c>
      <c r="O6789" t="n">
        <v>0</v>
      </c>
      <c r="P6789" t="n">
        <v>0</v>
      </c>
      <c r="Q6789" t="n">
        <v>0</v>
      </c>
      <c r="R6789" s="2" t="inlineStr"/>
    </row>
    <row r="6790" ht="15" customHeight="1">
      <c r="A6790" t="inlineStr">
        <is>
          <t>A 35521-2025</t>
        </is>
      </c>
      <c r="B6790" s="1" t="n">
        <v>45856.4249537037</v>
      </c>
      <c r="C6790" s="1" t="n">
        <v>45884</v>
      </c>
      <c r="D6790" t="inlineStr">
        <is>
          <t>KALMAR LÄN</t>
        </is>
      </c>
      <c r="E6790" t="inlineStr">
        <is>
          <t>NYBRO</t>
        </is>
      </c>
      <c r="F6790" t="inlineStr">
        <is>
          <t>Sveaskog</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35533-2025</t>
        </is>
      </c>
      <c r="B6791" s="1" t="n">
        <v>45856.43655092592</v>
      </c>
      <c r="C6791" s="1" t="n">
        <v>45884</v>
      </c>
      <c r="D6791" t="inlineStr">
        <is>
          <t>KALMAR LÄN</t>
        </is>
      </c>
      <c r="E6791" t="inlineStr">
        <is>
          <t>KALMAR</t>
        </is>
      </c>
      <c r="F6791" t="inlineStr">
        <is>
          <t>Sveaskog</t>
        </is>
      </c>
      <c r="G6791" t="n">
        <v>1.7</v>
      </c>
      <c r="H6791" t="n">
        <v>0</v>
      </c>
      <c r="I6791" t="n">
        <v>0</v>
      </c>
      <c r="J6791" t="n">
        <v>0</v>
      </c>
      <c r="K6791" t="n">
        <v>0</v>
      </c>
      <c r="L6791" t="n">
        <v>0</v>
      </c>
      <c r="M6791" t="n">
        <v>0</v>
      </c>
      <c r="N6791" t="n">
        <v>0</v>
      </c>
      <c r="O6791" t="n">
        <v>0</v>
      </c>
      <c r="P6791" t="n">
        <v>0</v>
      </c>
      <c r="Q6791" t="n">
        <v>0</v>
      </c>
      <c r="R6791" s="2" t="inlineStr"/>
    </row>
    <row r="6792" ht="15" customHeight="1">
      <c r="A6792" t="inlineStr">
        <is>
          <t>A 35542-2025</t>
        </is>
      </c>
      <c r="B6792" s="1" t="n">
        <v>45856.47141203703</v>
      </c>
      <c r="C6792" s="1" t="n">
        <v>45884</v>
      </c>
      <c r="D6792" t="inlineStr">
        <is>
          <t>KALMAR LÄN</t>
        </is>
      </c>
      <c r="E6792" t="inlineStr">
        <is>
          <t>EMMABODA</t>
        </is>
      </c>
      <c r="G6792" t="n">
        <v>4.8</v>
      </c>
      <c r="H6792" t="n">
        <v>0</v>
      </c>
      <c r="I6792" t="n">
        <v>0</v>
      </c>
      <c r="J6792" t="n">
        <v>0</v>
      </c>
      <c r="K6792" t="n">
        <v>0</v>
      </c>
      <c r="L6792" t="n">
        <v>0</v>
      </c>
      <c r="M6792" t="n">
        <v>0</v>
      </c>
      <c r="N6792" t="n">
        <v>0</v>
      </c>
      <c r="O6792" t="n">
        <v>0</v>
      </c>
      <c r="P6792" t="n">
        <v>0</v>
      </c>
      <c r="Q6792" t="n">
        <v>0</v>
      </c>
      <c r="R6792" s="2" t="inlineStr"/>
    </row>
    <row r="6793" ht="15" customHeight="1">
      <c r="A6793" t="inlineStr">
        <is>
          <t>A 17482-2024</t>
        </is>
      </c>
      <c r="B6793" s="1" t="n">
        <v>45415.47848379629</v>
      </c>
      <c r="C6793" s="1" t="n">
        <v>45884</v>
      </c>
      <c r="D6793" t="inlineStr">
        <is>
          <t>KALMAR LÄN</t>
        </is>
      </c>
      <c r="E6793" t="inlineStr">
        <is>
          <t>VIMMERBY</t>
        </is>
      </c>
      <c r="G6793" t="n">
        <v>1.7</v>
      </c>
      <c r="H6793" t="n">
        <v>0</v>
      </c>
      <c r="I6793" t="n">
        <v>0</v>
      </c>
      <c r="J6793" t="n">
        <v>0</v>
      </c>
      <c r="K6793" t="n">
        <v>0</v>
      </c>
      <c r="L6793" t="n">
        <v>0</v>
      </c>
      <c r="M6793" t="n">
        <v>0</v>
      </c>
      <c r="N6793" t="n">
        <v>0</v>
      </c>
      <c r="O6793" t="n">
        <v>0</v>
      </c>
      <c r="P6793" t="n">
        <v>0</v>
      </c>
      <c r="Q6793" t="n">
        <v>0</v>
      </c>
      <c r="R6793" s="2" t="inlineStr"/>
    </row>
    <row r="6794" ht="15" customHeight="1">
      <c r="A6794" t="inlineStr">
        <is>
          <t>A 35597-2025</t>
        </is>
      </c>
      <c r="B6794" s="1" t="n">
        <v>45858.66019675926</v>
      </c>
      <c r="C6794" s="1" t="n">
        <v>45884</v>
      </c>
      <c r="D6794" t="inlineStr">
        <is>
          <t>KALMAR LÄN</t>
        </is>
      </c>
      <c r="E6794" t="inlineStr">
        <is>
          <t>VIMMERBY</t>
        </is>
      </c>
      <c r="G6794" t="n">
        <v>6.4</v>
      </c>
      <c r="H6794" t="n">
        <v>0</v>
      </c>
      <c r="I6794" t="n">
        <v>0</v>
      </c>
      <c r="J6794" t="n">
        <v>0</v>
      </c>
      <c r="K6794" t="n">
        <v>0</v>
      </c>
      <c r="L6794" t="n">
        <v>0</v>
      </c>
      <c r="M6794" t="n">
        <v>0</v>
      </c>
      <c r="N6794" t="n">
        <v>0</v>
      </c>
      <c r="O6794" t="n">
        <v>0</v>
      </c>
      <c r="P6794" t="n">
        <v>0</v>
      </c>
      <c r="Q6794" t="n">
        <v>0</v>
      </c>
      <c r="R6794" s="2" t="inlineStr"/>
    </row>
    <row r="6795" ht="15" customHeight="1">
      <c r="A6795" t="inlineStr">
        <is>
          <t>A 28086-2025</t>
        </is>
      </c>
      <c r="B6795" s="1" t="n">
        <v>45817.72613425926</v>
      </c>
      <c r="C6795" s="1" t="n">
        <v>45884</v>
      </c>
      <c r="D6795" t="inlineStr">
        <is>
          <t>KALMAR LÄN</t>
        </is>
      </c>
      <c r="E6795" t="inlineStr">
        <is>
          <t>HÖGSBY</t>
        </is>
      </c>
      <c r="G6795" t="n">
        <v>1.8</v>
      </c>
      <c r="H6795" t="n">
        <v>0</v>
      </c>
      <c r="I6795" t="n">
        <v>0</v>
      </c>
      <c r="J6795" t="n">
        <v>0</v>
      </c>
      <c r="K6795" t="n">
        <v>0</v>
      </c>
      <c r="L6795" t="n">
        <v>0</v>
      </c>
      <c r="M6795" t="n">
        <v>0</v>
      </c>
      <c r="N6795" t="n">
        <v>0</v>
      </c>
      <c r="O6795" t="n">
        <v>0</v>
      </c>
      <c r="P6795" t="n">
        <v>0</v>
      </c>
      <c r="Q6795" t="n">
        <v>0</v>
      </c>
      <c r="R6795" s="2" t="inlineStr"/>
    </row>
    <row r="6796" ht="15" customHeight="1">
      <c r="A6796" t="inlineStr">
        <is>
          <t>A 35635-2025</t>
        </is>
      </c>
      <c r="B6796" s="1" t="n">
        <v>45859.46207175926</v>
      </c>
      <c r="C6796" s="1" t="n">
        <v>45884</v>
      </c>
      <c r="D6796" t="inlineStr">
        <is>
          <t>KALMAR LÄN</t>
        </is>
      </c>
      <c r="E6796" t="inlineStr">
        <is>
          <t>NYBRO</t>
        </is>
      </c>
      <c r="G6796" t="n">
        <v>2.7</v>
      </c>
      <c r="H6796" t="n">
        <v>0</v>
      </c>
      <c r="I6796" t="n">
        <v>0</v>
      </c>
      <c r="J6796" t="n">
        <v>0</v>
      </c>
      <c r="K6796" t="n">
        <v>0</v>
      </c>
      <c r="L6796" t="n">
        <v>0</v>
      </c>
      <c r="M6796" t="n">
        <v>0</v>
      </c>
      <c r="N6796" t="n">
        <v>0</v>
      </c>
      <c r="O6796" t="n">
        <v>0</v>
      </c>
      <c r="P6796" t="n">
        <v>0</v>
      </c>
      <c r="Q6796" t="n">
        <v>0</v>
      </c>
      <c r="R6796" s="2" t="inlineStr"/>
    </row>
    <row r="6797" ht="15" customHeight="1">
      <c r="A6797" t="inlineStr">
        <is>
          <t>A 45412-2022</t>
        </is>
      </c>
      <c r="B6797" s="1" t="n">
        <v>44844</v>
      </c>
      <c r="C6797" s="1" t="n">
        <v>45884</v>
      </c>
      <c r="D6797" t="inlineStr">
        <is>
          <t>KALMAR LÄN</t>
        </is>
      </c>
      <c r="E6797" t="inlineStr">
        <is>
          <t>NYBRO</t>
        </is>
      </c>
      <c r="G6797" t="n">
        <v>8.300000000000001</v>
      </c>
      <c r="H6797" t="n">
        <v>0</v>
      </c>
      <c r="I6797" t="n">
        <v>0</v>
      </c>
      <c r="J6797" t="n">
        <v>0</v>
      </c>
      <c r="K6797" t="n">
        <v>0</v>
      </c>
      <c r="L6797" t="n">
        <v>0</v>
      </c>
      <c r="M6797" t="n">
        <v>0</v>
      </c>
      <c r="N6797" t="n">
        <v>0</v>
      </c>
      <c r="O6797" t="n">
        <v>0</v>
      </c>
      <c r="P6797" t="n">
        <v>0</v>
      </c>
      <c r="Q6797" t="n">
        <v>0</v>
      </c>
      <c r="R6797" s="2" t="inlineStr"/>
    </row>
    <row r="6798" ht="15" customHeight="1">
      <c r="A6798" t="inlineStr">
        <is>
          <t>A 31860-2021</t>
        </is>
      </c>
      <c r="B6798" s="1" t="n">
        <v>44370.42773148148</v>
      </c>
      <c r="C6798" s="1" t="n">
        <v>45884</v>
      </c>
      <c r="D6798" t="inlineStr">
        <is>
          <t>KALMAR LÄN</t>
        </is>
      </c>
      <c r="E6798" t="inlineStr">
        <is>
          <t>TORSÅS</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45556-2023</t>
        </is>
      </c>
      <c r="B6799" s="1" t="n">
        <v>45194.58465277778</v>
      </c>
      <c r="C6799" s="1" t="n">
        <v>45884</v>
      </c>
      <c r="D6799" t="inlineStr">
        <is>
          <t>KALMAR LÄN</t>
        </is>
      </c>
      <c r="E6799" t="inlineStr">
        <is>
          <t>TORSÅS</t>
        </is>
      </c>
      <c r="G6799" t="n">
        <v>1.2</v>
      </c>
      <c r="H6799" t="n">
        <v>0</v>
      </c>
      <c r="I6799" t="n">
        <v>0</v>
      </c>
      <c r="J6799" t="n">
        <v>0</v>
      </c>
      <c r="K6799" t="n">
        <v>0</v>
      </c>
      <c r="L6799" t="n">
        <v>0</v>
      </c>
      <c r="M6799" t="n">
        <v>0</v>
      </c>
      <c r="N6799" t="n">
        <v>0</v>
      </c>
      <c r="O6799" t="n">
        <v>0</v>
      </c>
      <c r="P6799" t="n">
        <v>0</v>
      </c>
      <c r="Q6799" t="n">
        <v>0</v>
      </c>
      <c r="R6799" s="2" t="inlineStr"/>
    </row>
    <row r="6800" ht="15" customHeight="1">
      <c r="A6800" t="inlineStr">
        <is>
          <t>A 28203-2025</t>
        </is>
      </c>
      <c r="B6800" s="1" t="n">
        <v>45818.44662037037</v>
      </c>
      <c r="C6800" s="1" t="n">
        <v>45884</v>
      </c>
      <c r="D6800" t="inlineStr">
        <is>
          <t>KALMAR LÄN</t>
        </is>
      </c>
      <c r="E6800" t="inlineStr">
        <is>
          <t>VÄSTERVIK</t>
        </is>
      </c>
      <c r="G6800" t="n">
        <v>1.7</v>
      </c>
      <c r="H6800" t="n">
        <v>0</v>
      </c>
      <c r="I6800" t="n">
        <v>0</v>
      </c>
      <c r="J6800" t="n">
        <v>0</v>
      </c>
      <c r="K6800" t="n">
        <v>0</v>
      </c>
      <c r="L6800" t="n">
        <v>0</v>
      </c>
      <c r="M6800" t="n">
        <v>0</v>
      </c>
      <c r="N6800" t="n">
        <v>0</v>
      </c>
      <c r="O6800" t="n">
        <v>0</v>
      </c>
      <c r="P6800" t="n">
        <v>0</v>
      </c>
      <c r="Q6800" t="n">
        <v>0</v>
      </c>
      <c r="R6800" s="2" t="inlineStr"/>
    </row>
    <row r="6801" ht="15" customHeight="1">
      <c r="A6801" t="inlineStr">
        <is>
          <t>A 28206-2025</t>
        </is>
      </c>
      <c r="B6801" s="1" t="n">
        <v>45818</v>
      </c>
      <c r="C6801" s="1" t="n">
        <v>45884</v>
      </c>
      <c r="D6801" t="inlineStr">
        <is>
          <t>KALMAR LÄN</t>
        </is>
      </c>
      <c r="E6801" t="inlineStr">
        <is>
          <t>EMMABODA</t>
        </is>
      </c>
      <c r="G6801" t="n">
        <v>16.7</v>
      </c>
      <c r="H6801" t="n">
        <v>0</v>
      </c>
      <c r="I6801" t="n">
        <v>0</v>
      </c>
      <c r="J6801" t="n">
        <v>0</v>
      </c>
      <c r="K6801" t="n">
        <v>0</v>
      </c>
      <c r="L6801" t="n">
        <v>0</v>
      </c>
      <c r="M6801" t="n">
        <v>0</v>
      </c>
      <c r="N6801" t="n">
        <v>0</v>
      </c>
      <c r="O6801" t="n">
        <v>0</v>
      </c>
      <c r="P6801" t="n">
        <v>0</v>
      </c>
      <c r="Q6801" t="n">
        <v>0</v>
      </c>
      <c r="R6801" s="2" t="inlineStr"/>
    </row>
    <row r="6802" ht="15" customHeight="1">
      <c r="A6802" t="inlineStr">
        <is>
          <t>A 28217-2025</t>
        </is>
      </c>
      <c r="B6802" s="1" t="n">
        <v>45818</v>
      </c>
      <c r="C6802" s="1" t="n">
        <v>45884</v>
      </c>
      <c r="D6802" t="inlineStr">
        <is>
          <t>KALMAR LÄN</t>
        </is>
      </c>
      <c r="E6802" t="inlineStr">
        <is>
          <t>EMMABODA</t>
        </is>
      </c>
      <c r="G6802" t="n">
        <v>7.1</v>
      </c>
      <c r="H6802" t="n">
        <v>0</v>
      </c>
      <c r="I6802" t="n">
        <v>0</v>
      </c>
      <c r="J6802" t="n">
        <v>0</v>
      </c>
      <c r="K6802" t="n">
        <v>0</v>
      </c>
      <c r="L6802" t="n">
        <v>0</v>
      </c>
      <c r="M6802" t="n">
        <v>0</v>
      </c>
      <c r="N6802" t="n">
        <v>0</v>
      </c>
      <c r="O6802" t="n">
        <v>0</v>
      </c>
      <c r="P6802" t="n">
        <v>0</v>
      </c>
      <c r="Q6802" t="n">
        <v>0</v>
      </c>
      <c r="R6802" s="2" t="inlineStr"/>
    </row>
    <row r="6803" ht="15" customHeight="1">
      <c r="A6803" t="inlineStr">
        <is>
          <t>A 45650-2023</t>
        </is>
      </c>
      <c r="B6803" s="1" t="n">
        <v>45194.70943287037</v>
      </c>
      <c r="C6803" s="1" t="n">
        <v>45884</v>
      </c>
      <c r="D6803" t="inlineStr">
        <is>
          <t>KALMAR LÄN</t>
        </is>
      </c>
      <c r="E6803" t="inlineStr">
        <is>
          <t>HÖGSBY</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52693-2023</t>
        </is>
      </c>
      <c r="B6804" s="1" t="n">
        <v>45225</v>
      </c>
      <c r="C6804" s="1" t="n">
        <v>45884</v>
      </c>
      <c r="D6804" t="inlineStr">
        <is>
          <t>KALMAR LÄN</t>
        </is>
      </c>
      <c r="E6804" t="inlineStr">
        <is>
          <t>HULTSFRED</t>
        </is>
      </c>
      <c r="G6804" t="n">
        <v>4.8</v>
      </c>
      <c r="H6804" t="n">
        <v>0</v>
      </c>
      <c r="I6804" t="n">
        <v>0</v>
      </c>
      <c r="J6804" t="n">
        <v>0</v>
      </c>
      <c r="K6804" t="n">
        <v>0</v>
      </c>
      <c r="L6804" t="n">
        <v>0</v>
      </c>
      <c r="M6804" t="n">
        <v>0</v>
      </c>
      <c r="N6804" t="n">
        <v>0</v>
      </c>
      <c r="O6804" t="n">
        <v>0</v>
      </c>
      <c r="P6804" t="n">
        <v>0</v>
      </c>
      <c r="Q6804" t="n">
        <v>0</v>
      </c>
      <c r="R6804" s="2" t="inlineStr"/>
    </row>
    <row r="6805" ht="15" customHeight="1">
      <c r="A6805" t="inlineStr">
        <is>
          <t>A 35769-2025</t>
        </is>
      </c>
      <c r="B6805" s="1" t="n">
        <v>45860.63878472222</v>
      </c>
      <c r="C6805" s="1" t="n">
        <v>45884</v>
      </c>
      <c r="D6805" t="inlineStr">
        <is>
          <t>KALMAR LÄN</t>
        </is>
      </c>
      <c r="E6805" t="inlineStr">
        <is>
          <t>TORSÅS</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49286-2022</t>
        </is>
      </c>
      <c r="B6806" s="1" t="n">
        <v>44861.45876157407</v>
      </c>
      <c r="C6806" s="1" t="n">
        <v>45884</v>
      </c>
      <c r="D6806" t="inlineStr">
        <is>
          <t>KALMAR LÄN</t>
        </is>
      </c>
      <c r="E6806" t="inlineStr">
        <is>
          <t>VÄSTERVIK</t>
        </is>
      </c>
      <c r="G6806" t="n">
        <v>2.6</v>
      </c>
      <c r="H6806" t="n">
        <v>0</v>
      </c>
      <c r="I6806" t="n">
        <v>0</v>
      </c>
      <c r="J6806" t="n">
        <v>0</v>
      </c>
      <c r="K6806" t="n">
        <v>0</v>
      </c>
      <c r="L6806" t="n">
        <v>0</v>
      </c>
      <c r="M6806" t="n">
        <v>0</v>
      </c>
      <c r="N6806" t="n">
        <v>0</v>
      </c>
      <c r="O6806" t="n">
        <v>0</v>
      </c>
      <c r="P6806" t="n">
        <v>0</v>
      </c>
      <c r="Q6806" t="n">
        <v>0</v>
      </c>
      <c r="R6806" s="2" t="inlineStr"/>
    </row>
    <row r="6807" ht="15" customHeight="1">
      <c r="A6807" t="inlineStr">
        <is>
          <t>A 35799-2025</t>
        </is>
      </c>
      <c r="B6807" s="1" t="n">
        <v>45861.37252314815</v>
      </c>
      <c r="C6807" s="1" t="n">
        <v>45884</v>
      </c>
      <c r="D6807" t="inlineStr">
        <is>
          <t>KALMAR LÄN</t>
        </is>
      </c>
      <c r="E6807" t="inlineStr">
        <is>
          <t>KALMAR</t>
        </is>
      </c>
      <c r="G6807" t="n">
        <v>2</v>
      </c>
      <c r="H6807" t="n">
        <v>0</v>
      </c>
      <c r="I6807" t="n">
        <v>0</v>
      </c>
      <c r="J6807" t="n">
        <v>0</v>
      </c>
      <c r="K6807" t="n">
        <v>0</v>
      </c>
      <c r="L6807" t="n">
        <v>0</v>
      </c>
      <c r="M6807" t="n">
        <v>0</v>
      </c>
      <c r="N6807" t="n">
        <v>0</v>
      </c>
      <c r="O6807" t="n">
        <v>0</v>
      </c>
      <c r="P6807" t="n">
        <v>0</v>
      </c>
      <c r="Q6807" t="n">
        <v>0</v>
      </c>
      <c r="R6807" s="2" t="inlineStr"/>
    </row>
    <row r="6808" ht="15" customHeight="1">
      <c r="A6808" t="inlineStr">
        <is>
          <t>A 57366-2023</t>
        </is>
      </c>
      <c r="B6808" s="1" t="n">
        <v>45245</v>
      </c>
      <c r="C6808" s="1" t="n">
        <v>45884</v>
      </c>
      <c r="D6808" t="inlineStr">
        <is>
          <t>KALMAR LÄN</t>
        </is>
      </c>
      <c r="E6808" t="inlineStr">
        <is>
          <t>VÄSTERVIK</t>
        </is>
      </c>
      <c r="F6808" t="inlineStr">
        <is>
          <t>Sveaskog</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71843-2021</t>
        </is>
      </c>
      <c r="B6809" s="1" t="n">
        <v>44543.6294212963</v>
      </c>
      <c r="C6809" s="1" t="n">
        <v>45884</v>
      </c>
      <c r="D6809" t="inlineStr">
        <is>
          <t>KALMAR LÄN</t>
        </is>
      </c>
      <c r="E6809" t="inlineStr">
        <is>
          <t>KALMAR</t>
        </is>
      </c>
      <c r="G6809" t="n">
        <v>4.7</v>
      </c>
      <c r="H6809" t="n">
        <v>0</v>
      </c>
      <c r="I6809" t="n">
        <v>0</v>
      </c>
      <c r="J6809" t="n">
        <v>0</v>
      </c>
      <c r="K6809" t="n">
        <v>0</v>
      </c>
      <c r="L6809" t="n">
        <v>0</v>
      </c>
      <c r="M6809" t="n">
        <v>0</v>
      </c>
      <c r="N6809" t="n">
        <v>0</v>
      </c>
      <c r="O6809" t="n">
        <v>0</v>
      </c>
      <c r="P6809" t="n">
        <v>0</v>
      </c>
      <c r="Q6809" t="n">
        <v>0</v>
      </c>
      <c r="R6809" s="2" t="inlineStr"/>
    </row>
    <row r="6810" ht="15" customHeight="1">
      <c r="A6810" t="inlineStr">
        <is>
          <t>A 28286-2025</t>
        </is>
      </c>
      <c r="B6810" s="1" t="n">
        <v>45818.58993055556</v>
      </c>
      <c r="C6810" s="1" t="n">
        <v>45884</v>
      </c>
      <c r="D6810" t="inlineStr">
        <is>
          <t>KALMAR LÄN</t>
        </is>
      </c>
      <c r="E6810" t="inlineStr">
        <is>
          <t>VIMMERBY</t>
        </is>
      </c>
      <c r="F6810" t="inlineStr">
        <is>
          <t>Sveaskog</t>
        </is>
      </c>
      <c r="G6810" t="n">
        <v>8</v>
      </c>
      <c r="H6810" t="n">
        <v>0</v>
      </c>
      <c r="I6810" t="n">
        <v>0</v>
      </c>
      <c r="J6810" t="n">
        <v>0</v>
      </c>
      <c r="K6810" t="n">
        <v>0</v>
      </c>
      <c r="L6810" t="n">
        <v>0</v>
      </c>
      <c r="M6810" t="n">
        <v>0</v>
      </c>
      <c r="N6810" t="n">
        <v>0</v>
      </c>
      <c r="O6810" t="n">
        <v>0</v>
      </c>
      <c r="P6810" t="n">
        <v>0</v>
      </c>
      <c r="Q6810" t="n">
        <v>0</v>
      </c>
      <c r="R6810" s="2" t="inlineStr"/>
    </row>
    <row r="6811" ht="15" customHeight="1">
      <c r="A6811" t="inlineStr">
        <is>
          <t>A 28254-2025</t>
        </is>
      </c>
      <c r="B6811" s="1" t="n">
        <v>45818.54527777778</v>
      </c>
      <c r="C6811" s="1" t="n">
        <v>45884</v>
      </c>
      <c r="D6811" t="inlineStr">
        <is>
          <t>KALMAR LÄN</t>
        </is>
      </c>
      <c r="E6811" t="inlineStr">
        <is>
          <t>OSKARSHAMN</t>
        </is>
      </c>
      <c r="G6811" t="n">
        <v>3.6</v>
      </c>
      <c r="H6811" t="n">
        <v>0</v>
      </c>
      <c r="I6811" t="n">
        <v>0</v>
      </c>
      <c r="J6811" t="n">
        <v>0</v>
      </c>
      <c r="K6811" t="n">
        <v>0</v>
      </c>
      <c r="L6811" t="n">
        <v>0</v>
      </c>
      <c r="M6811" t="n">
        <v>0</v>
      </c>
      <c r="N6811" t="n">
        <v>0</v>
      </c>
      <c r="O6811" t="n">
        <v>0</v>
      </c>
      <c r="P6811" t="n">
        <v>0</v>
      </c>
      <c r="Q6811" t="n">
        <v>0</v>
      </c>
      <c r="R6811" s="2" t="inlineStr"/>
    </row>
    <row r="6812" ht="15" customHeight="1">
      <c r="A6812" t="inlineStr">
        <is>
          <t>A 28340-2025</t>
        </is>
      </c>
      <c r="B6812" s="1" t="n">
        <v>45818</v>
      </c>
      <c r="C6812" s="1" t="n">
        <v>45884</v>
      </c>
      <c r="D6812" t="inlineStr">
        <is>
          <t>KALMAR LÄN</t>
        </is>
      </c>
      <c r="E6812" t="inlineStr">
        <is>
          <t>OSKARSHAMN</t>
        </is>
      </c>
      <c r="G6812" t="n">
        <v>6.5</v>
      </c>
      <c r="H6812" t="n">
        <v>0</v>
      </c>
      <c r="I6812" t="n">
        <v>0</v>
      </c>
      <c r="J6812" t="n">
        <v>0</v>
      </c>
      <c r="K6812" t="n">
        <v>0</v>
      </c>
      <c r="L6812" t="n">
        <v>0</v>
      </c>
      <c r="M6812" t="n">
        <v>0</v>
      </c>
      <c r="N6812" t="n">
        <v>0</v>
      </c>
      <c r="O6812" t="n">
        <v>0</v>
      </c>
      <c r="P6812" t="n">
        <v>0</v>
      </c>
      <c r="Q6812" t="n">
        <v>0</v>
      </c>
      <c r="R6812" s="2" t="inlineStr"/>
    </row>
    <row r="6813" ht="15" customHeight="1">
      <c r="A6813" t="inlineStr">
        <is>
          <t>A 28349-2025</t>
        </is>
      </c>
      <c r="B6813" s="1" t="n">
        <v>45818</v>
      </c>
      <c r="C6813" s="1" t="n">
        <v>45884</v>
      </c>
      <c r="D6813" t="inlineStr">
        <is>
          <t>KALMAR LÄN</t>
        </is>
      </c>
      <c r="E6813" t="inlineStr">
        <is>
          <t>HÖGSBY</t>
        </is>
      </c>
      <c r="G6813" t="n">
        <v>0.8</v>
      </c>
      <c r="H6813" t="n">
        <v>0</v>
      </c>
      <c r="I6813" t="n">
        <v>0</v>
      </c>
      <c r="J6813" t="n">
        <v>0</v>
      </c>
      <c r="K6813" t="n">
        <v>0</v>
      </c>
      <c r="L6813" t="n">
        <v>0</v>
      </c>
      <c r="M6813" t="n">
        <v>0</v>
      </c>
      <c r="N6813" t="n">
        <v>0</v>
      </c>
      <c r="O6813" t="n">
        <v>0</v>
      </c>
      <c r="P6813" t="n">
        <v>0</v>
      </c>
      <c r="Q6813" t="n">
        <v>0</v>
      </c>
      <c r="R6813" s="2" t="inlineStr"/>
    </row>
    <row r="6814" ht="15" customHeight="1">
      <c r="A6814" t="inlineStr">
        <is>
          <t>A 28282-2025</t>
        </is>
      </c>
      <c r="B6814" s="1" t="n">
        <v>45818.58769675926</v>
      </c>
      <c r="C6814" s="1" t="n">
        <v>45884</v>
      </c>
      <c r="D6814" t="inlineStr">
        <is>
          <t>KALMAR LÄN</t>
        </is>
      </c>
      <c r="E6814" t="inlineStr">
        <is>
          <t>VIMMERBY</t>
        </is>
      </c>
      <c r="F6814" t="inlineStr">
        <is>
          <t>Sveaskog</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28294-2025</t>
        </is>
      </c>
      <c r="B6815" s="1" t="n">
        <v>45818.595625</v>
      </c>
      <c r="C6815" s="1" t="n">
        <v>45884</v>
      </c>
      <c r="D6815" t="inlineStr">
        <is>
          <t>KALMAR LÄN</t>
        </is>
      </c>
      <c r="E6815" t="inlineStr">
        <is>
          <t>VIMMERBY</t>
        </is>
      </c>
      <c r="F6815" t="inlineStr">
        <is>
          <t>Sveaskog</t>
        </is>
      </c>
      <c r="G6815" t="n">
        <v>1.1</v>
      </c>
      <c r="H6815" t="n">
        <v>0</v>
      </c>
      <c r="I6815" t="n">
        <v>0</v>
      </c>
      <c r="J6815" t="n">
        <v>0</v>
      </c>
      <c r="K6815" t="n">
        <v>0</v>
      </c>
      <c r="L6815" t="n">
        <v>0</v>
      </c>
      <c r="M6815" t="n">
        <v>0</v>
      </c>
      <c r="N6815" t="n">
        <v>0</v>
      </c>
      <c r="O6815" t="n">
        <v>0</v>
      </c>
      <c r="P6815" t="n">
        <v>0</v>
      </c>
      <c r="Q6815" t="n">
        <v>0</v>
      </c>
      <c r="R6815" s="2" t="inlineStr"/>
    </row>
    <row r="6816" ht="15" customHeight="1">
      <c r="A6816" t="inlineStr">
        <is>
          <t>A 35705-2025</t>
        </is>
      </c>
      <c r="B6816" s="1" t="n">
        <v>45860.36769675926</v>
      </c>
      <c r="C6816" s="1" t="n">
        <v>45884</v>
      </c>
      <c r="D6816" t="inlineStr">
        <is>
          <t>KALMAR LÄN</t>
        </is>
      </c>
      <c r="E6816" t="inlineStr">
        <is>
          <t>VÄSTERVIK</t>
        </is>
      </c>
      <c r="G6816" t="n">
        <v>2.5</v>
      </c>
      <c r="H6816" t="n">
        <v>0</v>
      </c>
      <c r="I6816" t="n">
        <v>0</v>
      </c>
      <c r="J6816" t="n">
        <v>0</v>
      </c>
      <c r="K6816" t="n">
        <v>0</v>
      </c>
      <c r="L6816" t="n">
        <v>0</v>
      </c>
      <c r="M6816" t="n">
        <v>0</v>
      </c>
      <c r="N6816" t="n">
        <v>0</v>
      </c>
      <c r="O6816" t="n">
        <v>0</v>
      </c>
      <c r="P6816" t="n">
        <v>0</v>
      </c>
      <c r="Q6816" t="n">
        <v>0</v>
      </c>
      <c r="R6816" s="2" t="inlineStr"/>
    </row>
    <row r="6817" ht="15" customHeight="1">
      <c r="A6817" t="inlineStr">
        <is>
          <t>A 35791-2025</t>
        </is>
      </c>
      <c r="B6817" s="1" t="n">
        <v>45861.33920138889</v>
      </c>
      <c r="C6817" s="1" t="n">
        <v>45884</v>
      </c>
      <c r="D6817" t="inlineStr">
        <is>
          <t>KALMAR LÄN</t>
        </is>
      </c>
      <c r="E6817" t="inlineStr">
        <is>
          <t>EMMABODA</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28290-2025</t>
        </is>
      </c>
      <c r="B6818" s="1" t="n">
        <v>45818.59261574074</v>
      </c>
      <c r="C6818" s="1" t="n">
        <v>45884</v>
      </c>
      <c r="D6818" t="inlineStr">
        <is>
          <t>KALMAR LÄN</t>
        </is>
      </c>
      <c r="E6818" t="inlineStr">
        <is>
          <t>VIMMERBY</t>
        </is>
      </c>
      <c r="F6818" t="inlineStr">
        <is>
          <t>Sveaskog</t>
        </is>
      </c>
      <c r="G6818" t="n">
        <v>1.6</v>
      </c>
      <c r="H6818" t="n">
        <v>0</v>
      </c>
      <c r="I6818" t="n">
        <v>0</v>
      </c>
      <c r="J6818" t="n">
        <v>0</v>
      </c>
      <c r="K6818" t="n">
        <v>0</v>
      </c>
      <c r="L6818" t="n">
        <v>0</v>
      </c>
      <c r="M6818" t="n">
        <v>0</v>
      </c>
      <c r="N6818" t="n">
        <v>0</v>
      </c>
      <c r="O6818" t="n">
        <v>0</v>
      </c>
      <c r="P6818" t="n">
        <v>0</v>
      </c>
      <c r="Q6818" t="n">
        <v>0</v>
      </c>
      <c r="R6818" s="2" t="inlineStr"/>
    </row>
    <row r="6819" ht="15" customHeight="1">
      <c r="A6819" t="inlineStr">
        <is>
          <t>A 15407-2025</t>
        </is>
      </c>
      <c r="B6819" s="1" t="n">
        <v>45747.44913194444</v>
      </c>
      <c r="C6819" s="1" t="n">
        <v>45884</v>
      </c>
      <c r="D6819" t="inlineStr">
        <is>
          <t>KALMAR LÄN</t>
        </is>
      </c>
      <c r="E6819" t="inlineStr">
        <is>
          <t>OSKARSHAMN</t>
        </is>
      </c>
      <c r="G6819" t="n">
        <v>9.300000000000001</v>
      </c>
      <c r="H6819" t="n">
        <v>0</v>
      </c>
      <c r="I6819" t="n">
        <v>0</v>
      </c>
      <c r="J6819" t="n">
        <v>0</v>
      </c>
      <c r="K6819" t="n">
        <v>0</v>
      </c>
      <c r="L6819" t="n">
        <v>0</v>
      </c>
      <c r="M6819" t="n">
        <v>0</v>
      </c>
      <c r="N6819" t="n">
        <v>0</v>
      </c>
      <c r="O6819" t="n">
        <v>0</v>
      </c>
      <c r="P6819" t="n">
        <v>0</v>
      </c>
      <c r="Q6819" t="n">
        <v>0</v>
      </c>
      <c r="R6819" s="2" t="inlineStr"/>
    </row>
    <row r="6820" ht="15" customHeight="1">
      <c r="A6820" t="inlineStr">
        <is>
          <t>A 24111-2023</t>
        </is>
      </c>
      <c r="B6820" s="1" t="n">
        <v>45079.47167824074</v>
      </c>
      <c r="C6820" s="1" t="n">
        <v>45884</v>
      </c>
      <c r="D6820" t="inlineStr">
        <is>
          <t>KALMAR LÄN</t>
        </is>
      </c>
      <c r="E6820" t="inlineStr">
        <is>
          <t>NYBRO</t>
        </is>
      </c>
      <c r="G6820" t="n">
        <v>1.5</v>
      </c>
      <c r="H6820" t="n">
        <v>0</v>
      </c>
      <c r="I6820" t="n">
        <v>0</v>
      </c>
      <c r="J6820" t="n">
        <v>0</v>
      </c>
      <c r="K6820" t="n">
        <v>0</v>
      </c>
      <c r="L6820" t="n">
        <v>0</v>
      </c>
      <c r="M6820" t="n">
        <v>0</v>
      </c>
      <c r="N6820" t="n">
        <v>0</v>
      </c>
      <c r="O6820" t="n">
        <v>0</v>
      </c>
      <c r="P6820" t="n">
        <v>0</v>
      </c>
      <c r="Q6820" t="n">
        <v>0</v>
      </c>
      <c r="R6820" s="2" t="inlineStr"/>
    </row>
    <row r="6821" ht="15" customHeight="1">
      <c r="A6821" t="inlineStr">
        <is>
          <t>A 28212-2025</t>
        </is>
      </c>
      <c r="B6821" s="1" t="n">
        <v>45818</v>
      </c>
      <c r="C6821" s="1" t="n">
        <v>45884</v>
      </c>
      <c r="D6821" t="inlineStr">
        <is>
          <t>KALMAR LÄN</t>
        </is>
      </c>
      <c r="E6821" t="inlineStr">
        <is>
          <t>EMMABODA</t>
        </is>
      </c>
      <c r="G6821" t="n">
        <v>3.7</v>
      </c>
      <c r="H6821" t="n">
        <v>0</v>
      </c>
      <c r="I6821" t="n">
        <v>0</v>
      </c>
      <c r="J6821" t="n">
        <v>0</v>
      </c>
      <c r="K6821" t="n">
        <v>0</v>
      </c>
      <c r="L6821" t="n">
        <v>0</v>
      </c>
      <c r="M6821" t="n">
        <v>0</v>
      </c>
      <c r="N6821" t="n">
        <v>0</v>
      </c>
      <c r="O6821" t="n">
        <v>0</v>
      </c>
      <c r="P6821" t="n">
        <v>0</v>
      </c>
      <c r="Q6821" t="n">
        <v>0</v>
      </c>
      <c r="R6821" s="2" t="inlineStr"/>
    </row>
    <row r="6822" ht="15" customHeight="1">
      <c r="A6822" t="inlineStr">
        <is>
          <t>A 28575-2025</t>
        </is>
      </c>
      <c r="B6822" s="1" t="n">
        <v>45819.56673611111</v>
      </c>
      <c r="C6822" s="1" t="n">
        <v>45884</v>
      </c>
      <c r="D6822" t="inlineStr">
        <is>
          <t>KALMAR LÄN</t>
        </is>
      </c>
      <c r="E6822" t="inlineStr">
        <is>
          <t>HULTSFRED</t>
        </is>
      </c>
      <c r="G6822" t="n">
        <v>1.6</v>
      </c>
      <c r="H6822" t="n">
        <v>0</v>
      </c>
      <c r="I6822" t="n">
        <v>0</v>
      </c>
      <c r="J6822" t="n">
        <v>0</v>
      </c>
      <c r="K6822" t="n">
        <v>0</v>
      </c>
      <c r="L6822" t="n">
        <v>0</v>
      </c>
      <c r="M6822" t="n">
        <v>0</v>
      </c>
      <c r="N6822" t="n">
        <v>0</v>
      </c>
      <c r="O6822" t="n">
        <v>0</v>
      </c>
      <c r="P6822" t="n">
        <v>0</v>
      </c>
      <c r="Q6822" t="n">
        <v>0</v>
      </c>
      <c r="R6822" s="2" t="inlineStr"/>
    </row>
    <row r="6823" ht="15" customHeight="1">
      <c r="A6823" t="inlineStr">
        <is>
          <t>A 8005-2023</t>
        </is>
      </c>
      <c r="B6823" s="1" t="n">
        <v>44973.88452546296</v>
      </c>
      <c r="C6823" s="1" t="n">
        <v>45884</v>
      </c>
      <c r="D6823" t="inlineStr">
        <is>
          <t>KALMAR LÄN</t>
        </is>
      </c>
      <c r="E6823" t="inlineStr">
        <is>
          <t>VÄSTERVIK</t>
        </is>
      </c>
      <c r="G6823" t="n">
        <v>2</v>
      </c>
      <c r="H6823" t="n">
        <v>0</v>
      </c>
      <c r="I6823" t="n">
        <v>0</v>
      </c>
      <c r="J6823" t="n">
        <v>0</v>
      </c>
      <c r="K6823" t="n">
        <v>0</v>
      </c>
      <c r="L6823" t="n">
        <v>0</v>
      </c>
      <c r="M6823" t="n">
        <v>0</v>
      </c>
      <c r="N6823" t="n">
        <v>0</v>
      </c>
      <c r="O6823" t="n">
        <v>0</v>
      </c>
      <c r="P6823" t="n">
        <v>0</v>
      </c>
      <c r="Q6823" t="n">
        <v>0</v>
      </c>
      <c r="R6823" s="2" t="inlineStr"/>
    </row>
    <row r="6824" ht="15" customHeight="1">
      <c r="A6824" t="inlineStr">
        <is>
          <t>A 2958-2024</t>
        </is>
      </c>
      <c r="B6824" s="1" t="n">
        <v>45315</v>
      </c>
      <c r="C6824" s="1" t="n">
        <v>45884</v>
      </c>
      <c r="D6824" t="inlineStr">
        <is>
          <t>KALMAR LÄN</t>
        </is>
      </c>
      <c r="E6824" t="inlineStr">
        <is>
          <t>NYBRO</t>
        </is>
      </c>
      <c r="G6824" t="n">
        <v>2.5</v>
      </c>
      <c r="H6824" t="n">
        <v>0</v>
      </c>
      <c r="I6824" t="n">
        <v>0</v>
      </c>
      <c r="J6824" t="n">
        <v>0</v>
      </c>
      <c r="K6824" t="n">
        <v>0</v>
      </c>
      <c r="L6824" t="n">
        <v>0</v>
      </c>
      <c r="M6824" t="n">
        <v>0</v>
      </c>
      <c r="N6824" t="n">
        <v>0</v>
      </c>
      <c r="O6824" t="n">
        <v>0</v>
      </c>
      <c r="P6824" t="n">
        <v>0</v>
      </c>
      <c r="Q6824" t="n">
        <v>0</v>
      </c>
      <c r="R6824" s="2" t="inlineStr"/>
    </row>
    <row r="6825" ht="15" customHeight="1">
      <c r="A6825" t="inlineStr">
        <is>
          <t>A 6544-2024</t>
        </is>
      </c>
      <c r="B6825" s="1" t="n">
        <v>45341.43773148148</v>
      </c>
      <c r="C6825" s="1" t="n">
        <v>45884</v>
      </c>
      <c r="D6825" t="inlineStr">
        <is>
          <t>KALMAR LÄN</t>
        </is>
      </c>
      <c r="E6825" t="inlineStr">
        <is>
          <t>NYBRO</t>
        </is>
      </c>
      <c r="G6825" t="n">
        <v>0.8</v>
      </c>
      <c r="H6825" t="n">
        <v>0</v>
      </c>
      <c r="I6825" t="n">
        <v>0</v>
      </c>
      <c r="J6825" t="n">
        <v>0</v>
      </c>
      <c r="K6825" t="n">
        <v>0</v>
      </c>
      <c r="L6825" t="n">
        <v>0</v>
      </c>
      <c r="M6825" t="n">
        <v>0</v>
      </c>
      <c r="N6825" t="n">
        <v>0</v>
      </c>
      <c r="O6825" t="n">
        <v>0</v>
      </c>
      <c r="P6825" t="n">
        <v>0</v>
      </c>
      <c r="Q6825" t="n">
        <v>0</v>
      </c>
      <c r="R6825" s="2" t="inlineStr"/>
    </row>
    <row r="6826" ht="15" customHeight="1">
      <c r="A6826" t="inlineStr">
        <is>
          <t>A 6549-2024</t>
        </is>
      </c>
      <c r="B6826" s="1" t="n">
        <v>45341</v>
      </c>
      <c r="C6826" s="1" t="n">
        <v>45884</v>
      </c>
      <c r="D6826" t="inlineStr">
        <is>
          <t>KALMAR LÄN</t>
        </is>
      </c>
      <c r="E6826" t="inlineStr">
        <is>
          <t>TORSÅS</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28362-2025</t>
        </is>
      </c>
      <c r="B6827" s="1" t="n">
        <v>45818</v>
      </c>
      <c r="C6827" s="1" t="n">
        <v>45884</v>
      </c>
      <c r="D6827" t="inlineStr">
        <is>
          <t>KALMAR LÄN</t>
        </is>
      </c>
      <c r="E6827" t="inlineStr">
        <is>
          <t>NYBRO</t>
        </is>
      </c>
      <c r="G6827" t="n">
        <v>1.8</v>
      </c>
      <c r="H6827" t="n">
        <v>0</v>
      </c>
      <c r="I6827" t="n">
        <v>0</v>
      </c>
      <c r="J6827" t="n">
        <v>0</v>
      </c>
      <c r="K6827" t="n">
        <v>0</v>
      </c>
      <c r="L6827" t="n">
        <v>0</v>
      </c>
      <c r="M6827" t="n">
        <v>0</v>
      </c>
      <c r="N6827" t="n">
        <v>0</v>
      </c>
      <c r="O6827" t="n">
        <v>0</v>
      </c>
      <c r="P6827" t="n">
        <v>0</v>
      </c>
      <c r="Q6827" t="n">
        <v>0</v>
      </c>
      <c r="R6827" s="2" t="inlineStr"/>
    </row>
    <row r="6828" ht="15" customHeight="1">
      <c r="A6828" t="inlineStr">
        <is>
          <t>A 32661-2024</t>
        </is>
      </c>
      <c r="B6828" s="1" t="n">
        <v>45514.3787037037</v>
      </c>
      <c r="C6828" s="1" t="n">
        <v>45884</v>
      </c>
      <c r="D6828" t="inlineStr">
        <is>
          <t>KALMAR LÄN</t>
        </is>
      </c>
      <c r="E6828" t="inlineStr">
        <is>
          <t>EMMABODA</t>
        </is>
      </c>
      <c r="G6828" t="n">
        <v>2.5</v>
      </c>
      <c r="H6828" t="n">
        <v>0</v>
      </c>
      <c r="I6828" t="n">
        <v>0</v>
      </c>
      <c r="J6828" t="n">
        <v>0</v>
      </c>
      <c r="K6828" t="n">
        <v>0</v>
      </c>
      <c r="L6828" t="n">
        <v>0</v>
      </c>
      <c r="M6828" t="n">
        <v>0</v>
      </c>
      <c r="N6828" t="n">
        <v>0</v>
      </c>
      <c r="O6828" t="n">
        <v>0</v>
      </c>
      <c r="P6828" t="n">
        <v>0</v>
      </c>
      <c r="Q6828" t="n">
        <v>0</v>
      </c>
      <c r="R6828" s="2" t="inlineStr"/>
    </row>
    <row r="6829" ht="15" customHeight="1">
      <c r="A6829" t="inlineStr">
        <is>
          <t>A 32665-2024</t>
        </is>
      </c>
      <c r="B6829" s="1" t="n">
        <v>45514.3809375</v>
      </c>
      <c r="C6829" s="1" t="n">
        <v>45884</v>
      </c>
      <c r="D6829" t="inlineStr">
        <is>
          <t>KALMAR LÄN</t>
        </is>
      </c>
      <c r="E6829" t="inlineStr">
        <is>
          <t>EMMABODA</t>
        </is>
      </c>
      <c r="G6829" t="n">
        <v>0.8</v>
      </c>
      <c r="H6829" t="n">
        <v>0</v>
      </c>
      <c r="I6829" t="n">
        <v>0</v>
      </c>
      <c r="J6829" t="n">
        <v>0</v>
      </c>
      <c r="K6829" t="n">
        <v>0</v>
      </c>
      <c r="L6829" t="n">
        <v>0</v>
      </c>
      <c r="M6829" t="n">
        <v>0</v>
      </c>
      <c r="N6829" t="n">
        <v>0</v>
      </c>
      <c r="O6829" t="n">
        <v>0</v>
      </c>
      <c r="P6829" t="n">
        <v>0</v>
      </c>
      <c r="Q6829" t="n">
        <v>0</v>
      </c>
      <c r="R6829" s="2" t="inlineStr"/>
    </row>
    <row r="6830" ht="15" customHeight="1">
      <c r="A6830" t="inlineStr">
        <is>
          <t>A 32666-2024</t>
        </is>
      </c>
      <c r="B6830" s="1" t="n">
        <v>45514.38158564815</v>
      </c>
      <c r="C6830" s="1" t="n">
        <v>45884</v>
      </c>
      <c r="D6830" t="inlineStr">
        <is>
          <t>KALMAR LÄN</t>
        </is>
      </c>
      <c r="E6830" t="inlineStr">
        <is>
          <t>EMMABODA</t>
        </is>
      </c>
      <c r="G6830" t="n">
        <v>1.5</v>
      </c>
      <c r="H6830" t="n">
        <v>0</v>
      </c>
      <c r="I6830" t="n">
        <v>0</v>
      </c>
      <c r="J6830" t="n">
        <v>0</v>
      </c>
      <c r="K6830" t="n">
        <v>0</v>
      </c>
      <c r="L6830" t="n">
        <v>0</v>
      </c>
      <c r="M6830" t="n">
        <v>0</v>
      </c>
      <c r="N6830" t="n">
        <v>0</v>
      </c>
      <c r="O6830" t="n">
        <v>0</v>
      </c>
      <c r="P6830" t="n">
        <v>0</v>
      </c>
      <c r="Q6830" t="n">
        <v>0</v>
      </c>
      <c r="R6830" s="2" t="inlineStr"/>
    </row>
    <row r="6831" ht="15" customHeight="1">
      <c r="A6831" t="inlineStr">
        <is>
          <t>A 28280-2025</t>
        </is>
      </c>
      <c r="B6831" s="1" t="n">
        <v>45818.5862037037</v>
      </c>
      <c r="C6831" s="1" t="n">
        <v>45884</v>
      </c>
      <c r="D6831" t="inlineStr">
        <is>
          <t>KALMAR LÄN</t>
        </is>
      </c>
      <c r="E6831" t="inlineStr">
        <is>
          <t>VIMMERBY</t>
        </is>
      </c>
      <c r="F6831" t="inlineStr">
        <is>
          <t>Sveaskog</t>
        </is>
      </c>
      <c r="G6831" t="n">
        <v>1.5</v>
      </c>
      <c r="H6831" t="n">
        <v>0</v>
      </c>
      <c r="I6831" t="n">
        <v>0</v>
      </c>
      <c r="J6831" t="n">
        <v>0</v>
      </c>
      <c r="K6831" t="n">
        <v>0</v>
      </c>
      <c r="L6831" t="n">
        <v>0</v>
      </c>
      <c r="M6831" t="n">
        <v>0</v>
      </c>
      <c r="N6831" t="n">
        <v>0</v>
      </c>
      <c r="O6831" t="n">
        <v>0</v>
      </c>
      <c r="P6831" t="n">
        <v>0</v>
      </c>
      <c r="Q6831" t="n">
        <v>0</v>
      </c>
      <c r="R6831" s="2" t="inlineStr"/>
    </row>
    <row r="6832" ht="15" customHeight="1">
      <c r="A6832" t="inlineStr">
        <is>
          <t>A 28096-2025</t>
        </is>
      </c>
      <c r="B6832" s="1" t="n">
        <v>45817.81831018518</v>
      </c>
      <c r="C6832" s="1" t="n">
        <v>45884</v>
      </c>
      <c r="D6832" t="inlineStr">
        <is>
          <t>KALMAR LÄN</t>
        </is>
      </c>
      <c r="E6832" t="inlineStr">
        <is>
          <t>VÄSTERVIK</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55108-2024</t>
        </is>
      </c>
      <c r="B6833" s="1" t="n">
        <v>45621.44763888889</v>
      </c>
      <c r="C6833" s="1" t="n">
        <v>45884</v>
      </c>
      <c r="D6833" t="inlineStr">
        <is>
          <t>KALMAR LÄN</t>
        </is>
      </c>
      <c r="E6833" t="inlineStr">
        <is>
          <t>HULTSFRED</t>
        </is>
      </c>
      <c r="G6833" t="n">
        <v>4.9</v>
      </c>
      <c r="H6833" t="n">
        <v>0</v>
      </c>
      <c r="I6833" t="n">
        <v>0</v>
      </c>
      <c r="J6833" t="n">
        <v>0</v>
      </c>
      <c r="K6833" t="n">
        <v>0</v>
      </c>
      <c r="L6833" t="n">
        <v>0</v>
      </c>
      <c r="M6833" t="n">
        <v>0</v>
      </c>
      <c r="N6833" t="n">
        <v>0</v>
      </c>
      <c r="O6833" t="n">
        <v>0</v>
      </c>
      <c r="P6833" t="n">
        <v>0</v>
      </c>
      <c r="Q6833" t="n">
        <v>0</v>
      </c>
      <c r="R6833" s="2" t="inlineStr"/>
    </row>
    <row r="6834" ht="15" customHeight="1">
      <c r="A6834" t="inlineStr">
        <is>
          <t>A 55123-2024</t>
        </is>
      </c>
      <c r="B6834" s="1" t="n">
        <v>45621.46103009259</v>
      </c>
      <c r="C6834" s="1" t="n">
        <v>45884</v>
      </c>
      <c r="D6834" t="inlineStr">
        <is>
          <t>KALMAR LÄN</t>
        </is>
      </c>
      <c r="E6834" t="inlineStr">
        <is>
          <t>VIMMERBY</t>
        </is>
      </c>
      <c r="G6834" t="n">
        <v>3.1</v>
      </c>
      <c r="H6834" t="n">
        <v>0</v>
      </c>
      <c r="I6834" t="n">
        <v>0</v>
      </c>
      <c r="J6834" t="n">
        <v>0</v>
      </c>
      <c r="K6834" t="n">
        <v>0</v>
      </c>
      <c r="L6834" t="n">
        <v>0</v>
      </c>
      <c r="M6834" t="n">
        <v>0</v>
      </c>
      <c r="N6834" t="n">
        <v>0</v>
      </c>
      <c r="O6834" t="n">
        <v>0</v>
      </c>
      <c r="P6834" t="n">
        <v>0</v>
      </c>
      <c r="Q6834" t="n">
        <v>0</v>
      </c>
      <c r="R6834" s="2" t="inlineStr"/>
    </row>
    <row r="6835" ht="15" customHeight="1">
      <c r="A6835" t="inlineStr">
        <is>
          <t>A 28242-2025</t>
        </is>
      </c>
      <c r="B6835" s="1" t="n">
        <v>45818.50829861111</v>
      </c>
      <c r="C6835" s="1" t="n">
        <v>45884</v>
      </c>
      <c r="D6835" t="inlineStr">
        <is>
          <t>KALMAR LÄN</t>
        </is>
      </c>
      <c r="E6835" t="inlineStr">
        <is>
          <t>HULTSFRED</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28102-2025</t>
        </is>
      </c>
      <c r="B6836" s="1" t="n">
        <v>45817.8397337963</v>
      </c>
      <c r="C6836" s="1" t="n">
        <v>45884</v>
      </c>
      <c r="D6836" t="inlineStr">
        <is>
          <t>KALMAR LÄN</t>
        </is>
      </c>
      <c r="E6836" t="inlineStr">
        <is>
          <t>HULTSFRED</t>
        </is>
      </c>
      <c r="G6836" t="n">
        <v>3.4</v>
      </c>
      <c r="H6836" t="n">
        <v>0</v>
      </c>
      <c r="I6836" t="n">
        <v>0</v>
      </c>
      <c r="J6836" t="n">
        <v>0</v>
      </c>
      <c r="K6836" t="n">
        <v>0</v>
      </c>
      <c r="L6836" t="n">
        <v>0</v>
      </c>
      <c r="M6836" t="n">
        <v>0</v>
      </c>
      <c r="N6836" t="n">
        <v>0</v>
      </c>
      <c r="O6836" t="n">
        <v>0</v>
      </c>
      <c r="P6836" t="n">
        <v>0</v>
      </c>
      <c r="Q6836" t="n">
        <v>0</v>
      </c>
      <c r="R6836" s="2" t="inlineStr"/>
    </row>
    <row r="6837" ht="15" customHeight="1">
      <c r="A6837" t="inlineStr">
        <is>
          <t>A 28112-2025</t>
        </is>
      </c>
      <c r="B6837" s="1" t="n">
        <v>45817.88496527778</v>
      </c>
      <c r="C6837" s="1" t="n">
        <v>45884</v>
      </c>
      <c r="D6837" t="inlineStr">
        <is>
          <t>KALMAR LÄN</t>
        </is>
      </c>
      <c r="E6837" t="inlineStr">
        <is>
          <t>VIMMERBY</t>
        </is>
      </c>
      <c r="G6837" t="n">
        <v>2.1</v>
      </c>
      <c r="H6837" t="n">
        <v>0</v>
      </c>
      <c r="I6837" t="n">
        <v>0</v>
      </c>
      <c r="J6837" t="n">
        <v>0</v>
      </c>
      <c r="K6837" t="n">
        <v>0</v>
      </c>
      <c r="L6837" t="n">
        <v>0</v>
      </c>
      <c r="M6837" t="n">
        <v>0</v>
      </c>
      <c r="N6837" t="n">
        <v>0</v>
      </c>
      <c r="O6837" t="n">
        <v>0</v>
      </c>
      <c r="P6837" t="n">
        <v>0</v>
      </c>
      <c r="Q6837" t="n">
        <v>0</v>
      </c>
      <c r="R6837" s="2" t="inlineStr"/>
    </row>
    <row r="6838" ht="15" customHeight="1">
      <c r="A6838" t="inlineStr">
        <is>
          <t>A 28131-2025</t>
        </is>
      </c>
      <c r="B6838" s="1" t="n">
        <v>45818.33222222222</v>
      </c>
      <c r="C6838" s="1" t="n">
        <v>45884</v>
      </c>
      <c r="D6838" t="inlineStr">
        <is>
          <t>KALMAR LÄN</t>
        </is>
      </c>
      <c r="E6838" t="inlineStr">
        <is>
          <t>NYBRO</t>
        </is>
      </c>
      <c r="G6838" t="n">
        <v>1.1</v>
      </c>
      <c r="H6838" t="n">
        <v>0</v>
      </c>
      <c r="I6838" t="n">
        <v>0</v>
      </c>
      <c r="J6838" t="n">
        <v>0</v>
      </c>
      <c r="K6838" t="n">
        <v>0</v>
      </c>
      <c r="L6838" t="n">
        <v>0</v>
      </c>
      <c r="M6838" t="n">
        <v>0</v>
      </c>
      <c r="N6838" t="n">
        <v>0</v>
      </c>
      <c r="O6838" t="n">
        <v>0</v>
      </c>
      <c r="P6838" t="n">
        <v>0</v>
      </c>
      <c r="Q6838" t="n">
        <v>0</v>
      </c>
      <c r="R6838" s="2" t="inlineStr"/>
    </row>
    <row r="6839" ht="15" customHeight="1">
      <c r="A6839" t="inlineStr">
        <is>
          <t>A 35771-2025</t>
        </is>
      </c>
      <c r="B6839" s="1" t="n">
        <v>45860.64045138889</v>
      </c>
      <c r="C6839" s="1" t="n">
        <v>45884</v>
      </c>
      <c r="D6839" t="inlineStr">
        <is>
          <t>KALMAR LÄN</t>
        </is>
      </c>
      <c r="E6839" t="inlineStr">
        <is>
          <t>TORSÅS</t>
        </is>
      </c>
      <c r="G6839" t="n">
        <v>0.5</v>
      </c>
      <c r="H6839" t="n">
        <v>0</v>
      </c>
      <c r="I6839" t="n">
        <v>0</v>
      </c>
      <c r="J6839" t="n">
        <v>0</v>
      </c>
      <c r="K6839" t="n">
        <v>0</v>
      </c>
      <c r="L6839" t="n">
        <v>0</v>
      </c>
      <c r="M6839" t="n">
        <v>0</v>
      </c>
      <c r="N6839" t="n">
        <v>0</v>
      </c>
      <c r="O6839" t="n">
        <v>0</v>
      </c>
      <c r="P6839" t="n">
        <v>0</v>
      </c>
      <c r="Q6839" t="n">
        <v>0</v>
      </c>
      <c r="R6839" s="2" t="inlineStr"/>
    </row>
    <row r="6840" ht="15" customHeight="1">
      <c r="A6840" t="inlineStr">
        <is>
          <t>A 28363-2025</t>
        </is>
      </c>
      <c r="B6840" s="1" t="n">
        <v>45818</v>
      </c>
      <c r="C6840" s="1" t="n">
        <v>45884</v>
      </c>
      <c r="D6840" t="inlineStr">
        <is>
          <t>KALMAR LÄN</t>
        </is>
      </c>
      <c r="E6840" t="inlineStr">
        <is>
          <t>NYBRO</t>
        </is>
      </c>
      <c r="G6840" t="n">
        <v>5.9</v>
      </c>
      <c r="H6840" t="n">
        <v>0</v>
      </c>
      <c r="I6840" t="n">
        <v>0</v>
      </c>
      <c r="J6840" t="n">
        <v>0</v>
      </c>
      <c r="K6840" t="n">
        <v>0</v>
      </c>
      <c r="L6840" t="n">
        <v>0</v>
      </c>
      <c r="M6840" t="n">
        <v>0</v>
      </c>
      <c r="N6840" t="n">
        <v>0</v>
      </c>
      <c r="O6840" t="n">
        <v>0</v>
      </c>
      <c r="P6840" t="n">
        <v>0</v>
      </c>
      <c r="Q6840" t="n">
        <v>0</v>
      </c>
      <c r="R6840" s="2" t="inlineStr"/>
    </row>
    <row r="6841" ht="15" customHeight="1">
      <c r="A6841" t="inlineStr">
        <is>
          <t>A 28620-2025</t>
        </is>
      </c>
      <c r="B6841" s="1" t="n">
        <v>45819.61060185185</v>
      </c>
      <c r="C6841" s="1" t="n">
        <v>45884</v>
      </c>
      <c r="D6841" t="inlineStr">
        <is>
          <t>KALMAR LÄN</t>
        </is>
      </c>
      <c r="E6841" t="inlineStr">
        <is>
          <t>VIMMERBY</t>
        </is>
      </c>
      <c r="G6841" t="n">
        <v>5.6</v>
      </c>
      <c r="H6841" t="n">
        <v>0</v>
      </c>
      <c r="I6841" t="n">
        <v>0</v>
      </c>
      <c r="J6841" t="n">
        <v>0</v>
      </c>
      <c r="K6841" t="n">
        <v>0</v>
      </c>
      <c r="L6841" t="n">
        <v>0</v>
      </c>
      <c r="M6841" t="n">
        <v>0</v>
      </c>
      <c r="N6841" t="n">
        <v>0</v>
      </c>
      <c r="O6841" t="n">
        <v>0</v>
      </c>
      <c r="P6841" t="n">
        <v>0</v>
      </c>
      <c r="Q6841" t="n">
        <v>0</v>
      </c>
      <c r="R6841" s="2" t="inlineStr"/>
    </row>
    <row r="6842" ht="15" customHeight="1">
      <c r="A6842" t="inlineStr">
        <is>
          <t>A 28682-2025</t>
        </is>
      </c>
      <c r="B6842" s="1" t="n">
        <v>45819.69038194444</v>
      </c>
      <c r="C6842" s="1" t="n">
        <v>45884</v>
      </c>
      <c r="D6842" t="inlineStr">
        <is>
          <t>KALMAR LÄN</t>
        </is>
      </c>
      <c r="E6842" t="inlineStr">
        <is>
          <t>EMMABODA</t>
        </is>
      </c>
      <c r="G6842" t="n">
        <v>1.8</v>
      </c>
      <c r="H6842" t="n">
        <v>0</v>
      </c>
      <c r="I6842" t="n">
        <v>0</v>
      </c>
      <c r="J6842" t="n">
        <v>0</v>
      </c>
      <c r="K6842" t="n">
        <v>0</v>
      </c>
      <c r="L6842" t="n">
        <v>0</v>
      </c>
      <c r="M6842" t="n">
        <v>0</v>
      </c>
      <c r="N6842" t="n">
        <v>0</v>
      </c>
      <c r="O6842" t="n">
        <v>0</v>
      </c>
      <c r="P6842" t="n">
        <v>0</v>
      </c>
      <c r="Q6842" t="n">
        <v>0</v>
      </c>
      <c r="R6842" s="2" t="inlineStr"/>
    </row>
    <row r="6843" ht="15" customHeight="1">
      <c r="A6843" t="inlineStr">
        <is>
          <t>A 28382-2025</t>
        </is>
      </c>
      <c r="B6843" s="1" t="n">
        <v>45819</v>
      </c>
      <c r="C6843" s="1" t="n">
        <v>45884</v>
      </c>
      <c r="D6843" t="inlineStr">
        <is>
          <t>KALMAR LÄN</t>
        </is>
      </c>
      <c r="E6843" t="inlineStr">
        <is>
          <t>NYBRO</t>
        </is>
      </c>
      <c r="G6843" t="n">
        <v>8.300000000000001</v>
      </c>
      <c r="H6843" t="n">
        <v>0</v>
      </c>
      <c r="I6843" t="n">
        <v>0</v>
      </c>
      <c r="J6843" t="n">
        <v>0</v>
      </c>
      <c r="K6843" t="n">
        <v>0</v>
      </c>
      <c r="L6843" t="n">
        <v>0</v>
      </c>
      <c r="M6843" t="n">
        <v>0</v>
      </c>
      <c r="N6843" t="n">
        <v>0</v>
      </c>
      <c r="O6843" t="n">
        <v>0</v>
      </c>
      <c r="P6843" t="n">
        <v>0</v>
      </c>
      <c r="Q6843" t="n">
        <v>0</v>
      </c>
      <c r="R6843" s="2" t="inlineStr"/>
    </row>
    <row r="6844" ht="15" customHeight="1">
      <c r="A6844" t="inlineStr">
        <is>
          <t>A 28230-2025</t>
        </is>
      </c>
      <c r="B6844" s="1" t="n">
        <v>45818</v>
      </c>
      <c r="C6844" s="1" t="n">
        <v>45884</v>
      </c>
      <c r="D6844" t="inlineStr">
        <is>
          <t>KALMAR LÄN</t>
        </is>
      </c>
      <c r="E6844" t="inlineStr">
        <is>
          <t>EMMABODA</t>
        </is>
      </c>
      <c r="G6844" t="n">
        <v>5.9</v>
      </c>
      <c r="H6844" t="n">
        <v>0</v>
      </c>
      <c r="I6844" t="n">
        <v>0</v>
      </c>
      <c r="J6844" t="n">
        <v>0</v>
      </c>
      <c r="K6844" t="n">
        <v>0</v>
      </c>
      <c r="L6844" t="n">
        <v>0</v>
      </c>
      <c r="M6844" t="n">
        <v>0</v>
      </c>
      <c r="N6844" t="n">
        <v>0</v>
      </c>
      <c r="O6844" t="n">
        <v>0</v>
      </c>
      <c r="P6844" t="n">
        <v>0</v>
      </c>
      <c r="Q6844" t="n">
        <v>0</v>
      </c>
      <c r="R6844" s="2" t="inlineStr"/>
    </row>
    <row r="6845" ht="15" customHeight="1">
      <c r="A6845" t="inlineStr">
        <is>
          <t>A 36024-2025</t>
        </is>
      </c>
      <c r="B6845" s="1" t="n">
        <v>45863.79833333333</v>
      </c>
      <c r="C6845" s="1" t="n">
        <v>45884</v>
      </c>
      <c r="D6845" t="inlineStr">
        <is>
          <t>KALMAR LÄN</t>
        </is>
      </c>
      <c r="E6845" t="inlineStr">
        <is>
          <t>NYBRO</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35932-2025</t>
        </is>
      </c>
      <c r="B6846" s="1" t="n">
        <v>45862.62265046296</v>
      </c>
      <c r="C6846" s="1" t="n">
        <v>45884</v>
      </c>
      <c r="D6846" t="inlineStr">
        <is>
          <t>KALMAR LÄN</t>
        </is>
      </c>
      <c r="E6846" t="inlineStr">
        <is>
          <t>NYBRO</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35941-2025</t>
        </is>
      </c>
      <c r="B6847" s="1" t="n">
        <v>45862.65146990741</v>
      </c>
      <c r="C6847" s="1" t="n">
        <v>45884</v>
      </c>
      <c r="D6847" t="inlineStr">
        <is>
          <t>KALMAR LÄN</t>
        </is>
      </c>
      <c r="E6847" t="inlineStr">
        <is>
          <t>MÖNSTERÅS</t>
        </is>
      </c>
      <c r="G6847" t="n">
        <v>3.8</v>
      </c>
      <c r="H6847" t="n">
        <v>0</v>
      </c>
      <c r="I6847" t="n">
        <v>0</v>
      </c>
      <c r="J6847" t="n">
        <v>0</v>
      </c>
      <c r="K6847" t="n">
        <v>0</v>
      </c>
      <c r="L6847" t="n">
        <v>0</v>
      </c>
      <c r="M6847" t="n">
        <v>0</v>
      </c>
      <c r="N6847" t="n">
        <v>0</v>
      </c>
      <c r="O6847" t="n">
        <v>0</v>
      </c>
      <c r="P6847" t="n">
        <v>0</v>
      </c>
      <c r="Q6847" t="n">
        <v>0</v>
      </c>
      <c r="R6847" s="2" t="inlineStr"/>
    </row>
    <row r="6848" ht="15" customHeight="1">
      <c r="A6848" t="inlineStr">
        <is>
          <t>A 29145-2025</t>
        </is>
      </c>
      <c r="B6848" s="1" t="n">
        <v>45821.6225462963</v>
      </c>
      <c r="C6848" s="1" t="n">
        <v>45884</v>
      </c>
      <c r="D6848" t="inlineStr">
        <is>
          <t>KALMAR LÄN</t>
        </is>
      </c>
      <c r="E6848" t="inlineStr">
        <is>
          <t>HULTSFRED</t>
        </is>
      </c>
      <c r="G6848" t="n">
        <v>3.9</v>
      </c>
      <c r="H6848" t="n">
        <v>0</v>
      </c>
      <c r="I6848" t="n">
        <v>0</v>
      </c>
      <c r="J6848" t="n">
        <v>0</v>
      </c>
      <c r="K6848" t="n">
        <v>0</v>
      </c>
      <c r="L6848" t="n">
        <v>0</v>
      </c>
      <c r="M6848" t="n">
        <v>0</v>
      </c>
      <c r="N6848" t="n">
        <v>0</v>
      </c>
      <c r="O6848" t="n">
        <v>0</v>
      </c>
      <c r="P6848" t="n">
        <v>0</v>
      </c>
      <c r="Q6848" t="n">
        <v>0</v>
      </c>
      <c r="R6848" s="2" t="inlineStr"/>
    </row>
    <row r="6849" ht="15" customHeight="1">
      <c r="A6849" t="inlineStr">
        <is>
          <t>A 28696-2025</t>
        </is>
      </c>
      <c r="B6849" s="1" t="n">
        <v>45819.91342592592</v>
      </c>
      <c r="C6849" s="1" t="n">
        <v>45884</v>
      </c>
      <c r="D6849" t="inlineStr">
        <is>
          <t>KALMAR LÄN</t>
        </is>
      </c>
      <c r="E6849" t="inlineStr">
        <is>
          <t>VÄSTERVIK</t>
        </is>
      </c>
      <c r="G6849" t="n">
        <v>2.8</v>
      </c>
      <c r="H6849" t="n">
        <v>0</v>
      </c>
      <c r="I6849" t="n">
        <v>0</v>
      </c>
      <c r="J6849" t="n">
        <v>0</v>
      </c>
      <c r="K6849" t="n">
        <v>0</v>
      </c>
      <c r="L6849" t="n">
        <v>0</v>
      </c>
      <c r="M6849" t="n">
        <v>0</v>
      </c>
      <c r="N6849" t="n">
        <v>0</v>
      </c>
      <c r="O6849" t="n">
        <v>0</v>
      </c>
      <c r="P6849" t="n">
        <v>0</v>
      </c>
      <c r="Q6849" t="n">
        <v>0</v>
      </c>
      <c r="R6849" s="2" t="inlineStr"/>
    </row>
    <row r="6850" ht="15" customHeight="1">
      <c r="A6850" t="inlineStr">
        <is>
          <t>A 36022-2025</t>
        </is>
      </c>
      <c r="B6850" s="1" t="n">
        <v>45863.78525462963</v>
      </c>
      <c r="C6850" s="1" t="n">
        <v>45884</v>
      </c>
      <c r="D6850" t="inlineStr">
        <is>
          <t>KALMAR LÄN</t>
        </is>
      </c>
      <c r="E6850" t="inlineStr">
        <is>
          <t>NYBRO</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36023-2025</t>
        </is>
      </c>
      <c r="B6851" s="1" t="n">
        <v>45863.79356481481</v>
      </c>
      <c r="C6851" s="1" t="n">
        <v>45884</v>
      </c>
      <c r="D6851" t="inlineStr">
        <is>
          <t>KALMAR LÄN</t>
        </is>
      </c>
      <c r="E6851" t="inlineStr">
        <is>
          <t>NYBRO</t>
        </is>
      </c>
      <c r="G6851" t="n">
        <v>1.4</v>
      </c>
      <c r="H6851" t="n">
        <v>0</v>
      </c>
      <c r="I6851" t="n">
        <v>0</v>
      </c>
      <c r="J6851" t="n">
        <v>0</v>
      </c>
      <c r="K6851" t="n">
        <v>0</v>
      </c>
      <c r="L6851" t="n">
        <v>0</v>
      </c>
      <c r="M6851" t="n">
        <v>0</v>
      </c>
      <c r="N6851" t="n">
        <v>0</v>
      </c>
      <c r="O6851" t="n">
        <v>0</v>
      </c>
      <c r="P6851" t="n">
        <v>0</v>
      </c>
      <c r="Q6851" t="n">
        <v>0</v>
      </c>
      <c r="R6851" s="2" t="inlineStr"/>
    </row>
    <row r="6852" ht="15" customHeight="1">
      <c r="A6852" t="inlineStr">
        <is>
          <t>A 28754-2025</t>
        </is>
      </c>
      <c r="B6852" s="1" t="n">
        <v>45820.40359953704</v>
      </c>
      <c r="C6852" s="1" t="n">
        <v>45884</v>
      </c>
      <c r="D6852" t="inlineStr">
        <is>
          <t>KALMAR LÄN</t>
        </is>
      </c>
      <c r="E6852" t="inlineStr">
        <is>
          <t>NYBRO</t>
        </is>
      </c>
      <c r="F6852" t="inlineStr">
        <is>
          <t>Sveaskog</t>
        </is>
      </c>
      <c r="G6852" t="n">
        <v>3.2</v>
      </c>
      <c r="H6852" t="n">
        <v>0</v>
      </c>
      <c r="I6852" t="n">
        <v>0</v>
      </c>
      <c r="J6852" t="n">
        <v>0</v>
      </c>
      <c r="K6852" t="n">
        <v>0</v>
      </c>
      <c r="L6852" t="n">
        <v>0</v>
      </c>
      <c r="M6852" t="n">
        <v>0</v>
      </c>
      <c r="N6852" t="n">
        <v>0</v>
      </c>
      <c r="O6852" t="n">
        <v>0</v>
      </c>
      <c r="P6852" t="n">
        <v>0</v>
      </c>
      <c r="Q6852" t="n">
        <v>0</v>
      </c>
      <c r="R6852" s="2" t="inlineStr"/>
    </row>
    <row r="6853" ht="15" customHeight="1">
      <c r="A6853" t="inlineStr">
        <is>
          <t>A 28759-2025</t>
        </is>
      </c>
      <c r="B6853" s="1" t="n">
        <v>45820.41298611111</v>
      </c>
      <c r="C6853" s="1" t="n">
        <v>45884</v>
      </c>
      <c r="D6853" t="inlineStr">
        <is>
          <t>KALMAR LÄN</t>
        </is>
      </c>
      <c r="E6853" t="inlineStr">
        <is>
          <t>KALMAR</t>
        </is>
      </c>
      <c r="F6853" t="inlineStr">
        <is>
          <t>Sveaskog</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28763-2025</t>
        </is>
      </c>
      <c r="B6854" s="1" t="n">
        <v>45820.41796296297</v>
      </c>
      <c r="C6854" s="1" t="n">
        <v>45884</v>
      </c>
      <c r="D6854" t="inlineStr">
        <is>
          <t>KALMAR LÄN</t>
        </is>
      </c>
      <c r="E6854" t="inlineStr">
        <is>
          <t>KALMAR</t>
        </is>
      </c>
      <c r="F6854" t="inlineStr">
        <is>
          <t>Sveaskog</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28782-2025</t>
        </is>
      </c>
      <c r="B6855" s="1" t="n">
        <v>45820.45572916666</v>
      </c>
      <c r="C6855" s="1" t="n">
        <v>45884</v>
      </c>
      <c r="D6855" t="inlineStr">
        <is>
          <t>KALMAR LÄN</t>
        </is>
      </c>
      <c r="E6855" t="inlineStr">
        <is>
          <t>BORGHOLM</t>
        </is>
      </c>
      <c r="F6855" t="inlineStr">
        <is>
          <t>Sveaskog</t>
        </is>
      </c>
      <c r="G6855" t="n">
        <v>0.8</v>
      </c>
      <c r="H6855" t="n">
        <v>0</v>
      </c>
      <c r="I6855" t="n">
        <v>0</v>
      </c>
      <c r="J6855" t="n">
        <v>0</v>
      </c>
      <c r="K6855" t="n">
        <v>0</v>
      </c>
      <c r="L6855" t="n">
        <v>0</v>
      </c>
      <c r="M6855" t="n">
        <v>0</v>
      </c>
      <c r="N6855" t="n">
        <v>0</v>
      </c>
      <c r="O6855" t="n">
        <v>0</v>
      </c>
      <c r="P6855" t="n">
        <v>0</v>
      </c>
      <c r="Q6855" t="n">
        <v>0</v>
      </c>
      <c r="R6855" s="2" t="inlineStr"/>
    </row>
    <row r="6856" ht="15" customHeight="1">
      <c r="A6856" t="inlineStr">
        <is>
          <t>A 29143-2025</t>
        </is>
      </c>
      <c r="B6856" s="1" t="n">
        <v>45821.61653935185</v>
      </c>
      <c r="C6856" s="1" t="n">
        <v>45884</v>
      </c>
      <c r="D6856" t="inlineStr">
        <is>
          <t>KALMAR LÄN</t>
        </is>
      </c>
      <c r="E6856" t="inlineStr">
        <is>
          <t>HULTSFRED</t>
        </is>
      </c>
      <c r="G6856" t="n">
        <v>2.1</v>
      </c>
      <c r="H6856" t="n">
        <v>0</v>
      </c>
      <c r="I6856" t="n">
        <v>0</v>
      </c>
      <c r="J6856" t="n">
        <v>0</v>
      </c>
      <c r="K6856" t="n">
        <v>0</v>
      </c>
      <c r="L6856" t="n">
        <v>0</v>
      </c>
      <c r="M6856" t="n">
        <v>0</v>
      </c>
      <c r="N6856" t="n">
        <v>0</v>
      </c>
      <c r="O6856" t="n">
        <v>0</v>
      </c>
      <c r="P6856" t="n">
        <v>0</v>
      </c>
      <c r="Q6856" t="n">
        <v>0</v>
      </c>
      <c r="R6856" s="2" t="inlineStr"/>
    </row>
    <row r="6857" ht="15" customHeight="1">
      <c r="A6857" t="inlineStr">
        <is>
          <t>A 28701-2025</t>
        </is>
      </c>
      <c r="B6857" s="1" t="n">
        <v>45820.03518518519</v>
      </c>
      <c r="C6857" s="1" t="n">
        <v>45884</v>
      </c>
      <c r="D6857" t="inlineStr">
        <is>
          <t>KALMAR LÄN</t>
        </is>
      </c>
      <c r="E6857" t="inlineStr">
        <is>
          <t>VIMMERBY</t>
        </is>
      </c>
      <c r="G6857" t="n">
        <v>4</v>
      </c>
      <c r="H6857" t="n">
        <v>0</v>
      </c>
      <c r="I6857" t="n">
        <v>0</v>
      </c>
      <c r="J6857" t="n">
        <v>0</v>
      </c>
      <c r="K6857" t="n">
        <v>0</v>
      </c>
      <c r="L6857" t="n">
        <v>0</v>
      </c>
      <c r="M6857" t="n">
        <v>0</v>
      </c>
      <c r="N6857" t="n">
        <v>0</v>
      </c>
      <c r="O6857" t="n">
        <v>0</v>
      </c>
      <c r="P6857" t="n">
        <v>0</v>
      </c>
      <c r="Q6857" t="n">
        <v>0</v>
      </c>
      <c r="R6857" s="2" t="inlineStr"/>
    </row>
    <row r="6858" ht="15" customHeight="1">
      <c r="A6858" t="inlineStr">
        <is>
          <t>A 28702-2025</t>
        </is>
      </c>
      <c r="B6858" s="1" t="n">
        <v>45820.03976851852</v>
      </c>
      <c r="C6858" s="1" t="n">
        <v>45884</v>
      </c>
      <c r="D6858" t="inlineStr">
        <is>
          <t>KALMAR LÄN</t>
        </is>
      </c>
      <c r="E6858" t="inlineStr">
        <is>
          <t>VIMMERBY</t>
        </is>
      </c>
      <c r="G6858" t="n">
        <v>2.1</v>
      </c>
      <c r="H6858" t="n">
        <v>0</v>
      </c>
      <c r="I6858" t="n">
        <v>0</v>
      </c>
      <c r="J6858" t="n">
        <v>0</v>
      </c>
      <c r="K6858" t="n">
        <v>0</v>
      </c>
      <c r="L6858" t="n">
        <v>0</v>
      </c>
      <c r="M6858" t="n">
        <v>0</v>
      </c>
      <c r="N6858" t="n">
        <v>0</v>
      </c>
      <c r="O6858" t="n">
        <v>0</v>
      </c>
      <c r="P6858" t="n">
        <v>0</v>
      </c>
      <c r="Q6858" t="n">
        <v>0</v>
      </c>
      <c r="R6858" s="2" t="inlineStr"/>
    </row>
    <row r="6859" ht="15" customHeight="1">
      <c r="A6859" t="inlineStr">
        <is>
          <t>A 28712-2025</t>
        </is>
      </c>
      <c r="B6859" s="1" t="n">
        <v>45820.33708333333</v>
      </c>
      <c r="C6859" s="1" t="n">
        <v>45884</v>
      </c>
      <c r="D6859" t="inlineStr">
        <is>
          <t>KALMAR LÄN</t>
        </is>
      </c>
      <c r="E6859" t="inlineStr">
        <is>
          <t>VIMMERBY</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28714-2025</t>
        </is>
      </c>
      <c r="B6860" s="1" t="n">
        <v>45820.34128472222</v>
      </c>
      <c r="C6860" s="1" t="n">
        <v>45884</v>
      </c>
      <c r="D6860" t="inlineStr">
        <is>
          <t>KALMAR LÄN</t>
        </is>
      </c>
      <c r="E6860" t="inlineStr">
        <is>
          <t>VIMMERBY</t>
        </is>
      </c>
      <c r="G6860" t="n">
        <v>1.8</v>
      </c>
      <c r="H6860" t="n">
        <v>0</v>
      </c>
      <c r="I6860" t="n">
        <v>0</v>
      </c>
      <c r="J6860" t="n">
        <v>0</v>
      </c>
      <c r="K6860" t="n">
        <v>0</v>
      </c>
      <c r="L6860" t="n">
        <v>0</v>
      </c>
      <c r="M6860" t="n">
        <v>0</v>
      </c>
      <c r="N6860" t="n">
        <v>0</v>
      </c>
      <c r="O6860" t="n">
        <v>0</v>
      </c>
      <c r="P6860" t="n">
        <v>0</v>
      </c>
      <c r="Q6860" t="n">
        <v>0</v>
      </c>
      <c r="R6860" s="2" t="inlineStr"/>
    </row>
    <row r="6861" ht="15" customHeight="1">
      <c r="A6861" t="inlineStr">
        <is>
          <t>A 28720-2025</t>
        </is>
      </c>
      <c r="B6861" s="1" t="n">
        <v>45820</v>
      </c>
      <c r="C6861" s="1" t="n">
        <v>45884</v>
      </c>
      <c r="D6861" t="inlineStr">
        <is>
          <t>KALMAR LÄN</t>
        </is>
      </c>
      <c r="E6861" t="inlineStr">
        <is>
          <t>NYBRO</t>
        </is>
      </c>
      <c r="G6861" t="n">
        <v>9.300000000000001</v>
      </c>
      <c r="H6861" t="n">
        <v>0</v>
      </c>
      <c r="I6861" t="n">
        <v>0</v>
      </c>
      <c r="J6861" t="n">
        <v>0</v>
      </c>
      <c r="K6861" t="n">
        <v>0</v>
      </c>
      <c r="L6861" t="n">
        <v>0</v>
      </c>
      <c r="M6861" t="n">
        <v>0</v>
      </c>
      <c r="N6861" t="n">
        <v>0</v>
      </c>
      <c r="O6861" t="n">
        <v>0</v>
      </c>
      <c r="P6861" t="n">
        <v>0</v>
      </c>
      <c r="Q6861" t="n">
        <v>0</v>
      </c>
      <c r="R6861" s="2" t="inlineStr"/>
    </row>
    <row r="6862" ht="15" customHeight="1">
      <c r="A6862" t="inlineStr">
        <is>
          <t>A 28756-2025</t>
        </is>
      </c>
      <c r="B6862" s="1" t="n">
        <v>45820.4099537037</v>
      </c>
      <c r="C6862" s="1" t="n">
        <v>45884</v>
      </c>
      <c r="D6862" t="inlineStr">
        <is>
          <t>KALMAR LÄN</t>
        </is>
      </c>
      <c r="E6862" t="inlineStr">
        <is>
          <t>NYBRO</t>
        </is>
      </c>
      <c r="F6862" t="inlineStr">
        <is>
          <t>Sveaskog</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29059-2025</t>
        </is>
      </c>
      <c r="B6863" s="1" t="n">
        <v>45821.48188657407</v>
      </c>
      <c r="C6863" s="1" t="n">
        <v>45884</v>
      </c>
      <c r="D6863" t="inlineStr">
        <is>
          <t>KALMAR LÄN</t>
        </is>
      </c>
      <c r="E6863" t="inlineStr">
        <is>
          <t>NYBRO</t>
        </is>
      </c>
      <c r="G6863" t="n">
        <v>6.3</v>
      </c>
      <c r="H6863" t="n">
        <v>0</v>
      </c>
      <c r="I6863" t="n">
        <v>0</v>
      </c>
      <c r="J6863" t="n">
        <v>0</v>
      </c>
      <c r="K6863" t="n">
        <v>0</v>
      </c>
      <c r="L6863" t="n">
        <v>0</v>
      </c>
      <c r="M6863" t="n">
        <v>0</v>
      </c>
      <c r="N6863" t="n">
        <v>0</v>
      </c>
      <c r="O6863" t="n">
        <v>0</v>
      </c>
      <c r="P6863" t="n">
        <v>0</v>
      </c>
      <c r="Q6863" t="n">
        <v>0</v>
      </c>
      <c r="R6863" s="2" t="inlineStr"/>
    </row>
    <row r="6864" ht="15" customHeight="1">
      <c r="A6864" t="inlineStr">
        <is>
          <t>A 28945-2025</t>
        </is>
      </c>
      <c r="B6864" s="1" t="n">
        <v>45820.77099537037</v>
      </c>
      <c r="C6864" s="1" t="n">
        <v>45884</v>
      </c>
      <c r="D6864" t="inlineStr">
        <is>
          <t>KALMAR LÄN</t>
        </is>
      </c>
      <c r="E6864" t="inlineStr">
        <is>
          <t>TORSÅS</t>
        </is>
      </c>
      <c r="G6864" t="n">
        <v>3</v>
      </c>
      <c r="H6864" t="n">
        <v>0</v>
      </c>
      <c r="I6864" t="n">
        <v>0</v>
      </c>
      <c r="J6864" t="n">
        <v>0</v>
      </c>
      <c r="K6864" t="n">
        <v>0</v>
      </c>
      <c r="L6864" t="n">
        <v>0</v>
      </c>
      <c r="M6864" t="n">
        <v>0</v>
      </c>
      <c r="N6864" t="n">
        <v>0</v>
      </c>
      <c r="O6864" t="n">
        <v>0</v>
      </c>
      <c r="P6864" t="n">
        <v>0</v>
      </c>
      <c r="Q6864" t="n">
        <v>0</v>
      </c>
      <c r="R6864" s="2" t="inlineStr"/>
    </row>
    <row r="6865" ht="15" customHeight="1">
      <c r="A6865" t="inlineStr">
        <is>
          <t>A 35931-2025</t>
        </is>
      </c>
      <c r="B6865" s="1" t="n">
        <v>45862.61716435185</v>
      </c>
      <c r="C6865" s="1" t="n">
        <v>45884</v>
      </c>
      <c r="D6865" t="inlineStr">
        <is>
          <t>KALMAR LÄN</t>
        </is>
      </c>
      <c r="E6865" t="inlineStr">
        <is>
          <t>NYBRO</t>
        </is>
      </c>
      <c r="G6865" t="n">
        <v>1.4</v>
      </c>
      <c r="H6865" t="n">
        <v>0</v>
      </c>
      <c r="I6865" t="n">
        <v>0</v>
      </c>
      <c r="J6865" t="n">
        <v>0</v>
      </c>
      <c r="K6865" t="n">
        <v>0</v>
      </c>
      <c r="L6865" t="n">
        <v>0</v>
      </c>
      <c r="M6865" t="n">
        <v>0</v>
      </c>
      <c r="N6865" t="n">
        <v>0</v>
      </c>
      <c r="O6865" t="n">
        <v>0</v>
      </c>
      <c r="P6865" t="n">
        <v>0</v>
      </c>
      <c r="Q6865" t="n">
        <v>0</v>
      </c>
      <c r="R6865" s="2" t="inlineStr"/>
    </row>
    <row r="6866" ht="15" customHeight="1">
      <c r="A6866" t="inlineStr">
        <is>
          <t>A 35934-2025</t>
        </is>
      </c>
      <c r="B6866" s="1" t="n">
        <v>45862.62900462963</v>
      </c>
      <c r="C6866" s="1" t="n">
        <v>45884</v>
      </c>
      <c r="D6866" t="inlineStr">
        <is>
          <t>KALMAR LÄN</t>
        </is>
      </c>
      <c r="E6866" t="inlineStr">
        <is>
          <t>MÖNSTERÅS</t>
        </is>
      </c>
      <c r="G6866" t="n">
        <v>3.4</v>
      </c>
      <c r="H6866" t="n">
        <v>0</v>
      </c>
      <c r="I6866" t="n">
        <v>0</v>
      </c>
      <c r="J6866" t="n">
        <v>0</v>
      </c>
      <c r="K6866" t="n">
        <v>0</v>
      </c>
      <c r="L6866" t="n">
        <v>0</v>
      </c>
      <c r="M6866" t="n">
        <v>0</v>
      </c>
      <c r="N6866" t="n">
        <v>0</v>
      </c>
      <c r="O6866" t="n">
        <v>0</v>
      </c>
      <c r="P6866" t="n">
        <v>0</v>
      </c>
      <c r="Q6866" t="n">
        <v>0</v>
      </c>
      <c r="R6866" s="2" t="inlineStr"/>
    </row>
    <row r="6867" ht="15" customHeight="1">
      <c r="A6867" t="inlineStr">
        <is>
          <t>A 35966-2025</t>
        </is>
      </c>
      <c r="B6867" s="1" t="n">
        <v>45863.39814814815</v>
      </c>
      <c r="C6867" s="1" t="n">
        <v>45884</v>
      </c>
      <c r="D6867" t="inlineStr">
        <is>
          <t>KALMAR LÄN</t>
        </is>
      </c>
      <c r="E6867" t="inlineStr">
        <is>
          <t>KALMAR</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28699-2025</t>
        </is>
      </c>
      <c r="B6868" s="1" t="n">
        <v>45819.94459490741</v>
      </c>
      <c r="C6868" s="1" t="n">
        <v>45884</v>
      </c>
      <c r="D6868" t="inlineStr">
        <is>
          <t>KALMAR LÄN</t>
        </is>
      </c>
      <c r="E6868" t="inlineStr">
        <is>
          <t>MÖNSTERÅS</t>
        </is>
      </c>
      <c r="G6868" t="n">
        <v>3</v>
      </c>
      <c r="H6868" t="n">
        <v>0</v>
      </c>
      <c r="I6868" t="n">
        <v>0</v>
      </c>
      <c r="J6868" t="n">
        <v>0</v>
      </c>
      <c r="K6868" t="n">
        <v>0</v>
      </c>
      <c r="L6868" t="n">
        <v>0</v>
      </c>
      <c r="M6868" t="n">
        <v>0</v>
      </c>
      <c r="N6868" t="n">
        <v>0</v>
      </c>
      <c r="O6868" t="n">
        <v>0</v>
      </c>
      <c r="P6868" t="n">
        <v>0</v>
      </c>
      <c r="Q6868" t="n">
        <v>0</v>
      </c>
      <c r="R6868" s="2" t="inlineStr"/>
    </row>
    <row r="6869" ht="15" customHeight="1">
      <c r="A6869" t="inlineStr">
        <is>
          <t>A 28713-2025</t>
        </is>
      </c>
      <c r="B6869" s="1" t="n">
        <v>45820.33930555556</v>
      </c>
      <c r="C6869" s="1" t="n">
        <v>45884</v>
      </c>
      <c r="D6869" t="inlineStr">
        <is>
          <t>KALMAR LÄN</t>
        </is>
      </c>
      <c r="E6869" t="inlineStr">
        <is>
          <t>VIMMERBY</t>
        </is>
      </c>
      <c r="G6869" t="n">
        <v>2.3</v>
      </c>
      <c r="H6869" t="n">
        <v>0</v>
      </c>
      <c r="I6869" t="n">
        <v>0</v>
      </c>
      <c r="J6869" t="n">
        <v>0</v>
      </c>
      <c r="K6869" t="n">
        <v>0</v>
      </c>
      <c r="L6869" t="n">
        <v>0</v>
      </c>
      <c r="M6869" t="n">
        <v>0</v>
      </c>
      <c r="N6869" t="n">
        <v>0</v>
      </c>
      <c r="O6869" t="n">
        <v>0</v>
      </c>
      <c r="P6869" t="n">
        <v>0</v>
      </c>
      <c r="Q6869" t="n">
        <v>0</v>
      </c>
      <c r="R6869" s="2" t="inlineStr"/>
    </row>
    <row r="6870" ht="15" customHeight="1">
      <c r="A6870" t="inlineStr">
        <is>
          <t>A 28755-2025</t>
        </is>
      </c>
      <c r="B6870" s="1" t="n">
        <v>45820.40600694445</v>
      </c>
      <c r="C6870" s="1" t="n">
        <v>45884</v>
      </c>
      <c r="D6870" t="inlineStr">
        <is>
          <t>KALMAR LÄN</t>
        </is>
      </c>
      <c r="E6870" t="inlineStr">
        <is>
          <t>NYBRO</t>
        </is>
      </c>
      <c r="F6870" t="inlineStr">
        <is>
          <t>Sveaskog</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28767-2025</t>
        </is>
      </c>
      <c r="B6871" s="1" t="n">
        <v>45820.43005787037</v>
      </c>
      <c r="C6871" s="1" t="n">
        <v>45884</v>
      </c>
      <c r="D6871" t="inlineStr">
        <is>
          <t>KALMAR LÄN</t>
        </is>
      </c>
      <c r="E6871" t="inlineStr">
        <is>
          <t>NYBRO</t>
        </is>
      </c>
      <c r="G6871" t="n">
        <v>4.3</v>
      </c>
      <c r="H6871" t="n">
        <v>0</v>
      </c>
      <c r="I6871" t="n">
        <v>0</v>
      </c>
      <c r="J6871" t="n">
        <v>0</v>
      </c>
      <c r="K6871" t="n">
        <v>0</v>
      </c>
      <c r="L6871" t="n">
        <v>0</v>
      </c>
      <c r="M6871" t="n">
        <v>0</v>
      </c>
      <c r="N6871" t="n">
        <v>0</v>
      </c>
      <c r="O6871" t="n">
        <v>0</v>
      </c>
      <c r="P6871" t="n">
        <v>0</v>
      </c>
      <c r="Q6871" t="n">
        <v>0</v>
      </c>
      <c r="R6871" s="2" t="inlineStr"/>
    </row>
    <row r="6872" ht="15" customHeight="1">
      <c r="A6872" t="inlineStr">
        <is>
          <t>A 28683-2024</t>
        </is>
      </c>
      <c r="B6872" s="1" t="n">
        <v>45478</v>
      </c>
      <c r="C6872" s="1" t="n">
        <v>45884</v>
      </c>
      <c r="D6872" t="inlineStr">
        <is>
          <t>KALMAR LÄN</t>
        </is>
      </c>
      <c r="E6872" t="inlineStr">
        <is>
          <t>NYBRO</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29586-2025</t>
        </is>
      </c>
      <c r="B6873" s="1" t="n">
        <v>45825.38628472222</v>
      </c>
      <c r="C6873" s="1" t="n">
        <v>45884</v>
      </c>
      <c r="D6873" t="inlineStr">
        <is>
          <t>KALMAR LÄN</t>
        </is>
      </c>
      <c r="E6873" t="inlineStr">
        <is>
          <t>NYBRO</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29557-2025</t>
        </is>
      </c>
      <c r="B6874" s="1" t="n">
        <v>45825.35740740741</v>
      </c>
      <c r="C6874" s="1" t="n">
        <v>45884</v>
      </c>
      <c r="D6874" t="inlineStr">
        <is>
          <t>KALMAR LÄN</t>
        </is>
      </c>
      <c r="E6874" t="inlineStr">
        <is>
          <t>OSKARSHAMN</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29689-2025</t>
        </is>
      </c>
      <c r="B6875" s="1" t="n">
        <v>45825.53065972222</v>
      </c>
      <c r="C6875" s="1" t="n">
        <v>45884</v>
      </c>
      <c r="D6875" t="inlineStr">
        <is>
          <t>KALMAR LÄN</t>
        </is>
      </c>
      <c r="E6875" t="inlineStr">
        <is>
          <t>KALMAR</t>
        </is>
      </c>
      <c r="G6875" t="n">
        <v>1.6</v>
      </c>
      <c r="H6875" t="n">
        <v>0</v>
      </c>
      <c r="I6875" t="n">
        <v>0</v>
      </c>
      <c r="J6875" t="n">
        <v>0</v>
      </c>
      <c r="K6875" t="n">
        <v>0</v>
      </c>
      <c r="L6875" t="n">
        <v>0</v>
      </c>
      <c r="M6875" t="n">
        <v>0</v>
      </c>
      <c r="N6875" t="n">
        <v>0</v>
      </c>
      <c r="O6875" t="n">
        <v>0</v>
      </c>
      <c r="P6875" t="n">
        <v>0</v>
      </c>
      <c r="Q6875" t="n">
        <v>0</v>
      </c>
      <c r="R6875" s="2" t="inlineStr"/>
    </row>
    <row r="6876" ht="15" customHeight="1">
      <c r="A6876" t="inlineStr">
        <is>
          <t>A 29311-2025</t>
        </is>
      </c>
      <c r="B6876" s="1" t="n">
        <v>45824.46417824074</v>
      </c>
      <c r="C6876" s="1" t="n">
        <v>45884</v>
      </c>
      <c r="D6876" t="inlineStr">
        <is>
          <t>KALMAR LÄN</t>
        </is>
      </c>
      <c r="E6876" t="inlineStr">
        <is>
          <t>HULTSFRED</t>
        </is>
      </c>
      <c r="G6876" t="n">
        <v>0.7</v>
      </c>
      <c r="H6876" t="n">
        <v>0</v>
      </c>
      <c r="I6876" t="n">
        <v>0</v>
      </c>
      <c r="J6876" t="n">
        <v>0</v>
      </c>
      <c r="K6876" t="n">
        <v>0</v>
      </c>
      <c r="L6876" t="n">
        <v>0</v>
      </c>
      <c r="M6876" t="n">
        <v>0</v>
      </c>
      <c r="N6876" t="n">
        <v>0</v>
      </c>
      <c r="O6876" t="n">
        <v>0</v>
      </c>
      <c r="P6876" t="n">
        <v>0</v>
      </c>
      <c r="Q6876" t="n">
        <v>0</v>
      </c>
      <c r="R6876" s="2" t="inlineStr"/>
    </row>
    <row r="6877" ht="15" customHeight="1">
      <c r="A6877" t="inlineStr">
        <is>
          <t>A 29678-2025</t>
        </is>
      </c>
      <c r="B6877" s="1" t="n">
        <v>45825.50804398148</v>
      </c>
      <c r="C6877" s="1" t="n">
        <v>45884</v>
      </c>
      <c r="D6877" t="inlineStr">
        <is>
          <t>KALMAR LÄN</t>
        </is>
      </c>
      <c r="E6877" t="inlineStr">
        <is>
          <t>VÄSTERVIK</t>
        </is>
      </c>
      <c r="G6877" t="n">
        <v>1.6</v>
      </c>
      <c r="H6877" t="n">
        <v>0</v>
      </c>
      <c r="I6877" t="n">
        <v>0</v>
      </c>
      <c r="J6877" t="n">
        <v>0</v>
      </c>
      <c r="K6877" t="n">
        <v>0</v>
      </c>
      <c r="L6877" t="n">
        <v>0</v>
      </c>
      <c r="M6877" t="n">
        <v>0</v>
      </c>
      <c r="N6877" t="n">
        <v>0</v>
      </c>
      <c r="O6877" t="n">
        <v>0</v>
      </c>
      <c r="P6877" t="n">
        <v>0</v>
      </c>
      <c r="Q6877" t="n">
        <v>0</v>
      </c>
      <c r="R6877" s="2" t="inlineStr"/>
    </row>
    <row r="6878" ht="15" customHeight="1">
      <c r="A6878" t="inlineStr">
        <is>
          <t>A 29726-2025</t>
        </is>
      </c>
      <c r="B6878" s="1" t="n">
        <v>45825.57805555555</v>
      </c>
      <c r="C6878" s="1" t="n">
        <v>45884</v>
      </c>
      <c r="D6878" t="inlineStr">
        <is>
          <t>KALMAR LÄN</t>
        </is>
      </c>
      <c r="E6878" t="inlineStr">
        <is>
          <t>VIMMERBY</t>
        </is>
      </c>
      <c r="G6878" t="n">
        <v>2</v>
      </c>
      <c r="H6878" t="n">
        <v>0</v>
      </c>
      <c r="I6878" t="n">
        <v>0</v>
      </c>
      <c r="J6878" t="n">
        <v>0</v>
      </c>
      <c r="K6878" t="n">
        <v>0</v>
      </c>
      <c r="L6878" t="n">
        <v>0</v>
      </c>
      <c r="M6878" t="n">
        <v>0</v>
      </c>
      <c r="N6878" t="n">
        <v>0</v>
      </c>
      <c r="O6878" t="n">
        <v>0</v>
      </c>
      <c r="P6878" t="n">
        <v>0</v>
      </c>
      <c r="Q6878" t="n">
        <v>0</v>
      </c>
      <c r="R6878" s="2" t="inlineStr"/>
    </row>
    <row r="6879" ht="15" customHeight="1">
      <c r="A6879" t="inlineStr">
        <is>
          <t>A 29368-2025</t>
        </is>
      </c>
      <c r="B6879" s="1" t="n">
        <v>45824.57248842593</v>
      </c>
      <c r="C6879" s="1" t="n">
        <v>45884</v>
      </c>
      <c r="D6879" t="inlineStr">
        <is>
          <t>KALMAR LÄN</t>
        </is>
      </c>
      <c r="E6879" t="inlineStr">
        <is>
          <t>NYBRO</t>
        </is>
      </c>
      <c r="F6879" t="inlineStr">
        <is>
          <t>Sveaskog</t>
        </is>
      </c>
      <c r="G6879" t="n">
        <v>1.6</v>
      </c>
      <c r="H6879" t="n">
        <v>0</v>
      </c>
      <c r="I6879" t="n">
        <v>0</v>
      </c>
      <c r="J6879" t="n">
        <v>0</v>
      </c>
      <c r="K6879" t="n">
        <v>0</v>
      </c>
      <c r="L6879" t="n">
        <v>0</v>
      </c>
      <c r="M6879" t="n">
        <v>0</v>
      </c>
      <c r="N6879" t="n">
        <v>0</v>
      </c>
      <c r="O6879" t="n">
        <v>0</v>
      </c>
      <c r="P6879" t="n">
        <v>0</v>
      </c>
      <c r="Q6879" t="n">
        <v>0</v>
      </c>
      <c r="R6879" s="2" t="inlineStr"/>
    </row>
    <row r="6880" ht="15" customHeight="1">
      <c r="A6880" t="inlineStr">
        <is>
          <t>A 36282-2025</t>
        </is>
      </c>
      <c r="B6880" s="1" t="n">
        <v>45867.64663194444</v>
      </c>
      <c r="C6880" s="1" t="n">
        <v>45884</v>
      </c>
      <c r="D6880" t="inlineStr">
        <is>
          <t>KALMAR LÄN</t>
        </is>
      </c>
      <c r="E6880" t="inlineStr">
        <is>
          <t>VIMMERBY</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29718-2025</t>
        </is>
      </c>
      <c r="B6881" s="1" t="n">
        <v>45825</v>
      </c>
      <c r="C6881" s="1" t="n">
        <v>45884</v>
      </c>
      <c r="D6881" t="inlineStr">
        <is>
          <t>KALMAR LÄN</t>
        </is>
      </c>
      <c r="E6881" t="inlineStr">
        <is>
          <t>HULTSFRED</t>
        </is>
      </c>
      <c r="G6881" t="n">
        <v>1.4</v>
      </c>
      <c r="H6881" t="n">
        <v>0</v>
      </c>
      <c r="I6881" t="n">
        <v>0</v>
      </c>
      <c r="J6881" t="n">
        <v>0</v>
      </c>
      <c r="K6881" t="n">
        <v>0</v>
      </c>
      <c r="L6881" t="n">
        <v>0</v>
      </c>
      <c r="M6881" t="n">
        <v>0</v>
      </c>
      <c r="N6881" t="n">
        <v>0</v>
      </c>
      <c r="O6881" t="n">
        <v>0</v>
      </c>
      <c r="P6881" t="n">
        <v>0</v>
      </c>
      <c r="Q6881" t="n">
        <v>0</v>
      </c>
      <c r="R6881" s="2" t="inlineStr"/>
    </row>
    <row r="6882" ht="15" customHeight="1">
      <c r="A6882" t="inlineStr">
        <is>
          <t>A 36299-2025</t>
        </is>
      </c>
      <c r="B6882" s="1" t="n">
        <v>45867.69346064814</v>
      </c>
      <c r="C6882" s="1" t="n">
        <v>45884</v>
      </c>
      <c r="D6882" t="inlineStr">
        <is>
          <t>KALMAR LÄN</t>
        </is>
      </c>
      <c r="E6882" t="inlineStr">
        <is>
          <t>VIMMERBY</t>
        </is>
      </c>
      <c r="G6882" t="n">
        <v>7.6</v>
      </c>
      <c r="H6882" t="n">
        <v>0</v>
      </c>
      <c r="I6882" t="n">
        <v>0</v>
      </c>
      <c r="J6882" t="n">
        <v>0</v>
      </c>
      <c r="K6882" t="n">
        <v>0</v>
      </c>
      <c r="L6882" t="n">
        <v>0</v>
      </c>
      <c r="M6882" t="n">
        <v>0</v>
      </c>
      <c r="N6882" t="n">
        <v>0</v>
      </c>
      <c r="O6882" t="n">
        <v>0</v>
      </c>
      <c r="P6882" t="n">
        <v>0</v>
      </c>
      <c r="Q6882" t="n">
        <v>0</v>
      </c>
      <c r="R6882" s="2" t="inlineStr"/>
    </row>
    <row r="6883" ht="15" customHeight="1">
      <c r="A6883" t="inlineStr">
        <is>
          <t>A 36221-2025</t>
        </is>
      </c>
      <c r="B6883" s="1" t="n">
        <v>45867.50792824074</v>
      </c>
      <c r="C6883" s="1" t="n">
        <v>45884</v>
      </c>
      <c r="D6883" t="inlineStr">
        <is>
          <t>KALMAR LÄN</t>
        </is>
      </c>
      <c r="E6883" t="inlineStr">
        <is>
          <t>VIMMERBY</t>
        </is>
      </c>
      <c r="G6883" t="n">
        <v>2.5</v>
      </c>
      <c r="H6883" t="n">
        <v>0</v>
      </c>
      <c r="I6883" t="n">
        <v>0</v>
      </c>
      <c r="J6883" t="n">
        <v>0</v>
      </c>
      <c r="K6883" t="n">
        <v>0</v>
      </c>
      <c r="L6883" t="n">
        <v>0</v>
      </c>
      <c r="M6883" t="n">
        <v>0</v>
      </c>
      <c r="N6883" t="n">
        <v>0</v>
      </c>
      <c r="O6883" t="n">
        <v>0</v>
      </c>
      <c r="P6883" t="n">
        <v>0</v>
      </c>
      <c r="Q6883" t="n">
        <v>0</v>
      </c>
      <c r="R6883" s="2" t="inlineStr"/>
    </row>
    <row r="6884" ht="15" customHeight="1">
      <c r="A6884" t="inlineStr">
        <is>
          <t>A 50589-2024</t>
        </is>
      </c>
      <c r="B6884" s="1" t="n">
        <v>45601</v>
      </c>
      <c r="C6884" s="1" t="n">
        <v>45884</v>
      </c>
      <c r="D6884" t="inlineStr">
        <is>
          <t>KALMAR LÄN</t>
        </is>
      </c>
      <c r="E6884" t="inlineStr">
        <is>
          <t>NYBRO</t>
        </is>
      </c>
      <c r="G6884" t="n">
        <v>11.3</v>
      </c>
      <c r="H6884" t="n">
        <v>0</v>
      </c>
      <c r="I6884" t="n">
        <v>0</v>
      </c>
      <c r="J6884" t="n">
        <v>0</v>
      </c>
      <c r="K6884" t="n">
        <v>0</v>
      </c>
      <c r="L6884" t="n">
        <v>0</v>
      </c>
      <c r="M6884" t="n">
        <v>0</v>
      </c>
      <c r="N6884" t="n">
        <v>0</v>
      </c>
      <c r="O6884" t="n">
        <v>0</v>
      </c>
      <c r="P6884" t="n">
        <v>0</v>
      </c>
      <c r="Q6884" t="n">
        <v>0</v>
      </c>
      <c r="R6884" s="2" t="inlineStr"/>
    </row>
    <row r="6885" ht="15" customHeight="1">
      <c r="A6885" t="inlineStr">
        <is>
          <t>A 29271-2025</t>
        </is>
      </c>
      <c r="B6885" s="1" t="n">
        <v>45824.4099537037</v>
      </c>
      <c r="C6885" s="1" t="n">
        <v>45884</v>
      </c>
      <c r="D6885" t="inlineStr">
        <is>
          <t>KALMAR LÄN</t>
        </is>
      </c>
      <c r="E6885" t="inlineStr">
        <is>
          <t>KALMAR</t>
        </is>
      </c>
      <c r="F6885" t="inlineStr">
        <is>
          <t>Kommuner</t>
        </is>
      </c>
      <c r="G6885" t="n">
        <v>2.3</v>
      </c>
      <c r="H6885" t="n">
        <v>0</v>
      </c>
      <c r="I6885" t="n">
        <v>0</v>
      </c>
      <c r="J6885" t="n">
        <v>0</v>
      </c>
      <c r="K6885" t="n">
        <v>0</v>
      </c>
      <c r="L6885" t="n">
        <v>0</v>
      </c>
      <c r="M6885" t="n">
        <v>0</v>
      </c>
      <c r="N6885" t="n">
        <v>0</v>
      </c>
      <c r="O6885" t="n">
        <v>0</v>
      </c>
      <c r="P6885" t="n">
        <v>0</v>
      </c>
      <c r="Q6885" t="n">
        <v>0</v>
      </c>
      <c r="R6885" s="2" t="inlineStr"/>
    </row>
    <row r="6886" ht="15" customHeight="1">
      <c r="A6886" t="inlineStr">
        <is>
          <t>A 29571-2025</t>
        </is>
      </c>
      <c r="B6886" s="1" t="n">
        <v>45825.36836805556</v>
      </c>
      <c r="C6886" s="1" t="n">
        <v>45884</v>
      </c>
      <c r="D6886" t="inlineStr">
        <is>
          <t>KALMAR LÄN</t>
        </is>
      </c>
      <c r="E6886" t="inlineStr">
        <is>
          <t>OSKARSHAMN</t>
        </is>
      </c>
      <c r="G6886" t="n">
        <v>0.4</v>
      </c>
      <c r="H6886" t="n">
        <v>0</v>
      </c>
      <c r="I6886" t="n">
        <v>0</v>
      </c>
      <c r="J6886" t="n">
        <v>0</v>
      </c>
      <c r="K6886" t="n">
        <v>0</v>
      </c>
      <c r="L6886" t="n">
        <v>0</v>
      </c>
      <c r="M6886" t="n">
        <v>0</v>
      </c>
      <c r="N6886" t="n">
        <v>0</v>
      </c>
      <c r="O6886" t="n">
        <v>0</v>
      </c>
      <c r="P6886" t="n">
        <v>0</v>
      </c>
      <c r="Q6886" t="n">
        <v>0</v>
      </c>
      <c r="R6886" s="2" t="inlineStr"/>
    </row>
    <row r="6887" ht="15" customHeight="1">
      <c r="A6887" t="inlineStr">
        <is>
          <t>A 29744-2025</t>
        </is>
      </c>
      <c r="B6887" s="1" t="n">
        <v>45825</v>
      </c>
      <c r="C6887" s="1" t="n">
        <v>45884</v>
      </c>
      <c r="D6887" t="inlineStr">
        <is>
          <t>KALMAR LÄN</t>
        </is>
      </c>
      <c r="E6887" t="inlineStr">
        <is>
          <t>HULTSFRED</t>
        </is>
      </c>
      <c r="G6887" t="n">
        <v>7.3</v>
      </c>
      <c r="H6887" t="n">
        <v>0</v>
      </c>
      <c r="I6887" t="n">
        <v>0</v>
      </c>
      <c r="J6887" t="n">
        <v>0</v>
      </c>
      <c r="K6887" t="n">
        <v>0</v>
      </c>
      <c r="L6887" t="n">
        <v>0</v>
      </c>
      <c r="M6887" t="n">
        <v>0</v>
      </c>
      <c r="N6887" t="n">
        <v>0</v>
      </c>
      <c r="O6887" t="n">
        <v>0</v>
      </c>
      <c r="P6887" t="n">
        <v>0</v>
      </c>
      <c r="Q6887" t="n">
        <v>0</v>
      </c>
      <c r="R6887" s="2" t="inlineStr"/>
    </row>
    <row r="6888" ht="15" customHeight="1">
      <c r="A6888" t="inlineStr">
        <is>
          <t>A 29420-2025</t>
        </is>
      </c>
      <c r="B6888" s="1" t="n">
        <v>45824.63803240741</v>
      </c>
      <c r="C6888" s="1" t="n">
        <v>45884</v>
      </c>
      <c r="D6888" t="inlineStr">
        <is>
          <t>KALMAR LÄN</t>
        </is>
      </c>
      <c r="E6888" t="inlineStr">
        <is>
          <t>NYBRO</t>
        </is>
      </c>
      <c r="G6888" t="n">
        <v>2.9</v>
      </c>
      <c r="H6888" t="n">
        <v>0</v>
      </c>
      <c r="I6888" t="n">
        <v>0</v>
      </c>
      <c r="J6888" t="n">
        <v>0</v>
      </c>
      <c r="K6888" t="n">
        <v>0</v>
      </c>
      <c r="L6888" t="n">
        <v>0</v>
      </c>
      <c r="M6888" t="n">
        <v>0</v>
      </c>
      <c r="N6888" t="n">
        <v>0</v>
      </c>
      <c r="O6888" t="n">
        <v>0</v>
      </c>
      <c r="P6888" t="n">
        <v>0</v>
      </c>
      <c r="Q6888" t="n">
        <v>0</v>
      </c>
      <c r="R6888" s="2" t="inlineStr"/>
    </row>
    <row r="6889" ht="15" customHeight="1">
      <c r="A6889" t="inlineStr">
        <is>
          <t>A 36273-2025</t>
        </is>
      </c>
      <c r="B6889" s="1" t="n">
        <v>45867.63094907408</v>
      </c>
      <c r="C6889" s="1" t="n">
        <v>45884</v>
      </c>
      <c r="D6889" t="inlineStr">
        <is>
          <t>KALMAR LÄN</t>
        </is>
      </c>
      <c r="E6889" t="inlineStr">
        <is>
          <t>VIMMERBY</t>
        </is>
      </c>
      <c r="G6889" t="n">
        <v>1.7</v>
      </c>
      <c r="H6889" t="n">
        <v>0</v>
      </c>
      <c r="I6889" t="n">
        <v>0</v>
      </c>
      <c r="J6889" t="n">
        <v>0</v>
      </c>
      <c r="K6889" t="n">
        <v>0</v>
      </c>
      <c r="L6889" t="n">
        <v>0</v>
      </c>
      <c r="M6889" t="n">
        <v>0</v>
      </c>
      <c r="N6889" t="n">
        <v>0</v>
      </c>
      <c r="O6889" t="n">
        <v>0</v>
      </c>
      <c r="P6889" t="n">
        <v>0</v>
      </c>
      <c r="Q6889" t="n">
        <v>0</v>
      </c>
      <c r="R6889" s="2" t="inlineStr"/>
    </row>
    <row r="6890" ht="15" customHeight="1">
      <c r="A6890" t="inlineStr">
        <is>
          <t>A 29728-2025</t>
        </is>
      </c>
      <c r="B6890" s="1" t="n">
        <v>45825</v>
      </c>
      <c r="C6890" s="1" t="n">
        <v>45884</v>
      </c>
      <c r="D6890" t="inlineStr">
        <is>
          <t>KALMAR LÄN</t>
        </is>
      </c>
      <c r="E6890" t="inlineStr">
        <is>
          <t>HULTSFRED</t>
        </is>
      </c>
      <c r="G6890" t="n">
        <v>1</v>
      </c>
      <c r="H6890" t="n">
        <v>0</v>
      </c>
      <c r="I6890" t="n">
        <v>0</v>
      </c>
      <c r="J6890" t="n">
        <v>0</v>
      </c>
      <c r="K6890" t="n">
        <v>0</v>
      </c>
      <c r="L6890" t="n">
        <v>0</v>
      </c>
      <c r="M6890" t="n">
        <v>0</v>
      </c>
      <c r="N6890" t="n">
        <v>0</v>
      </c>
      <c r="O6890" t="n">
        <v>0</v>
      </c>
      <c r="P6890" t="n">
        <v>0</v>
      </c>
      <c r="Q6890" t="n">
        <v>0</v>
      </c>
      <c r="R6890" s="2" t="inlineStr"/>
    </row>
    <row r="6891" ht="15" customHeight="1">
      <c r="A6891" t="inlineStr">
        <is>
          <t>A 29737-2025</t>
        </is>
      </c>
      <c r="B6891" s="1" t="n">
        <v>45825.58672453704</v>
      </c>
      <c r="C6891" s="1" t="n">
        <v>45884</v>
      </c>
      <c r="D6891" t="inlineStr">
        <is>
          <t>KALMAR LÄN</t>
        </is>
      </c>
      <c r="E6891" t="inlineStr">
        <is>
          <t>VIMMERBY</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29636-2025</t>
        </is>
      </c>
      <c r="B6892" s="1" t="n">
        <v>45825.4537037037</v>
      </c>
      <c r="C6892" s="1" t="n">
        <v>45884</v>
      </c>
      <c r="D6892" t="inlineStr">
        <is>
          <t>KALMAR LÄN</t>
        </is>
      </c>
      <c r="E6892" t="inlineStr">
        <is>
          <t>TORSÅS</t>
        </is>
      </c>
      <c r="G6892" t="n">
        <v>0.6</v>
      </c>
      <c r="H6892" t="n">
        <v>0</v>
      </c>
      <c r="I6892" t="n">
        <v>0</v>
      </c>
      <c r="J6892" t="n">
        <v>0</v>
      </c>
      <c r="K6892" t="n">
        <v>0</v>
      </c>
      <c r="L6892" t="n">
        <v>0</v>
      </c>
      <c r="M6892" t="n">
        <v>0</v>
      </c>
      <c r="N6892" t="n">
        <v>0</v>
      </c>
      <c r="O6892" t="n">
        <v>0</v>
      </c>
      <c r="P6892" t="n">
        <v>0</v>
      </c>
      <c r="Q6892" t="n">
        <v>0</v>
      </c>
      <c r="R6892" s="2" t="inlineStr"/>
    </row>
    <row r="6893" ht="15" customHeight="1">
      <c r="A6893" t="inlineStr">
        <is>
          <t>A 36246-2025</t>
        </is>
      </c>
      <c r="B6893" s="1" t="n">
        <v>45867.56320601852</v>
      </c>
      <c r="C6893" s="1" t="n">
        <v>45884</v>
      </c>
      <c r="D6893" t="inlineStr">
        <is>
          <t>KALMAR LÄN</t>
        </is>
      </c>
      <c r="E6893" t="inlineStr">
        <is>
          <t>VIMMERBY</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36269-2025</t>
        </is>
      </c>
      <c r="B6894" s="1" t="n">
        <v>45867.61736111111</v>
      </c>
      <c r="C6894" s="1" t="n">
        <v>45884</v>
      </c>
      <c r="D6894" t="inlineStr">
        <is>
          <t>KALMAR LÄN</t>
        </is>
      </c>
      <c r="E6894" t="inlineStr">
        <is>
          <t>BORGHOLM</t>
        </is>
      </c>
      <c r="F6894" t="inlineStr">
        <is>
          <t>Sveaskog</t>
        </is>
      </c>
      <c r="G6894" t="n">
        <v>3.3</v>
      </c>
      <c r="H6894" t="n">
        <v>0</v>
      </c>
      <c r="I6894" t="n">
        <v>0</v>
      </c>
      <c r="J6894" t="n">
        <v>0</v>
      </c>
      <c r="K6894" t="n">
        <v>0</v>
      </c>
      <c r="L6894" t="n">
        <v>0</v>
      </c>
      <c r="M6894" t="n">
        <v>0</v>
      </c>
      <c r="N6894" t="n">
        <v>0</v>
      </c>
      <c r="O6894" t="n">
        <v>0</v>
      </c>
      <c r="P6894" t="n">
        <v>0</v>
      </c>
      <c r="Q6894" t="n">
        <v>0</v>
      </c>
      <c r="R6894" s="2" t="inlineStr"/>
    </row>
    <row r="6895" ht="15" customHeight="1">
      <c r="A6895" t="inlineStr">
        <is>
          <t>A 36297-2025</t>
        </is>
      </c>
      <c r="B6895" s="1" t="n">
        <v>45867.68625</v>
      </c>
      <c r="C6895" s="1" t="n">
        <v>45884</v>
      </c>
      <c r="D6895" t="inlineStr">
        <is>
          <t>KALMAR LÄN</t>
        </is>
      </c>
      <c r="E6895" t="inlineStr">
        <is>
          <t>VIMMERBY</t>
        </is>
      </c>
      <c r="G6895" t="n">
        <v>4.9</v>
      </c>
      <c r="H6895" t="n">
        <v>0</v>
      </c>
      <c r="I6895" t="n">
        <v>0</v>
      </c>
      <c r="J6895" t="n">
        <v>0</v>
      </c>
      <c r="K6895" t="n">
        <v>0</v>
      </c>
      <c r="L6895" t="n">
        <v>0</v>
      </c>
      <c r="M6895" t="n">
        <v>0</v>
      </c>
      <c r="N6895" t="n">
        <v>0</v>
      </c>
      <c r="O6895" t="n">
        <v>0</v>
      </c>
      <c r="P6895" t="n">
        <v>0</v>
      </c>
      <c r="Q6895" t="n">
        <v>0</v>
      </c>
      <c r="R6895" s="2" t="inlineStr"/>
    </row>
    <row r="6896" ht="15" customHeight="1">
      <c r="A6896" t="inlineStr">
        <is>
          <t>A 29640-2025</t>
        </is>
      </c>
      <c r="B6896" s="1" t="n">
        <v>45825.46209490741</v>
      </c>
      <c r="C6896" s="1" t="n">
        <v>45884</v>
      </c>
      <c r="D6896" t="inlineStr">
        <is>
          <t>KALMAR LÄN</t>
        </is>
      </c>
      <c r="E6896" t="inlineStr">
        <is>
          <t>HÖGSBY</t>
        </is>
      </c>
      <c r="G6896" t="n">
        <v>3.4</v>
      </c>
      <c r="H6896" t="n">
        <v>0</v>
      </c>
      <c r="I6896" t="n">
        <v>0</v>
      </c>
      <c r="J6896" t="n">
        <v>0</v>
      </c>
      <c r="K6896" t="n">
        <v>0</v>
      </c>
      <c r="L6896" t="n">
        <v>0</v>
      </c>
      <c r="M6896" t="n">
        <v>0</v>
      </c>
      <c r="N6896" t="n">
        <v>0</v>
      </c>
      <c r="O6896" t="n">
        <v>0</v>
      </c>
      <c r="P6896" t="n">
        <v>0</v>
      </c>
      <c r="Q6896" t="n">
        <v>0</v>
      </c>
      <c r="R6896" s="2" t="inlineStr"/>
    </row>
    <row r="6897" ht="15" customHeight="1">
      <c r="A6897" t="inlineStr">
        <is>
          <t>A 29673-2025</t>
        </is>
      </c>
      <c r="B6897" s="1" t="n">
        <v>45825.50280092593</v>
      </c>
      <c r="C6897" s="1" t="n">
        <v>45884</v>
      </c>
      <c r="D6897" t="inlineStr">
        <is>
          <t>KALMAR LÄN</t>
        </is>
      </c>
      <c r="E6897" t="inlineStr">
        <is>
          <t>VIMMERBY</t>
        </is>
      </c>
      <c r="G6897" t="n">
        <v>6.4</v>
      </c>
      <c r="H6897" t="n">
        <v>0</v>
      </c>
      <c r="I6897" t="n">
        <v>0</v>
      </c>
      <c r="J6897" t="n">
        <v>0</v>
      </c>
      <c r="K6897" t="n">
        <v>0</v>
      </c>
      <c r="L6897" t="n">
        <v>0</v>
      </c>
      <c r="M6897" t="n">
        <v>0</v>
      </c>
      <c r="N6897" t="n">
        <v>0</v>
      </c>
      <c r="O6897" t="n">
        <v>0</v>
      </c>
      <c r="P6897" t="n">
        <v>0</v>
      </c>
      <c r="Q6897" t="n">
        <v>0</v>
      </c>
      <c r="R6897" s="2" t="inlineStr"/>
    </row>
    <row r="6898" ht="15" customHeight="1">
      <c r="A6898" t="inlineStr">
        <is>
          <t>A 29651-2025</t>
        </is>
      </c>
      <c r="B6898" s="1" t="n">
        <v>45825.47642361111</v>
      </c>
      <c r="C6898" s="1" t="n">
        <v>45884</v>
      </c>
      <c r="D6898" t="inlineStr">
        <is>
          <t>KALMAR LÄN</t>
        </is>
      </c>
      <c r="E6898" t="inlineStr">
        <is>
          <t>OSKARSHAMN</t>
        </is>
      </c>
      <c r="G6898" t="n">
        <v>2.9</v>
      </c>
      <c r="H6898" t="n">
        <v>0</v>
      </c>
      <c r="I6898" t="n">
        <v>0</v>
      </c>
      <c r="J6898" t="n">
        <v>0</v>
      </c>
      <c r="K6898" t="n">
        <v>0</v>
      </c>
      <c r="L6898" t="n">
        <v>0</v>
      </c>
      <c r="M6898" t="n">
        <v>0</v>
      </c>
      <c r="N6898" t="n">
        <v>0</v>
      </c>
      <c r="O6898" t="n">
        <v>0</v>
      </c>
      <c r="P6898" t="n">
        <v>0</v>
      </c>
      <c r="Q6898" t="n">
        <v>0</v>
      </c>
      <c r="R6898" s="2" t="inlineStr"/>
    </row>
    <row r="6899" ht="15" customHeight="1">
      <c r="A6899" t="inlineStr">
        <is>
          <t>A 36252-2025</t>
        </is>
      </c>
      <c r="B6899" s="1" t="n">
        <v>45867.57765046296</v>
      </c>
      <c r="C6899" s="1" t="n">
        <v>45884</v>
      </c>
      <c r="D6899" t="inlineStr">
        <is>
          <t>KALMAR LÄN</t>
        </is>
      </c>
      <c r="E6899" t="inlineStr">
        <is>
          <t>EMMABODA</t>
        </is>
      </c>
      <c r="G6899" t="n">
        <v>5.1</v>
      </c>
      <c r="H6899" t="n">
        <v>0</v>
      </c>
      <c r="I6899" t="n">
        <v>0</v>
      </c>
      <c r="J6899" t="n">
        <v>0</v>
      </c>
      <c r="K6899" t="n">
        <v>0</v>
      </c>
      <c r="L6899" t="n">
        <v>0</v>
      </c>
      <c r="M6899" t="n">
        <v>0</v>
      </c>
      <c r="N6899" t="n">
        <v>0</v>
      </c>
      <c r="O6899" t="n">
        <v>0</v>
      </c>
      <c r="P6899" t="n">
        <v>0</v>
      </c>
      <c r="Q6899" t="n">
        <v>0</v>
      </c>
      <c r="R6899" s="2" t="inlineStr"/>
    </row>
    <row r="6900" ht="15" customHeight="1">
      <c r="A6900" t="inlineStr">
        <is>
          <t>A 29646-2025</t>
        </is>
      </c>
      <c r="B6900" s="1" t="n">
        <v>45825.46601851852</v>
      </c>
      <c r="C6900" s="1" t="n">
        <v>45884</v>
      </c>
      <c r="D6900" t="inlineStr">
        <is>
          <t>KALMAR LÄN</t>
        </is>
      </c>
      <c r="E6900" t="inlineStr">
        <is>
          <t>HÖGSBY</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29727-2025</t>
        </is>
      </c>
      <c r="B6901" s="1" t="n">
        <v>45825.5796875</v>
      </c>
      <c r="C6901" s="1" t="n">
        <v>45884</v>
      </c>
      <c r="D6901" t="inlineStr">
        <is>
          <t>KALMAR LÄN</t>
        </is>
      </c>
      <c r="E6901" t="inlineStr">
        <is>
          <t>VIMMERBY</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29320-2025</t>
        </is>
      </c>
      <c r="B6902" s="1" t="n">
        <v>45824.47503472222</v>
      </c>
      <c r="C6902" s="1" t="n">
        <v>45884</v>
      </c>
      <c r="D6902" t="inlineStr">
        <is>
          <t>KALMAR LÄN</t>
        </is>
      </c>
      <c r="E6902" t="inlineStr">
        <is>
          <t>NYBRO</t>
        </is>
      </c>
      <c r="G6902" t="n">
        <v>2.2</v>
      </c>
      <c r="H6902" t="n">
        <v>0</v>
      </c>
      <c r="I6902" t="n">
        <v>0</v>
      </c>
      <c r="J6902" t="n">
        <v>0</v>
      </c>
      <c r="K6902" t="n">
        <v>0</v>
      </c>
      <c r="L6902" t="n">
        <v>0</v>
      </c>
      <c r="M6902" t="n">
        <v>0</v>
      </c>
      <c r="N6902" t="n">
        <v>0</v>
      </c>
      <c r="O6902" t="n">
        <v>0</v>
      </c>
      <c r="P6902" t="n">
        <v>0</v>
      </c>
      <c r="Q6902" t="n">
        <v>0</v>
      </c>
      <c r="R6902" s="2" t="inlineStr"/>
    </row>
    <row r="6903" ht="15" customHeight="1">
      <c r="A6903" t="inlineStr">
        <is>
          <t>A 29226-2025</t>
        </is>
      </c>
      <c r="B6903" s="1" t="n">
        <v>45824.33850694444</v>
      </c>
      <c r="C6903" s="1" t="n">
        <v>45884</v>
      </c>
      <c r="D6903" t="inlineStr">
        <is>
          <t>KALMAR LÄN</t>
        </is>
      </c>
      <c r="E6903" t="inlineStr">
        <is>
          <t>KALMAR</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36144-2025</t>
        </is>
      </c>
      <c r="B6904" s="1" t="n">
        <v>45866.74208333333</v>
      </c>
      <c r="C6904" s="1" t="n">
        <v>45884</v>
      </c>
      <c r="D6904" t="inlineStr">
        <is>
          <t>KALMAR LÄN</t>
        </is>
      </c>
      <c r="E6904" t="inlineStr">
        <is>
          <t>KALMAR</t>
        </is>
      </c>
      <c r="G6904" t="n">
        <v>1.9</v>
      </c>
      <c r="H6904" t="n">
        <v>0</v>
      </c>
      <c r="I6904" t="n">
        <v>0</v>
      </c>
      <c r="J6904" t="n">
        <v>0</v>
      </c>
      <c r="K6904" t="n">
        <v>0</v>
      </c>
      <c r="L6904" t="n">
        <v>0</v>
      </c>
      <c r="M6904" t="n">
        <v>0</v>
      </c>
      <c r="N6904" t="n">
        <v>0</v>
      </c>
      <c r="O6904" t="n">
        <v>0</v>
      </c>
      <c r="P6904" t="n">
        <v>0</v>
      </c>
      <c r="Q6904" t="n">
        <v>0</v>
      </c>
      <c r="R6904" s="2" t="inlineStr"/>
    </row>
    <row r="6905" ht="15" customHeight="1">
      <c r="A6905" t="inlineStr">
        <is>
          <t>A 29361-2025</t>
        </is>
      </c>
      <c r="B6905" s="1" t="n">
        <v>45824.56317129629</v>
      </c>
      <c r="C6905" s="1" t="n">
        <v>45884</v>
      </c>
      <c r="D6905" t="inlineStr">
        <is>
          <t>KALMAR LÄN</t>
        </is>
      </c>
      <c r="E6905" t="inlineStr">
        <is>
          <t>NYBRO</t>
        </is>
      </c>
      <c r="F6905" t="inlineStr">
        <is>
          <t>Sveaskog</t>
        </is>
      </c>
      <c r="G6905" t="n">
        <v>0.9</v>
      </c>
      <c r="H6905" t="n">
        <v>0</v>
      </c>
      <c r="I6905" t="n">
        <v>0</v>
      </c>
      <c r="J6905" t="n">
        <v>0</v>
      </c>
      <c r="K6905" t="n">
        <v>0</v>
      </c>
      <c r="L6905" t="n">
        <v>0</v>
      </c>
      <c r="M6905" t="n">
        <v>0</v>
      </c>
      <c r="N6905" t="n">
        <v>0</v>
      </c>
      <c r="O6905" t="n">
        <v>0</v>
      </c>
      <c r="P6905" t="n">
        <v>0</v>
      </c>
      <c r="Q6905" t="n">
        <v>0</v>
      </c>
      <c r="R6905" s="2" t="inlineStr"/>
    </row>
    <row r="6906" ht="15" customHeight="1">
      <c r="A6906" t="inlineStr">
        <is>
          <t>A 29628-2025</t>
        </is>
      </c>
      <c r="B6906" s="1" t="n">
        <v>45825.44528935185</v>
      </c>
      <c r="C6906" s="1" t="n">
        <v>45884</v>
      </c>
      <c r="D6906" t="inlineStr">
        <is>
          <t>KALMAR LÄN</t>
        </is>
      </c>
      <c r="E6906" t="inlineStr">
        <is>
          <t>EMMABODA</t>
        </is>
      </c>
      <c r="G6906" t="n">
        <v>6.1</v>
      </c>
      <c r="H6906" t="n">
        <v>0</v>
      </c>
      <c r="I6906" t="n">
        <v>0</v>
      </c>
      <c r="J6906" t="n">
        <v>0</v>
      </c>
      <c r="K6906" t="n">
        <v>0</v>
      </c>
      <c r="L6906" t="n">
        <v>0</v>
      </c>
      <c r="M6906" t="n">
        <v>0</v>
      </c>
      <c r="N6906" t="n">
        <v>0</v>
      </c>
      <c r="O6906" t="n">
        <v>0</v>
      </c>
      <c r="P6906" t="n">
        <v>0</v>
      </c>
      <c r="Q6906" t="n">
        <v>0</v>
      </c>
      <c r="R6906" s="2" t="inlineStr"/>
    </row>
    <row r="6907" ht="15" customHeight="1">
      <c r="A6907" t="inlineStr">
        <is>
          <t>A 29719-2025</t>
        </is>
      </c>
      <c r="B6907" s="1" t="n">
        <v>45825.57315972223</v>
      </c>
      <c r="C6907" s="1" t="n">
        <v>45884</v>
      </c>
      <c r="D6907" t="inlineStr">
        <is>
          <t>KALMAR LÄN</t>
        </is>
      </c>
      <c r="E6907" t="inlineStr">
        <is>
          <t>VÄSTERVIK</t>
        </is>
      </c>
      <c r="G6907" t="n">
        <v>2.9</v>
      </c>
      <c r="H6907" t="n">
        <v>0</v>
      </c>
      <c r="I6907" t="n">
        <v>0</v>
      </c>
      <c r="J6907" t="n">
        <v>0</v>
      </c>
      <c r="K6907" t="n">
        <v>0</v>
      </c>
      <c r="L6907" t="n">
        <v>0</v>
      </c>
      <c r="M6907" t="n">
        <v>0</v>
      </c>
      <c r="N6907" t="n">
        <v>0</v>
      </c>
      <c r="O6907" t="n">
        <v>0</v>
      </c>
      <c r="P6907" t="n">
        <v>0</v>
      </c>
      <c r="Q6907" t="n">
        <v>0</v>
      </c>
      <c r="R6907" s="2" t="inlineStr"/>
    </row>
    <row r="6908" ht="15" customHeight="1">
      <c r="A6908" t="inlineStr">
        <is>
          <t>A 29722-2025</t>
        </is>
      </c>
      <c r="B6908" s="1" t="n">
        <v>45825.57524305556</v>
      </c>
      <c r="C6908" s="1" t="n">
        <v>45884</v>
      </c>
      <c r="D6908" t="inlineStr">
        <is>
          <t>KALMAR LÄN</t>
        </is>
      </c>
      <c r="E6908" t="inlineStr">
        <is>
          <t>VÄSTERVIK</t>
        </is>
      </c>
      <c r="G6908" t="n">
        <v>2.9</v>
      </c>
      <c r="H6908" t="n">
        <v>0</v>
      </c>
      <c r="I6908" t="n">
        <v>0</v>
      </c>
      <c r="J6908" t="n">
        <v>0</v>
      </c>
      <c r="K6908" t="n">
        <v>0</v>
      </c>
      <c r="L6908" t="n">
        <v>0</v>
      </c>
      <c r="M6908" t="n">
        <v>0</v>
      </c>
      <c r="N6908" t="n">
        <v>0</v>
      </c>
      <c r="O6908" t="n">
        <v>0</v>
      </c>
      <c r="P6908" t="n">
        <v>0</v>
      </c>
      <c r="Q6908" t="n">
        <v>0</v>
      </c>
      <c r="R6908" s="2" t="inlineStr"/>
    </row>
    <row r="6909" ht="15" customHeight="1">
      <c r="A6909" t="inlineStr">
        <is>
          <t>A 29618-2025</t>
        </is>
      </c>
      <c r="B6909" s="1" t="n">
        <v>45825.4341087963</v>
      </c>
      <c r="C6909" s="1" t="n">
        <v>45884</v>
      </c>
      <c r="D6909" t="inlineStr">
        <is>
          <t>KALMAR LÄN</t>
        </is>
      </c>
      <c r="E6909" t="inlineStr">
        <is>
          <t>EMMABODA</t>
        </is>
      </c>
      <c r="G6909" t="n">
        <v>9.4</v>
      </c>
      <c r="H6909" t="n">
        <v>0</v>
      </c>
      <c r="I6909" t="n">
        <v>0</v>
      </c>
      <c r="J6909" t="n">
        <v>0</v>
      </c>
      <c r="K6909" t="n">
        <v>0</v>
      </c>
      <c r="L6909" t="n">
        <v>0</v>
      </c>
      <c r="M6909" t="n">
        <v>0</v>
      </c>
      <c r="N6909" t="n">
        <v>0</v>
      </c>
      <c r="O6909" t="n">
        <v>0</v>
      </c>
      <c r="P6909" t="n">
        <v>0</v>
      </c>
      <c r="Q6909" t="n">
        <v>0</v>
      </c>
      <c r="R6909" s="2" t="inlineStr"/>
    </row>
    <row r="6910" ht="15" customHeight="1">
      <c r="A6910" t="inlineStr">
        <is>
          <t>A 20827-2025</t>
        </is>
      </c>
      <c r="B6910" s="1" t="n">
        <v>45776</v>
      </c>
      <c r="C6910" s="1" t="n">
        <v>45884</v>
      </c>
      <c r="D6910" t="inlineStr">
        <is>
          <t>KALMAR LÄN</t>
        </is>
      </c>
      <c r="E6910" t="inlineStr">
        <is>
          <t>HULTSFRED</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29807-2025</t>
        </is>
      </c>
      <c r="B6911" s="1" t="n">
        <v>45825.73362268518</v>
      </c>
      <c r="C6911" s="1" t="n">
        <v>45884</v>
      </c>
      <c r="D6911" t="inlineStr">
        <is>
          <t>KALMAR LÄN</t>
        </is>
      </c>
      <c r="E6911" t="inlineStr">
        <is>
          <t>EMMABODA</t>
        </is>
      </c>
      <c r="G6911" t="n">
        <v>4.5</v>
      </c>
      <c r="H6911" t="n">
        <v>0</v>
      </c>
      <c r="I6911" t="n">
        <v>0</v>
      </c>
      <c r="J6911" t="n">
        <v>0</v>
      </c>
      <c r="K6911" t="n">
        <v>0</v>
      </c>
      <c r="L6911" t="n">
        <v>0</v>
      </c>
      <c r="M6911" t="n">
        <v>0</v>
      </c>
      <c r="N6911" t="n">
        <v>0</v>
      </c>
      <c r="O6911" t="n">
        <v>0</v>
      </c>
      <c r="P6911" t="n">
        <v>0</v>
      </c>
      <c r="Q6911" t="n">
        <v>0</v>
      </c>
      <c r="R6911" s="2" t="inlineStr"/>
    </row>
    <row r="6912" ht="15" customHeight="1">
      <c r="A6912" t="inlineStr">
        <is>
          <t>A 36226-2025</t>
        </is>
      </c>
      <c r="B6912" s="1" t="n">
        <v>45867.51630787037</v>
      </c>
      <c r="C6912" s="1" t="n">
        <v>45884</v>
      </c>
      <c r="D6912" t="inlineStr">
        <is>
          <t>KALMAR LÄN</t>
        </is>
      </c>
      <c r="E6912" t="inlineStr">
        <is>
          <t>VIMMERBY</t>
        </is>
      </c>
      <c r="G6912" t="n">
        <v>3.1</v>
      </c>
      <c r="H6912" t="n">
        <v>0</v>
      </c>
      <c r="I6912" t="n">
        <v>0</v>
      </c>
      <c r="J6912" t="n">
        <v>0</v>
      </c>
      <c r="K6912" t="n">
        <v>0</v>
      </c>
      <c r="L6912" t="n">
        <v>0</v>
      </c>
      <c r="M6912" t="n">
        <v>0</v>
      </c>
      <c r="N6912" t="n">
        <v>0</v>
      </c>
      <c r="O6912" t="n">
        <v>0</v>
      </c>
      <c r="P6912" t="n">
        <v>0</v>
      </c>
      <c r="Q6912" t="n">
        <v>0</v>
      </c>
      <c r="R6912" s="2" t="inlineStr"/>
    </row>
    <row r="6913" ht="15" customHeight="1">
      <c r="A6913" t="inlineStr">
        <is>
          <t>A 29724-2025</t>
        </is>
      </c>
      <c r="B6913" s="1" t="n">
        <v>45825.57680555555</v>
      </c>
      <c r="C6913" s="1" t="n">
        <v>45884</v>
      </c>
      <c r="D6913" t="inlineStr">
        <is>
          <t>KALMAR LÄN</t>
        </is>
      </c>
      <c r="E6913" t="inlineStr">
        <is>
          <t>VIMMERBY</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30233-2025</t>
        </is>
      </c>
      <c r="B6914" s="1" t="n">
        <v>45827.38844907407</v>
      </c>
      <c r="C6914" s="1" t="n">
        <v>45884</v>
      </c>
      <c r="D6914" t="inlineStr">
        <is>
          <t>KALMAR LÄN</t>
        </is>
      </c>
      <c r="E6914" t="inlineStr">
        <is>
          <t>HULTSFRED</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30250-2025</t>
        </is>
      </c>
      <c r="B6915" s="1" t="n">
        <v>45827.4165625</v>
      </c>
      <c r="C6915" s="1" t="n">
        <v>45884</v>
      </c>
      <c r="D6915" t="inlineStr">
        <is>
          <t>KALMAR LÄN</t>
        </is>
      </c>
      <c r="E6915" t="inlineStr">
        <is>
          <t>HULTSFRED</t>
        </is>
      </c>
      <c r="G6915" t="n">
        <v>0.6</v>
      </c>
      <c r="H6915" t="n">
        <v>0</v>
      </c>
      <c r="I6915" t="n">
        <v>0</v>
      </c>
      <c r="J6915" t="n">
        <v>0</v>
      </c>
      <c r="K6915" t="n">
        <v>0</v>
      </c>
      <c r="L6915" t="n">
        <v>0</v>
      </c>
      <c r="M6915" t="n">
        <v>0</v>
      </c>
      <c r="N6915" t="n">
        <v>0</v>
      </c>
      <c r="O6915" t="n">
        <v>0</v>
      </c>
      <c r="P6915" t="n">
        <v>0</v>
      </c>
      <c r="Q6915" t="n">
        <v>0</v>
      </c>
      <c r="R6915" s="2" t="inlineStr"/>
    </row>
    <row r="6916" ht="15" customHeight="1">
      <c r="A6916" t="inlineStr">
        <is>
          <t>A 30005-2025</t>
        </is>
      </c>
      <c r="B6916" s="1" t="n">
        <v>45826.52912037037</v>
      </c>
      <c r="C6916" s="1" t="n">
        <v>45884</v>
      </c>
      <c r="D6916" t="inlineStr">
        <is>
          <t>KALMAR LÄN</t>
        </is>
      </c>
      <c r="E6916" t="inlineStr">
        <is>
          <t>HULTSFRED</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30095-2025</t>
        </is>
      </c>
      <c r="B6917" s="1" t="n">
        <v>45826.66646990741</v>
      </c>
      <c r="C6917" s="1" t="n">
        <v>45884</v>
      </c>
      <c r="D6917" t="inlineStr">
        <is>
          <t>KALMAR LÄN</t>
        </is>
      </c>
      <c r="E6917" t="inlineStr">
        <is>
          <t>VIMMERBY</t>
        </is>
      </c>
      <c r="G6917" t="n">
        <v>2</v>
      </c>
      <c r="H6917" t="n">
        <v>0</v>
      </c>
      <c r="I6917" t="n">
        <v>0</v>
      </c>
      <c r="J6917" t="n">
        <v>0</v>
      </c>
      <c r="K6917" t="n">
        <v>0</v>
      </c>
      <c r="L6917" t="n">
        <v>0</v>
      </c>
      <c r="M6917" t="n">
        <v>0</v>
      </c>
      <c r="N6917" t="n">
        <v>0</v>
      </c>
      <c r="O6917" t="n">
        <v>0</v>
      </c>
      <c r="P6917" t="n">
        <v>0</v>
      </c>
      <c r="Q6917" t="n">
        <v>0</v>
      </c>
      <c r="R6917" s="2" t="inlineStr"/>
    </row>
    <row r="6918" ht="15" customHeight="1">
      <c r="A6918" t="inlineStr">
        <is>
          <t>A 29869-2025</t>
        </is>
      </c>
      <c r="B6918" s="1" t="n">
        <v>45826.35645833334</v>
      </c>
      <c r="C6918" s="1" t="n">
        <v>45884</v>
      </c>
      <c r="D6918" t="inlineStr">
        <is>
          <t>KALMAR LÄN</t>
        </is>
      </c>
      <c r="E6918" t="inlineStr">
        <is>
          <t>EMMABODA</t>
        </is>
      </c>
      <c r="G6918" t="n">
        <v>1</v>
      </c>
      <c r="H6918" t="n">
        <v>0</v>
      </c>
      <c r="I6918" t="n">
        <v>0</v>
      </c>
      <c r="J6918" t="n">
        <v>0</v>
      </c>
      <c r="K6918" t="n">
        <v>0</v>
      </c>
      <c r="L6918" t="n">
        <v>0</v>
      </c>
      <c r="M6918" t="n">
        <v>0</v>
      </c>
      <c r="N6918" t="n">
        <v>0</v>
      </c>
      <c r="O6918" t="n">
        <v>0</v>
      </c>
      <c r="P6918" t="n">
        <v>0</v>
      </c>
      <c r="Q6918" t="n">
        <v>0</v>
      </c>
      <c r="R6918" s="2" t="inlineStr"/>
    </row>
    <row r="6919" ht="15" customHeight="1">
      <c r="A6919" t="inlineStr">
        <is>
          <t>A 30265-2025</t>
        </is>
      </c>
      <c r="B6919" s="1" t="n">
        <v>45827.44266203704</v>
      </c>
      <c r="C6919" s="1" t="n">
        <v>45884</v>
      </c>
      <c r="D6919" t="inlineStr">
        <is>
          <t>KALMAR LÄN</t>
        </is>
      </c>
      <c r="E6919" t="inlineStr">
        <is>
          <t>HULTSFRED</t>
        </is>
      </c>
      <c r="G6919" t="n">
        <v>1.9</v>
      </c>
      <c r="H6919" t="n">
        <v>0</v>
      </c>
      <c r="I6919" t="n">
        <v>0</v>
      </c>
      <c r="J6919" t="n">
        <v>0</v>
      </c>
      <c r="K6919" t="n">
        <v>0</v>
      </c>
      <c r="L6919" t="n">
        <v>0</v>
      </c>
      <c r="M6919" t="n">
        <v>0</v>
      </c>
      <c r="N6919" t="n">
        <v>0</v>
      </c>
      <c r="O6919" t="n">
        <v>0</v>
      </c>
      <c r="P6919" t="n">
        <v>0</v>
      </c>
      <c r="Q6919" t="n">
        <v>0</v>
      </c>
      <c r="R6919" s="2" t="inlineStr"/>
    </row>
    <row r="6920" ht="15" customHeight="1">
      <c r="A6920" t="inlineStr">
        <is>
          <t>A 30281-2025</t>
        </is>
      </c>
      <c r="B6920" s="1" t="n">
        <v>45827.45986111111</v>
      </c>
      <c r="C6920" s="1" t="n">
        <v>45884</v>
      </c>
      <c r="D6920" t="inlineStr">
        <is>
          <t>KALMAR LÄN</t>
        </is>
      </c>
      <c r="E6920" t="inlineStr">
        <is>
          <t>HULTSFRED</t>
        </is>
      </c>
      <c r="G6920" t="n">
        <v>1.4</v>
      </c>
      <c r="H6920" t="n">
        <v>0</v>
      </c>
      <c r="I6920" t="n">
        <v>0</v>
      </c>
      <c r="J6920" t="n">
        <v>0</v>
      </c>
      <c r="K6920" t="n">
        <v>0</v>
      </c>
      <c r="L6920" t="n">
        <v>0</v>
      </c>
      <c r="M6920" t="n">
        <v>0</v>
      </c>
      <c r="N6920" t="n">
        <v>0</v>
      </c>
      <c r="O6920" t="n">
        <v>0</v>
      </c>
      <c r="P6920" t="n">
        <v>0</v>
      </c>
      <c r="Q6920" t="n">
        <v>0</v>
      </c>
      <c r="R6920" s="2" t="inlineStr"/>
    </row>
    <row r="6921" ht="15" customHeight="1">
      <c r="A6921" t="inlineStr">
        <is>
          <t>A 29886-2025</t>
        </is>
      </c>
      <c r="B6921" s="1" t="n">
        <v>45826.36921296296</v>
      </c>
      <c r="C6921" s="1" t="n">
        <v>45884</v>
      </c>
      <c r="D6921" t="inlineStr">
        <is>
          <t>KALMAR LÄN</t>
        </is>
      </c>
      <c r="E6921" t="inlineStr">
        <is>
          <t>EMMABODA</t>
        </is>
      </c>
      <c r="G6921" t="n">
        <v>7</v>
      </c>
      <c r="H6921" t="n">
        <v>0</v>
      </c>
      <c r="I6921" t="n">
        <v>0</v>
      </c>
      <c r="J6921" t="n">
        <v>0</v>
      </c>
      <c r="K6921" t="n">
        <v>0</v>
      </c>
      <c r="L6921" t="n">
        <v>0</v>
      </c>
      <c r="M6921" t="n">
        <v>0</v>
      </c>
      <c r="N6921" t="n">
        <v>0</v>
      </c>
      <c r="O6921" t="n">
        <v>0</v>
      </c>
      <c r="P6921" t="n">
        <v>0</v>
      </c>
      <c r="Q6921" t="n">
        <v>0</v>
      </c>
      <c r="R6921" s="2" t="inlineStr"/>
    </row>
    <row r="6922" ht="15" customHeight="1">
      <c r="A6922" t="inlineStr">
        <is>
          <t>A 29895-2025</t>
        </is>
      </c>
      <c r="B6922" s="1" t="n">
        <v>45826.38111111111</v>
      </c>
      <c r="C6922" s="1" t="n">
        <v>45884</v>
      </c>
      <c r="D6922" t="inlineStr">
        <is>
          <t>KALMAR LÄN</t>
        </is>
      </c>
      <c r="E6922" t="inlineStr">
        <is>
          <t>HÖGSBY</t>
        </is>
      </c>
      <c r="F6922" t="inlineStr">
        <is>
          <t>Sveaskog</t>
        </is>
      </c>
      <c r="G6922" t="n">
        <v>6.7</v>
      </c>
      <c r="H6922" t="n">
        <v>0</v>
      </c>
      <c r="I6922" t="n">
        <v>0</v>
      </c>
      <c r="J6922" t="n">
        <v>0</v>
      </c>
      <c r="K6922" t="n">
        <v>0</v>
      </c>
      <c r="L6922" t="n">
        <v>0</v>
      </c>
      <c r="M6922" t="n">
        <v>0</v>
      </c>
      <c r="N6922" t="n">
        <v>0</v>
      </c>
      <c r="O6922" t="n">
        <v>0</v>
      </c>
      <c r="P6922" t="n">
        <v>0</v>
      </c>
      <c r="Q6922" t="n">
        <v>0</v>
      </c>
      <c r="R6922" s="2" t="inlineStr"/>
    </row>
    <row r="6923" ht="15" customHeight="1">
      <c r="A6923" t="inlineStr">
        <is>
          <t>A 29901-2025</t>
        </is>
      </c>
      <c r="B6923" s="1" t="n">
        <v>45826.38826388889</v>
      </c>
      <c r="C6923" s="1" t="n">
        <v>45884</v>
      </c>
      <c r="D6923" t="inlineStr">
        <is>
          <t>KALMAR LÄN</t>
        </is>
      </c>
      <c r="E6923" t="inlineStr">
        <is>
          <t>HULTSFRED</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30278-2025</t>
        </is>
      </c>
      <c r="B6924" s="1" t="n">
        <v>45827.45690972222</v>
      </c>
      <c r="C6924" s="1" t="n">
        <v>45884</v>
      </c>
      <c r="D6924" t="inlineStr">
        <is>
          <t>KALMAR LÄN</t>
        </is>
      </c>
      <c r="E6924" t="inlineStr">
        <is>
          <t>HULTSFRED</t>
        </is>
      </c>
      <c r="G6924" t="n">
        <v>0.6</v>
      </c>
      <c r="H6924" t="n">
        <v>0</v>
      </c>
      <c r="I6924" t="n">
        <v>0</v>
      </c>
      <c r="J6924" t="n">
        <v>0</v>
      </c>
      <c r="K6924" t="n">
        <v>0</v>
      </c>
      <c r="L6924" t="n">
        <v>0</v>
      </c>
      <c r="M6924" t="n">
        <v>0</v>
      </c>
      <c r="N6924" t="n">
        <v>0</v>
      </c>
      <c r="O6924" t="n">
        <v>0</v>
      </c>
      <c r="P6924" t="n">
        <v>0</v>
      </c>
      <c r="Q6924" t="n">
        <v>0</v>
      </c>
      <c r="R6924" s="2" t="inlineStr"/>
    </row>
    <row r="6925" ht="15" customHeight="1">
      <c r="A6925" t="inlineStr">
        <is>
          <t>A 29999-2025</t>
        </is>
      </c>
      <c r="B6925" s="1" t="n">
        <v>45826.51649305555</v>
      </c>
      <c r="C6925" s="1" t="n">
        <v>45884</v>
      </c>
      <c r="D6925" t="inlineStr">
        <is>
          <t>KALMAR LÄN</t>
        </is>
      </c>
      <c r="E6925" t="inlineStr">
        <is>
          <t>TORSÅS</t>
        </is>
      </c>
      <c r="G6925" t="n">
        <v>15</v>
      </c>
      <c r="H6925" t="n">
        <v>0</v>
      </c>
      <c r="I6925" t="n">
        <v>0</v>
      </c>
      <c r="J6925" t="n">
        <v>0</v>
      </c>
      <c r="K6925" t="n">
        <v>0</v>
      </c>
      <c r="L6925" t="n">
        <v>0</v>
      </c>
      <c r="M6925" t="n">
        <v>0</v>
      </c>
      <c r="N6925" t="n">
        <v>0</v>
      </c>
      <c r="O6925" t="n">
        <v>0</v>
      </c>
      <c r="P6925" t="n">
        <v>0</v>
      </c>
      <c r="Q6925" t="n">
        <v>0</v>
      </c>
      <c r="R6925" s="2" t="inlineStr"/>
    </row>
    <row r="6926" ht="15" customHeight="1">
      <c r="A6926" t="inlineStr">
        <is>
          <t>A 27326-2025</t>
        </is>
      </c>
      <c r="B6926" s="1" t="n">
        <v>45812</v>
      </c>
      <c r="C6926" s="1" t="n">
        <v>45884</v>
      </c>
      <c r="D6926" t="inlineStr">
        <is>
          <t>KALMAR LÄN</t>
        </is>
      </c>
      <c r="E6926" t="inlineStr">
        <is>
          <t>BORGHOLM</t>
        </is>
      </c>
      <c r="G6926" t="n">
        <v>1.5</v>
      </c>
      <c r="H6926" t="n">
        <v>0</v>
      </c>
      <c r="I6926" t="n">
        <v>0</v>
      </c>
      <c r="J6926" t="n">
        <v>0</v>
      </c>
      <c r="K6926" t="n">
        <v>0</v>
      </c>
      <c r="L6926" t="n">
        <v>0</v>
      </c>
      <c r="M6926" t="n">
        <v>0</v>
      </c>
      <c r="N6926" t="n">
        <v>0</v>
      </c>
      <c r="O6926" t="n">
        <v>0</v>
      </c>
      <c r="P6926" t="n">
        <v>0</v>
      </c>
      <c r="Q6926" t="n">
        <v>0</v>
      </c>
      <c r="R6926" s="2" t="inlineStr"/>
    </row>
    <row r="6927" ht="15" customHeight="1">
      <c r="A6927" t="inlineStr">
        <is>
          <t>A 30225-2025</t>
        </is>
      </c>
      <c r="B6927" s="1" t="n">
        <v>45827.37856481481</v>
      </c>
      <c r="C6927" s="1" t="n">
        <v>45884</v>
      </c>
      <c r="D6927" t="inlineStr">
        <is>
          <t>KALMAR LÄN</t>
        </is>
      </c>
      <c r="E6927" t="inlineStr">
        <is>
          <t>TORSÅS</t>
        </is>
      </c>
      <c r="G6927" t="n">
        <v>2.9</v>
      </c>
      <c r="H6927" t="n">
        <v>0</v>
      </c>
      <c r="I6927" t="n">
        <v>0</v>
      </c>
      <c r="J6927" t="n">
        <v>0</v>
      </c>
      <c r="K6927" t="n">
        <v>0</v>
      </c>
      <c r="L6927" t="n">
        <v>0</v>
      </c>
      <c r="M6927" t="n">
        <v>0</v>
      </c>
      <c r="N6927" t="n">
        <v>0</v>
      </c>
      <c r="O6927" t="n">
        <v>0</v>
      </c>
      <c r="P6927" t="n">
        <v>0</v>
      </c>
      <c r="Q6927" t="n">
        <v>0</v>
      </c>
      <c r="R6927" s="2" t="inlineStr"/>
    </row>
    <row r="6928" ht="15" customHeight="1">
      <c r="A6928" t="inlineStr">
        <is>
          <t>A 30269-2025</t>
        </is>
      </c>
      <c r="B6928" s="1" t="n">
        <v>45827.44914351852</v>
      </c>
      <c r="C6928" s="1" t="n">
        <v>45884</v>
      </c>
      <c r="D6928" t="inlineStr">
        <is>
          <t>KALMAR LÄN</t>
        </is>
      </c>
      <c r="E6928" t="inlineStr">
        <is>
          <t>HULTSFRED</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30270-2025</t>
        </is>
      </c>
      <c r="B6929" s="1" t="n">
        <v>45827.45063657407</v>
      </c>
      <c r="C6929" s="1" t="n">
        <v>45884</v>
      </c>
      <c r="D6929" t="inlineStr">
        <is>
          <t>KALMAR LÄN</t>
        </is>
      </c>
      <c r="E6929" t="inlineStr">
        <is>
          <t>HULTSFRED</t>
        </is>
      </c>
      <c r="G6929" t="n">
        <v>0.7</v>
      </c>
      <c r="H6929" t="n">
        <v>0</v>
      </c>
      <c r="I6929" t="n">
        <v>0</v>
      </c>
      <c r="J6929" t="n">
        <v>0</v>
      </c>
      <c r="K6929" t="n">
        <v>0</v>
      </c>
      <c r="L6929" t="n">
        <v>0</v>
      </c>
      <c r="M6929" t="n">
        <v>0</v>
      </c>
      <c r="N6929" t="n">
        <v>0</v>
      </c>
      <c r="O6929" t="n">
        <v>0</v>
      </c>
      <c r="P6929" t="n">
        <v>0</v>
      </c>
      <c r="Q6929" t="n">
        <v>0</v>
      </c>
      <c r="R6929" s="2" t="inlineStr"/>
    </row>
    <row r="6930" ht="15" customHeight="1">
      <c r="A6930" t="inlineStr">
        <is>
          <t>A 30273-2025</t>
        </is>
      </c>
      <c r="B6930" s="1" t="n">
        <v>45827.45379629629</v>
      </c>
      <c r="C6930" s="1" t="n">
        <v>45884</v>
      </c>
      <c r="D6930" t="inlineStr">
        <is>
          <t>KALMAR LÄN</t>
        </is>
      </c>
      <c r="E6930" t="inlineStr">
        <is>
          <t>HULTSFRED</t>
        </is>
      </c>
      <c r="G6930" t="n">
        <v>0.5</v>
      </c>
      <c r="H6930" t="n">
        <v>0</v>
      </c>
      <c r="I6930" t="n">
        <v>0</v>
      </c>
      <c r="J6930" t="n">
        <v>0</v>
      </c>
      <c r="K6930" t="n">
        <v>0</v>
      </c>
      <c r="L6930" t="n">
        <v>0</v>
      </c>
      <c r="M6930" t="n">
        <v>0</v>
      </c>
      <c r="N6930" t="n">
        <v>0</v>
      </c>
      <c r="O6930" t="n">
        <v>0</v>
      </c>
      <c r="P6930" t="n">
        <v>0</v>
      </c>
      <c r="Q6930" t="n">
        <v>0</v>
      </c>
      <c r="R6930" s="2" t="inlineStr"/>
    </row>
    <row r="6931" ht="15" customHeight="1">
      <c r="A6931" t="inlineStr">
        <is>
          <t>A 36520-2025</t>
        </is>
      </c>
      <c r="B6931" s="1" t="n">
        <v>45869.6046412037</v>
      </c>
      <c r="C6931" s="1" t="n">
        <v>45884</v>
      </c>
      <c r="D6931" t="inlineStr">
        <is>
          <t>KALMAR LÄN</t>
        </is>
      </c>
      <c r="E6931" t="inlineStr">
        <is>
          <t>TORSÅS</t>
        </is>
      </c>
      <c r="G6931" t="n">
        <v>4.2</v>
      </c>
      <c r="H6931" t="n">
        <v>0</v>
      </c>
      <c r="I6931" t="n">
        <v>0</v>
      </c>
      <c r="J6931" t="n">
        <v>0</v>
      </c>
      <c r="K6931" t="n">
        <v>0</v>
      </c>
      <c r="L6931" t="n">
        <v>0</v>
      </c>
      <c r="M6931" t="n">
        <v>0</v>
      </c>
      <c r="N6931" t="n">
        <v>0</v>
      </c>
      <c r="O6931" t="n">
        <v>0</v>
      </c>
      <c r="P6931" t="n">
        <v>0</v>
      </c>
      <c r="Q6931" t="n">
        <v>0</v>
      </c>
      <c r="R6931" s="2" t="inlineStr"/>
    </row>
    <row r="6932" ht="15" customHeight="1">
      <c r="A6932" t="inlineStr">
        <is>
          <t>A 30118-2025</t>
        </is>
      </c>
      <c r="B6932" s="1" t="n">
        <v>45826.73186342593</v>
      </c>
      <c r="C6932" s="1" t="n">
        <v>45884</v>
      </c>
      <c r="D6932" t="inlineStr">
        <is>
          <t>KALMAR LÄN</t>
        </is>
      </c>
      <c r="E6932" t="inlineStr">
        <is>
          <t>EMMABODA</t>
        </is>
      </c>
      <c r="G6932" t="n">
        <v>1.9</v>
      </c>
      <c r="H6932" t="n">
        <v>0</v>
      </c>
      <c r="I6932" t="n">
        <v>0</v>
      </c>
      <c r="J6932" t="n">
        <v>0</v>
      </c>
      <c r="K6932" t="n">
        <v>0</v>
      </c>
      <c r="L6932" t="n">
        <v>0</v>
      </c>
      <c r="M6932" t="n">
        <v>0</v>
      </c>
      <c r="N6932" t="n">
        <v>0</v>
      </c>
      <c r="O6932" t="n">
        <v>0</v>
      </c>
      <c r="P6932" t="n">
        <v>0</v>
      </c>
      <c r="Q6932" t="n">
        <v>0</v>
      </c>
      <c r="R6932" s="2" t="inlineStr"/>
    </row>
    <row r="6933" ht="15" customHeight="1">
      <c r="A6933" t="inlineStr">
        <is>
          <t>A 36525-2025</t>
        </is>
      </c>
      <c r="B6933" s="1" t="n">
        <v>45869.606875</v>
      </c>
      <c r="C6933" s="1" t="n">
        <v>45884</v>
      </c>
      <c r="D6933" t="inlineStr">
        <is>
          <t>KALMAR LÄN</t>
        </is>
      </c>
      <c r="E6933" t="inlineStr">
        <is>
          <t>TORSÅS</t>
        </is>
      </c>
      <c r="G6933" t="n">
        <v>0</v>
      </c>
      <c r="H6933" t="n">
        <v>0</v>
      </c>
      <c r="I6933" t="n">
        <v>0</v>
      </c>
      <c r="J6933" t="n">
        <v>0</v>
      </c>
      <c r="K6933" t="n">
        <v>0</v>
      </c>
      <c r="L6933" t="n">
        <v>0</v>
      </c>
      <c r="M6933" t="n">
        <v>0</v>
      </c>
      <c r="N6933" t="n">
        <v>0</v>
      </c>
      <c r="O6933" t="n">
        <v>0</v>
      </c>
      <c r="P6933" t="n">
        <v>0</v>
      </c>
      <c r="Q6933" t="n">
        <v>0</v>
      </c>
      <c r="R6933" s="2" t="inlineStr"/>
    </row>
    <row r="6934" ht="15" customHeight="1">
      <c r="A6934" t="inlineStr">
        <is>
          <t>A 30242-2025</t>
        </is>
      </c>
      <c r="B6934" s="1" t="n">
        <v>45827.40579861111</v>
      </c>
      <c r="C6934" s="1" t="n">
        <v>45884</v>
      </c>
      <c r="D6934" t="inlineStr">
        <is>
          <t>KALMAR LÄN</t>
        </is>
      </c>
      <c r="E6934" t="inlineStr">
        <is>
          <t>HULTSFRED</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30293-2025</t>
        </is>
      </c>
      <c r="B6935" s="1" t="n">
        <v>45827</v>
      </c>
      <c r="C6935" s="1" t="n">
        <v>45884</v>
      </c>
      <c r="D6935" t="inlineStr">
        <is>
          <t>KALMAR LÄN</t>
        </is>
      </c>
      <c r="E6935" t="inlineStr">
        <is>
          <t>VIMMERBY</t>
        </is>
      </c>
      <c r="G6935" t="n">
        <v>0.5</v>
      </c>
      <c r="H6935" t="n">
        <v>0</v>
      </c>
      <c r="I6935" t="n">
        <v>0</v>
      </c>
      <c r="J6935" t="n">
        <v>0</v>
      </c>
      <c r="K6935" t="n">
        <v>0</v>
      </c>
      <c r="L6935" t="n">
        <v>0</v>
      </c>
      <c r="M6935" t="n">
        <v>0</v>
      </c>
      <c r="N6935" t="n">
        <v>0</v>
      </c>
      <c r="O6935" t="n">
        <v>0</v>
      </c>
      <c r="P6935" t="n">
        <v>0</v>
      </c>
      <c r="Q6935" t="n">
        <v>0</v>
      </c>
      <c r="R6935" s="2" t="inlineStr"/>
    </row>
    <row r="6936" ht="15" customHeight="1">
      <c r="A6936" t="inlineStr">
        <is>
          <t>A 30294-2025</t>
        </is>
      </c>
      <c r="B6936" s="1" t="n">
        <v>45827.47229166667</v>
      </c>
      <c r="C6936" s="1" t="n">
        <v>45884</v>
      </c>
      <c r="D6936" t="inlineStr">
        <is>
          <t>KALMAR LÄN</t>
        </is>
      </c>
      <c r="E6936" t="inlineStr">
        <is>
          <t>HULTSFRED</t>
        </is>
      </c>
      <c r="G6936" t="n">
        <v>0.6</v>
      </c>
      <c r="H6936" t="n">
        <v>0</v>
      </c>
      <c r="I6936" t="n">
        <v>0</v>
      </c>
      <c r="J6936" t="n">
        <v>0</v>
      </c>
      <c r="K6936" t="n">
        <v>0</v>
      </c>
      <c r="L6936" t="n">
        <v>0</v>
      </c>
      <c r="M6936" t="n">
        <v>0</v>
      </c>
      <c r="N6936" t="n">
        <v>0</v>
      </c>
      <c r="O6936" t="n">
        <v>0</v>
      </c>
      <c r="P6936" t="n">
        <v>0</v>
      </c>
      <c r="Q6936" t="n">
        <v>0</v>
      </c>
      <c r="R6936" s="2" t="inlineStr"/>
    </row>
    <row r="6937" ht="15" customHeight="1">
      <c r="A6937" t="inlineStr">
        <is>
          <t>A 36526-2025</t>
        </is>
      </c>
      <c r="B6937" s="1" t="n">
        <v>45869.60849537037</v>
      </c>
      <c r="C6937" s="1" t="n">
        <v>45884</v>
      </c>
      <c r="D6937" t="inlineStr">
        <is>
          <t>KALMAR LÄN</t>
        </is>
      </c>
      <c r="E6937" t="inlineStr">
        <is>
          <t>TORSÅS</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30290-2025</t>
        </is>
      </c>
      <c r="B6938" s="1" t="n">
        <v>45827</v>
      </c>
      <c r="C6938" s="1" t="n">
        <v>45884</v>
      </c>
      <c r="D6938" t="inlineStr">
        <is>
          <t>KALMAR LÄN</t>
        </is>
      </c>
      <c r="E6938" t="inlineStr">
        <is>
          <t>VIMMERBY</t>
        </is>
      </c>
      <c r="G6938" t="n">
        <v>1</v>
      </c>
      <c r="H6938" t="n">
        <v>0</v>
      </c>
      <c r="I6938" t="n">
        <v>0</v>
      </c>
      <c r="J6938" t="n">
        <v>0</v>
      </c>
      <c r="K6938" t="n">
        <v>0</v>
      </c>
      <c r="L6938" t="n">
        <v>0</v>
      </c>
      <c r="M6938" t="n">
        <v>0</v>
      </c>
      <c r="N6938" t="n">
        <v>0</v>
      </c>
      <c r="O6938" t="n">
        <v>0</v>
      </c>
      <c r="P6938" t="n">
        <v>0</v>
      </c>
      <c r="Q6938" t="n">
        <v>0</v>
      </c>
      <c r="R6938" s="2" t="inlineStr"/>
    </row>
    <row r="6939" ht="15" customHeight="1">
      <c r="A6939" t="inlineStr">
        <is>
          <t>A 29875-2025</t>
        </is>
      </c>
      <c r="B6939" s="1" t="n">
        <v>45826.36164351852</v>
      </c>
      <c r="C6939" s="1" t="n">
        <v>45884</v>
      </c>
      <c r="D6939" t="inlineStr">
        <is>
          <t>KALMAR LÄN</t>
        </is>
      </c>
      <c r="E6939" t="inlineStr">
        <is>
          <t>EMMABODA</t>
        </is>
      </c>
      <c r="G6939" t="n">
        <v>3.9</v>
      </c>
      <c r="H6939" t="n">
        <v>0</v>
      </c>
      <c r="I6939" t="n">
        <v>0</v>
      </c>
      <c r="J6939" t="n">
        <v>0</v>
      </c>
      <c r="K6939" t="n">
        <v>0</v>
      </c>
      <c r="L6939" t="n">
        <v>0</v>
      </c>
      <c r="M6939" t="n">
        <v>0</v>
      </c>
      <c r="N6939" t="n">
        <v>0</v>
      </c>
      <c r="O6939" t="n">
        <v>0</v>
      </c>
      <c r="P6939" t="n">
        <v>0</v>
      </c>
      <c r="Q6939" t="n">
        <v>0</v>
      </c>
      <c r="R6939" s="2" t="inlineStr"/>
    </row>
    <row r="6940" ht="15" customHeight="1">
      <c r="A6940" t="inlineStr">
        <is>
          <t>A 54056-2024</t>
        </is>
      </c>
      <c r="B6940" s="1" t="n">
        <v>45615</v>
      </c>
      <c r="C6940" s="1" t="n">
        <v>45884</v>
      </c>
      <c r="D6940" t="inlineStr">
        <is>
          <t>KALMAR LÄN</t>
        </is>
      </c>
      <c r="E6940" t="inlineStr">
        <is>
          <t>EMMABODA</t>
        </is>
      </c>
      <c r="G6940" t="n">
        <v>2.1</v>
      </c>
      <c r="H6940" t="n">
        <v>0</v>
      </c>
      <c r="I6940" t="n">
        <v>0</v>
      </c>
      <c r="J6940" t="n">
        <v>0</v>
      </c>
      <c r="K6940" t="n">
        <v>0</v>
      </c>
      <c r="L6940" t="n">
        <v>0</v>
      </c>
      <c r="M6940" t="n">
        <v>0</v>
      </c>
      <c r="N6940" t="n">
        <v>0</v>
      </c>
      <c r="O6940" t="n">
        <v>0</v>
      </c>
      <c r="P6940" t="n">
        <v>0</v>
      </c>
      <c r="Q6940" t="n">
        <v>0</v>
      </c>
      <c r="R6940" s="2" t="inlineStr"/>
    </row>
    <row r="6941" ht="15" customHeight="1">
      <c r="A6941" t="inlineStr">
        <is>
          <t>A 30194-2025</t>
        </is>
      </c>
      <c r="B6941" s="1" t="n">
        <v>45827.35274305556</v>
      </c>
      <c r="C6941" s="1" t="n">
        <v>45884</v>
      </c>
      <c r="D6941" t="inlineStr">
        <is>
          <t>KALMAR LÄN</t>
        </is>
      </c>
      <c r="E6941" t="inlineStr">
        <is>
          <t>OSKARSHAMN</t>
        </is>
      </c>
      <c r="F6941" t="inlineStr">
        <is>
          <t>Kyrkan</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29874-2025</t>
        </is>
      </c>
      <c r="B6942" s="1" t="n">
        <v>45826.35939814815</v>
      </c>
      <c r="C6942" s="1" t="n">
        <v>45884</v>
      </c>
      <c r="D6942" t="inlineStr">
        <is>
          <t>KALMAR LÄN</t>
        </is>
      </c>
      <c r="E6942" t="inlineStr">
        <is>
          <t>EMMABODA</t>
        </is>
      </c>
      <c r="G6942" t="n">
        <v>2.6</v>
      </c>
      <c r="H6942" t="n">
        <v>0</v>
      </c>
      <c r="I6942" t="n">
        <v>0</v>
      </c>
      <c r="J6942" t="n">
        <v>0</v>
      </c>
      <c r="K6942" t="n">
        <v>0</v>
      </c>
      <c r="L6942" t="n">
        <v>0</v>
      </c>
      <c r="M6942" t="n">
        <v>0</v>
      </c>
      <c r="N6942" t="n">
        <v>0</v>
      </c>
      <c r="O6942" t="n">
        <v>0</v>
      </c>
      <c r="P6942" t="n">
        <v>0</v>
      </c>
      <c r="Q6942" t="n">
        <v>0</v>
      </c>
      <c r="R6942" s="2" t="inlineStr"/>
    </row>
    <row r="6943" ht="15" customHeight="1">
      <c r="A6943" t="inlineStr">
        <is>
          <t>A 29879-2025</t>
        </is>
      </c>
      <c r="B6943" s="1" t="n">
        <v>45826.3639699074</v>
      </c>
      <c r="C6943" s="1" t="n">
        <v>45884</v>
      </c>
      <c r="D6943" t="inlineStr">
        <is>
          <t>KALMAR LÄN</t>
        </is>
      </c>
      <c r="E6943" t="inlineStr">
        <is>
          <t>EMMABODA</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29903-2025</t>
        </is>
      </c>
      <c r="B6944" s="1" t="n">
        <v>45826.38912037037</v>
      </c>
      <c r="C6944" s="1" t="n">
        <v>45884</v>
      </c>
      <c r="D6944" t="inlineStr">
        <is>
          <t>KALMAR LÄN</t>
        </is>
      </c>
      <c r="E6944" t="inlineStr">
        <is>
          <t>HULTSFRED</t>
        </is>
      </c>
      <c r="G6944" t="n">
        <v>1.8</v>
      </c>
      <c r="H6944" t="n">
        <v>0</v>
      </c>
      <c r="I6944" t="n">
        <v>0</v>
      </c>
      <c r="J6944" t="n">
        <v>0</v>
      </c>
      <c r="K6944" t="n">
        <v>0</v>
      </c>
      <c r="L6944" t="n">
        <v>0</v>
      </c>
      <c r="M6944" t="n">
        <v>0</v>
      </c>
      <c r="N6944" t="n">
        <v>0</v>
      </c>
      <c r="O6944" t="n">
        <v>0</v>
      </c>
      <c r="P6944" t="n">
        <v>0</v>
      </c>
      <c r="Q6944" t="n">
        <v>0</v>
      </c>
      <c r="R6944" s="2" t="inlineStr"/>
    </row>
    <row r="6945" ht="15" customHeight="1">
      <c r="A6945" t="inlineStr">
        <is>
          <t>A 30284-2025</t>
        </is>
      </c>
      <c r="B6945" s="1" t="n">
        <v>45827.46381944444</v>
      </c>
      <c r="C6945" s="1" t="n">
        <v>45884</v>
      </c>
      <c r="D6945" t="inlineStr">
        <is>
          <t>KALMAR LÄN</t>
        </is>
      </c>
      <c r="E6945" t="inlineStr">
        <is>
          <t>HULTSFRED</t>
        </is>
      </c>
      <c r="G6945" t="n">
        <v>0.5</v>
      </c>
      <c r="H6945" t="n">
        <v>0</v>
      </c>
      <c r="I6945" t="n">
        <v>0</v>
      </c>
      <c r="J6945" t="n">
        <v>0</v>
      </c>
      <c r="K6945" t="n">
        <v>0</v>
      </c>
      <c r="L6945" t="n">
        <v>0</v>
      </c>
      <c r="M6945" t="n">
        <v>0</v>
      </c>
      <c r="N6945" t="n">
        <v>0</v>
      </c>
      <c r="O6945" t="n">
        <v>0</v>
      </c>
      <c r="P6945" t="n">
        <v>0</v>
      </c>
      <c r="Q6945" t="n">
        <v>0</v>
      </c>
      <c r="R6945" s="2" t="inlineStr"/>
    </row>
    <row r="6946" ht="15" customHeight="1">
      <c r="A6946" t="inlineStr">
        <is>
          <t>A 36538-2025</t>
        </is>
      </c>
      <c r="B6946" s="1" t="n">
        <v>45869.62276620371</v>
      </c>
      <c r="C6946" s="1" t="n">
        <v>45884</v>
      </c>
      <c r="D6946" t="inlineStr">
        <is>
          <t>KALMAR LÄN</t>
        </is>
      </c>
      <c r="E6946" t="inlineStr">
        <is>
          <t>VIMMERBY</t>
        </is>
      </c>
      <c r="G6946" t="n">
        <v>2.6</v>
      </c>
      <c r="H6946" t="n">
        <v>0</v>
      </c>
      <c r="I6946" t="n">
        <v>0</v>
      </c>
      <c r="J6946" t="n">
        <v>0</v>
      </c>
      <c r="K6946" t="n">
        <v>0</v>
      </c>
      <c r="L6946" t="n">
        <v>0</v>
      </c>
      <c r="M6946" t="n">
        <v>0</v>
      </c>
      <c r="N6946" t="n">
        <v>0</v>
      </c>
      <c r="O6946" t="n">
        <v>0</v>
      </c>
      <c r="P6946" t="n">
        <v>0</v>
      </c>
      <c r="Q6946" t="n">
        <v>0</v>
      </c>
      <c r="R6946" s="2" t="inlineStr"/>
    </row>
    <row r="6947" ht="15" customHeight="1">
      <c r="A6947" t="inlineStr">
        <is>
          <t>A 36527-2025</t>
        </is>
      </c>
      <c r="B6947" s="1" t="n">
        <v>45869.60936342592</v>
      </c>
      <c r="C6947" s="1" t="n">
        <v>45884</v>
      </c>
      <c r="D6947" t="inlineStr">
        <is>
          <t>KALMAR LÄN</t>
        </is>
      </c>
      <c r="E6947" t="inlineStr">
        <is>
          <t>TORSÅS</t>
        </is>
      </c>
      <c r="G6947" t="n">
        <v>0.5</v>
      </c>
      <c r="H6947" t="n">
        <v>0</v>
      </c>
      <c r="I6947" t="n">
        <v>0</v>
      </c>
      <c r="J6947" t="n">
        <v>0</v>
      </c>
      <c r="K6947" t="n">
        <v>0</v>
      </c>
      <c r="L6947" t="n">
        <v>0</v>
      </c>
      <c r="M6947" t="n">
        <v>0</v>
      </c>
      <c r="N6947" t="n">
        <v>0</v>
      </c>
      <c r="O6947" t="n">
        <v>0</v>
      </c>
      <c r="P6947" t="n">
        <v>0</v>
      </c>
      <c r="Q6947" t="n">
        <v>0</v>
      </c>
      <c r="R6947" s="2" t="inlineStr"/>
    </row>
    <row r="6948" ht="15" customHeight="1">
      <c r="A6948" t="inlineStr">
        <is>
          <t>A 29888-2025</t>
        </is>
      </c>
      <c r="B6948" s="1" t="n">
        <v>45826.37248842593</v>
      </c>
      <c r="C6948" s="1" t="n">
        <v>45884</v>
      </c>
      <c r="D6948" t="inlineStr">
        <is>
          <t>KALMAR LÄN</t>
        </is>
      </c>
      <c r="E6948" t="inlineStr">
        <is>
          <t>TORSÅS</t>
        </is>
      </c>
      <c r="G6948" t="n">
        <v>0.9</v>
      </c>
      <c r="H6948" t="n">
        <v>0</v>
      </c>
      <c r="I6948" t="n">
        <v>0</v>
      </c>
      <c r="J6948" t="n">
        <v>0</v>
      </c>
      <c r="K6948" t="n">
        <v>0</v>
      </c>
      <c r="L6948" t="n">
        <v>0</v>
      </c>
      <c r="M6948" t="n">
        <v>0</v>
      </c>
      <c r="N6948" t="n">
        <v>0</v>
      </c>
      <c r="O6948" t="n">
        <v>0</v>
      </c>
      <c r="P6948" t="n">
        <v>0</v>
      </c>
      <c r="Q6948" t="n">
        <v>0</v>
      </c>
      <c r="R6948" s="2" t="inlineStr"/>
    </row>
    <row r="6949" ht="15" customHeight="1">
      <c r="A6949" t="inlineStr">
        <is>
          <t>A 29889-2025</t>
        </is>
      </c>
      <c r="B6949" s="1" t="n">
        <v>45826.3741087963</v>
      </c>
      <c r="C6949" s="1" t="n">
        <v>45884</v>
      </c>
      <c r="D6949" t="inlineStr">
        <is>
          <t>KALMAR LÄN</t>
        </is>
      </c>
      <c r="E6949" t="inlineStr">
        <is>
          <t>TORSÅS</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29899-2025</t>
        </is>
      </c>
      <c r="B6950" s="1" t="n">
        <v>45826.38655092593</v>
      </c>
      <c r="C6950" s="1" t="n">
        <v>45884</v>
      </c>
      <c r="D6950" t="inlineStr">
        <is>
          <t>KALMAR LÄN</t>
        </is>
      </c>
      <c r="E6950" t="inlineStr">
        <is>
          <t>HÖGSBY</t>
        </is>
      </c>
      <c r="F6950" t="inlineStr">
        <is>
          <t>Sveaskog</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30574-2025</t>
        </is>
      </c>
      <c r="B6951" s="1" t="n">
        <v>45831.41077546297</v>
      </c>
      <c r="C6951" s="1" t="n">
        <v>45884</v>
      </c>
      <c r="D6951" t="inlineStr">
        <is>
          <t>KALMAR LÄN</t>
        </is>
      </c>
      <c r="E6951" t="inlineStr">
        <is>
          <t>MÖNSTERÅS</t>
        </is>
      </c>
      <c r="G6951" t="n">
        <v>1.2</v>
      </c>
      <c r="H6951" t="n">
        <v>0</v>
      </c>
      <c r="I6951" t="n">
        <v>0</v>
      </c>
      <c r="J6951" t="n">
        <v>0</v>
      </c>
      <c r="K6951" t="n">
        <v>0</v>
      </c>
      <c r="L6951" t="n">
        <v>0</v>
      </c>
      <c r="M6951" t="n">
        <v>0</v>
      </c>
      <c r="N6951" t="n">
        <v>0</v>
      </c>
      <c r="O6951" t="n">
        <v>0</v>
      </c>
      <c r="P6951" t="n">
        <v>0</v>
      </c>
      <c r="Q6951" t="n">
        <v>0</v>
      </c>
      <c r="R6951" s="2" t="inlineStr"/>
    </row>
    <row r="6952" ht="15" customHeight="1">
      <c r="A6952" t="inlineStr">
        <is>
          <t>A 36012-2025</t>
        </is>
      </c>
      <c r="B6952" s="1" t="n">
        <v>45863</v>
      </c>
      <c r="C6952" s="1" t="n">
        <v>45884</v>
      </c>
      <c r="D6952" t="inlineStr">
        <is>
          <t>KALMAR LÄN</t>
        </is>
      </c>
      <c r="E6952" t="inlineStr">
        <is>
          <t>EMMABODA</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30511-2025</t>
        </is>
      </c>
      <c r="B6953" s="1" t="n">
        <v>45831.30805555556</v>
      </c>
      <c r="C6953" s="1" t="n">
        <v>45884</v>
      </c>
      <c r="D6953" t="inlineStr">
        <is>
          <t>KALMAR LÄN</t>
        </is>
      </c>
      <c r="E6953" t="inlineStr">
        <is>
          <t>HULTSFRED</t>
        </is>
      </c>
      <c r="G6953" t="n">
        <v>3.2</v>
      </c>
      <c r="H6953" t="n">
        <v>0</v>
      </c>
      <c r="I6953" t="n">
        <v>0</v>
      </c>
      <c r="J6953" t="n">
        <v>0</v>
      </c>
      <c r="K6953" t="n">
        <v>0</v>
      </c>
      <c r="L6953" t="n">
        <v>0</v>
      </c>
      <c r="M6953" t="n">
        <v>0</v>
      </c>
      <c r="N6953" t="n">
        <v>0</v>
      </c>
      <c r="O6953" t="n">
        <v>0</v>
      </c>
      <c r="P6953" t="n">
        <v>0</v>
      </c>
      <c r="Q6953" t="n">
        <v>0</v>
      </c>
      <c r="R6953" s="2" t="inlineStr"/>
    </row>
    <row r="6954" ht="15" customHeight="1">
      <c r="A6954" t="inlineStr">
        <is>
          <t>A 30518-2025</t>
        </is>
      </c>
      <c r="B6954" s="1" t="n">
        <v>45831.33773148148</v>
      </c>
      <c r="C6954" s="1" t="n">
        <v>45884</v>
      </c>
      <c r="D6954" t="inlineStr">
        <is>
          <t>KALMAR LÄN</t>
        </is>
      </c>
      <c r="E6954" t="inlineStr">
        <is>
          <t>OSKARSHAMN</t>
        </is>
      </c>
      <c r="G6954" t="n">
        <v>5.5</v>
      </c>
      <c r="H6954" t="n">
        <v>0</v>
      </c>
      <c r="I6954" t="n">
        <v>0</v>
      </c>
      <c r="J6954" t="n">
        <v>0</v>
      </c>
      <c r="K6954" t="n">
        <v>0</v>
      </c>
      <c r="L6954" t="n">
        <v>0</v>
      </c>
      <c r="M6954" t="n">
        <v>0</v>
      </c>
      <c r="N6954" t="n">
        <v>0</v>
      </c>
      <c r="O6954" t="n">
        <v>0</v>
      </c>
      <c r="P6954" t="n">
        <v>0</v>
      </c>
      <c r="Q6954" t="n">
        <v>0</v>
      </c>
      <c r="R6954" s="2" t="inlineStr"/>
    </row>
    <row r="6955" ht="15" customHeight="1">
      <c r="A6955" t="inlineStr">
        <is>
          <t>A 30648-2025</t>
        </is>
      </c>
      <c r="B6955" s="1" t="n">
        <v>45831</v>
      </c>
      <c r="C6955" s="1" t="n">
        <v>45884</v>
      </c>
      <c r="D6955" t="inlineStr">
        <is>
          <t>KALMAR LÄN</t>
        </is>
      </c>
      <c r="E6955" t="inlineStr">
        <is>
          <t>VÄSTERVIK</t>
        </is>
      </c>
      <c r="G6955" t="n">
        <v>3</v>
      </c>
      <c r="H6955" t="n">
        <v>0</v>
      </c>
      <c r="I6955" t="n">
        <v>0</v>
      </c>
      <c r="J6955" t="n">
        <v>0</v>
      </c>
      <c r="K6955" t="n">
        <v>0</v>
      </c>
      <c r="L6955" t="n">
        <v>0</v>
      </c>
      <c r="M6955" t="n">
        <v>0</v>
      </c>
      <c r="N6955" t="n">
        <v>0</v>
      </c>
      <c r="O6955" t="n">
        <v>0</v>
      </c>
      <c r="P6955" t="n">
        <v>0</v>
      </c>
      <c r="Q6955" t="n">
        <v>0</v>
      </c>
      <c r="R6955" s="2" t="inlineStr"/>
    </row>
    <row r="6956" ht="15" customHeight="1">
      <c r="A6956" t="inlineStr">
        <is>
          <t>A 30644-2025</t>
        </is>
      </c>
      <c r="B6956" s="1" t="n">
        <v>45831</v>
      </c>
      <c r="C6956" s="1" t="n">
        <v>45884</v>
      </c>
      <c r="D6956" t="inlineStr">
        <is>
          <t>KALMAR LÄN</t>
        </is>
      </c>
      <c r="E6956" t="inlineStr">
        <is>
          <t>VÄSTERVIK</t>
        </is>
      </c>
      <c r="G6956" t="n">
        <v>0.8</v>
      </c>
      <c r="H6956" t="n">
        <v>0</v>
      </c>
      <c r="I6956" t="n">
        <v>0</v>
      </c>
      <c r="J6956" t="n">
        <v>0</v>
      </c>
      <c r="K6956" t="n">
        <v>0</v>
      </c>
      <c r="L6956" t="n">
        <v>0</v>
      </c>
      <c r="M6956" t="n">
        <v>0</v>
      </c>
      <c r="N6956" t="n">
        <v>0</v>
      </c>
      <c r="O6956" t="n">
        <v>0</v>
      </c>
      <c r="P6956" t="n">
        <v>0</v>
      </c>
      <c r="Q6956" t="n">
        <v>0</v>
      </c>
      <c r="R6956" s="2" t="inlineStr"/>
    </row>
    <row r="6957" ht="15" customHeight="1">
      <c r="A6957" t="inlineStr">
        <is>
          <t>A 30800-2025</t>
        </is>
      </c>
      <c r="B6957" s="1" t="n">
        <v>45831.65177083333</v>
      </c>
      <c r="C6957" s="1" t="n">
        <v>45884</v>
      </c>
      <c r="D6957" t="inlineStr">
        <is>
          <t>KALMAR LÄN</t>
        </is>
      </c>
      <c r="E6957" t="inlineStr">
        <is>
          <t>VÄSTERVIK</t>
        </is>
      </c>
      <c r="G6957" t="n">
        <v>1.6</v>
      </c>
      <c r="H6957" t="n">
        <v>0</v>
      </c>
      <c r="I6957" t="n">
        <v>0</v>
      </c>
      <c r="J6957" t="n">
        <v>0</v>
      </c>
      <c r="K6957" t="n">
        <v>0</v>
      </c>
      <c r="L6957" t="n">
        <v>0</v>
      </c>
      <c r="M6957" t="n">
        <v>0</v>
      </c>
      <c r="N6957" t="n">
        <v>0</v>
      </c>
      <c r="O6957" t="n">
        <v>0</v>
      </c>
      <c r="P6957" t="n">
        <v>0</v>
      </c>
      <c r="Q6957" t="n">
        <v>0</v>
      </c>
      <c r="R6957" s="2" t="inlineStr"/>
    </row>
    <row r="6958" ht="15" customHeight="1">
      <c r="A6958" t="inlineStr">
        <is>
          <t>A 36710-2025</t>
        </is>
      </c>
      <c r="B6958" s="1" t="n">
        <v>45873.46613425926</v>
      </c>
      <c r="C6958" s="1" t="n">
        <v>45884</v>
      </c>
      <c r="D6958" t="inlineStr">
        <is>
          <t>KALMAR LÄN</t>
        </is>
      </c>
      <c r="E6958" t="inlineStr">
        <is>
          <t>OSKARSHAMN</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36733-2025</t>
        </is>
      </c>
      <c r="B6959" s="1" t="n">
        <v>45873.50734953704</v>
      </c>
      <c r="C6959" s="1" t="n">
        <v>45884</v>
      </c>
      <c r="D6959" t="inlineStr">
        <is>
          <t>KALMAR LÄN</t>
        </is>
      </c>
      <c r="E6959" t="inlineStr">
        <is>
          <t>NYBRO</t>
        </is>
      </c>
      <c r="F6959" t="inlineStr">
        <is>
          <t>Sveaskog</t>
        </is>
      </c>
      <c r="G6959" t="n">
        <v>1.8</v>
      </c>
      <c r="H6959" t="n">
        <v>0</v>
      </c>
      <c r="I6959" t="n">
        <v>0</v>
      </c>
      <c r="J6959" t="n">
        <v>0</v>
      </c>
      <c r="K6959" t="n">
        <v>0</v>
      </c>
      <c r="L6959" t="n">
        <v>0</v>
      </c>
      <c r="M6959" t="n">
        <v>0</v>
      </c>
      <c r="N6959" t="n">
        <v>0</v>
      </c>
      <c r="O6959" t="n">
        <v>0</v>
      </c>
      <c r="P6959" t="n">
        <v>0</v>
      </c>
      <c r="Q6959" t="n">
        <v>0</v>
      </c>
      <c r="R6959" s="2" t="inlineStr"/>
    </row>
    <row r="6960" ht="15" customHeight="1">
      <c r="A6960" t="inlineStr">
        <is>
          <t>A 30690-2025</t>
        </is>
      </c>
      <c r="B6960" s="1" t="n">
        <v>45831.53775462963</v>
      </c>
      <c r="C6960" s="1" t="n">
        <v>45884</v>
      </c>
      <c r="D6960" t="inlineStr">
        <is>
          <t>KALMAR LÄN</t>
        </is>
      </c>
      <c r="E6960" t="inlineStr">
        <is>
          <t>VÄSTERVIK</t>
        </is>
      </c>
      <c r="G6960" t="n">
        <v>1.6</v>
      </c>
      <c r="H6960" t="n">
        <v>0</v>
      </c>
      <c r="I6960" t="n">
        <v>0</v>
      </c>
      <c r="J6960" t="n">
        <v>0</v>
      </c>
      <c r="K6960" t="n">
        <v>0</v>
      </c>
      <c r="L6960" t="n">
        <v>0</v>
      </c>
      <c r="M6960" t="n">
        <v>0</v>
      </c>
      <c r="N6960" t="n">
        <v>0</v>
      </c>
      <c r="O6960" t="n">
        <v>0</v>
      </c>
      <c r="P6960" t="n">
        <v>0</v>
      </c>
      <c r="Q6960" t="n">
        <v>0</v>
      </c>
      <c r="R6960" s="2" t="inlineStr"/>
    </row>
    <row r="6961" ht="15" customHeight="1">
      <c r="A6961" t="inlineStr">
        <is>
          <t>A 30528-2025</t>
        </is>
      </c>
      <c r="B6961" s="1" t="n">
        <v>45831.36028935185</v>
      </c>
      <c r="C6961" s="1" t="n">
        <v>45884</v>
      </c>
      <c r="D6961" t="inlineStr">
        <is>
          <t>KALMAR LÄN</t>
        </is>
      </c>
      <c r="E6961" t="inlineStr">
        <is>
          <t>OSKARSHAMN</t>
        </is>
      </c>
      <c r="G6961" t="n">
        <v>2</v>
      </c>
      <c r="H6961" t="n">
        <v>0</v>
      </c>
      <c r="I6961" t="n">
        <v>0</v>
      </c>
      <c r="J6961" t="n">
        <v>0</v>
      </c>
      <c r="K6961" t="n">
        <v>0</v>
      </c>
      <c r="L6961" t="n">
        <v>0</v>
      </c>
      <c r="M6961" t="n">
        <v>0</v>
      </c>
      <c r="N6961" t="n">
        <v>0</v>
      </c>
      <c r="O6961" t="n">
        <v>0</v>
      </c>
      <c r="P6961" t="n">
        <v>0</v>
      </c>
      <c r="Q6961" t="n">
        <v>0</v>
      </c>
      <c r="R6961" s="2" t="inlineStr"/>
    </row>
    <row r="6962" ht="15" customHeight="1">
      <c r="A6962" t="inlineStr">
        <is>
          <t>A 35592-2025</t>
        </is>
      </c>
      <c r="B6962" s="1" t="n">
        <v>45857</v>
      </c>
      <c r="C6962" s="1" t="n">
        <v>45884</v>
      </c>
      <c r="D6962" t="inlineStr">
        <is>
          <t>KALMAR LÄN</t>
        </is>
      </c>
      <c r="E6962" t="inlineStr">
        <is>
          <t>EMMABODA</t>
        </is>
      </c>
      <c r="G6962" t="n">
        <v>5.3</v>
      </c>
      <c r="H6962" t="n">
        <v>0</v>
      </c>
      <c r="I6962" t="n">
        <v>0</v>
      </c>
      <c r="J6962" t="n">
        <v>0</v>
      </c>
      <c r="K6962" t="n">
        <v>0</v>
      </c>
      <c r="L6962" t="n">
        <v>0</v>
      </c>
      <c r="M6962" t="n">
        <v>0</v>
      </c>
      <c r="N6962" t="n">
        <v>0</v>
      </c>
      <c r="O6962" t="n">
        <v>0</v>
      </c>
      <c r="P6962" t="n">
        <v>0</v>
      </c>
      <c r="Q6962" t="n">
        <v>0</v>
      </c>
      <c r="R6962" s="2" t="inlineStr"/>
    </row>
    <row r="6963" ht="15" customHeight="1">
      <c r="A6963" t="inlineStr">
        <is>
          <t>A 30820-2025</t>
        </is>
      </c>
      <c r="B6963" s="1" t="n">
        <v>45831.66277777778</v>
      </c>
      <c r="C6963" s="1" t="n">
        <v>45884</v>
      </c>
      <c r="D6963" t="inlineStr">
        <is>
          <t>KALMAR LÄN</t>
        </is>
      </c>
      <c r="E6963" t="inlineStr">
        <is>
          <t>HULTSFRED</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26336-2025</t>
        </is>
      </c>
      <c r="B6964" s="1" t="n">
        <v>45805.69674768519</v>
      </c>
      <c r="C6964" s="1" t="n">
        <v>45884</v>
      </c>
      <c r="D6964" t="inlineStr">
        <is>
          <t>KALMAR LÄN</t>
        </is>
      </c>
      <c r="E6964" t="inlineStr">
        <is>
          <t>OSKARSHAMN</t>
        </is>
      </c>
      <c r="G6964" t="n">
        <v>0.8</v>
      </c>
      <c r="H6964" t="n">
        <v>0</v>
      </c>
      <c r="I6964" t="n">
        <v>0</v>
      </c>
      <c r="J6964" t="n">
        <v>0</v>
      </c>
      <c r="K6964" t="n">
        <v>0</v>
      </c>
      <c r="L6964" t="n">
        <v>0</v>
      </c>
      <c r="M6964" t="n">
        <v>0</v>
      </c>
      <c r="N6964" t="n">
        <v>0</v>
      </c>
      <c r="O6964" t="n">
        <v>0</v>
      </c>
      <c r="P6964" t="n">
        <v>0</v>
      </c>
      <c r="Q6964" t="n">
        <v>0</v>
      </c>
      <c r="R6964" s="2" t="inlineStr"/>
    </row>
    <row r="6965" ht="15" customHeight="1">
      <c r="A6965" t="inlineStr">
        <is>
          <t>A 36600-2025</t>
        </is>
      </c>
      <c r="B6965" s="1" t="n">
        <v>45870.51958333333</v>
      </c>
      <c r="C6965" s="1" t="n">
        <v>45884</v>
      </c>
      <c r="D6965" t="inlineStr">
        <is>
          <t>KALMAR LÄN</t>
        </is>
      </c>
      <c r="E6965" t="inlineStr">
        <is>
          <t>VIMMERBY</t>
        </is>
      </c>
      <c r="G6965" t="n">
        <v>2</v>
      </c>
      <c r="H6965" t="n">
        <v>0</v>
      </c>
      <c r="I6965" t="n">
        <v>0</v>
      </c>
      <c r="J6965" t="n">
        <v>0</v>
      </c>
      <c r="K6965" t="n">
        <v>0</v>
      </c>
      <c r="L6965" t="n">
        <v>0</v>
      </c>
      <c r="M6965" t="n">
        <v>0</v>
      </c>
      <c r="N6965" t="n">
        <v>0</v>
      </c>
      <c r="O6965" t="n">
        <v>0</v>
      </c>
      <c r="P6965" t="n">
        <v>0</v>
      </c>
      <c r="Q6965" t="n">
        <v>0</v>
      </c>
      <c r="R6965" s="2" t="inlineStr"/>
    </row>
    <row r="6966" ht="15" customHeight="1">
      <c r="A6966" t="inlineStr">
        <is>
          <t>A 36598-2025</t>
        </is>
      </c>
      <c r="B6966" s="1" t="n">
        <v>45870.51708333333</v>
      </c>
      <c r="C6966" s="1" t="n">
        <v>45884</v>
      </c>
      <c r="D6966" t="inlineStr">
        <is>
          <t>KALMAR LÄN</t>
        </is>
      </c>
      <c r="E6966" t="inlineStr">
        <is>
          <t>VIMMERBY</t>
        </is>
      </c>
      <c r="G6966" t="n">
        <v>3.7</v>
      </c>
      <c r="H6966" t="n">
        <v>0</v>
      </c>
      <c r="I6966" t="n">
        <v>0</v>
      </c>
      <c r="J6966" t="n">
        <v>0</v>
      </c>
      <c r="K6966" t="n">
        <v>0</v>
      </c>
      <c r="L6966" t="n">
        <v>0</v>
      </c>
      <c r="M6966" t="n">
        <v>0</v>
      </c>
      <c r="N6966" t="n">
        <v>0</v>
      </c>
      <c r="O6966" t="n">
        <v>0</v>
      </c>
      <c r="P6966" t="n">
        <v>0</v>
      </c>
      <c r="Q6966" t="n">
        <v>0</v>
      </c>
      <c r="R6966" s="2" t="inlineStr"/>
    </row>
    <row r="6967" ht="15" customHeight="1">
      <c r="A6967" t="inlineStr">
        <is>
          <t>A 36601-2025</t>
        </is>
      </c>
      <c r="B6967" s="1" t="n">
        <v>45870.52005787037</v>
      </c>
      <c r="C6967" s="1" t="n">
        <v>45884</v>
      </c>
      <c r="D6967" t="inlineStr">
        <is>
          <t>KALMAR LÄN</t>
        </is>
      </c>
      <c r="E6967" t="inlineStr">
        <is>
          <t>VIMMERBY</t>
        </is>
      </c>
      <c r="G6967" t="n">
        <v>0.5</v>
      </c>
      <c r="H6967" t="n">
        <v>0</v>
      </c>
      <c r="I6967" t="n">
        <v>0</v>
      </c>
      <c r="J6967" t="n">
        <v>0</v>
      </c>
      <c r="K6967" t="n">
        <v>0</v>
      </c>
      <c r="L6967" t="n">
        <v>0</v>
      </c>
      <c r="M6967" t="n">
        <v>0</v>
      </c>
      <c r="N6967" t="n">
        <v>0</v>
      </c>
      <c r="O6967" t="n">
        <v>0</v>
      </c>
      <c r="P6967" t="n">
        <v>0</v>
      </c>
      <c r="Q6967" t="n">
        <v>0</v>
      </c>
      <c r="R6967" s="2" t="inlineStr"/>
    </row>
    <row r="6968" ht="15" customHeight="1">
      <c r="A6968" t="inlineStr">
        <is>
          <t>A 36603-2025</t>
        </is>
      </c>
      <c r="B6968" s="1" t="n">
        <v>45870.52142361111</v>
      </c>
      <c r="C6968" s="1" t="n">
        <v>45884</v>
      </c>
      <c r="D6968" t="inlineStr">
        <is>
          <t>KALMAR LÄN</t>
        </is>
      </c>
      <c r="E6968" t="inlineStr">
        <is>
          <t>VIMMERBY</t>
        </is>
      </c>
      <c r="G6968" t="n">
        <v>1.6</v>
      </c>
      <c r="H6968" t="n">
        <v>0</v>
      </c>
      <c r="I6968" t="n">
        <v>0</v>
      </c>
      <c r="J6968" t="n">
        <v>0</v>
      </c>
      <c r="K6968" t="n">
        <v>0</v>
      </c>
      <c r="L6968" t="n">
        <v>0</v>
      </c>
      <c r="M6968" t="n">
        <v>0</v>
      </c>
      <c r="N6968" t="n">
        <v>0</v>
      </c>
      <c r="O6968" t="n">
        <v>0</v>
      </c>
      <c r="P6968" t="n">
        <v>0</v>
      </c>
      <c r="Q6968" t="n">
        <v>0</v>
      </c>
      <c r="R6968" s="2" t="inlineStr"/>
    </row>
    <row r="6969" ht="15" customHeight="1">
      <c r="A6969" t="inlineStr">
        <is>
          <t>A 30789-2025</t>
        </is>
      </c>
      <c r="B6969" s="1" t="n">
        <v>45831.63174768518</v>
      </c>
      <c r="C6969" s="1" t="n">
        <v>45884</v>
      </c>
      <c r="D6969" t="inlineStr">
        <is>
          <t>KALMAR LÄN</t>
        </is>
      </c>
      <c r="E6969" t="inlineStr">
        <is>
          <t>VÄSTERVIK</t>
        </is>
      </c>
      <c r="G6969" t="n">
        <v>7</v>
      </c>
      <c r="H6969" t="n">
        <v>0</v>
      </c>
      <c r="I6969" t="n">
        <v>0</v>
      </c>
      <c r="J6969" t="n">
        <v>0</v>
      </c>
      <c r="K6969" t="n">
        <v>0</v>
      </c>
      <c r="L6969" t="n">
        <v>0</v>
      </c>
      <c r="M6969" t="n">
        <v>0</v>
      </c>
      <c r="N6969" t="n">
        <v>0</v>
      </c>
      <c r="O6969" t="n">
        <v>0</v>
      </c>
      <c r="P6969" t="n">
        <v>0</v>
      </c>
      <c r="Q6969" t="n">
        <v>0</v>
      </c>
      <c r="R6969" s="2" t="inlineStr"/>
    </row>
    <row r="6970" ht="15" customHeight="1">
      <c r="A6970" t="inlineStr">
        <is>
          <t>A 30850-2025</t>
        </is>
      </c>
      <c r="B6970" s="1" t="n">
        <v>45831</v>
      </c>
      <c r="C6970" s="1" t="n">
        <v>45884</v>
      </c>
      <c r="D6970" t="inlineStr">
        <is>
          <t>KALMAR LÄN</t>
        </is>
      </c>
      <c r="E6970" t="inlineStr">
        <is>
          <t>VIMMERBY</t>
        </is>
      </c>
      <c r="G6970" t="n">
        <v>2.7</v>
      </c>
      <c r="H6970" t="n">
        <v>0</v>
      </c>
      <c r="I6970" t="n">
        <v>0</v>
      </c>
      <c r="J6970" t="n">
        <v>0</v>
      </c>
      <c r="K6970" t="n">
        <v>0</v>
      </c>
      <c r="L6970" t="n">
        <v>0</v>
      </c>
      <c r="M6970" t="n">
        <v>0</v>
      </c>
      <c r="N6970" t="n">
        <v>0</v>
      </c>
      <c r="O6970" t="n">
        <v>0</v>
      </c>
      <c r="P6970" t="n">
        <v>0</v>
      </c>
      <c r="Q6970" t="n">
        <v>0</v>
      </c>
      <c r="R6970" s="2" t="inlineStr"/>
    </row>
    <row r="6971" ht="15" customHeight="1">
      <c r="A6971" t="inlineStr">
        <is>
          <t>A 30929-2025</t>
        </is>
      </c>
      <c r="B6971" s="1" t="n">
        <v>45831</v>
      </c>
      <c r="C6971" s="1" t="n">
        <v>45884</v>
      </c>
      <c r="D6971" t="inlineStr">
        <is>
          <t>KALMAR LÄN</t>
        </is>
      </c>
      <c r="E6971" t="inlineStr">
        <is>
          <t>HULTSFRED</t>
        </is>
      </c>
      <c r="F6971" t="inlineStr">
        <is>
          <t>Kommuner</t>
        </is>
      </c>
      <c r="G6971" t="n">
        <v>3.1</v>
      </c>
      <c r="H6971" t="n">
        <v>0</v>
      </c>
      <c r="I6971" t="n">
        <v>0</v>
      </c>
      <c r="J6971" t="n">
        <v>0</v>
      </c>
      <c r="K6971" t="n">
        <v>0</v>
      </c>
      <c r="L6971" t="n">
        <v>0</v>
      </c>
      <c r="M6971" t="n">
        <v>0</v>
      </c>
      <c r="N6971" t="n">
        <v>0</v>
      </c>
      <c r="O6971" t="n">
        <v>0</v>
      </c>
      <c r="P6971" t="n">
        <v>0</v>
      </c>
      <c r="Q6971" t="n">
        <v>0</v>
      </c>
      <c r="R6971" s="2" t="inlineStr"/>
    </row>
    <row r="6972" ht="15" customHeight="1">
      <c r="A6972" t="inlineStr">
        <is>
          <t>A 30510-2025</t>
        </is>
      </c>
      <c r="B6972" s="1" t="n">
        <v>45831.28561342593</v>
      </c>
      <c r="C6972" s="1" t="n">
        <v>45884</v>
      </c>
      <c r="D6972" t="inlineStr">
        <is>
          <t>KALMAR LÄN</t>
        </is>
      </c>
      <c r="E6972" t="inlineStr">
        <is>
          <t>NYBRO</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36699-2025</t>
        </is>
      </c>
      <c r="B6973" s="1" t="n">
        <v>45873.44460648148</v>
      </c>
      <c r="C6973" s="1" t="n">
        <v>45884</v>
      </c>
      <c r="D6973" t="inlineStr">
        <is>
          <t>KALMAR LÄN</t>
        </is>
      </c>
      <c r="E6973" t="inlineStr">
        <is>
          <t>OSKARSHAMN</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36705-2025</t>
        </is>
      </c>
      <c r="B6974" s="1" t="n">
        <v>45873.45185185185</v>
      </c>
      <c r="C6974" s="1" t="n">
        <v>45884</v>
      </c>
      <c r="D6974" t="inlineStr">
        <is>
          <t>KALMAR LÄN</t>
        </is>
      </c>
      <c r="E6974" t="inlineStr">
        <is>
          <t>OSKARSHAMN</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36754-2025</t>
        </is>
      </c>
      <c r="B6975" s="1" t="n">
        <v>45873.5591087963</v>
      </c>
      <c r="C6975" s="1" t="n">
        <v>45884</v>
      </c>
      <c r="D6975" t="inlineStr">
        <is>
          <t>KALMAR LÄN</t>
        </is>
      </c>
      <c r="E6975" t="inlineStr">
        <is>
          <t>VÄSTERVIK</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36757-2025</t>
        </is>
      </c>
      <c r="B6976" s="1" t="n">
        <v>45873.56483796296</v>
      </c>
      <c r="C6976" s="1" t="n">
        <v>45884</v>
      </c>
      <c r="D6976" t="inlineStr">
        <is>
          <t>KALMAR LÄN</t>
        </is>
      </c>
      <c r="E6976" t="inlineStr">
        <is>
          <t>VÄSTERVIK</t>
        </is>
      </c>
      <c r="G6976" t="n">
        <v>2.3</v>
      </c>
      <c r="H6976" t="n">
        <v>0</v>
      </c>
      <c r="I6976" t="n">
        <v>0</v>
      </c>
      <c r="J6976" t="n">
        <v>0</v>
      </c>
      <c r="K6976" t="n">
        <v>0</v>
      </c>
      <c r="L6976" t="n">
        <v>0</v>
      </c>
      <c r="M6976" t="n">
        <v>0</v>
      </c>
      <c r="N6976" t="n">
        <v>0</v>
      </c>
      <c r="O6976" t="n">
        <v>0</v>
      </c>
      <c r="P6976" t="n">
        <v>0</v>
      </c>
      <c r="Q6976" t="n">
        <v>0</v>
      </c>
      <c r="R6976" s="2" t="inlineStr"/>
    </row>
    <row r="6977" ht="15" customHeight="1">
      <c r="A6977" t="inlineStr">
        <is>
          <t>A 31029-2025</t>
        </is>
      </c>
      <c r="B6977" s="1" t="n">
        <v>45831</v>
      </c>
      <c r="C6977" s="1" t="n">
        <v>45884</v>
      </c>
      <c r="D6977" t="inlineStr">
        <is>
          <t>KALMAR LÄN</t>
        </is>
      </c>
      <c r="E6977" t="inlineStr">
        <is>
          <t>NYBRO</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30811-2025</t>
        </is>
      </c>
      <c r="B6978" s="1" t="n">
        <v>45831.65712962963</v>
      </c>
      <c r="C6978" s="1" t="n">
        <v>45884</v>
      </c>
      <c r="D6978" t="inlineStr">
        <is>
          <t>KALMAR LÄN</t>
        </is>
      </c>
      <c r="E6978" t="inlineStr">
        <is>
          <t>VÄSTERVIK</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30565-2025</t>
        </is>
      </c>
      <c r="B6979" s="1" t="n">
        <v>45831.40432870371</v>
      </c>
      <c r="C6979" s="1" t="n">
        <v>45884</v>
      </c>
      <c r="D6979" t="inlineStr">
        <is>
          <t>KALMAR LÄN</t>
        </is>
      </c>
      <c r="E6979" t="inlineStr">
        <is>
          <t>MÖNSTERÅS</t>
        </is>
      </c>
      <c r="G6979" t="n">
        <v>3.7</v>
      </c>
      <c r="H6979" t="n">
        <v>0</v>
      </c>
      <c r="I6979" t="n">
        <v>0</v>
      </c>
      <c r="J6979" t="n">
        <v>0</v>
      </c>
      <c r="K6979" t="n">
        <v>0</v>
      </c>
      <c r="L6979" t="n">
        <v>0</v>
      </c>
      <c r="M6979" t="n">
        <v>0</v>
      </c>
      <c r="N6979" t="n">
        <v>0</v>
      </c>
      <c r="O6979" t="n">
        <v>0</v>
      </c>
      <c r="P6979" t="n">
        <v>0</v>
      </c>
      <c r="Q6979" t="n">
        <v>0</v>
      </c>
      <c r="R6979" s="2" t="inlineStr"/>
    </row>
    <row r="6980" ht="15" customHeight="1">
      <c r="A6980" t="inlineStr">
        <is>
          <t>A 30674-2025</t>
        </is>
      </c>
      <c r="B6980" s="1" t="n">
        <v>45831.51925925926</v>
      </c>
      <c r="C6980" s="1" t="n">
        <v>45884</v>
      </c>
      <c r="D6980" t="inlineStr">
        <is>
          <t>KALMAR LÄN</t>
        </is>
      </c>
      <c r="E6980" t="inlineStr">
        <is>
          <t>HULTSFRED</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36602-2025</t>
        </is>
      </c>
      <c r="B6981" s="1" t="n">
        <v>45870.52111111111</v>
      </c>
      <c r="C6981" s="1" t="n">
        <v>45884</v>
      </c>
      <c r="D6981" t="inlineStr">
        <is>
          <t>KALMAR LÄN</t>
        </is>
      </c>
      <c r="E6981" t="inlineStr">
        <is>
          <t>VIMMERBY</t>
        </is>
      </c>
      <c r="G6981" t="n">
        <v>0.6</v>
      </c>
      <c r="H6981" t="n">
        <v>0</v>
      </c>
      <c r="I6981" t="n">
        <v>0</v>
      </c>
      <c r="J6981" t="n">
        <v>0</v>
      </c>
      <c r="K6981" t="n">
        <v>0</v>
      </c>
      <c r="L6981" t="n">
        <v>0</v>
      </c>
      <c r="M6981" t="n">
        <v>0</v>
      </c>
      <c r="N6981" t="n">
        <v>0</v>
      </c>
      <c r="O6981" t="n">
        <v>0</v>
      </c>
      <c r="P6981" t="n">
        <v>0</v>
      </c>
      <c r="Q6981" t="n">
        <v>0</v>
      </c>
      <c r="R6981" s="2" t="inlineStr"/>
    </row>
    <row r="6982" ht="15" customHeight="1">
      <c r="A6982" t="inlineStr">
        <is>
          <t>A 36677-2025</t>
        </is>
      </c>
      <c r="B6982" s="1" t="n">
        <v>45873.39606481481</v>
      </c>
      <c r="C6982" s="1" t="n">
        <v>45884</v>
      </c>
      <c r="D6982" t="inlineStr">
        <is>
          <t>KALMAR LÄN</t>
        </is>
      </c>
      <c r="E6982" t="inlineStr">
        <is>
          <t>HULTSFRED</t>
        </is>
      </c>
      <c r="G6982" t="n">
        <v>3.6</v>
      </c>
      <c r="H6982" t="n">
        <v>0</v>
      </c>
      <c r="I6982" t="n">
        <v>0</v>
      </c>
      <c r="J6982" t="n">
        <v>0</v>
      </c>
      <c r="K6982" t="n">
        <v>0</v>
      </c>
      <c r="L6982" t="n">
        <v>0</v>
      </c>
      <c r="M6982" t="n">
        <v>0</v>
      </c>
      <c r="N6982" t="n">
        <v>0</v>
      </c>
      <c r="O6982" t="n">
        <v>0</v>
      </c>
      <c r="P6982" t="n">
        <v>0</v>
      </c>
      <c r="Q6982" t="n">
        <v>0</v>
      </c>
      <c r="R6982" s="2" t="inlineStr"/>
    </row>
    <row r="6983" ht="15" customHeight="1">
      <c r="A6983" t="inlineStr">
        <is>
          <t>A 31540-2025</t>
        </is>
      </c>
      <c r="B6983" s="1" t="n">
        <v>45833.63016203704</v>
      </c>
      <c r="C6983" s="1" t="n">
        <v>45884</v>
      </c>
      <c r="D6983" t="inlineStr">
        <is>
          <t>KALMAR LÄN</t>
        </is>
      </c>
      <c r="E6983" t="inlineStr">
        <is>
          <t>NYBRO</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37079-2025</t>
        </is>
      </c>
      <c r="B6984" s="1" t="n">
        <v>45875.42716435185</v>
      </c>
      <c r="C6984" s="1" t="n">
        <v>45884</v>
      </c>
      <c r="D6984" t="inlineStr">
        <is>
          <t>KALMAR LÄN</t>
        </is>
      </c>
      <c r="E6984" t="inlineStr">
        <is>
          <t>VIMMERBY</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30950-2025</t>
        </is>
      </c>
      <c r="B6985" s="1" t="n">
        <v>45832.43137731482</v>
      </c>
      <c r="C6985" s="1" t="n">
        <v>45884</v>
      </c>
      <c r="D6985" t="inlineStr">
        <is>
          <t>KALMAR LÄN</t>
        </is>
      </c>
      <c r="E6985" t="inlineStr">
        <is>
          <t>OSKARSHAMN</t>
        </is>
      </c>
      <c r="G6985" t="n">
        <v>2.9</v>
      </c>
      <c r="H6985" t="n">
        <v>0</v>
      </c>
      <c r="I6985" t="n">
        <v>0</v>
      </c>
      <c r="J6985" t="n">
        <v>0</v>
      </c>
      <c r="K6985" t="n">
        <v>0</v>
      </c>
      <c r="L6985" t="n">
        <v>0</v>
      </c>
      <c r="M6985" t="n">
        <v>0</v>
      </c>
      <c r="N6985" t="n">
        <v>0</v>
      </c>
      <c r="O6985" t="n">
        <v>0</v>
      </c>
      <c r="P6985" t="n">
        <v>0</v>
      </c>
      <c r="Q6985" t="n">
        <v>0</v>
      </c>
      <c r="R6985" s="2" t="inlineStr"/>
    </row>
    <row r="6986" ht="15" customHeight="1">
      <c r="A6986" t="inlineStr">
        <is>
          <t>A 30978-2025</t>
        </is>
      </c>
      <c r="B6986" s="1" t="n">
        <v>45832.46736111111</v>
      </c>
      <c r="C6986" s="1" t="n">
        <v>45884</v>
      </c>
      <c r="D6986" t="inlineStr">
        <is>
          <t>KALMAR LÄN</t>
        </is>
      </c>
      <c r="E6986" t="inlineStr">
        <is>
          <t>OSKARSHAMN</t>
        </is>
      </c>
      <c r="G6986" t="n">
        <v>8.5</v>
      </c>
      <c r="H6986" t="n">
        <v>0</v>
      </c>
      <c r="I6986" t="n">
        <v>0</v>
      </c>
      <c r="J6986" t="n">
        <v>0</v>
      </c>
      <c r="K6986" t="n">
        <v>0</v>
      </c>
      <c r="L6986" t="n">
        <v>0</v>
      </c>
      <c r="M6986" t="n">
        <v>0</v>
      </c>
      <c r="N6986" t="n">
        <v>0</v>
      </c>
      <c r="O6986" t="n">
        <v>0</v>
      </c>
      <c r="P6986" t="n">
        <v>0</v>
      </c>
      <c r="Q6986" t="n">
        <v>0</v>
      </c>
      <c r="R6986" s="2" t="inlineStr"/>
    </row>
    <row r="6987" ht="15" customHeight="1">
      <c r="A6987" t="inlineStr">
        <is>
          <t>A 31016-2025</t>
        </is>
      </c>
      <c r="B6987" s="1" t="n">
        <v>45832.51099537037</v>
      </c>
      <c r="C6987" s="1" t="n">
        <v>45884</v>
      </c>
      <c r="D6987" t="inlineStr">
        <is>
          <t>KALMAR LÄN</t>
        </is>
      </c>
      <c r="E6987" t="inlineStr">
        <is>
          <t>MÖNSTERÅS</t>
        </is>
      </c>
      <c r="G6987" t="n">
        <v>3.1</v>
      </c>
      <c r="H6987" t="n">
        <v>0</v>
      </c>
      <c r="I6987" t="n">
        <v>0</v>
      </c>
      <c r="J6987" t="n">
        <v>0</v>
      </c>
      <c r="K6987" t="n">
        <v>0</v>
      </c>
      <c r="L6987" t="n">
        <v>0</v>
      </c>
      <c r="M6987" t="n">
        <v>0</v>
      </c>
      <c r="N6987" t="n">
        <v>0</v>
      </c>
      <c r="O6987" t="n">
        <v>0</v>
      </c>
      <c r="P6987" t="n">
        <v>0</v>
      </c>
      <c r="Q6987" t="n">
        <v>0</v>
      </c>
      <c r="R6987" s="2" t="inlineStr"/>
    </row>
    <row r="6988" ht="15" customHeight="1">
      <c r="A6988" t="inlineStr">
        <is>
          <t>A 30932-2025</t>
        </is>
      </c>
      <c r="B6988" s="1" t="n">
        <v>45832.40292824074</v>
      </c>
      <c r="C6988" s="1" t="n">
        <v>45884</v>
      </c>
      <c r="D6988" t="inlineStr">
        <is>
          <t>KALMAR LÄN</t>
        </is>
      </c>
      <c r="E6988" t="inlineStr">
        <is>
          <t>EMMABODA</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30947-2025</t>
        </is>
      </c>
      <c r="B6989" s="1" t="n">
        <v>45832.42618055556</v>
      </c>
      <c r="C6989" s="1" t="n">
        <v>45884</v>
      </c>
      <c r="D6989" t="inlineStr">
        <is>
          <t>KALMAR LÄN</t>
        </is>
      </c>
      <c r="E6989" t="inlineStr">
        <is>
          <t>OSKARSHAMN</t>
        </is>
      </c>
      <c r="G6989" t="n">
        <v>1.7</v>
      </c>
      <c r="H6989" t="n">
        <v>0</v>
      </c>
      <c r="I6989" t="n">
        <v>0</v>
      </c>
      <c r="J6989" t="n">
        <v>0</v>
      </c>
      <c r="K6989" t="n">
        <v>0</v>
      </c>
      <c r="L6989" t="n">
        <v>0</v>
      </c>
      <c r="M6989" t="n">
        <v>0</v>
      </c>
      <c r="N6989" t="n">
        <v>0</v>
      </c>
      <c r="O6989" t="n">
        <v>0</v>
      </c>
      <c r="P6989" t="n">
        <v>0</v>
      </c>
      <c r="Q6989" t="n">
        <v>0</v>
      </c>
      <c r="R6989" s="2" t="inlineStr"/>
    </row>
    <row r="6990" ht="15" customHeight="1">
      <c r="A6990" t="inlineStr">
        <is>
          <t>A 30956-2025</t>
        </is>
      </c>
      <c r="B6990" s="1" t="n">
        <v>45832.43704861111</v>
      </c>
      <c r="C6990" s="1" t="n">
        <v>45884</v>
      </c>
      <c r="D6990" t="inlineStr">
        <is>
          <t>KALMAR LÄN</t>
        </is>
      </c>
      <c r="E6990" t="inlineStr">
        <is>
          <t>OSKARSHAMN</t>
        </is>
      </c>
      <c r="G6990" t="n">
        <v>11.7</v>
      </c>
      <c r="H6990" t="n">
        <v>0</v>
      </c>
      <c r="I6990" t="n">
        <v>0</v>
      </c>
      <c r="J6990" t="n">
        <v>0</v>
      </c>
      <c r="K6990" t="n">
        <v>0</v>
      </c>
      <c r="L6990" t="n">
        <v>0</v>
      </c>
      <c r="M6990" t="n">
        <v>0</v>
      </c>
      <c r="N6990" t="n">
        <v>0</v>
      </c>
      <c r="O6990" t="n">
        <v>0</v>
      </c>
      <c r="P6990" t="n">
        <v>0</v>
      </c>
      <c r="Q6990" t="n">
        <v>0</v>
      </c>
      <c r="R6990" s="2" t="inlineStr"/>
    </row>
    <row r="6991" ht="15" customHeight="1">
      <c r="A6991" t="inlineStr">
        <is>
          <t>A 30925-2025</t>
        </is>
      </c>
      <c r="B6991" s="1" t="n">
        <v>45832.38621527778</v>
      </c>
      <c r="C6991" s="1" t="n">
        <v>45884</v>
      </c>
      <c r="D6991" t="inlineStr">
        <is>
          <t>KALMAR LÄN</t>
        </is>
      </c>
      <c r="E6991" t="inlineStr">
        <is>
          <t>EMMABODA</t>
        </is>
      </c>
      <c r="G6991" t="n">
        <v>2.8</v>
      </c>
      <c r="H6991" t="n">
        <v>0</v>
      </c>
      <c r="I6991" t="n">
        <v>0</v>
      </c>
      <c r="J6991" t="n">
        <v>0</v>
      </c>
      <c r="K6991" t="n">
        <v>0</v>
      </c>
      <c r="L6991" t="n">
        <v>0</v>
      </c>
      <c r="M6991" t="n">
        <v>0</v>
      </c>
      <c r="N6991" t="n">
        <v>0</v>
      </c>
      <c r="O6991" t="n">
        <v>0</v>
      </c>
      <c r="P6991" t="n">
        <v>0</v>
      </c>
      <c r="Q6991" t="n">
        <v>0</v>
      </c>
      <c r="R6991" s="2" t="inlineStr"/>
    </row>
    <row r="6992" ht="15" customHeight="1">
      <c r="A6992" t="inlineStr">
        <is>
          <t>A 30966-2025</t>
        </is>
      </c>
      <c r="B6992" s="1" t="n">
        <v>45832.45224537037</v>
      </c>
      <c r="C6992" s="1" t="n">
        <v>45884</v>
      </c>
      <c r="D6992" t="inlineStr">
        <is>
          <t>KALMAR LÄN</t>
        </is>
      </c>
      <c r="E6992" t="inlineStr">
        <is>
          <t>OSKARSHAMN</t>
        </is>
      </c>
      <c r="G6992" t="n">
        <v>0.9</v>
      </c>
      <c r="H6992" t="n">
        <v>0</v>
      </c>
      <c r="I6992" t="n">
        <v>0</v>
      </c>
      <c r="J6992" t="n">
        <v>0</v>
      </c>
      <c r="K6992" t="n">
        <v>0</v>
      </c>
      <c r="L6992" t="n">
        <v>0</v>
      </c>
      <c r="M6992" t="n">
        <v>0</v>
      </c>
      <c r="N6992" t="n">
        <v>0</v>
      </c>
      <c r="O6992" t="n">
        <v>0</v>
      </c>
      <c r="P6992" t="n">
        <v>0</v>
      </c>
      <c r="Q6992" t="n">
        <v>0</v>
      </c>
      <c r="R6992" s="2" t="inlineStr"/>
    </row>
    <row r="6993" ht="15" customHeight="1">
      <c r="A6993" t="inlineStr">
        <is>
          <t>A 36934-2025</t>
        </is>
      </c>
      <c r="B6993" s="1" t="n">
        <v>45874.57109953704</v>
      </c>
      <c r="C6993" s="1" t="n">
        <v>45884</v>
      </c>
      <c r="D6993" t="inlineStr">
        <is>
          <t>KALMAR LÄN</t>
        </is>
      </c>
      <c r="E6993" t="inlineStr">
        <is>
          <t>VIMMERBY</t>
        </is>
      </c>
      <c r="G6993" t="n">
        <v>4.2</v>
      </c>
      <c r="H6993" t="n">
        <v>0</v>
      </c>
      <c r="I6993" t="n">
        <v>0</v>
      </c>
      <c r="J6993" t="n">
        <v>0</v>
      </c>
      <c r="K6993" t="n">
        <v>0</v>
      </c>
      <c r="L6993" t="n">
        <v>0</v>
      </c>
      <c r="M6993" t="n">
        <v>0</v>
      </c>
      <c r="N6993" t="n">
        <v>0</v>
      </c>
      <c r="O6993" t="n">
        <v>0</v>
      </c>
      <c r="P6993" t="n">
        <v>0</v>
      </c>
      <c r="Q6993" t="n">
        <v>0</v>
      </c>
      <c r="R6993" s="2" t="inlineStr"/>
    </row>
    <row r="6994" ht="15" customHeight="1">
      <c r="A6994" t="inlineStr">
        <is>
          <t>A 31429-2025</t>
        </is>
      </c>
      <c r="B6994" s="1" t="n">
        <v>45833.49329861111</v>
      </c>
      <c r="C6994" s="1" t="n">
        <v>45884</v>
      </c>
      <c r="D6994" t="inlineStr">
        <is>
          <t>KALMAR LÄN</t>
        </is>
      </c>
      <c r="E6994" t="inlineStr">
        <is>
          <t>OSKARSHAMN</t>
        </is>
      </c>
      <c r="G6994" t="n">
        <v>6</v>
      </c>
      <c r="H6994" t="n">
        <v>0</v>
      </c>
      <c r="I6994" t="n">
        <v>0</v>
      </c>
      <c r="J6994" t="n">
        <v>0</v>
      </c>
      <c r="K6994" t="n">
        <v>0</v>
      </c>
      <c r="L6994" t="n">
        <v>0</v>
      </c>
      <c r="M6994" t="n">
        <v>0</v>
      </c>
      <c r="N6994" t="n">
        <v>0</v>
      </c>
      <c r="O6994" t="n">
        <v>0</v>
      </c>
      <c r="P6994" t="n">
        <v>0</v>
      </c>
      <c r="Q6994" t="n">
        <v>0</v>
      </c>
      <c r="R6994" s="2" t="inlineStr"/>
    </row>
    <row r="6995" ht="15" customHeight="1">
      <c r="A6995" t="inlineStr">
        <is>
          <t>A 31248-2025</t>
        </is>
      </c>
      <c r="B6995" s="1" t="n">
        <v>45832.89177083333</v>
      </c>
      <c r="C6995" s="1" t="n">
        <v>45884</v>
      </c>
      <c r="D6995" t="inlineStr">
        <is>
          <t>KALMAR LÄN</t>
        </is>
      </c>
      <c r="E6995" t="inlineStr">
        <is>
          <t>VÄSTERVIK</t>
        </is>
      </c>
      <c r="G6995" t="n">
        <v>1.4</v>
      </c>
      <c r="H6995" t="n">
        <v>0</v>
      </c>
      <c r="I6995" t="n">
        <v>0</v>
      </c>
      <c r="J6995" t="n">
        <v>0</v>
      </c>
      <c r="K6995" t="n">
        <v>0</v>
      </c>
      <c r="L6995" t="n">
        <v>0</v>
      </c>
      <c r="M6995" t="n">
        <v>0</v>
      </c>
      <c r="N6995" t="n">
        <v>0</v>
      </c>
      <c r="O6995" t="n">
        <v>0</v>
      </c>
      <c r="P6995" t="n">
        <v>0</v>
      </c>
      <c r="Q6995" t="n">
        <v>0</v>
      </c>
      <c r="R6995" s="2" t="inlineStr"/>
    </row>
    <row r="6996" ht="15" customHeight="1">
      <c r="A6996" t="inlineStr">
        <is>
          <t>A 37102-2025</t>
        </is>
      </c>
      <c r="B6996" s="1" t="n">
        <v>45875.47454861111</v>
      </c>
      <c r="C6996" s="1" t="n">
        <v>45884</v>
      </c>
      <c r="D6996" t="inlineStr">
        <is>
          <t>KALMAR LÄN</t>
        </is>
      </c>
      <c r="E6996" t="inlineStr">
        <is>
          <t>VIMMERBY</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31075-2025</t>
        </is>
      </c>
      <c r="B6997" s="1" t="n">
        <v>45832.58109953703</v>
      </c>
      <c r="C6997" s="1" t="n">
        <v>45884</v>
      </c>
      <c r="D6997" t="inlineStr">
        <is>
          <t>KALMAR LÄN</t>
        </is>
      </c>
      <c r="E6997" t="inlineStr">
        <is>
          <t>OSKARSHAMN</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30918-2025</t>
        </is>
      </c>
      <c r="B6998" s="1" t="n">
        <v>45832.38409722222</v>
      </c>
      <c r="C6998" s="1" t="n">
        <v>45884</v>
      </c>
      <c r="D6998" t="inlineStr">
        <is>
          <t>KALMAR LÄN</t>
        </is>
      </c>
      <c r="E6998" t="inlineStr">
        <is>
          <t>TORSÅS</t>
        </is>
      </c>
      <c r="G6998" t="n">
        <v>2</v>
      </c>
      <c r="H6998" t="n">
        <v>0</v>
      </c>
      <c r="I6998" t="n">
        <v>0</v>
      </c>
      <c r="J6998" t="n">
        <v>0</v>
      </c>
      <c r="K6998" t="n">
        <v>0</v>
      </c>
      <c r="L6998" t="n">
        <v>0</v>
      </c>
      <c r="M6998" t="n">
        <v>0</v>
      </c>
      <c r="N6998" t="n">
        <v>0</v>
      </c>
      <c r="O6998" t="n">
        <v>0</v>
      </c>
      <c r="P6998" t="n">
        <v>0</v>
      </c>
      <c r="Q6998" t="n">
        <v>0</v>
      </c>
      <c r="R6998" s="2" t="inlineStr"/>
    </row>
    <row r="6999" ht="15" customHeight="1">
      <c r="A6999" t="inlineStr">
        <is>
          <t>A 30963-2025</t>
        </is>
      </c>
      <c r="B6999" s="1" t="n">
        <v>45832.45052083334</v>
      </c>
      <c r="C6999" s="1" t="n">
        <v>45884</v>
      </c>
      <c r="D6999" t="inlineStr">
        <is>
          <t>KALMAR LÄN</t>
        </is>
      </c>
      <c r="E6999" t="inlineStr">
        <is>
          <t>OSKARSHAMN</t>
        </is>
      </c>
      <c r="G6999" t="n">
        <v>1.8</v>
      </c>
      <c r="H6999" t="n">
        <v>0</v>
      </c>
      <c r="I6999" t="n">
        <v>0</v>
      </c>
      <c r="J6999" t="n">
        <v>0</v>
      </c>
      <c r="K6999" t="n">
        <v>0</v>
      </c>
      <c r="L6999" t="n">
        <v>0</v>
      </c>
      <c r="M6999" t="n">
        <v>0</v>
      </c>
      <c r="N6999" t="n">
        <v>0</v>
      </c>
      <c r="O6999" t="n">
        <v>0</v>
      </c>
      <c r="P6999" t="n">
        <v>0</v>
      </c>
      <c r="Q6999" t="n">
        <v>0</v>
      </c>
      <c r="R6999" s="2" t="inlineStr"/>
    </row>
    <row r="7000" ht="15" customHeight="1">
      <c r="A7000" t="inlineStr">
        <is>
          <t>A 31552-2025</t>
        </is>
      </c>
      <c r="B7000" s="1" t="n">
        <v>45833.64563657407</v>
      </c>
      <c r="C7000" s="1" t="n">
        <v>45884</v>
      </c>
      <c r="D7000" t="inlineStr">
        <is>
          <t>KALMAR LÄN</t>
        </is>
      </c>
      <c r="E7000" t="inlineStr">
        <is>
          <t>VIMMERBY</t>
        </is>
      </c>
      <c r="G7000" t="n">
        <v>1.7</v>
      </c>
      <c r="H7000" t="n">
        <v>0</v>
      </c>
      <c r="I7000" t="n">
        <v>0</v>
      </c>
      <c r="J7000" t="n">
        <v>0</v>
      </c>
      <c r="K7000" t="n">
        <v>0</v>
      </c>
      <c r="L7000" t="n">
        <v>0</v>
      </c>
      <c r="M7000" t="n">
        <v>0</v>
      </c>
      <c r="N7000" t="n">
        <v>0</v>
      </c>
      <c r="O7000" t="n">
        <v>0</v>
      </c>
      <c r="P7000" t="n">
        <v>0</v>
      </c>
      <c r="Q7000" t="n">
        <v>0</v>
      </c>
      <c r="R7000" s="2" t="inlineStr"/>
    </row>
    <row r="7001" ht="15" customHeight="1">
      <c r="A7001" t="inlineStr">
        <is>
          <t>A 31555-2025</t>
        </is>
      </c>
      <c r="B7001" s="1" t="n">
        <v>45833.64814814815</v>
      </c>
      <c r="C7001" s="1" t="n">
        <v>45884</v>
      </c>
      <c r="D7001" t="inlineStr">
        <is>
          <t>KALMAR LÄN</t>
        </is>
      </c>
      <c r="E7001" t="inlineStr">
        <is>
          <t>VIMMERBY</t>
        </is>
      </c>
      <c r="G7001" t="n">
        <v>1.8</v>
      </c>
      <c r="H7001" t="n">
        <v>0</v>
      </c>
      <c r="I7001" t="n">
        <v>0</v>
      </c>
      <c r="J7001" t="n">
        <v>0</v>
      </c>
      <c r="K7001" t="n">
        <v>0</v>
      </c>
      <c r="L7001" t="n">
        <v>0</v>
      </c>
      <c r="M7001" t="n">
        <v>0</v>
      </c>
      <c r="N7001" t="n">
        <v>0</v>
      </c>
      <c r="O7001" t="n">
        <v>0</v>
      </c>
      <c r="P7001" t="n">
        <v>0</v>
      </c>
      <c r="Q7001" t="n">
        <v>0</v>
      </c>
      <c r="R7001" s="2" t="inlineStr"/>
    </row>
    <row r="7002" ht="15" customHeight="1">
      <c r="A7002" t="inlineStr">
        <is>
          <t>A 31223-2025</t>
        </is>
      </c>
      <c r="B7002" s="1" t="n">
        <v>45832</v>
      </c>
      <c r="C7002" s="1" t="n">
        <v>45884</v>
      </c>
      <c r="D7002" t="inlineStr">
        <is>
          <t>KALMAR LÄN</t>
        </is>
      </c>
      <c r="E7002" t="inlineStr">
        <is>
          <t>NYBRO</t>
        </is>
      </c>
      <c r="G7002" t="n">
        <v>1.5</v>
      </c>
      <c r="H7002" t="n">
        <v>0</v>
      </c>
      <c r="I7002" t="n">
        <v>0</v>
      </c>
      <c r="J7002" t="n">
        <v>0</v>
      </c>
      <c r="K7002" t="n">
        <v>0</v>
      </c>
      <c r="L7002" t="n">
        <v>0</v>
      </c>
      <c r="M7002" t="n">
        <v>0</v>
      </c>
      <c r="N7002" t="n">
        <v>0</v>
      </c>
      <c r="O7002" t="n">
        <v>0</v>
      </c>
      <c r="P7002" t="n">
        <v>0</v>
      </c>
      <c r="Q7002" t="n">
        <v>0</v>
      </c>
      <c r="R7002" s="2" t="inlineStr"/>
    </row>
    <row r="7003" ht="15" customHeight="1">
      <c r="A7003" t="inlineStr">
        <is>
          <t>A 31081-2025</t>
        </is>
      </c>
      <c r="B7003" s="1" t="n">
        <v>45832.58603009259</v>
      </c>
      <c r="C7003" s="1" t="n">
        <v>45884</v>
      </c>
      <c r="D7003" t="inlineStr">
        <is>
          <t>KALMAR LÄN</t>
        </is>
      </c>
      <c r="E7003" t="inlineStr">
        <is>
          <t>OSKARSHAMN</t>
        </is>
      </c>
      <c r="G7003" t="n">
        <v>1.8</v>
      </c>
      <c r="H7003" t="n">
        <v>0</v>
      </c>
      <c r="I7003" t="n">
        <v>0</v>
      </c>
      <c r="J7003" t="n">
        <v>0</v>
      </c>
      <c r="K7003" t="n">
        <v>0</v>
      </c>
      <c r="L7003" t="n">
        <v>0</v>
      </c>
      <c r="M7003" t="n">
        <v>0</v>
      </c>
      <c r="N7003" t="n">
        <v>0</v>
      </c>
      <c r="O7003" t="n">
        <v>0</v>
      </c>
      <c r="P7003" t="n">
        <v>0</v>
      </c>
      <c r="Q7003" t="n">
        <v>0</v>
      </c>
      <c r="R7003" s="2" t="inlineStr"/>
    </row>
    <row r="7004" ht="15" customHeight="1">
      <c r="A7004" t="inlineStr">
        <is>
          <t>A 31373-2025</t>
        </is>
      </c>
      <c r="B7004" s="1" t="n">
        <v>45833.44520833333</v>
      </c>
      <c r="C7004" s="1" t="n">
        <v>45884</v>
      </c>
      <c r="D7004" t="inlineStr">
        <is>
          <t>KALMAR LÄN</t>
        </is>
      </c>
      <c r="E7004" t="inlineStr">
        <is>
          <t>MÖNSTERÅS</t>
        </is>
      </c>
      <c r="G7004" t="n">
        <v>4.2</v>
      </c>
      <c r="H7004" t="n">
        <v>0</v>
      </c>
      <c r="I7004" t="n">
        <v>0</v>
      </c>
      <c r="J7004" t="n">
        <v>0</v>
      </c>
      <c r="K7004" t="n">
        <v>0</v>
      </c>
      <c r="L7004" t="n">
        <v>0</v>
      </c>
      <c r="M7004" t="n">
        <v>0</v>
      </c>
      <c r="N7004" t="n">
        <v>0</v>
      </c>
      <c r="O7004" t="n">
        <v>0</v>
      </c>
      <c r="P7004" t="n">
        <v>0</v>
      </c>
      <c r="Q7004" t="n">
        <v>0</v>
      </c>
      <c r="R7004" s="2" t="inlineStr"/>
    </row>
    <row r="7005" ht="15" customHeight="1">
      <c r="A7005" t="inlineStr">
        <is>
          <t>A 30971-2025</t>
        </is>
      </c>
      <c r="B7005" s="1" t="n">
        <v>45832.46146990741</v>
      </c>
      <c r="C7005" s="1" t="n">
        <v>45884</v>
      </c>
      <c r="D7005" t="inlineStr">
        <is>
          <t>KALMAR LÄN</t>
        </is>
      </c>
      <c r="E7005" t="inlineStr">
        <is>
          <t>VIMMERBY</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31551-2025</t>
        </is>
      </c>
      <c r="B7006" s="1" t="n">
        <v>45833.64237268519</v>
      </c>
      <c r="C7006" s="1" t="n">
        <v>45884</v>
      </c>
      <c r="D7006" t="inlineStr">
        <is>
          <t>KALMAR LÄN</t>
        </is>
      </c>
      <c r="E7006" t="inlineStr">
        <is>
          <t>VIMMERBY</t>
        </is>
      </c>
      <c r="G7006" t="n">
        <v>1.9</v>
      </c>
      <c r="H7006" t="n">
        <v>0</v>
      </c>
      <c r="I7006" t="n">
        <v>0</v>
      </c>
      <c r="J7006" t="n">
        <v>0</v>
      </c>
      <c r="K7006" t="n">
        <v>0</v>
      </c>
      <c r="L7006" t="n">
        <v>0</v>
      </c>
      <c r="M7006" t="n">
        <v>0</v>
      </c>
      <c r="N7006" t="n">
        <v>0</v>
      </c>
      <c r="O7006" t="n">
        <v>0</v>
      </c>
      <c r="P7006" t="n">
        <v>0</v>
      </c>
      <c r="Q7006" t="n">
        <v>0</v>
      </c>
      <c r="R7006" s="2" t="inlineStr"/>
    </row>
    <row r="7007" ht="15" customHeight="1">
      <c r="A7007" t="inlineStr">
        <is>
          <t>A 31167-2025</t>
        </is>
      </c>
      <c r="B7007" s="1" t="n">
        <v>45832.66162037037</v>
      </c>
      <c r="C7007" s="1" t="n">
        <v>45884</v>
      </c>
      <c r="D7007" t="inlineStr">
        <is>
          <t>KALMAR LÄN</t>
        </is>
      </c>
      <c r="E7007" t="inlineStr">
        <is>
          <t>HULTSFRED</t>
        </is>
      </c>
      <c r="G7007" t="n">
        <v>4</v>
      </c>
      <c r="H7007" t="n">
        <v>0</v>
      </c>
      <c r="I7007" t="n">
        <v>0</v>
      </c>
      <c r="J7007" t="n">
        <v>0</v>
      </c>
      <c r="K7007" t="n">
        <v>0</v>
      </c>
      <c r="L7007" t="n">
        <v>0</v>
      </c>
      <c r="M7007" t="n">
        <v>0</v>
      </c>
      <c r="N7007" t="n">
        <v>0</v>
      </c>
      <c r="O7007" t="n">
        <v>0</v>
      </c>
      <c r="P7007" t="n">
        <v>0</v>
      </c>
      <c r="Q7007" t="n">
        <v>0</v>
      </c>
      <c r="R7007" s="2" t="inlineStr"/>
    </row>
    <row r="7008" ht="15" customHeight="1">
      <c r="A7008" t="inlineStr">
        <is>
          <t>A 36964-2025</t>
        </is>
      </c>
      <c r="B7008" s="1" t="n">
        <v>45874.63407407407</v>
      </c>
      <c r="C7008" s="1" t="n">
        <v>45884</v>
      </c>
      <c r="D7008" t="inlineStr">
        <is>
          <t>KALMAR LÄN</t>
        </is>
      </c>
      <c r="E7008" t="inlineStr">
        <is>
          <t>MÖNSTERÅS</t>
        </is>
      </c>
      <c r="G7008" t="n">
        <v>3.2</v>
      </c>
      <c r="H7008" t="n">
        <v>0</v>
      </c>
      <c r="I7008" t="n">
        <v>0</v>
      </c>
      <c r="J7008" t="n">
        <v>0</v>
      </c>
      <c r="K7008" t="n">
        <v>0</v>
      </c>
      <c r="L7008" t="n">
        <v>0</v>
      </c>
      <c r="M7008" t="n">
        <v>0</v>
      </c>
      <c r="N7008" t="n">
        <v>0</v>
      </c>
      <c r="O7008" t="n">
        <v>0</v>
      </c>
      <c r="P7008" t="n">
        <v>0</v>
      </c>
      <c r="Q7008" t="n">
        <v>0</v>
      </c>
      <c r="R7008" s="2" t="inlineStr"/>
    </row>
    <row r="7009" ht="15" customHeight="1">
      <c r="A7009" t="inlineStr">
        <is>
          <t>A 37088-2025</t>
        </is>
      </c>
      <c r="B7009" s="1" t="n">
        <v>45875.45716435185</v>
      </c>
      <c r="C7009" s="1" t="n">
        <v>45884</v>
      </c>
      <c r="D7009" t="inlineStr">
        <is>
          <t>KALMAR LÄN</t>
        </is>
      </c>
      <c r="E7009" t="inlineStr">
        <is>
          <t>VIMMERBY</t>
        </is>
      </c>
      <c r="G7009" t="n">
        <v>1.3</v>
      </c>
      <c r="H7009" t="n">
        <v>0</v>
      </c>
      <c r="I7009" t="n">
        <v>0</v>
      </c>
      <c r="J7009" t="n">
        <v>0</v>
      </c>
      <c r="K7009" t="n">
        <v>0</v>
      </c>
      <c r="L7009" t="n">
        <v>0</v>
      </c>
      <c r="M7009" t="n">
        <v>0</v>
      </c>
      <c r="N7009" t="n">
        <v>0</v>
      </c>
      <c r="O7009" t="n">
        <v>0</v>
      </c>
      <c r="P7009" t="n">
        <v>0</v>
      </c>
      <c r="Q7009" t="n">
        <v>0</v>
      </c>
      <c r="R7009" s="2" t="inlineStr"/>
    </row>
    <row r="7010" ht="15" customHeight="1">
      <c r="A7010" t="inlineStr">
        <is>
          <t>A 31576-2025</t>
        </is>
      </c>
      <c r="B7010" s="1" t="n">
        <v>45833.67266203704</v>
      </c>
      <c r="C7010" s="1" t="n">
        <v>45884</v>
      </c>
      <c r="D7010" t="inlineStr">
        <is>
          <t>KALMAR LÄN</t>
        </is>
      </c>
      <c r="E7010" t="inlineStr">
        <is>
          <t>VÄSTERVIK</t>
        </is>
      </c>
      <c r="F7010" t="inlineStr">
        <is>
          <t>Holmen skog AB</t>
        </is>
      </c>
      <c r="G7010" t="n">
        <v>3.5</v>
      </c>
      <c r="H7010" t="n">
        <v>0</v>
      </c>
      <c r="I7010" t="n">
        <v>0</v>
      </c>
      <c r="J7010" t="n">
        <v>0</v>
      </c>
      <c r="K7010" t="n">
        <v>0</v>
      </c>
      <c r="L7010" t="n">
        <v>0</v>
      </c>
      <c r="M7010" t="n">
        <v>0</v>
      </c>
      <c r="N7010" t="n">
        <v>0</v>
      </c>
      <c r="O7010" t="n">
        <v>0</v>
      </c>
      <c r="P7010" t="n">
        <v>0</v>
      </c>
      <c r="Q7010" t="n">
        <v>0</v>
      </c>
      <c r="R7010" s="2" t="inlineStr"/>
    </row>
    <row r="7011" ht="15" customHeight="1">
      <c r="A7011" t="inlineStr">
        <is>
          <t>A 31600-2025</t>
        </is>
      </c>
      <c r="B7011" s="1" t="n">
        <v>45833.72505787037</v>
      </c>
      <c r="C7011" s="1" t="n">
        <v>45884</v>
      </c>
      <c r="D7011" t="inlineStr">
        <is>
          <t>KALMAR LÄN</t>
        </is>
      </c>
      <c r="E7011" t="inlineStr">
        <is>
          <t>VÄSTERVIK</t>
        </is>
      </c>
      <c r="F7011" t="inlineStr">
        <is>
          <t>Holmen skog AB</t>
        </is>
      </c>
      <c r="G7011" t="n">
        <v>8.199999999999999</v>
      </c>
      <c r="H7011" t="n">
        <v>0</v>
      </c>
      <c r="I7011" t="n">
        <v>0</v>
      </c>
      <c r="J7011" t="n">
        <v>0</v>
      </c>
      <c r="K7011" t="n">
        <v>0</v>
      </c>
      <c r="L7011" t="n">
        <v>0</v>
      </c>
      <c r="M7011" t="n">
        <v>0</v>
      </c>
      <c r="N7011" t="n">
        <v>0</v>
      </c>
      <c r="O7011" t="n">
        <v>0</v>
      </c>
      <c r="P7011" t="n">
        <v>0</v>
      </c>
      <c r="Q7011" t="n">
        <v>0</v>
      </c>
      <c r="R7011" s="2" t="inlineStr"/>
    </row>
    <row r="7012" ht="15" customHeight="1">
      <c r="A7012" t="inlineStr">
        <is>
          <t>A 31419-2025</t>
        </is>
      </c>
      <c r="B7012" s="1" t="n">
        <v>45833.48370370371</v>
      </c>
      <c r="C7012" s="1" t="n">
        <v>45884</v>
      </c>
      <c r="D7012" t="inlineStr">
        <is>
          <t>KALMAR LÄN</t>
        </is>
      </c>
      <c r="E7012" t="inlineStr">
        <is>
          <t>VÄSTERVIK</t>
        </is>
      </c>
      <c r="F7012" t="inlineStr">
        <is>
          <t>Kommuner</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31208-2025</t>
        </is>
      </c>
      <c r="B7013" s="1" t="n">
        <v>45832.7072800926</v>
      </c>
      <c r="C7013" s="1" t="n">
        <v>45884</v>
      </c>
      <c r="D7013" t="inlineStr">
        <is>
          <t>KALMAR LÄN</t>
        </is>
      </c>
      <c r="E7013" t="inlineStr">
        <is>
          <t>EMMABODA</t>
        </is>
      </c>
      <c r="G7013" t="n">
        <v>0.2</v>
      </c>
      <c r="H7013" t="n">
        <v>0</v>
      </c>
      <c r="I7013" t="n">
        <v>0</v>
      </c>
      <c r="J7013" t="n">
        <v>0</v>
      </c>
      <c r="K7013" t="n">
        <v>0</v>
      </c>
      <c r="L7013" t="n">
        <v>0</v>
      </c>
      <c r="M7013" t="n">
        <v>0</v>
      </c>
      <c r="N7013" t="n">
        <v>0</v>
      </c>
      <c r="O7013" t="n">
        <v>0</v>
      </c>
      <c r="P7013" t="n">
        <v>0</v>
      </c>
      <c r="Q7013" t="n">
        <v>0</v>
      </c>
      <c r="R7013" s="2" t="inlineStr"/>
    </row>
    <row r="7014" ht="15" customHeight="1">
      <c r="A7014" t="inlineStr">
        <is>
          <t>A 36883-2025</t>
        </is>
      </c>
      <c r="B7014" s="1" t="n">
        <v>45874.43913194445</v>
      </c>
      <c r="C7014" s="1" t="n">
        <v>45884</v>
      </c>
      <c r="D7014" t="inlineStr">
        <is>
          <t>KALMAR LÄN</t>
        </is>
      </c>
      <c r="E7014" t="inlineStr">
        <is>
          <t>KALMAR</t>
        </is>
      </c>
      <c r="G7014" t="n">
        <v>0.5</v>
      </c>
      <c r="H7014" t="n">
        <v>0</v>
      </c>
      <c r="I7014" t="n">
        <v>0</v>
      </c>
      <c r="J7014" t="n">
        <v>0</v>
      </c>
      <c r="K7014" t="n">
        <v>0</v>
      </c>
      <c r="L7014" t="n">
        <v>0</v>
      </c>
      <c r="M7014" t="n">
        <v>0</v>
      </c>
      <c r="N7014" t="n">
        <v>0</v>
      </c>
      <c r="O7014" t="n">
        <v>0</v>
      </c>
      <c r="P7014" t="n">
        <v>0</v>
      </c>
      <c r="Q7014" t="n">
        <v>0</v>
      </c>
      <c r="R7014" s="2" t="inlineStr"/>
    </row>
    <row r="7015" ht="15" customHeight="1">
      <c r="A7015" t="inlineStr">
        <is>
          <t>A 30882-2025</t>
        </is>
      </c>
      <c r="B7015" s="1" t="n">
        <v>45832.34540509259</v>
      </c>
      <c r="C7015" s="1" t="n">
        <v>45884</v>
      </c>
      <c r="D7015" t="inlineStr">
        <is>
          <t>KALMAR LÄN</t>
        </is>
      </c>
      <c r="E7015" t="inlineStr">
        <is>
          <t>VIMMERBY</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31265-2025</t>
        </is>
      </c>
      <c r="B7016" s="1" t="n">
        <v>45833.32947916666</v>
      </c>
      <c r="C7016" s="1" t="n">
        <v>45884</v>
      </c>
      <c r="D7016" t="inlineStr">
        <is>
          <t>KALMAR LÄN</t>
        </is>
      </c>
      <c r="E7016" t="inlineStr">
        <is>
          <t>HULTSFRED</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36932-2025</t>
        </is>
      </c>
      <c r="B7017" s="1" t="n">
        <v>45874.56361111111</v>
      </c>
      <c r="C7017" s="1" t="n">
        <v>45884</v>
      </c>
      <c r="D7017" t="inlineStr">
        <is>
          <t>KALMAR LÄN</t>
        </is>
      </c>
      <c r="E7017" t="inlineStr">
        <is>
          <t>OSKARSHAMN</t>
        </is>
      </c>
      <c r="G7017" t="n">
        <v>12.2</v>
      </c>
      <c r="H7017" t="n">
        <v>0</v>
      </c>
      <c r="I7017" t="n">
        <v>0</v>
      </c>
      <c r="J7017" t="n">
        <v>0</v>
      </c>
      <c r="K7017" t="n">
        <v>0</v>
      </c>
      <c r="L7017" t="n">
        <v>0</v>
      </c>
      <c r="M7017" t="n">
        <v>0</v>
      </c>
      <c r="N7017" t="n">
        <v>0</v>
      </c>
      <c r="O7017" t="n">
        <v>0</v>
      </c>
      <c r="P7017" t="n">
        <v>0</v>
      </c>
      <c r="Q7017" t="n">
        <v>0</v>
      </c>
      <c r="R7017" s="2" t="inlineStr"/>
    </row>
    <row r="7018" ht="15" customHeight="1">
      <c r="A7018" t="inlineStr">
        <is>
          <t>A 30860-2025</t>
        </is>
      </c>
      <c r="B7018" s="1" t="n">
        <v>45831.97577546296</v>
      </c>
      <c r="C7018" s="1" t="n">
        <v>45884</v>
      </c>
      <c r="D7018" t="inlineStr">
        <is>
          <t>KALMAR LÄN</t>
        </is>
      </c>
      <c r="E7018" t="inlineStr">
        <is>
          <t>KALMAR</t>
        </is>
      </c>
      <c r="G7018" t="n">
        <v>3.9</v>
      </c>
      <c r="H7018" t="n">
        <v>0</v>
      </c>
      <c r="I7018" t="n">
        <v>0</v>
      </c>
      <c r="J7018" t="n">
        <v>0</v>
      </c>
      <c r="K7018" t="n">
        <v>0</v>
      </c>
      <c r="L7018" t="n">
        <v>0</v>
      </c>
      <c r="M7018" t="n">
        <v>0</v>
      </c>
      <c r="N7018" t="n">
        <v>0</v>
      </c>
      <c r="O7018" t="n">
        <v>0</v>
      </c>
      <c r="P7018" t="n">
        <v>0</v>
      </c>
      <c r="Q7018" t="n">
        <v>0</v>
      </c>
      <c r="R7018" s="2" t="inlineStr"/>
    </row>
    <row r="7019" ht="15" customHeight="1">
      <c r="A7019" t="inlineStr">
        <is>
          <t>A 31502-2025</t>
        </is>
      </c>
      <c r="B7019" s="1" t="n">
        <v>45833.59315972222</v>
      </c>
      <c r="C7019" s="1" t="n">
        <v>45884</v>
      </c>
      <c r="D7019" t="inlineStr">
        <is>
          <t>KALMAR LÄN</t>
        </is>
      </c>
      <c r="E7019" t="inlineStr">
        <is>
          <t>OSKARSHAMN</t>
        </is>
      </c>
      <c r="G7019" t="n">
        <v>2.7</v>
      </c>
      <c r="H7019" t="n">
        <v>0</v>
      </c>
      <c r="I7019" t="n">
        <v>0</v>
      </c>
      <c r="J7019" t="n">
        <v>0</v>
      </c>
      <c r="K7019" t="n">
        <v>0</v>
      </c>
      <c r="L7019" t="n">
        <v>0</v>
      </c>
      <c r="M7019" t="n">
        <v>0</v>
      </c>
      <c r="N7019" t="n">
        <v>0</v>
      </c>
      <c r="O7019" t="n">
        <v>0</v>
      </c>
      <c r="P7019" t="n">
        <v>0</v>
      </c>
      <c r="Q7019" t="n">
        <v>0</v>
      </c>
      <c r="R7019" s="2" t="inlineStr"/>
    </row>
    <row r="7020" ht="15" customHeight="1">
      <c r="A7020" t="inlineStr">
        <is>
          <t>A 31535-2025</t>
        </is>
      </c>
      <c r="B7020" s="1" t="n">
        <v>45833.62319444444</v>
      </c>
      <c r="C7020" s="1" t="n">
        <v>45884</v>
      </c>
      <c r="D7020" t="inlineStr">
        <is>
          <t>KALMAR LÄN</t>
        </is>
      </c>
      <c r="E7020" t="inlineStr">
        <is>
          <t>NYBRO</t>
        </is>
      </c>
      <c r="G7020" t="n">
        <v>1.5</v>
      </c>
      <c r="H7020" t="n">
        <v>0</v>
      </c>
      <c r="I7020" t="n">
        <v>0</v>
      </c>
      <c r="J7020" t="n">
        <v>0</v>
      </c>
      <c r="K7020" t="n">
        <v>0</v>
      </c>
      <c r="L7020" t="n">
        <v>0</v>
      </c>
      <c r="M7020" t="n">
        <v>0</v>
      </c>
      <c r="N7020" t="n">
        <v>0</v>
      </c>
      <c r="O7020" t="n">
        <v>0</v>
      </c>
      <c r="P7020" t="n">
        <v>0</v>
      </c>
      <c r="Q7020" t="n">
        <v>0</v>
      </c>
      <c r="R7020" s="2" t="inlineStr"/>
    </row>
    <row r="7021" ht="15" customHeight="1">
      <c r="A7021" t="inlineStr">
        <is>
          <t>A 31461-2025</t>
        </is>
      </c>
      <c r="B7021" s="1" t="n">
        <v>45833</v>
      </c>
      <c r="C7021" s="1" t="n">
        <v>45884</v>
      </c>
      <c r="D7021" t="inlineStr">
        <is>
          <t>KALMAR LÄN</t>
        </is>
      </c>
      <c r="E7021" t="inlineStr">
        <is>
          <t>HULTSFRED</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36937-2025</t>
        </is>
      </c>
      <c r="B7022" s="1" t="n">
        <v>45874.58261574074</v>
      </c>
      <c r="C7022" s="1" t="n">
        <v>45884</v>
      </c>
      <c r="D7022" t="inlineStr">
        <is>
          <t>KALMAR LÄN</t>
        </is>
      </c>
      <c r="E7022" t="inlineStr">
        <is>
          <t>KALMAR</t>
        </is>
      </c>
      <c r="G7022" t="n">
        <v>5.1</v>
      </c>
      <c r="H7022" t="n">
        <v>0</v>
      </c>
      <c r="I7022" t="n">
        <v>0</v>
      </c>
      <c r="J7022" t="n">
        <v>0</v>
      </c>
      <c r="K7022" t="n">
        <v>0</v>
      </c>
      <c r="L7022" t="n">
        <v>0</v>
      </c>
      <c r="M7022" t="n">
        <v>0</v>
      </c>
      <c r="N7022" t="n">
        <v>0</v>
      </c>
      <c r="O7022" t="n">
        <v>0</v>
      </c>
      <c r="P7022" t="n">
        <v>0</v>
      </c>
      <c r="Q7022" t="n">
        <v>0</v>
      </c>
      <c r="R7022" s="2" t="inlineStr"/>
    </row>
    <row r="7023" ht="15" customHeight="1">
      <c r="A7023" t="inlineStr">
        <is>
          <t>A 31886-2025</t>
        </is>
      </c>
      <c r="B7023" s="1" t="n">
        <v>45834.65864583333</v>
      </c>
      <c r="C7023" s="1" t="n">
        <v>45884</v>
      </c>
      <c r="D7023" t="inlineStr">
        <is>
          <t>KALMAR LÄN</t>
        </is>
      </c>
      <c r="E7023" t="inlineStr">
        <is>
          <t>VÄSTERVIK</t>
        </is>
      </c>
      <c r="F7023" t="inlineStr">
        <is>
          <t>Holmen skog AB</t>
        </is>
      </c>
      <c r="G7023" t="n">
        <v>4.1</v>
      </c>
      <c r="H7023" t="n">
        <v>0</v>
      </c>
      <c r="I7023" t="n">
        <v>0</v>
      </c>
      <c r="J7023" t="n">
        <v>0</v>
      </c>
      <c r="K7023" t="n">
        <v>0</v>
      </c>
      <c r="L7023" t="n">
        <v>0</v>
      </c>
      <c r="M7023" t="n">
        <v>0</v>
      </c>
      <c r="N7023" t="n">
        <v>0</v>
      </c>
      <c r="O7023" t="n">
        <v>0</v>
      </c>
      <c r="P7023" t="n">
        <v>0</v>
      </c>
      <c r="Q7023" t="n">
        <v>0</v>
      </c>
      <c r="R7023" s="2" t="inlineStr"/>
    </row>
    <row r="7024" ht="15" customHeight="1">
      <c r="A7024" t="inlineStr">
        <is>
          <t>A 31262-2025</t>
        </is>
      </c>
      <c r="B7024" s="1" t="n">
        <v>45833.32751157408</v>
      </c>
      <c r="C7024" s="1" t="n">
        <v>45884</v>
      </c>
      <c r="D7024" t="inlineStr">
        <is>
          <t>KALMAR LÄN</t>
        </is>
      </c>
      <c r="E7024" t="inlineStr">
        <is>
          <t>HULTSFRED</t>
        </is>
      </c>
      <c r="G7024" t="n">
        <v>1</v>
      </c>
      <c r="H7024" t="n">
        <v>0</v>
      </c>
      <c r="I7024" t="n">
        <v>0</v>
      </c>
      <c r="J7024" t="n">
        <v>0</v>
      </c>
      <c r="K7024" t="n">
        <v>0</v>
      </c>
      <c r="L7024" t="n">
        <v>0</v>
      </c>
      <c r="M7024" t="n">
        <v>0</v>
      </c>
      <c r="N7024" t="n">
        <v>0</v>
      </c>
      <c r="O7024" t="n">
        <v>0</v>
      </c>
      <c r="P7024" t="n">
        <v>0</v>
      </c>
      <c r="Q7024" t="n">
        <v>0</v>
      </c>
      <c r="R7024" s="2" t="inlineStr"/>
    </row>
    <row r="7025" ht="15" customHeight="1">
      <c r="A7025" t="inlineStr">
        <is>
          <t>A 31872-2025</t>
        </is>
      </c>
      <c r="B7025" s="1" t="n">
        <v>45834.65040509259</v>
      </c>
      <c r="C7025" s="1" t="n">
        <v>45884</v>
      </c>
      <c r="D7025" t="inlineStr">
        <is>
          <t>KALMAR LÄN</t>
        </is>
      </c>
      <c r="E7025" t="inlineStr">
        <is>
          <t>VIMMERBY</t>
        </is>
      </c>
      <c r="F7025" t="inlineStr">
        <is>
          <t>Sveaskog</t>
        </is>
      </c>
      <c r="G7025" t="n">
        <v>9.199999999999999</v>
      </c>
      <c r="H7025" t="n">
        <v>0</v>
      </c>
      <c r="I7025" t="n">
        <v>0</v>
      </c>
      <c r="J7025" t="n">
        <v>0</v>
      </c>
      <c r="K7025" t="n">
        <v>0</v>
      </c>
      <c r="L7025" t="n">
        <v>0</v>
      </c>
      <c r="M7025" t="n">
        <v>0</v>
      </c>
      <c r="N7025" t="n">
        <v>0</v>
      </c>
      <c r="O7025" t="n">
        <v>0</v>
      </c>
      <c r="P7025" t="n">
        <v>0</v>
      </c>
      <c r="Q7025" t="n">
        <v>0</v>
      </c>
      <c r="R7025" s="2" t="inlineStr"/>
    </row>
    <row r="7026" ht="15" customHeight="1">
      <c r="A7026" t="inlineStr">
        <is>
          <t>A 31753-2025</t>
        </is>
      </c>
      <c r="B7026" s="1" t="n">
        <v>45834.48547453704</v>
      </c>
      <c r="C7026" s="1" t="n">
        <v>45884</v>
      </c>
      <c r="D7026" t="inlineStr">
        <is>
          <t>KALMAR LÄN</t>
        </is>
      </c>
      <c r="E7026" t="inlineStr">
        <is>
          <t>NYBRO</t>
        </is>
      </c>
      <c r="G7026" t="n">
        <v>1.5</v>
      </c>
      <c r="H7026" t="n">
        <v>0</v>
      </c>
      <c r="I7026" t="n">
        <v>0</v>
      </c>
      <c r="J7026" t="n">
        <v>0</v>
      </c>
      <c r="K7026" t="n">
        <v>0</v>
      </c>
      <c r="L7026" t="n">
        <v>0</v>
      </c>
      <c r="M7026" t="n">
        <v>0</v>
      </c>
      <c r="N7026" t="n">
        <v>0</v>
      </c>
      <c r="O7026" t="n">
        <v>0</v>
      </c>
      <c r="P7026" t="n">
        <v>0</v>
      </c>
      <c r="Q7026" t="n">
        <v>0</v>
      </c>
      <c r="R7026" s="2" t="inlineStr"/>
    </row>
    <row r="7027" ht="15" customHeight="1">
      <c r="A7027" t="inlineStr">
        <is>
          <t>A 32098-2025</t>
        </is>
      </c>
      <c r="B7027" s="1" t="n">
        <v>45835.4666087963</v>
      </c>
      <c r="C7027" s="1" t="n">
        <v>45884</v>
      </c>
      <c r="D7027" t="inlineStr">
        <is>
          <t>KALMAR LÄN</t>
        </is>
      </c>
      <c r="E7027" t="inlineStr">
        <is>
          <t>HÖGSBY</t>
        </is>
      </c>
      <c r="G7027" t="n">
        <v>2.2</v>
      </c>
      <c r="H7027" t="n">
        <v>0</v>
      </c>
      <c r="I7027" t="n">
        <v>0</v>
      </c>
      <c r="J7027" t="n">
        <v>0</v>
      </c>
      <c r="K7027" t="n">
        <v>0</v>
      </c>
      <c r="L7027" t="n">
        <v>0</v>
      </c>
      <c r="M7027" t="n">
        <v>0</v>
      </c>
      <c r="N7027" t="n">
        <v>0</v>
      </c>
      <c r="O7027" t="n">
        <v>0</v>
      </c>
      <c r="P7027" t="n">
        <v>0</v>
      </c>
      <c r="Q7027" t="n">
        <v>0</v>
      </c>
      <c r="R7027" s="2" t="inlineStr"/>
    </row>
    <row r="7028" ht="15" customHeight="1">
      <c r="A7028" t="inlineStr">
        <is>
          <t>A 37526-2025</t>
        </is>
      </c>
      <c r="B7028" s="1" t="n">
        <v>45877</v>
      </c>
      <c r="C7028" s="1" t="n">
        <v>45884</v>
      </c>
      <c r="D7028" t="inlineStr">
        <is>
          <t>KALMAR LÄN</t>
        </is>
      </c>
      <c r="E7028" t="inlineStr">
        <is>
          <t>VÄSTERVIK</t>
        </is>
      </c>
      <c r="G7028" t="n">
        <v>1.4</v>
      </c>
      <c r="H7028" t="n">
        <v>0</v>
      </c>
      <c r="I7028" t="n">
        <v>0</v>
      </c>
      <c r="J7028" t="n">
        <v>0</v>
      </c>
      <c r="K7028" t="n">
        <v>0</v>
      </c>
      <c r="L7028" t="n">
        <v>0</v>
      </c>
      <c r="M7028" t="n">
        <v>0</v>
      </c>
      <c r="N7028" t="n">
        <v>0</v>
      </c>
      <c r="O7028" t="n">
        <v>0</v>
      </c>
      <c r="P7028" t="n">
        <v>0</v>
      </c>
      <c r="Q7028" t="n">
        <v>0</v>
      </c>
      <c r="R7028" s="2" t="inlineStr"/>
    </row>
    <row r="7029" ht="15" customHeight="1">
      <c r="A7029" t="inlineStr">
        <is>
          <t>A 23641-2025</t>
        </is>
      </c>
      <c r="B7029" s="1" t="n">
        <v>45792.68268518519</v>
      </c>
      <c r="C7029" s="1" t="n">
        <v>45884</v>
      </c>
      <c r="D7029" t="inlineStr">
        <is>
          <t>KALMAR LÄN</t>
        </is>
      </c>
      <c r="E7029" t="inlineStr">
        <is>
          <t>OSKARSHAMN</t>
        </is>
      </c>
      <c r="G7029" t="n">
        <v>1.4</v>
      </c>
      <c r="H7029" t="n">
        <v>0</v>
      </c>
      <c r="I7029" t="n">
        <v>0</v>
      </c>
      <c r="J7029" t="n">
        <v>0</v>
      </c>
      <c r="K7029" t="n">
        <v>0</v>
      </c>
      <c r="L7029" t="n">
        <v>0</v>
      </c>
      <c r="M7029" t="n">
        <v>0</v>
      </c>
      <c r="N7029" t="n">
        <v>0</v>
      </c>
      <c r="O7029" t="n">
        <v>0</v>
      </c>
      <c r="P7029" t="n">
        <v>0</v>
      </c>
      <c r="Q7029" t="n">
        <v>0</v>
      </c>
      <c r="R7029" s="2" t="inlineStr"/>
    </row>
    <row r="7030" ht="15" customHeight="1">
      <c r="A7030" t="inlineStr">
        <is>
          <t>A 23706-2025</t>
        </is>
      </c>
      <c r="B7030" s="1" t="n">
        <v>45793.36922453704</v>
      </c>
      <c r="C7030" s="1" t="n">
        <v>45884</v>
      </c>
      <c r="D7030" t="inlineStr">
        <is>
          <t>KALMAR LÄN</t>
        </is>
      </c>
      <c r="E7030" t="inlineStr">
        <is>
          <t>VÄSTERVIK</t>
        </is>
      </c>
      <c r="G7030" t="n">
        <v>2.2</v>
      </c>
      <c r="H7030" t="n">
        <v>0</v>
      </c>
      <c r="I7030" t="n">
        <v>0</v>
      </c>
      <c r="J7030" t="n">
        <v>0</v>
      </c>
      <c r="K7030" t="n">
        <v>0</v>
      </c>
      <c r="L7030" t="n">
        <v>0</v>
      </c>
      <c r="M7030" t="n">
        <v>0</v>
      </c>
      <c r="N7030" t="n">
        <v>0</v>
      </c>
      <c r="O7030" t="n">
        <v>0</v>
      </c>
      <c r="P7030" t="n">
        <v>0</v>
      </c>
      <c r="Q7030" t="n">
        <v>0</v>
      </c>
      <c r="R7030" s="2" t="inlineStr"/>
    </row>
    <row r="7031" ht="15" customHeight="1">
      <c r="A7031" t="inlineStr">
        <is>
          <t>A 31747-2025</t>
        </is>
      </c>
      <c r="B7031" s="1" t="n">
        <v>45834.48055555556</v>
      </c>
      <c r="C7031" s="1" t="n">
        <v>45884</v>
      </c>
      <c r="D7031" t="inlineStr">
        <is>
          <t>KALMAR LÄN</t>
        </is>
      </c>
      <c r="E7031" t="inlineStr">
        <is>
          <t>NYBRO</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37523-2025</t>
        </is>
      </c>
      <c r="B7032" s="1" t="n">
        <v>45877</v>
      </c>
      <c r="C7032" s="1" t="n">
        <v>45884</v>
      </c>
      <c r="D7032" t="inlineStr">
        <is>
          <t>KALMAR LÄN</t>
        </is>
      </c>
      <c r="E7032" t="inlineStr">
        <is>
          <t>VÄSTERVIK</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31843-2025</t>
        </is>
      </c>
      <c r="B7033" s="1" t="n">
        <v>45834.5984375</v>
      </c>
      <c r="C7033" s="1" t="n">
        <v>45884</v>
      </c>
      <c r="D7033" t="inlineStr">
        <is>
          <t>KALMAR LÄN</t>
        </is>
      </c>
      <c r="E7033" t="inlineStr">
        <is>
          <t>VÄSTERVIK</t>
        </is>
      </c>
      <c r="F7033" t="inlineStr">
        <is>
          <t>Holmen skog AB</t>
        </is>
      </c>
      <c r="G7033" t="n">
        <v>4.5</v>
      </c>
      <c r="H7033" t="n">
        <v>0</v>
      </c>
      <c r="I7033" t="n">
        <v>0</v>
      </c>
      <c r="J7033" t="n">
        <v>0</v>
      </c>
      <c r="K7033" t="n">
        <v>0</v>
      </c>
      <c r="L7033" t="n">
        <v>0</v>
      </c>
      <c r="M7033" t="n">
        <v>0</v>
      </c>
      <c r="N7033" t="n">
        <v>0</v>
      </c>
      <c r="O7033" t="n">
        <v>0</v>
      </c>
      <c r="P7033" t="n">
        <v>0</v>
      </c>
      <c r="Q7033" t="n">
        <v>0</v>
      </c>
      <c r="R7033" s="2" t="inlineStr"/>
    </row>
    <row r="7034" ht="15" customHeight="1">
      <c r="A7034" t="inlineStr">
        <is>
          <t>A 31815-2025</t>
        </is>
      </c>
      <c r="B7034" s="1" t="n">
        <v>45834.56986111111</v>
      </c>
      <c r="C7034" s="1" t="n">
        <v>45884</v>
      </c>
      <c r="D7034" t="inlineStr">
        <is>
          <t>KALMAR LÄN</t>
        </is>
      </c>
      <c r="E7034" t="inlineStr">
        <is>
          <t>HULTSFRED</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5100-2025</t>
        </is>
      </c>
      <c r="B7035" s="1" t="n">
        <v>45691.53809027778</v>
      </c>
      <c r="C7035" s="1" t="n">
        <v>45884</v>
      </c>
      <c r="D7035" t="inlineStr">
        <is>
          <t>KALMAR LÄN</t>
        </is>
      </c>
      <c r="E7035" t="inlineStr">
        <is>
          <t>OSKARSHAMN</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8559-2025</t>
        </is>
      </c>
      <c r="B7036" s="1" t="n">
        <v>45709.62280092593</v>
      </c>
      <c r="C7036" s="1" t="n">
        <v>45884</v>
      </c>
      <c r="D7036" t="inlineStr">
        <is>
          <t>KALMAR LÄN</t>
        </is>
      </c>
      <c r="E7036" t="inlineStr">
        <is>
          <t>VIMMERBY</t>
        </is>
      </c>
      <c r="G7036" t="n">
        <v>8.9</v>
      </c>
      <c r="H7036" t="n">
        <v>0</v>
      </c>
      <c r="I7036" t="n">
        <v>0</v>
      </c>
      <c r="J7036" t="n">
        <v>0</v>
      </c>
      <c r="K7036" t="n">
        <v>0</v>
      </c>
      <c r="L7036" t="n">
        <v>0</v>
      </c>
      <c r="M7036" t="n">
        <v>0</v>
      </c>
      <c r="N7036" t="n">
        <v>0</v>
      </c>
      <c r="O7036" t="n">
        <v>0</v>
      </c>
      <c r="P7036" t="n">
        <v>0</v>
      </c>
      <c r="Q7036" t="n">
        <v>0</v>
      </c>
      <c r="R7036" s="2" t="inlineStr"/>
    </row>
    <row r="7037" ht="15" customHeight="1">
      <c r="A7037" t="inlineStr">
        <is>
          <t>A 31783-2025</t>
        </is>
      </c>
      <c r="B7037" s="1" t="n">
        <v>45834.53106481482</v>
      </c>
      <c r="C7037" s="1" t="n">
        <v>45884</v>
      </c>
      <c r="D7037" t="inlineStr">
        <is>
          <t>KALMAR LÄN</t>
        </is>
      </c>
      <c r="E7037" t="inlineStr">
        <is>
          <t>HULTSFRED</t>
        </is>
      </c>
      <c r="G7037" t="n">
        <v>2.2</v>
      </c>
      <c r="H7037" t="n">
        <v>0</v>
      </c>
      <c r="I7037" t="n">
        <v>0</v>
      </c>
      <c r="J7037" t="n">
        <v>0</v>
      </c>
      <c r="K7037" t="n">
        <v>0</v>
      </c>
      <c r="L7037" t="n">
        <v>0</v>
      </c>
      <c r="M7037" t="n">
        <v>0</v>
      </c>
      <c r="N7037" t="n">
        <v>0</v>
      </c>
      <c r="O7037" t="n">
        <v>0</v>
      </c>
      <c r="P7037" t="n">
        <v>0</v>
      </c>
      <c r="Q7037" t="n">
        <v>0</v>
      </c>
      <c r="R7037" s="2" t="inlineStr"/>
    </row>
    <row r="7038" ht="15" customHeight="1">
      <c r="A7038" t="inlineStr">
        <is>
          <t>A 31788-2025</t>
        </is>
      </c>
      <c r="B7038" s="1" t="n">
        <v>45834.53628472222</v>
      </c>
      <c r="C7038" s="1" t="n">
        <v>45884</v>
      </c>
      <c r="D7038" t="inlineStr">
        <is>
          <t>KALMAR LÄN</t>
        </is>
      </c>
      <c r="E7038" t="inlineStr">
        <is>
          <t>HULTSFRED</t>
        </is>
      </c>
      <c r="G7038" t="n">
        <v>2.5</v>
      </c>
      <c r="H7038" t="n">
        <v>0</v>
      </c>
      <c r="I7038" t="n">
        <v>0</v>
      </c>
      <c r="J7038" t="n">
        <v>0</v>
      </c>
      <c r="K7038" t="n">
        <v>0</v>
      </c>
      <c r="L7038" t="n">
        <v>0</v>
      </c>
      <c r="M7038" t="n">
        <v>0</v>
      </c>
      <c r="N7038" t="n">
        <v>0</v>
      </c>
      <c r="O7038" t="n">
        <v>0</v>
      </c>
      <c r="P7038" t="n">
        <v>0</v>
      </c>
      <c r="Q7038" t="n">
        <v>0</v>
      </c>
      <c r="R7038" s="2" t="inlineStr"/>
    </row>
    <row r="7039" ht="15" customHeight="1">
      <c r="A7039" t="inlineStr">
        <is>
          <t>A 31812-2025</t>
        </is>
      </c>
      <c r="B7039" s="1" t="n">
        <v>45834.566875</v>
      </c>
      <c r="C7039" s="1" t="n">
        <v>45884</v>
      </c>
      <c r="D7039" t="inlineStr">
        <is>
          <t>KALMAR LÄN</t>
        </is>
      </c>
      <c r="E7039" t="inlineStr">
        <is>
          <t>HULTSFRED</t>
        </is>
      </c>
      <c r="G7039" t="n">
        <v>0.9</v>
      </c>
      <c r="H7039" t="n">
        <v>0</v>
      </c>
      <c r="I7039" t="n">
        <v>0</v>
      </c>
      <c r="J7039" t="n">
        <v>0</v>
      </c>
      <c r="K7039" t="n">
        <v>0</v>
      </c>
      <c r="L7039" t="n">
        <v>0</v>
      </c>
      <c r="M7039" t="n">
        <v>0</v>
      </c>
      <c r="N7039" t="n">
        <v>0</v>
      </c>
      <c r="O7039" t="n">
        <v>0</v>
      </c>
      <c r="P7039" t="n">
        <v>0</v>
      </c>
      <c r="Q7039" t="n">
        <v>0</v>
      </c>
      <c r="R7039" s="2" t="inlineStr"/>
    </row>
    <row r="7040" ht="15" customHeight="1">
      <c r="A7040" t="inlineStr">
        <is>
          <t>A 31894-2025</t>
        </is>
      </c>
      <c r="B7040" s="1" t="n">
        <v>45834.67012731481</v>
      </c>
      <c r="C7040" s="1" t="n">
        <v>45884</v>
      </c>
      <c r="D7040" t="inlineStr">
        <is>
          <t>KALMAR LÄN</t>
        </is>
      </c>
      <c r="E7040" t="inlineStr">
        <is>
          <t>OSKARSHAMN</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32137-2025</t>
        </is>
      </c>
      <c r="B7041" s="1" t="n">
        <v>45835.51372685185</v>
      </c>
      <c r="C7041" s="1" t="n">
        <v>45884</v>
      </c>
      <c r="D7041" t="inlineStr">
        <is>
          <t>KALMAR LÄN</t>
        </is>
      </c>
      <c r="E7041" t="inlineStr">
        <is>
          <t>EMMABODA</t>
        </is>
      </c>
      <c r="G7041" t="n">
        <v>2.8</v>
      </c>
      <c r="H7041" t="n">
        <v>0</v>
      </c>
      <c r="I7041" t="n">
        <v>0</v>
      </c>
      <c r="J7041" t="n">
        <v>0</v>
      </c>
      <c r="K7041" t="n">
        <v>0</v>
      </c>
      <c r="L7041" t="n">
        <v>0</v>
      </c>
      <c r="M7041" t="n">
        <v>0</v>
      </c>
      <c r="N7041" t="n">
        <v>0</v>
      </c>
      <c r="O7041" t="n">
        <v>0</v>
      </c>
      <c r="P7041" t="n">
        <v>0</v>
      </c>
      <c r="Q7041" t="n">
        <v>0</v>
      </c>
      <c r="R7041" s="2" t="inlineStr"/>
    </row>
    <row r="7042" ht="15" customHeight="1">
      <c r="A7042" t="inlineStr">
        <is>
          <t>A 31826-2025</t>
        </is>
      </c>
      <c r="B7042" s="1" t="n">
        <v>45834.58306712963</v>
      </c>
      <c r="C7042" s="1" t="n">
        <v>45884</v>
      </c>
      <c r="D7042" t="inlineStr">
        <is>
          <t>KALMAR LÄN</t>
        </is>
      </c>
      <c r="E7042" t="inlineStr">
        <is>
          <t>VÄSTERVIK</t>
        </is>
      </c>
      <c r="F7042" t="inlineStr">
        <is>
          <t>Holmen skog AB</t>
        </is>
      </c>
      <c r="G7042" t="n">
        <v>2.1</v>
      </c>
      <c r="H7042" t="n">
        <v>0</v>
      </c>
      <c r="I7042" t="n">
        <v>0</v>
      </c>
      <c r="J7042" t="n">
        <v>0</v>
      </c>
      <c r="K7042" t="n">
        <v>0</v>
      </c>
      <c r="L7042" t="n">
        <v>0</v>
      </c>
      <c r="M7042" t="n">
        <v>0</v>
      </c>
      <c r="N7042" t="n">
        <v>0</v>
      </c>
      <c r="O7042" t="n">
        <v>0</v>
      </c>
      <c r="P7042" t="n">
        <v>0</v>
      </c>
      <c r="Q7042" t="n">
        <v>0</v>
      </c>
      <c r="R7042" s="2" t="inlineStr"/>
    </row>
    <row r="7043" ht="15" customHeight="1">
      <c r="A7043" t="inlineStr">
        <is>
          <t>A 32064-2025</t>
        </is>
      </c>
      <c r="B7043" s="1" t="n">
        <v>45835.44709490741</v>
      </c>
      <c r="C7043" s="1" t="n">
        <v>45884</v>
      </c>
      <c r="D7043" t="inlineStr">
        <is>
          <t>KALMAR LÄN</t>
        </is>
      </c>
      <c r="E7043" t="inlineStr">
        <is>
          <t>VIMMERBY</t>
        </is>
      </c>
      <c r="G7043" t="n">
        <v>2.6</v>
      </c>
      <c r="H7043" t="n">
        <v>0</v>
      </c>
      <c r="I7043" t="n">
        <v>0</v>
      </c>
      <c r="J7043" t="n">
        <v>0</v>
      </c>
      <c r="K7043" t="n">
        <v>0</v>
      </c>
      <c r="L7043" t="n">
        <v>0</v>
      </c>
      <c r="M7043" t="n">
        <v>0</v>
      </c>
      <c r="N7043" t="n">
        <v>0</v>
      </c>
      <c r="O7043" t="n">
        <v>0</v>
      </c>
      <c r="P7043" t="n">
        <v>0</v>
      </c>
      <c r="Q7043" t="n">
        <v>0</v>
      </c>
      <c r="R7043" s="2" t="inlineStr"/>
    </row>
    <row r="7044" ht="15" customHeight="1">
      <c r="A7044" t="inlineStr">
        <is>
          <t>A 32083-2025</t>
        </is>
      </c>
      <c r="B7044" s="1" t="n">
        <v>45835.45325231482</v>
      </c>
      <c r="C7044" s="1" t="n">
        <v>45884</v>
      </c>
      <c r="D7044" t="inlineStr">
        <is>
          <t>KALMAR LÄN</t>
        </is>
      </c>
      <c r="E7044" t="inlineStr">
        <is>
          <t>HÖGSBY</t>
        </is>
      </c>
      <c r="G7044" t="n">
        <v>3.5</v>
      </c>
      <c r="H7044" t="n">
        <v>0</v>
      </c>
      <c r="I7044" t="n">
        <v>0</v>
      </c>
      <c r="J7044" t="n">
        <v>0</v>
      </c>
      <c r="K7044" t="n">
        <v>0</v>
      </c>
      <c r="L7044" t="n">
        <v>0</v>
      </c>
      <c r="M7044" t="n">
        <v>0</v>
      </c>
      <c r="N7044" t="n">
        <v>0</v>
      </c>
      <c r="O7044" t="n">
        <v>0</v>
      </c>
      <c r="P7044" t="n">
        <v>0</v>
      </c>
      <c r="Q7044" t="n">
        <v>0</v>
      </c>
      <c r="R7044" s="2" t="inlineStr"/>
    </row>
    <row r="7045" ht="15" customHeight="1">
      <c r="A7045" t="inlineStr">
        <is>
          <t>A 22894-2025</t>
        </is>
      </c>
      <c r="B7045" s="1" t="n">
        <v>45790.39994212963</v>
      </c>
      <c r="C7045" s="1" t="n">
        <v>45884</v>
      </c>
      <c r="D7045" t="inlineStr">
        <is>
          <t>KALMAR LÄN</t>
        </is>
      </c>
      <c r="E7045" t="inlineStr">
        <is>
          <t>TORSÅS</t>
        </is>
      </c>
      <c r="G7045" t="n">
        <v>3</v>
      </c>
      <c r="H7045" t="n">
        <v>0</v>
      </c>
      <c r="I7045" t="n">
        <v>0</v>
      </c>
      <c r="J7045" t="n">
        <v>0</v>
      </c>
      <c r="K7045" t="n">
        <v>0</v>
      </c>
      <c r="L7045" t="n">
        <v>0</v>
      </c>
      <c r="M7045" t="n">
        <v>0</v>
      </c>
      <c r="N7045" t="n">
        <v>0</v>
      </c>
      <c r="O7045" t="n">
        <v>0</v>
      </c>
      <c r="P7045" t="n">
        <v>0</v>
      </c>
      <c r="Q7045" t="n">
        <v>0</v>
      </c>
      <c r="R7045" s="2" t="inlineStr"/>
    </row>
    <row r="7046" ht="15" customHeight="1">
      <c r="A7046" t="inlineStr">
        <is>
          <t>A 23622-2025</t>
        </is>
      </c>
      <c r="B7046" s="1" t="n">
        <v>45792.67280092592</v>
      </c>
      <c r="C7046" s="1" t="n">
        <v>45884</v>
      </c>
      <c r="D7046" t="inlineStr">
        <is>
          <t>KALMAR LÄN</t>
        </is>
      </c>
      <c r="E7046" t="inlineStr">
        <is>
          <t>OSKARSHAMN</t>
        </is>
      </c>
      <c r="G7046" t="n">
        <v>3</v>
      </c>
      <c r="H7046" t="n">
        <v>0</v>
      </c>
      <c r="I7046" t="n">
        <v>0</v>
      </c>
      <c r="J7046" t="n">
        <v>0</v>
      </c>
      <c r="K7046" t="n">
        <v>0</v>
      </c>
      <c r="L7046" t="n">
        <v>0</v>
      </c>
      <c r="M7046" t="n">
        <v>0</v>
      </c>
      <c r="N7046" t="n">
        <v>0</v>
      </c>
      <c r="O7046" t="n">
        <v>0</v>
      </c>
      <c r="P7046" t="n">
        <v>0</v>
      </c>
      <c r="Q7046" t="n">
        <v>0</v>
      </c>
      <c r="R7046" s="2" t="inlineStr"/>
    </row>
    <row r="7047" ht="15" customHeight="1">
      <c r="A7047" t="inlineStr">
        <is>
          <t>A 32109-2025</t>
        </is>
      </c>
      <c r="B7047" s="1" t="n">
        <v>45835.48267361111</v>
      </c>
      <c r="C7047" s="1" t="n">
        <v>45884</v>
      </c>
      <c r="D7047" t="inlineStr">
        <is>
          <t>KALMAR LÄN</t>
        </is>
      </c>
      <c r="E7047" t="inlineStr">
        <is>
          <t>VIMMERBY</t>
        </is>
      </c>
      <c r="G7047" t="n">
        <v>2.5</v>
      </c>
      <c r="H7047" t="n">
        <v>0</v>
      </c>
      <c r="I7047" t="n">
        <v>0</v>
      </c>
      <c r="J7047" t="n">
        <v>0</v>
      </c>
      <c r="K7047" t="n">
        <v>0</v>
      </c>
      <c r="L7047" t="n">
        <v>0</v>
      </c>
      <c r="M7047" t="n">
        <v>0</v>
      </c>
      <c r="N7047" t="n">
        <v>0</v>
      </c>
      <c r="O7047" t="n">
        <v>0</v>
      </c>
      <c r="P7047" t="n">
        <v>0</v>
      </c>
      <c r="Q7047" t="n">
        <v>0</v>
      </c>
      <c r="R7047" s="2" t="inlineStr"/>
    </row>
    <row r="7048" ht="15" customHeight="1">
      <c r="A7048" t="inlineStr">
        <is>
          <t>A 32113-2025</t>
        </is>
      </c>
      <c r="B7048" s="1" t="n">
        <v>45835.48445601852</v>
      </c>
      <c r="C7048" s="1" t="n">
        <v>45884</v>
      </c>
      <c r="D7048" t="inlineStr">
        <is>
          <t>KALMAR LÄN</t>
        </is>
      </c>
      <c r="E7048" t="inlineStr">
        <is>
          <t>VIMMERBY</t>
        </is>
      </c>
      <c r="G7048" t="n">
        <v>3.5</v>
      </c>
      <c r="H7048" t="n">
        <v>0</v>
      </c>
      <c r="I7048" t="n">
        <v>0</v>
      </c>
      <c r="J7048" t="n">
        <v>0</v>
      </c>
      <c r="K7048" t="n">
        <v>0</v>
      </c>
      <c r="L7048" t="n">
        <v>0</v>
      </c>
      <c r="M7048" t="n">
        <v>0</v>
      </c>
      <c r="N7048" t="n">
        <v>0</v>
      </c>
      <c r="O7048" t="n">
        <v>0</v>
      </c>
      <c r="P7048" t="n">
        <v>0</v>
      </c>
      <c r="Q7048" t="n">
        <v>0</v>
      </c>
      <c r="R7048" s="2" t="inlineStr"/>
    </row>
    <row r="7049" ht="15" customHeight="1">
      <c r="A7049" t="inlineStr">
        <is>
          <t>A 32116-2025</t>
        </is>
      </c>
      <c r="B7049" s="1" t="n">
        <v>45835.48862268519</v>
      </c>
      <c r="C7049" s="1" t="n">
        <v>45884</v>
      </c>
      <c r="D7049" t="inlineStr">
        <is>
          <t>KALMAR LÄN</t>
        </is>
      </c>
      <c r="E7049" t="inlineStr">
        <is>
          <t>VIMMERBY</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31671-2025</t>
        </is>
      </c>
      <c r="B7050" s="1" t="n">
        <v>45834.36774305555</v>
      </c>
      <c r="C7050" s="1" t="n">
        <v>45884</v>
      </c>
      <c r="D7050" t="inlineStr">
        <is>
          <t>KALMAR LÄN</t>
        </is>
      </c>
      <c r="E7050" t="inlineStr">
        <is>
          <t>MÖNSTERÅS</t>
        </is>
      </c>
      <c r="G7050" t="n">
        <v>4.3</v>
      </c>
      <c r="H7050" t="n">
        <v>0</v>
      </c>
      <c r="I7050" t="n">
        <v>0</v>
      </c>
      <c r="J7050" t="n">
        <v>0</v>
      </c>
      <c r="K7050" t="n">
        <v>0</v>
      </c>
      <c r="L7050" t="n">
        <v>0</v>
      </c>
      <c r="M7050" t="n">
        <v>0</v>
      </c>
      <c r="N7050" t="n">
        <v>0</v>
      </c>
      <c r="O7050" t="n">
        <v>0</v>
      </c>
      <c r="P7050" t="n">
        <v>0</v>
      </c>
      <c r="Q7050" t="n">
        <v>0</v>
      </c>
      <c r="R7050" s="2" t="inlineStr"/>
    </row>
    <row r="7051" ht="15" customHeight="1">
      <c r="A7051" t="inlineStr">
        <is>
          <t>A 31870-2025</t>
        </is>
      </c>
      <c r="B7051" s="1" t="n">
        <v>45834.64667824074</v>
      </c>
      <c r="C7051" s="1" t="n">
        <v>45884</v>
      </c>
      <c r="D7051" t="inlineStr">
        <is>
          <t>KALMAR LÄN</t>
        </is>
      </c>
      <c r="E7051" t="inlineStr">
        <is>
          <t>VIMMERBY</t>
        </is>
      </c>
      <c r="F7051" t="inlineStr">
        <is>
          <t>Sveaskog</t>
        </is>
      </c>
      <c r="G7051" t="n">
        <v>3.5</v>
      </c>
      <c r="H7051" t="n">
        <v>0</v>
      </c>
      <c r="I7051" t="n">
        <v>0</v>
      </c>
      <c r="J7051" t="n">
        <v>0</v>
      </c>
      <c r="K7051" t="n">
        <v>0</v>
      </c>
      <c r="L7051" t="n">
        <v>0</v>
      </c>
      <c r="M7051" t="n">
        <v>0</v>
      </c>
      <c r="N7051" t="n">
        <v>0</v>
      </c>
      <c r="O7051" t="n">
        <v>0</v>
      </c>
      <c r="P7051" t="n">
        <v>0</v>
      </c>
      <c r="Q7051" t="n">
        <v>0</v>
      </c>
      <c r="R7051" s="2" t="inlineStr"/>
    </row>
    <row r="7052" ht="15" customHeight="1">
      <c r="A7052" t="inlineStr">
        <is>
          <t>A 32042-2025</t>
        </is>
      </c>
      <c r="B7052" s="1" t="n">
        <v>45835.43494212963</v>
      </c>
      <c r="C7052" s="1" t="n">
        <v>45884</v>
      </c>
      <c r="D7052" t="inlineStr">
        <is>
          <t>KALMAR LÄN</t>
        </is>
      </c>
      <c r="E7052" t="inlineStr">
        <is>
          <t>HÖGSBY</t>
        </is>
      </c>
      <c r="G7052" t="n">
        <v>2.4</v>
      </c>
      <c r="H7052" t="n">
        <v>0</v>
      </c>
      <c r="I7052" t="n">
        <v>0</v>
      </c>
      <c r="J7052" t="n">
        <v>0</v>
      </c>
      <c r="K7052" t="n">
        <v>0</v>
      </c>
      <c r="L7052" t="n">
        <v>0</v>
      </c>
      <c r="M7052" t="n">
        <v>0</v>
      </c>
      <c r="N7052" t="n">
        <v>0</v>
      </c>
      <c r="O7052" t="n">
        <v>0</v>
      </c>
      <c r="P7052" t="n">
        <v>0</v>
      </c>
      <c r="Q7052" t="n">
        <v>0</v>
      </c>
      <c r="R7052" s="2" t="inlineStr"/>
    </row>
    <row r="7053" ht="15" customHeight="1">
      <c r="A7053" t="inlineStr">
        <is>
          <t>A 32065-2025</t>
        </is>
      </c>
      <c r="B7053" s="1" t="n">
        <v>45835.44732638889</v>
      </c>
      <c r="C7053" s="1" t="n">
        <v>45884</v>
      </c>
      <c r="D7053" t="inlineStr">
        <is>
          <t>KALMAR LÄN</t>
        </is>
      </c>
      <c r="E7053" t="inlineStr">
        <is>
          <t>VIMMERBY</t>
        </is>
      </c>
      <c r="G7053" t="n">
        <v>1</v>
      </c>
      <c r="H7053" t="n">
        <v>0</v>
      </c>
      <c r="I7053" t="n">
        <v>0</v>
      </c>
      <c r="J7053" t="n">
        <v>0</v>
      </c>
      <c r="K7053" t="n">
        <v>0</v>
      </c>
      <c r="L7053" t="n">
        <v>0</v>
      </c>
      <c r="M7053" t="n">
        <v>0</v>
      </c>
      <c r="N7053" t="n">
        <v>0</v>
      </c>
      <c r="O7053" t="n">
        <v>0</v>
      </c>
      <c r="P7053" t="n">
        <v>0</v>
      </c>
      <c r="Q7053" t="n">
        <v>0</v>
      </c>
      <c r="R7053" s="2" t="inlineStr"/>
    </row>
    <row r="7054" ht="15" customHeight="1">
      <c r="A7054" t="inlineStr">
        <is>
          <t>A 31707-2025</t>
        </is>
      </c>
      <c r="B7054" s="1" t="n">
        <v>45834.42243055555</v>
      </c>
      <c r="C7054" s="1" t="n">
        <v>45884</v>
      </c>
      <c r="D7054" t="inlineStr">
        <is>
          <t>KALMAR LÄN</t>
        </is>
      </c>
      <c r="E7054" t="inlineStr">
        <is>
          <t>NYBRO</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23606-2025</t>
        </is>
      </c>
      <c r="B7055" s="1" t="n">
        <v>45792.65657407408</v>
      </c>
      <c r="C7055" s="1" t="n">
        <v>45884</v>
      </c>
      <c r="D7055" t="inlineStr">
        <is>
          <t>KALMAR LÄN</t>
        </is>
      </c>
      <c r="E7055" t="inlineStr">
        <is>
          <t>OSKARSHAMN</t>
        </is>
      </c>
      <c r="G7055" t="n">
        <v>4</v>
      </c>
      <c r="H7055" t="n">
        <v>0</v>
      </c>
      <c r="I7055" t="n">
        <v>0</v>
      </c>
      <c r="J7055" t="n">
        <v>0</v>
      </c>
      <c r="K7055" t="n">
        <v>0</v>
      </c>
      <c r="L7055" t="n">
        <v>0</v>
      </c>
      <c r="M7055" t="n">
        <v>0</v>
      </c>
      <c r="N7055" t="n">
        <v>0</v>
      </c>
      <c r="O7055" t="n">
        <v>0</v>
      </c>
      <c r="P7055" t="n">
        <v>0</v>
      </c>
      <c r="Q7055" t="n">
        <v>0</v>
      </c>
      <c r="R7055" s="2" t="inlineStr"/>
    </row>
    <row r="7056" ht="15" customHeight="1">
      <c r="A7056" t="inlineStr">
        <is>
          <t>A 31987-2025</t>
        </is>
      </c>
      <c r="B7056" s="1" t="n">
        <v>45835.36229166666</v>
      </c>
      <c r="C7056" s="1" t="n">
        <v>45884</v>
      </c>
      <c r="D7056" t="inlineStr">
        <is>
          <t>KALMAR LÄN</t>
        </is>
      </c>
      <c r="E7056" t="inlineStr">
        <is>
          <t>VIMMERBY</t>
        </is>
      </c>
      <c r="F7056" t="inlineStr">
        <is>
          <t>Kyrkan</t>
        </is>
      </c>
      <c r="G7056" t="n">
        <v>1.2</v>
      </c>
      <c r="H7056" t="n">
        <v>0</v>
      </c>
      <c r="I7056" t="n">
        <v>0</v>
      </c>
      <c r="J7056" t="n">
        <v>0</v>
      </c>
      <c r="K7056" t="n">
        <v>0</v>
      </c>
      <c r="L7056" t="n">
        <v>0</v>
      </c>
      <c r="M7056" t="n">
        <v>0</v>
      </c>
      <c r="N7056" t="n">
        <v>0</v>
      </c>
      <c r="O7056" t="n">
        <v>0</v>
      </c>
      <c r="P7056" t="n">
        <v>0</v>
      </c>
      <c r="Q7056" t="n">
        <v>0</v>
      </c>
      <c r="R7056" s="2" t="inlineStr"/>
    </row>
    <row r="7057" ht="15" customHeight="1">
      <c r="A7057" t="inlineStr">
        <is>
          <t>A 32057-2025</t>
        </is>
      </c>
      <c r="B7057" s="1" t="n">
        <v>45835.44440972222</v>
      </c>
      <c r="C7057" s="1" t="n">
        <v>45884</v>
      </c>
      <c r="D7057" t="inlineStr">
        <is>
          <t>KALMAR LÄN</t>
        </is>
      </c>
      <c r="E7057" t="inlineStr">
        <is>
          <t>HULTSFRED</t>
        </is>
      </c>
      <c r="G7057" t="n">
        <v>9.199999999999999</v>
      </c>
      <c r="H7057" t="n">
        <v>0</v>
      </c>
      <c r="I7057" t="n">
        <v>0</v>
      </c>
      <c r="J7057" t="n">
        <v>0</v>
      </c>
      <c r="K7057" t="n">
        <v>0</v>
      </c>
      <c r="L7057" t="n">
        <v>0</v>
      </c>
      <c r="M7057" t="n">
        <v>0</v>
      </c>
      <c r="N7057" t="n">
        <v>0</v>
      </c>
      <c r="O7057" t="n">
        <v>0</v>
      </c>
      <c r="P7057" t="n">
        <v>0</v>
      </c>
      <c r="Q7057" t="n">
        <v>0</v>
      </c>
      <c r="R7057" s="2" t="inlineStr"/>
    </row>
    <row r="7058" ht="15" customHeight="1">
      <c r="A7058" t="inlineStr">
        <is>
          <t>A 32077-2025</t>
        </is>
      </c>
      <c r="B7058" s="1" t="n">
        <v>45835.45099537037</v>
      </c>
      <c r="C7058" s="1" t="n">
        <v>45884</v>
      </c>
      <c r="D7058" t="inlineStr">
        <is>
          <t>KALMAR LÄN</t>
        </is>
      </c>
      <c r="E7058" t="inlineStr">
        <is>
          <t>VIMMERBY</t>
        </is>
      </c>
      <c r="G7058" t="n">
        <v>1.8</v>
      </c>
      <c r="H7058" t="n">
        <v>0</v>
      </c>
      <c r="I7058" t="n">
        <v>0</v>
      </c>
      <c r="J7058" t="n">
        <v>0</v>
      </c>
      <c r="K7058" t="n">
        <v>0</v>
      </c>
      <c r="L7058" t="n">
        <v>0</v>
      </c>
      <c r="M7058" t="n">
        <v>0</v>
      </c>
      <c r="N7058" t="n">
        <v>0</v>
      </c>
      <c r="O7058" t="n">
        <v>0</v>
      </c>
      <c r="P7058" t="n">
        <v>0</v>
      </c>
      <c r="Q7058" t="n">
        <v>0</v>
      </c>
      <c r="R7058" s="2" t="inlineStr"/>
    </row>
    <row r="7059" ht="15" customHeight="1">
      <c r="A7059" t="inlineStr">
        <is>
          <t>A 32120-2025</t>
        </is>
      </c>
      <c r="B7059" s="1" t="n">
        <v>45835.4924537037</v>
      </c>
      <c r="C7059" s="1" t="n">
        <v>45884</v>
      </c>
      <c r="D7059" t="inlineStr">
        <is>
          <t>KALMAR LÄN</t>
        </is>
      </c>
      <c r="E7059" t="inlineStr">
        <is>
          <t>VIMMERBY</t>
        </is>
      </c>
      <c r="G7059" t="n">
        <v>0.8</v>
      </c>
      <c r="H7059" t="n">
        <v>0</v>
      </c>
      <c r="I7059" t="n">
        <v>0</v>
      </c>
      <c r="J7059" t="n">
        <v>0</v>
      </c>
      <c r="K7059" t="n">
        <v>0</v>
      </c>
      <c r="L7059" t="n">
        <v>0</v>
      </c>
      <c r="M7059" t="n">
        <v>0</v>
      </c>
      <c r="N7059" t="n">
        <v>0</v>
      </c>
      <c r="O7059" t="n">
        <v>0</v>
      </c>
      <c r="P7059" t="n">
        <v>0</v>
      </c>
      <c r="Q7059" t="n">
        <v>0</v>
      </c>
      <c r="R7059" s="2" t="inlineStr"/>
    </row>
    <row r="7060" ht="15" customHeight="1">
      <c r="A7060" t="inlineStr">
        <is>
          <t>A 31705-2025</t>
        </is>
      </c>
      <c r="B7060" s="1" t="n">
        <v>45834.42037037037</v>
      </c>
      <c r="C7060" s="1" t="n">
        <v>45884</v>
      </c>
      <c r="D7060" t="inlineStr">
        <is>
          <t>KALMAR LÄN</t>
        </is>
      </c>
      <c r="E7060" t="inlineStr">
        <is>
          <t>NYBRO</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31791-2025</t>
        </is>
      </c>
      <c r="B7061" s="1" t="n">
        <v>45834.54039351852</v>
      </c>
      <c r="C7061" s="1" t="n">
        <v>45884</v>
      </c>
      <c r="D7061" t="inlineStr">
        <is>
          <t>KALMAR LÄN</t>
        </is>
      </c>
      <c r="E7061" t="inlineStr">
        <is>
          <t>HULTSFRED</t>
        </is>
      </c>
      <c r="G7061" t="n">
        <v>5</v>
      </c>
      <c r="H7061" t="n">
        <v>0</v>
      </c>
      <c r="I7061" t="n">
        <v>0</v>
      </c>
      <c r="J7061" t="n">
        <v>0</v>
      </c>
      <c r="K7061" t="n">
        <v>0</v>
      </c>
      <c r="L7061" t="n">
        <v>0</v>
      </c>
      <c r="M7061" t="n">
        <v>0</v>
      </c>
      <c r="N7061" t="n">
        <v>0</v>
      </c>
      <c r="O7061" t="n">
        <v>0</v>
      </c>
      <c r="P7061" t="n">
        <v>0</v>
      </c>
      <c r="Q7061" t="n">
        <v>0</v>
      </c>
      <c r="R7061" s="2" t="inlineStr"/>
    </row>
    <row r="7062" ht="15" customHeight="1">
      <c r="A7062" t="inlineStr">
        <is>
          <t>A 37524-2025</t>
        </is>
      </c>
      <c r="B7062" s="1" t="n">
        <v>45877</v>
      </c>
      <c r="C7062" s="1" t="n">
        <v>45884</v>
      </c>
      <c r="D7062" t="inlineStr">
        <is>
          <t>KALMAR LÄN</t>
        </is>
      </c>
      <c r="E7062" t="inlineStr">
        <is>
          <t>VÄSTERVIK</t>
        </is>
      </c>
      <c r="G7062" t="n">
        <v>3.3</v>
      </c>
      <c r="H7062" t="n">
        <v>0</v>
      </c>
      <c r="I7062" t="n">
        <v>0</v>
      </c>
      <c r="J7062" t="n">
        <v>0</v>
      </c>
      <c r="K7062" t="n">
        <v>0</v>
      </c>
      <c r="L7062" t="n">
        <v>0</v>
      </c>
      <c r="M7062" t="n">
        <v>0</v>
      </c>
      <c r="N7062" t="n">
        <v>0</v>
      </c>
      <c r="O7062" t="n">
        <v>0</v>
      </c>
      <c r="P7062" t="n">
        <v>0</v>
      </c>
      <c r="Q7062" t="n">
        <v>0</v>
      </c>
      <c r="R7062" s="2" t="inlineStr"/>
    </row>
    <row r="7063" ht="15" customHeight="1">
      <c r="A7063" t="inlineStr">
        <is>
          <t>A 37525-2025</t>
        </is>
      </c>
      <c r="B7063" s="1" t="n">
        <v>45877</v>
      </c>
      <c r="C7063" s="1" t="n">
        <v>45884</v>
      </c>
      <c r="D7063" t="inlineStr">
        <is>
          <t>KALMAR LÄN</t>
        </is>
      </c>
      <c r="E7063" t="inlineStr">
        <is>
          <t>VÄSTERVIK</t>
        </is>
      </c>
      <c r="G7063" t="n">
        <v>2.4</v>
      </c>
      <c r="H7063" t="n">
        <v>0</v>
      </c>
      <c r="I7063" t="n">
        <v>0</v>
      </c>
      <c r="J7063" t="n">
        <v>0</v>
      </c>
      <c r="K7063" t="n">
        <v>0</v>
      </c>
      <c r="L7063" t="n">
        <v>0</v>
      </c>
      <c r="M7063" t="n">
        <v>0</v>
      </c>
      <c r="N7063" t="n">
        <v>0</v>
      </c>
      <c r="O7063" t="n">
        <v>0</v>
      </c>
      <c r="P7063" t="n">
        <v>0</v>
      </c>
      <c r="Q7063" t="n">
        <v>0</v>
      </c>
      <c r="R7063" s="2" t="inlineStr"/>
    </row>
    <row r="7064" ht="15" customHeight="1">
      <c r="A7064" t="inlineStr">
        <is>
          <t>A 31876-2025</t>
        </is>
      </c>
      <c r="B7064" s="1" t="n">
        <v>45834.65197916667</v>
      </c>
      <c r="C7064" s="1" t="n">
        <v>45884</v>
      </c>
      <c r="D7064" t="inlineStr">
        <is>
          <t>KALMAR LÄN</t>
        </is>
      </c>
      <c r="E7064" t="inlineStr">
        <is>
          <t>VIMMERBY</t>
        </is>
      </c>
      <c r="F7064" t="inlineStr">
        <is>
          <t>Sveaskog</t>
        </is>
      </c>
      <c r="G7064" t="n">
        <v>3.3</v>
      </c>
      <c r="H7064" t="n">
        <v>0</v>
      </c>
      <c r="I7064" t="n">
        <v>0</v>
      </c>
      <c r="J7064" t="n">
        <v>0</v>
      </c>
      <c r="K7064" t="n">
        <v>0</v>
      </c>
      <c r="L7064" t="n">
        <v>0</v>
      </c>
      <c r="M7064" t="n">
        <v>0</v>
      </c>
      <c r="N7064" t="n">
        <v>0</v>
      </c>
      <c r="O7064" t="n">
        <v>0</v>
      </c>
      <c r="P7064" t="n">
        <v>0</v>
      </c>
      <c r="Q7064" t="n">
        <v>0</v>
      </c>
      <c r="R7064" s="2" t="inlineStr"/>
    </row>
    <row r="7065" ht="15" customHeight="1">
      <c r="A7065" t="inlineStr">
        <is>
          <t>A 31857-2025</t>
        </is>
      </c>
      <c r="B7065" s="1" t="n">
        <v>45834.62629629629</v>
      </c>
      <c r="C7065" s="1" t="n">
        <v>45884</v>
      </c>
      <c r="D7065" t="inlineStr">
        <is>
          <t>KALMAR LÄN</t>
        </is>
      </c>
      <c r="E7065" t="inlineStr">
        <is>
          <t>VÄSTERVIK</t>
        </is>
      </c>
      <c r="F7065" t="inlineStr">
        <is>
          <t>Holmen skog AB</t>
        </is>
      </c>
      <c r="G7065" t="n">
        <v>1.5</v>
      </c>
      <c r="H7065" t="n">
        <v>0</v>
      </c>
      <c r="I7065" t="n">
        <v>0</v>
      </c>
      <c r="J7065" t="n">
        <v>0</v>
      </c>
      <c r="K7065" t="n">
        <v>0</v>
      </c>
      <c r="L7065" t="n">
        <v>0</v>
      </c>
      <c r="M7065" t="n">
        <v>0</v>
      </c>
      <c r="N7065" t="n">
        <v>0</v>
      </c>
      <c r="O7065" t="n">
        <v>0</v>
      </c>
      <c r="P7065" t="n">
        <v>0</v>
      </c>
      <c r="Q7065" t="n">
        <v>0</v>
      </c>
      <c r="R7065" s="2" t="inlineStr"/>
    </row>
    <row r="7066" ht="15" customHeight="1">
      <c r="A7066" t="inlineStr">
        <is>
          <t>A 37298-2025</t>
        </is>
      </c>
      <c r="B7066" s="1" t="n">
        <v>45876.57542824074</v>
      </c>
      <c r="C7066" s="1" t="n">
        <v>45884</v>
      </c>
      <c r="D7066" t="inlineStr">
        <is>
          <t>KALMAR LÄN</t>
        </is>
      </c>
      <c r="E7066" t="inlineStr">
        <is>
          <t>MÖNSTERÅS</t>
        </is>
      </c>
      <c r="G7066" t="n">
        <v>0.5</v>
      </c>
      <c r="H7066" t="n">
        <v>0</v>
      </c>
      <c r="I7066" t="n">
        <v>0</v>
      </c>
      <c r="J7066" t="n">
        <v>0</v>
      </c>
      <c r="K7066" t="n">
        <v>0</v>
      </c>
      <c r="L7066" t="n">
        <v>0</v>
      </c>
      <c r="M7066" t="n">
        <v>0</v>
      </c>
      <c r="N7066" t="n">
        <v>0</v>
      </c>
      <c r="O7066" t="n">
        <v>0</v>
      </c>
      <c r="P7066" t="n">
        <v>0</v>
      </c>
      <c r="Q7066" t="n">
        <v>0</v>
      </c>
      <c r="R7066" s="2" t="inlineStr"/>
    </row>
    <row r="7067" ht="15" customHeight="1">
      <c r="A7067" t="inlineStr">
        <is>
          <t>A 31763-2025</t>
        </is>
      </c>
      <c r="B7067" s="1" t="n">
        <v>45834.49290509259</v>
      </c>
      <c r="C7067" s="1" t="n">
        <v>45884</v>
      </c>
      <c r="D7067" t="inlineStr">
        <is>
          <t>KALMAR LÄN</t>
        </is>
      </c>
      <c r="E7067" t="inlineStr">
        <is>
          <t>NYBRO</t>
        </is>
      </c>
      <c r="G7067" t="n">
        <v>1.3</v>
      </c>
      <c r="H7067" t="n">
        <v>0</v>
      </c>
      <c r="I7067" t="n">
        <v>0</v>
      </c>
      <c r="J7067" t="n">
        <v>0</v>
      </c>
      <c r="K7067" t="n">
        <v>0</v>
      </c>
      <c r="L7067" t="n">
        <v>0</v>
      </c>
      <c r="M7067" t="n">
        <v>0</v>
      </c>
      <c r="N7067" t="n">
        <v>0</v>
      </c>
      <c r="O7067" t="n">
        <v>0</v>
      </c>
      <c r="P7067" t="n">
        <v>0</v>
      </c>
      <c r="Q7067" t="n">
        <v>0</v>
      </c>
      <c r="R7067" s="2" t="inlineStr"/>
    </row>
    <row r="7068" ht="15" customHeight="1">
      <c r="A7068" t="inlineStr">
        <is>
          <t>A 37294-2025</t>
        </is>
      </c>
      <c r="B7068" s="1" t="n">
        <v>45876.53809027778</v>
      </c>
      <c r="C7068" s="1" t="n">
        <v>45884</v>
      </c>
      <c r="D7068" t="inlineStr">
        <is>
          <t>KALMAR LÄN</t>
        </is>
      </c>
      <c r="E7068" t="inlineStr">
        <is>
          <t>MÖNSTERÅS</t>
        </is>
      </c>
      <c r="G7068" t="n">
        <v>3.4</v>
      </c>
      <c r="H7068" t="n">
        <v>0</v>
      </c>
      <c r="I7068" t="n">
        <v>0</v>
      </c>
      <c r="J7068" t="n">
        <v>0</v>
      </c>
      <c r="K7068" t="n">
        <v>0</v>
      </c>
      <c r="L7068" t="n">
        <v>0</v>
      </c>
      <c r="M7068" t="n">
        <v>0</v>
      </c>
      <c r="N7068" t="n">
        <v>0</v>
      </c>
      <c r="O7068" t="n">
        <v>0</v>
      </c>
      <c r="P7068" t="n">
        <v>0</v>
      </c>
      <c r="Q7068" t="n">
        <v>0</v>
      </c>
      <c r="R7068" s="2" t="inlineStr"/>
    </row>
    <row r="7069" ht="15" customHeight="1">
      <c r="A7069" t="inlineStr">
        <is>
          <t>A 31881-2025</t>
        </is>
      </c>
      <c r="B7069" s="1" t="n">
        <v>45834.65643518518</v>
      </c>
      <c r="C7069" s="1" t="n">
        <v>45884</v>
      </c>
      <c r="D7069" t="inlineStr">
        <is>
          <t>KALMAR LÄN</t>
        </is>
      </c>
      <c r="E7069" t="inlineStr">
        <is>
          <t>HULTSFRED</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32018-2025</t>
        </is>
      </c>
      <c r="B7070" s="1" t="n">
        <v>45835.40452546296</v>
      </c>
      <c r="C7070" s="1" t="n">
        <v>45884</v>
      </c>
      <c r="D7070" t="inlineStr">
        <is>
          <t>KALMAR LÄN</t>
        </is>
      </c>
      <c r="E7070" t="inlineStr">
        <is>
          <t>VÄSTERVIK</t>
        </is>
      </c>
      <c r="G7070" t="n">
        <v>0.8</v>
      </c>
      <c r="H7070" t="n">
        <v>0</v>
      </c>
      <c r="I7070" t="n">
        <v>0</v>
      </c>
      <c r="J7070" t="n">
        <v>0</v>
      </c>
      <c r="K7070" t="n">
        <v>0</v>
      </c>
      <c r="L7070" t="n">
        <v>0</v>
      </c>
      <c r="M7070" t="n">
        <v>0</v>
      </c>
      <c r="N7070" t="n">
        <v>0</v>
      </c>
      <c r="O7070" t="n">
        <v>0</v>
      </c>
      <c r="P7070" t="n">
        <v>0</v>
      </c>
      <c r="Q7070" t="n">
        <v>0</v>
      </c>
      <c r="R7070" s="2" t="inlineStr"/>
    </row>
    <row r="7071" ht="15" customHeight="1">
      <c r="A7071" t="inlineStr">
        <is>
          <t>A 31714-2025</t>
        </is>
      </c>
      <c r="B7071" s="1" t="n">
        <v>45834.45310185185</v>
      </c>
      <c r="C7071" s="1" t="n">
        <v>45884</v>
      </c>
      <c r="D7071" t="inlineStr">
        <is>
          <t>KALMAR LÄN</t>
        </is>
      </c>
      <c r="E7071" t="inlineStr">
        <is>
          <t>TORSÅS</t>
        </is>
      </c>
      <c r="G7071" t="n">
        <v>8.1</v>
      </c>
      <c r="H7071" t="n">
        <v>0</v>
      </c>
      <c r="I7071" t="n">
        <v>0</v>
      </c>
      <c r="J7071" t="n">
        <v>0</v>
      </c>
      <c r="K7071" t="n">
        <v>0</v>
      </c>
      <c r="L7071" t="n">
        <v>0</v>
      </c>
      <c r="M7071" t="n">
        <v>0</v>
      </c>
      <c r="N7071" t="n">
        <v>0</v>
      </c>
      <c r="O7071" t="n">
        <v>0</v>
      </c>
      <c r="P7071" t="n">
        <v>0</v>
      </c>
      <c r="Q7071" t="n">
        <v>0</v>
      </c>
      <c r="R7071" s="2" t="inlineStr"/>
    </row>
    <row r="7072" ht="15" customHeight="1">
      <c r="A7072" t="inlineStr">
        <is>
          <t>A 37774-2025</t>
        </is>
      </c>
      <c r="B7072" s="1" t="n">
        <v>45880.76180555556</v>
      </c>
      <c r="C7072" s="1" t="n">
        <v>45884</v>
      </c>
      <c r="D7072" t="inlineStr">
        <is>
          <t>KALMAR LÄN</t>
        </is>
      </c>
      <c r="E7072" t="inlineStr">
        <is>
          <t>VÄSTERVIK</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37819-2025</t>
        </is>
      </c>
      <c r="B7073" s="1" t="n">
        <v>45881.39194444445</v>
      </c>
      <c r="C7073" s="1" t="n">
        <v>45884</v>
      </c>
      <c r="D7073" t="inlineStr">
        <is>
          <t>KALMAR LÄN</t>
        </is>
      </c>
      <c r="E7073" t="inlineStr">
        <is>
          <t>HÖGSBY</t>
        </is>
      </c>
      <c r="F7073" t="inlineStr">
        <is>
          <t>Kommuner</t>
        </is>
      </c>
      <c r="G7073" t="n">
        <v>1.5</v>
      </c>
      <c r="H7073" t="n">
        <v>0</v>
      </c>
      <c r="I7073" t="n">
        <v>0</v>
      </c>
      <c r="J7073" t="n">
        <v>0</v>
      </c>
      <c r="K7073" t="n">
        <v>0</v>
      </c>
      <c r="L7073" t="n">
        <v>0</v>
      </c>
      <c r="M7073" t="n">
        <v>0</v>
      </c>
      <c r="N7073" t="n">
        <v>0</v>
      </c>
      <c r="O7073" t="n">
        <v>0</v>
      </c>
      <c r="P7073" t="n">
        <v>0</v>
      </c>
      <c r="Q7073" t="n">
        <v>0</v>
      </c>
      <c r="R7073" s="2" t="inlineStr"/>
    </row>
    <row r="7074" ht="15" customHeight="1">
      <c r="A7074" t="inlineStr">
        <is>
          <t>A 32564-2025</t>
        </is>
      </c>
      <c r="B7074" s="1" t="n">
        <v>45838.57329861111</v>
      </c>
      <c r="C7074" s="1" t="n">
        <v>45884</v>
      </c>
      <c r="D7074" t="inlineStr">
        <is>
          <t>KALMAR LÄN</t>
        </is>
      </c>
      <c r="E7074" t="inlineStr">
        <is>
          <t>OSKARSHAMN</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37845-2025</t>
        </is>
      </c>
      <c r="B7075" s="1" t="n">
        <v>45881.43982638889</v>
      </c>
      <c r="C7075" s="1" t="n">
        <v>45884</v>
      </c>
      <c r="D7075" t="inlineStr">
        <is>
          <t>KALMAR LÄN</t>
        </is>
      </c>
      <c r="E7075" t="inlineStr">
        <is>
          <t>NYBRO</t>
        </is>
      </c>
      <c r="F7075" t="inlineStr">
        <is>
          <t>Kommuner</t>
        </is>
      </c>
      <c r="G7075" t="n">
        <v>1.3</v>
      </c>
      <c r="H7075" t="n">
        <v>0</v>
      </c>
      <c r="I7075" t="n">
        <v>0</v>
      </c>
      <c r="J7075" t="n">
        <v>0</v>
      </c>
      <c r="K7075" t="n">
        <v>0</v>
      </c>
      <c r="L7075" t="n">
        <v>0</v>
      </c>
      <c r="M7075" t="n">
        <v>0</v>
      </c>
      <c r="N7075" t="n">
        <v>0</v>
      </c>
      <c r="O7075" t="n">
        <v>0</v>
      </c>
      <c r="P7075" t="n">
        <v>0</v>
      </c>
      <c r="Q7075" t="n">
        <v>0</v>
      </c>
      <c r="R7075" s="2" t="inlineStr"/>
    </row>
    <row r="7076" ht="15" customHeight="1">
      <c r="A7076" t="inlineStr">
        <is>
          <t>A 32671-2025</t>
        </is>
      </c>
      <c r="B7076" s="1" t="n">
        <v>45838.7009375</v>
      </c>
      <c r="C7076" s="1" t="n">
        <v>45884</v>
      </c>
      <c r="D7076" t="inlineStr">
        <is>
          <t>KALMAR LÄN</t>
        </is>
      </c>
      <c r="E7076" t="inlineStr">
        <is>
          <t>HÖGSBY</t>
        </is>
      </c>
      <c r="G7076" t="n">
        <v>2.6</v>
      </c>
      <c r="H7076" t="n">
        <v>0</v>
      </c>
      <c r="I7076" t="n">
        <v>0</v>
      </c>
      <c r="J7076" t="n">
        <v>0</v>
      </c>
      <c r="K7076" t="n">
        <v>0</v>
      </c>
      <c r="L7076" t="n">
        <v>0</v>
      </c>
      <c r="M7076" t="n">
        <v>0</v>
      </c>
      <c r="N7076" t="n">
        <v>0</v>
      </c>
      <c r="O7076" t="n">
        <v>0</v>
      </c>
      <c r="P7076" t="n">
        <v>0</v>
      </c>
      <c r="Q7076" t="n">
        <v>0</v>
      </c>
      <c r="R7076" s="2" t="inlineStr"/>
    </row>
    <row r="7077" ht="15" customHeight="1">
      <c r="A7077" t="inlineStr">
        <is>
          <t>A 32667-2025</t>
        </is>
      </c>
      <c r="B7077" s="1" t="n">
        <v>45838.69145833333</v>
      </c>
      <c r="C7077" s="1" t="n">
        <v>45884</v>
      </c>
      <c r="D7077" t="inlineStr">
        <is>
          <t>KALMAR LÄN</t>
        </is>
      </c>
      <c r="E7077" t="inlineStr">
        <is>
          <t>HÖGSBY</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32754-2025</t>
        </is>
      </c>
      <c r="B7078" s="1" t="n">
        <v>45839.43167824074</v>
      </c>
      <c r="C7078" s="1" t="n">
        <v>45884</v>
      </c>
      <c r="D7078" t="inlineStr">
        <is>
          <t>KALMAR LÄN</t>
        </is>
      </c>
      <c r="E7078" t="inlineStr">
        <is>
          <t>MÖNSTERÅS</t>
        </is>
      </c>
      <c r="G7078" t="n">
        <v>2.5</v>
      </c>
      <c r="H7078" t="n">
        <v>0</v>
      </c>
      <c r="I7078" t="n">
        <v>0</v>
      </c>
      <c r="J7078" t="n">
        <v>0</v>
      </c>
      <c r="K7078" t="n">
        <v>0</v>
      </c>
      <c r="L7078" t="n">
        <v>0</v>
      </c>
      <c r="M7078" t="n">
        <v>0</v>
      </c>
      <c r="N7078" t="n">
        <v>0</v>
      </c>
      <c r="O7078" t="n">
        <v>0</v>
      </c>
      <c r="P7078" t="n">
        <v>0</v>
      </c>
      <c r="Q7078" t="n">
        <v>0</v>
      </c>
      <c r="R7078" s="2" t="inlineStr"/>
    </row>
    <row r="7079" ht="15" customHeight="1">
      <c r="A7079" t="inlineStr">
        <is>
          <t>A 37556-2025</t>
        </is>
      </c>
      <c r="B7079" s="1" t="n">
        <v>45880.32877314815</v>
      </c>
      <c r="C7079" s="1" t="n">
        <v>45884</v>
      </c>
      <c r="D7079" t="inlineStr">
        <is>
          <t>KALMAR LÄN</t>
        </is>
      </c>
      <c r="E7079" t="inlineStr">
        <is>
          <t>NYBRO</t>
        </is>
      </c>
      <c r="G7079" t="n">
        <v>1.2</v>
      </c>
      <c r="H7079" t="n">
        <v>0</v>
      </c>
      <c r="I7079" t="n">
        <v>0</v>
      </c>
      <c r="J7079" t="n">
        <v>0</v>
      </c>
      <c r="K7079" t="n">
        <v>0</v>
      </c>
      <c r="L7079" t="n">
        <v>0</v>
      </c>
      <c r="M7079" t="n">
        <v>0</v>
      </c>
      <c r="N7079" t="n">
        <v>0</v>
      </c>
      <c r="O7079" t="n">
        <v>0</v>
      </c>
      <c r="P7079" t="n">
        <v>0</v>
      </c>
      <c r="Q7079" t="n">
        <v>0</v>
      </c>
      <c r="R7079" s="2" t="inlineStr"/>
    </row>
    <row r="7080" ht="15" customHeight="1">
      <c r="A7080" t="inlineStr">
        <is>
          <t>A 32662-2025</t>
        </is>
      </c>
      <c r="B7080" s="1" t="n">
        <v>45838.68005787037</v>
      </c>
      <c r="C7080" s="1" t="n">
        <v>45884</v>
      </c>
      <c r="D7080" t="inlineStr">
        <is>
          <t>KALMAR LÄN</t>
        </is>
      </c>
      <c r="E7080" t="inlineStr">
        <is>
          <t>HÖGSBY</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32600-2025</t>
        </is>
      </c>
      <c r="B7081" s="1" t="n">
        <v>45838.62175925926</v>
      </c>
      <c r="C7081" s="1" t="n">
        <v>45884</v>
      </c>
      <c r="D7081" t="inlineStr">
        <is>
          <t>KALMAR LÄN</t>
        </is>
      </c>
      <c r="E7081" t="inlineStr">
        <is>
          <t>TORSÅS</t>
        </is>
      </c>
      <c r="G7081" t="n">
        <v>7.3</v>
      </c>
      <c r="H7081" t="n">
        <v>0</v>
      </c>
      <c r="I7081" t="n">
        <v>0</v>
      </c>
      <c r="J7081" t="n">
        <v>0</v>
      </c>
      <c r="K7081" t="n">
        <v>0</v>
      </c>
      <c r="L7081" t="n">
        <v>0</v>
      </c>
      <c r="M7081" t="n">
        <v>0</v>
      </c>
      <c r="N7081" t="n">
        <v>0</v>
      </c>
      <c r="O7081" t="n">
        <v>0</v>
      </c>
      <c r="P7081" t="n">
        <v>0</v>
      </c>
      <c r="Q7081" t="n">
        <v>0</v>
      </c>
      <c r="R7081" s="2" t="inlineStr"/>
    </row>
    <row r="7082" ht="15" customHeight="1">
      <c r="A7082" t="inlineStr">
        <is>
          <t>A 32644-2025</t>
        </is>
      </c>
      <c r="B7082" s="1" t="n">
        <v>45838.66334490741</v>
      </c>
      <c r="C7082" s="1" t="n">
        <v>45884</v>
      </c>
      <c r="D7082" t="inlineStr">
        <is>
          <t>KALMAR LÄN</t>
        </is>
      </c>
      <c r="E7082" t="inlineStr">
        <is>
          <t>HÖGSBY</t>
        </is>
      </c>
      <c r="G7082" t="n">
        <v>2.2</v>
      </c>
      <c r="H7082" t="n">
        <v>0</v>
      </c>
      <c r="I7082" t="n">
        <v>0</v>
      </c>
      <c r="J7082" t="n">
        <v>0</v>
      </c>
      <c r="K7082" t="n">
        <v>0</v>
      </c>
      <c r="L7082" t="n">
        <v>0</v>
      </c>
      <c r="M7082" t="n">
        <v>0</v>
      </c>
      <c r="N7082" t="n">
        <v>0</v>
      </c>
      <c r="O7082" t="n">
        <v>0</v>
      </c>
      <c r="P7082" t="n">
        <v>0</v>
      </c>
      <c r="Q7082" t="n">
        <v>0</v>
      </c>
      <c r="R7082" s="2" t="inlineStr"/>
    </row>
    <row r="7083" ht="15" customHeight="1">
      <c r="A7083" t="inlineStr">
        <is>
          <t>A 37622-2025</t>
        </is>
      </c>
      <c r="B7083" s="1" t="n">
        <v>45880.45618055556</v>
      </c>
      <c r="C7083" s="1" t="n">
        <v>45884</v>
      </c>
      <c r="D7083" t="inlineStr">
        <is>
          <t>KALMAR LÄN</t>
        </is>
      </c>
      <c r="E7083" t="inlineStr">
        <is>
          <t>TORSÅS</t>
        </is>
      </c>
      <c r="G7083" t="n">
        <v>6.5</v>
      </c>
      <c r="H7083" t="n">
        <v>0</v>
      </c>
      <c r="I7083" t="n">
        <v>0</v>
      </c>
      <c r="J7083" t="n">
        <v>0</v>
      </c>
      <c r="K7083" t="n">
        <v>0</v>
      </c>
      <c r="L7083" t="n">
        <v>0</v>
      </c>
      <c r="M7083" t="n">
        <v>0</v>
      </c>
      <c r="N7083" t="n">
        <v>0</v>
      </c>
      <c r="O7083" t="n">
        <v>0</v>
      </c>
      <c r="P7083" t="n">
        <v>0</v>
      </c>
      <c r="Q7083" t="n">
        <v>0</v>
      </c>
      <c r="R7083" s="2" t="inlineStr"/>
    </row>
    <row r="7084" ht="15" customHeight="1">
      <c r="A7084" t="inlineStr">
        <is>
          <t>A 32400-2025</t>
        </is>
      </c>
      <c r="B7084" s="1" t="n">
        <v>45838.25818287037</v>
      </c>
      <c r="C7084" s="1" t="n">
        <v>45884</v>
      </c>
      <c r="D7084" t="inlineStr">
        <is>
          <t>KALMAR LÄN</t>
        </is>
      </c>
      <c r="E7084" t="inlineStr">
        <is>
          <t>VÄSTERVIK</t>
        </is>
      </c>
      <c r="G7084" t="n">
        <v>0.6</v>
      </c>
      <c r="H7084" t="n">
        <v>0</v>
      </c>
      <c r="I7084" t="n">
        <v>0</v>
      </c>
      <c r="J7084" t="n">
        <v>0</v>
      </c>
      <c r="K7084" t="n">
        <v>0</v>
      </c>
      <c r="L7084" t="n">
        <v>0</v>
      </c>
      <c r="M7084" t="n">
        <v>0</v>
      </c>
      <c r="N7084" t="n">
        <v>0</v>
      </c>
      <c r="O7084" t="n">
        <v>0</v>
      </c>
      <c r="P7084" t="n">
        <v>0</v>
      </c>
      <c r="Q7084" t="n">
        <v>0</v>
      </c>
      <c r="R7084" s="2" t="inlineStr"/>
    </row>
    <row r="7085" ht="15" customHeight="1">
      <c r="A7085" t="inlineStr">
        <is>
          <t>A 32404-2025</t>
        </is>
      </c>
      <c r="B7085" s="1" t="n">
        <v>45838.3153125</v>
      </c>
      <c r="C7085" s="1" t="n">
        <v>45884</v>
      </c>
      <c r="D7085" t="inlineStr">
        <is>
          <t>KALMAR LÄN</t>
        </is>
      </c>
      <c r="E7085" t="inlineStr">
        <is>
          <t>KALMAR</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37667-2025</t>
        </is>
      </c>
      <c r="B7086" s="1" t="n">
        <v>45880.51413194444</v>
      </c>
      <c r="C7086" s="1" t="n">
        <v>45884</v>
      </c>
      <c r="D7086" t="inlineStr">
        <is>
          <t>KALMAR LÄN</t>
        </is>
      </c>
      <c r="E7086" t="inlineStr">
        <is>
          <t>VIMMERBY</t>
        </is>
      </c>
      <c r="F7086" t="inlineStr">
        <is>
          <t>Sveaskog</t>
        </is>
      </c>
      <c r="G7086" t="n">
        <v>2.1</v>
      </c>
      <c r="H7086" t="n">
        <v>0</v>
      </c>
      <c r="I7086" t="n">
        <v>0</v>
      </c>
      <c r="J7086" t="n">
        <v>0</v>
      </c>
      <c r="K7086" t="n">
        <v>0</v>
      </c>
      <c r="L7086" t="n">
        <v>0</v>
      </c>
      <c r="M7086" t="n">
        <v>0</v>
      </c>
      <c r="N7086" t="n">
        <v>0</v>
      </c>
      <c r="O7086" t="n">
        <v>0</v>
      </c>
      <c r="P7086" t="n">
        <v>0</v>
      </c>
      <c r="Q7086" t="n">
        <v>0</v>
      </c>
      <c r="R7086" s="2" t="inlineStr"/>
    </row>
    <row r="7087" ht="15" customHeight="1">
      <c r="A7087" t="inlineStr">
        <is>
          <t>A 37866-2025</t>
        </is>
      </c>
      <c r="B7087" s="1" t="n">
        <v>45881</v>
      </c>
      <c r="C7087" s="1" t="n">
        <v>45884</v>
      </c>
      <c r="D7087" t="inlineStr">
        <is>
          <t>KALMAR LÄN</t>
        </is>
      </c>
      <c r="E7087" t="inlineStr">
        <is>
          <t>VIMMERBY</t>
        </is>
      </c>
      <c r="G7087" t="n">
        <v>3.4</v>
      </c>
      <c r="H7087" t="n">
        <v>0</v>
      </c>
      <c r="I7087" t="n">
        <v>0</v>
      </c>
      <c r="J7087" t="n">
        <v>0</v>
      </c>
      <c r="K7087" t="n">
        <v>0</v>
      </c>
      <c r="L7087" t="n">
        <v>0</v>
      </c>
      <c r="M7087" t="n">
        <v>0</v>
      </c>
      <c r="N7087" t="n">
        <v>0</v>
      </c>
      <c r="O7087" t="n">
        <v>0</v>
      </c>
      <c r="P7087" t="n">
        <v>0</v>
      </c>
      <c r="Q7087" t="n">
        <v>0</v>
      </c>
      <c r="R7087" s="2" t="inlineStr"/>
    </row>
    <row r="7088" ht="15" customHeight="1">
      <c r="A7088" t="inlineStr">
        <is>
          <t>A 37657-2025</t>
        </is>
      </c>
      <c r="B7088" s="1" t="n">
        <v>45880.4963425926</v>
      </c>
      <c r="C7088" s="1" t="n">
        <v>45884</v>
      </c>
      <c r="D7088" t="inlineStr">
        <is>
          <t>KALMAR LÄN</t>
        </is>
      </c>
      <c r="E7088" t="inlineStr">
        <is>
          <t>HÖGSBY</t>
        </is>
      </c>
      <c r="F7088" t="inlineStr">
        <is>
          <t>Sveaskog</t>
        </is>
      </c>
      <c r="G7088" t="n">
        <v>2.1</v>
      </c>
      <c r="H7088" t="n">
        <v>0</v>
      </c>
      <c r="I7088" t="n">
        <v>0</v>
      </c>
      <c r="J7088" t="n">
        <v>0</v>
      </c>
      <c r="K7088" t="n">
        <v>0</v>
      </c>
      <c r="L7088" t="n">
        <v>0</v>
      </c>
      <c r="M7088" t="n">
        <v>0</v>
      </c>
      <c r="N7088" t="n">
        <v>0</v>
      </c>
      <c r="O7088" t="n">
        <v>0</v>
      </c>
      <c r="P7088" t="n">
        <v>0</v>
      </c>
      <c r="Q7088" t="n">
        <v>0</v>
      </c>
      <c r="R7088" s="2" t="inlineStr"/>
    </row>
    <row r="7089" ht="15" customHeight="1">
      <c r="A7089" t="inlineStr">
        <is>
          <t>A 37668-2025</t>
        </is>
      </c>
      <c r="B7089" s="1" t="n">
        <v>45880.51550925926</v>
      </c>
      <c r="C7089" s="1" t="n">
        <v>45884</v>
      </c>
      <c r="D7089" t="inlineStr">
        <is>
          <t>KALMAR LÄN</t>
        </is>
      </c>
      <c r="E7089" t="inlineStr">
        <is>
          <t>VIMMERBY</t>
        </is>
      </c>
      <c r="F7089" t="inlineStr">
        <is>
          <t>Sveaskog</t>
        </is>
      </c>
      <c r="G7089" t="n">
        <v>0.6</v>
      </c>
      <c r="H7089" t="n">
        <v>0</v>
      </c>
      <c r="I7089" t="n">
        <v>0</v>
      </c>
      <c r="J7089" t="n">
        <v>0</v>
      </c>
      <c r="K7089" t="n">
        <v>0</v>
      </c>
      <c r="L7089" t="n">
        <v>0</v>
      </c>
      <c r="M7089" t="n">
        <v>0</v>
      </c>
      <c r="N7089" t="n">
        <v>0</v>
      </c>
      <c r="O7089" t="n">
        <v>0</v>
      </c>
      <c r="P7089" t="n">
        <v>0</v>
      </c>
      <c r="Q7089" t="n">
        <v>0</v>
      </c>
      <c r="R7089" s="2" t="inlineStr"/>
    </row>
    <row r="7090" ht="15" customHeight="1">
      <c r="A7090" t="inlineStr">
        <is>
          <t>A 37813-2025</t>
        </is>
      </c>
      <c r="B7090" s="1" t="n">
        <v>45881.3720949074</v>
      </c>
      <c r="C7090" s="1" t="n">
        <v>45884</v>
      </c>
      <c r="D7090" t="inlineStr">
        <is>
          <t>KALMAR LÄN</t>
        </is>
      </c>
      <c r="E7090" t="inlineStr">
        <is>
          <t>MÖNSTERÅS</t>
        </is>
      </c>
      <c r="G7090" t="n">
        <v>3.5</v>
      </c>
      <c r="H7090" t="n">
        <v>0</v>
      </c>
      <c r="I7090" t="n">
        <v>0</v>
      </c>
      <c r="J7090" t="n">
        <v>0</v>
      </c>
      <c r="K7090" t="n">
        <v>0</v>
      </c>
      <c r="L7090" t="n">
        <v>0</v>
      </c>
      <c r="M7090" t="n">
        <v>0</v>
      </c>
      <c r="N7090" t="n">
        <v>0</v>
      </c>
      <c r="O7090" t="n">
        <v>0</v>
      </c>
      <c r="P7090" t="n">
        <v>0</v>
      </c>
      <c r="Q7090" t="n">
        <v>0</v>
      </c>
      <c r="R7090" s="2" t="inlineStr"/>
    </row>
    <row r="7091" ht="15" customHeight="1">
      <c r="A7091" t="inlineStr">
        <is>
          <t>A 37831-2025</t>
        </is>
      </c>
      <c r="B7091" s="1" t="n">
        <v>45881.41793981481</v>
      </c>
      <c r="C7091" s="1" t="n">
        <v>45884</v>
      </c>
      <c r="D7091" t="inlineStr">
        <is>
          <t>KALMAR LÄN</t>
        </is>
      </c>
      <c r="E7091" t="inlineStr">
        <is>
          <t>EMMABODA</t>
        </is>
      </c>
      <c r="G7091" t="n">
        <v>3.6</v>
      </c>
      <c r="H7091" t="n">
        <v>0</v>
      </c>
      <c r="I7091" t="n">
        <v>0</v>
      </c>
      <c r="J7091" t="n">
        <v>0</v>
      </c>
      <c r="K7091" t="n">
        <v>0</v>
      </c>
      <c r="L7091" t="n">
        <v>0</v>
      </c>
      <c r="M7091" t="n">
        <v>0</v>
      </c>
      <c r="N7091" t="n">
        <v>0</v>
      </c>
      <c r="O7091" t="n">
        <v>0</v>
      </c>
      <c r="P7091" t="n">
        <v>0</v>
      </c>
      <c r="Q7091" t="n">
        <v>0</v>
      </c>
      <c r="R7091" s="2" t="inlineStr"/>
    </row>
    <row r="7092" ht="15" customHeight="1">
      <c r="A7092" t="inlineStr">
        <is>
          <t>A 37559-2025</t>
        </is>
      </c>
      <c r="B7092" s="1" t="n">
        <v>45880.33408564814</v>
      </c>
      <c r="C7092" s="1" t="n">
        <v>45884</v>
      </c>
      <c r="D7092" t="inlineStr">
        <is>
          <t>KALMAR LÄN</t>
        </is>
      </c>
      <c r="E7092" t="inlineStr">
        <is>
          <t>NYBRO</t>
        </is>
      </c>
      <c r="G7092" t="n">
        <v>0.6</v>
      </c>
      <c r="H7092" t="n">
        <v>0</v>
      </c>
      <c r="I7092" t="n">
        <v>0</v>
      </c>
      <c r="J7092" t="n">
        <v>0</v>
      </c>
      <c r="K7092" t="n">
        <v>0</v>
      </c>
      <c r="L7092" t="n">
        <v>0</v>
      </c>
      <c r="M7092" t="n">
        <v>0</v>
      </c>
      <c r="N7092" t="n">
        <v>0</v>
      </c>
      <c r="O7092" t="n">
        <v>0</v>
      </c>
      <c r="P7092" t="n">
        <v>0</v>
      </c>
      <c r="Q7092" t="n">
        <v>0</v>
      </c>
      <c r="R7092" s="2" t="inlineStr"/>
    </row>
    <row r="7093" ht="15" customHeight="1">
      <c r="A7093" t="inlineStr">
        <is>
          <t>A 37812-2025</t>
        </is>
      </c>
      <c r="B7093" s="1" t="n">
        <v>45881.37207175926</v>
      </c>
      <c r="C7093" s="1" t="n">
        <v>45884</v>
      </c>
      <c r="D7093" t="inlineStr">
        <is>
          <t>KALMAR LÄN</t>
        </is>
      </c>
      <c r="E7093" t="inlineStr">
        <is>
          <t>EMMABODA</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37939-2025</t>
        </is>
      </c>
      <c r="B7094" s="1" t="n">
        <v>45881.59877314815</v>
      </c>
      <c r="C7094" s="1" t="n">
        <v>45884</v>
      </c>
      <c r="D7094" t="inlineStr">
        <is>
          <t>KALMAR LÄN</t>
        </is>
      </c>
      <c r="E7094" t="inlineStr">
        <is>
          <t>VIMMERBY</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37582-2025</t>
        </is>
      </c>
      <c r="B7095" s="1" t="n">
        <v>45880.39017361111</v>
      </c>
      <c r="C7095" s="1" t="n">
        <v>45884</v>
      </c>
      <c r="D7095" t="inlineStr">
        <is>
          <t>KALMAR LÄN</t>
        </is>
      </c>
      <c r="E7095" t="inlineStr">
        <is>
          <t>MÖNSTERÅS</t>
        </is>
      </c>
      <c r="G7095" t="n">
        <v>3</v>
      </c>
      <c r="H7095" t="n">
        <v>0</v>
      </c>
      <c r="I7095" t="n">
        <v>0</v>
      </c>
      <c r="J7095" t="n">
        <v>0</v>
      </c>
      <c r="K7095" t="n">
        <v>0</v>
      </c>
      <c r="L7095" t="n">
        <v>0</v>
      </c>
      <c r="M7095" t="n">
        <v>0</v>
      </c>
      <c r="N7095" t="n">
        <v>0</v>
      </c>
      <c r="O7095" t="n">
        <v>0</v>
      </c>
      <c r="P7095" t="n">
        <v>0</v>
      </c>
      <c r="Q7095" t="n">
        <v>0</v>
      </c>
      <c r="R7095" s="2" t="inlineStr"/>
    </row>
    <row r="7096" ht="15" customHeight="1">
      <c r="A7096" t="inlineStr">
        <is>
          <t>A 37731-2025</t>
        </is>
      </c>
      <c r="B7096" s="1" t="n">
        <v>45880.63050925926</v>
      </c>
      <c r="C7096" s="1" t="n">
        <v>45884</v>
      </c>
      <c r="D7096" t="inlineStr">
        <is>
          <t>KALMAR LÄN</t>
        </is>
      </c>
      <c r="E7096" t="inlineStr">
        <is>
          <t>HULTSFRED</t>
        </is>
      </c>
      <c r="G7096" t="n">
        <v>10.1</v>
      </c>
      <c r="H7096" t="n">
        <v>0</v>
      </c>
      <c r="I7096" t="n">
        <v>0</v>
      </c>
      <c r="J7096" t="n">
        <v>0</v>
      </c>
      <c r="K7096" t="n">
        <v>0</v>
      </c>
      <c r="L7096" t="n">
        <v>0</v>
      </c>
      <c r="M7096" t="n">
        <v>0</v>
      </c>
      <c r="N7096" t="n">
        <v>0</v>
      </c>
      <c r="O7096" t="n">
        <v>0</v>
      </c>
      <c r="P7096" t="n">
        <v>0</v>
      </c>
      <c r="Q7096" t="n">
        <v>0</v>
      </c>
      <c r="R7096" s="2" t="inlineStr"/>
    </row>
    <row r="7097" ht="15" customHeight="1">
      <c r="A7097" t="inlineStr">
        <is>
          <t>A 32382-2025</t>
        </is>
      </c>
      <c r="B7097" s="1" t="n">
        <v>45837.77916666667</v>
      </c>
      <c r="C7097" s="1" t="n">
        <v>45884</v>
      </c>
      <c r="D7097" t="inlineStr">
        <is>
          <t>KALMAR LÄN</t>
        </is>
      </c>
      <c r="E7097" t="inlineStr">
        <is>
          <t>VIMMERBY</t>
        </is>
      </c>
      <c r="G7097" t="n">
        <v>4.6</v>
      </c>
      <c r="H7097" t="n">
        <v>0</v>
      </c>
      <c r="I7097" t="n">
        <v>0</v>
      </c>
      <c r="J7097" t="n">
        <v>0</v>
      </c>
      <c r="K7097" t="n">
        <v>0</v>
      </c>
      <c r="L7097" t="n">
        <v>0</v>
      </c>
      <c r="M7097" t="n">
        <v>0</v>
      </c>
      <c r="N7097" t="n">
        <v>0</v>
      </c>
      <c r="O7097" t="n">
        <v>0</v>
      </c>
      <c r="P7097" t="n">
        <v>0</v>
      </c>
      <c r="Q7097" t="n">
        <v>0</v>
      </c>
      <c r="R7097" s="2" t="inlineStr"/>
    </row>
    <row r="7098" ht="15" customHeight="1">
      <c r="A7098" t="inlineStr">
        <is>
          <t>A 32632-2025</t>
        </is>
      </c>
      <c r="B7098" s="1" t="n">
        <v>45838.65675925926</v>
      </c>
      <c r="C7098" s="1" t="n">
        <v>45884</v>
      </c>
      <c r="D7098" t="inlineStr">
        <is>
          <t>KALMAR LÄN</t>
        </is>
      </c>
      <c r="E7098" t="inlineStr">
        <is>
          <t>HÖGSBY</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13803-2021</t>
        </is>
      </c>
      <c r="B7099" s="1" t="n">
        <v>44275.89116898148</v>
      </c>
      <c r="C7099" s="1" t="n">
        <v>45884</v>
      </c>
      <c r="D7099" t="inlineStr">
        <is>
          <t>KALMAR LÄN</t>
        </is>
      </c>
      <c r="E7099" t="inlineStr">
        <is>
          <t>NYBRO</t>
        </is>
      </c>
      <c r="G7099" t="n">
        <v>2.1</v>
      </c>
      <c r="H7099" t="n">
        <v>0</v>
      </c>
      <c r="I7099" t="n">
        <v>0</v>
      </c>
      <c r="J7099" t="n">
        <v>0</v>
      </c>
      <c r="K7099" t="n">
        <v>0</v>
      </c>
      <c r="L7099" t="n">
        <v>0</v>
      </c>
      <c r="M7099" t="n">
        <v>0</v>
      </c>
      <c r="N7099" t="n">
        <v>0</v>
      </c>
      <c r="O7099" t="n">
        <v>0</v>
      </c>
      <c r="P7099" t="n">
        <v>0</v>
      </c>
      <c r="Q7099" t="n">
        <v>0</v>
      </c>
      <c r="R7099" s="2" t="inlineStr"/>
    </row>
    <row r="7100" ht="15" customHeight="1">
      <c r="A7100" t="inlineStr">
        <is>
          <t>A 32470-2025</t>
        </is>
      </c>
      <c r="B7100" s="1" t="n">
        <v>45838.42543981481</v>
      </c>
      <c r="C7100" s="1" t="n">
        <v>45884</v>
      </c>
      <c r="D7100" t="inlineStr">
        <is>
          <t>KALMAR LÄN</t>
        </is>
      </c>
      <c r="E7100" t="inlineStr">
        <is>
          <t>KALMAR</t>
        </is>
      </c>
      <c r="G7100" t="n">
        <v>0.6</v>
      </c>
      <c r="H7100" t="n">
        <v>0</v>
      </c>
      <c r="I7100" t="n">
        <v>0</v>
      </c>
      <c r="J7100" t="n">
        <v>0</v>
      </c>
      <c r="K7100" t="n">
        <v>0</v>
      </c>
      <c r="L7100" t="n">
        <v>0</v>
      </c>
      <c r="M7100" t="n">
        <v>0</v>
      </c>
      <c r="N7100" t="n">
        <v>0</v>
      </c>
      <c r="O7100" t="n">
        <v>0</v>
      </c>
      <c r="P7100" t="n">
        <v>0</v>
      </c>
      <c r="Q7100" t="n">
        <v>0</v>
      </c>
      <c r="R7100" s="2" t="inlineStr"/>
    </row>
    <row r="7101" ht="15" customHeight="1">
      <c r="A7101" t="inlineStr">
        <is>
          <t>A 32546-2025</t>
        </is>
      </c>
      <c r="B7101" s="1" t="n">
        <v>45838.53700231481</v>
      </c>
      <c r="C7101" s="1" t="n">
        <v>45884</v>
      </c>
      <c r="D7101" t="inlineStr">
        <is>
          <t>KALMAR LÄN</t>
        </is>
      </c>
      <c r="E7101" t="inlineStr">
        <is>
          <t>HULTSFRED</t>
        </is>
      </c>
      <c r="G7101" t="n">
        <v>2.7</v>
      </c>
      <c r="H7101" t="n">
        <v>0</v>
      </c>
      <c r="I7101" t="n">
        <v>0</v>
      </c>
      <c r="J7101" t="n">
        <v>0</v>
      </c>
      <c r="K7101" t="n">
        <v>0</v>
      </c>
      <c r="L7101" t="n">
        <v>0</v>
      </c>
      <c r="M7101" t="n">
        <v>0</v>
      </c>
      <c r="N7101" t="n">
        <v>0</v>
      </c>
      <c r="O7101" t="n">
        <v>0</v>
      </c>
      <c r="P7101" t="n">
        <v>0</v>
      </c>
      <c r="Q7101" t="n">
        <v>0</v>
      </c>
      <c r="R7101" s="2" t="inlineStr"/>
    </row>
    <row r="7102" ht="15" customHeight="1">
      <c r="A7102" t="inlineStr">
        <is>
          <t>A 32778-2025</t>
        </is>
      </c>
      <c r="B7102" s="1" t="n">
        <v>45839.46924768519</v>
      </c>
      <c r="C7102" s="1" t="n">
        <v>45884</v>
      </c>
      <c r="D7102" t="inlineStr">
        <is>
          <t>KALMAR LÄN</t>
        </is>
      </c>
      <c r="E7102" t="inlineStr">
        <is>
          <t>VÄSTERVIK</t>
        </is>
      </c>
      <c r="G7102" t="n">
        <v>2.2</v>
      </c>
      <c r="H7102" t="n">
        <v>0</v>
      </c>
      <c r="I7102" t="n">
        <v>0</v>
      </c>
      <c r="J7102" t="n">
        <v>0</v>
      </c>
      <c r="K7102" t="n">
        <v>0</v>
      </c>
      <c r="L7102" t="n">
        <v>0</v>
      </c>
      <c r="M7102" t="n">
        <v>0</v>
      </c>
      <c r="N7102" t="n">
        <v>0</v>
      </c>
      <c r="O7102" t="n">
        <v>0</v>
      </c>
      <c r="P7102" t="n">
        <v>0</v>
      </c>
      <c r="Q7102" t="n">
        <v>0</v>
      </c>
      <c r="R7102" s="2" t="inlineStr"/>
    </row>
    <row r="7103" ht="15" customHeight="1">
      <c r="A7103" t="inlineStr">
        <is>
          <t>A 32401-2025</t>
        </is>
      </c>
      <c r="B7103" s="1" t="n">
        <v>45838.30082175926</v>
      </c>
      <c r="C7103" s="1" t="n">
        <v>45884</v>
      </c>
      <c r="D7103" t="inlineStr">
        <is>
          <t>KALMAR LÄN</t>
        </is>
      </c>
      <c r="E7103" t="inlineStr">
        <is>
          <t>KALMAR</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32402-2025</t>
        </is>
      </c>
      <c r="B7104" s="1" t="n">
        <v>45838.30962962963</v>
      </c>
      <c r="C7104" s="1" t="n">
        <v>45884</v>
      </c>
      <c r="D7104" t="inlineStr">
        <is>
          <t>KALMAR LÄN</t>
        </is>
      </c>
      <c r="E7104" t="inlineStr">
        <is>
          <t>KALMAR</t>
        </is>
      </c>
      <c r="G7104" t="n">
        <v>1.6</v>
      </c>
      <c r="H7104" t="n">
        <v>0</v>
      </c>
      <c r="I7104" t="n">
        <v>0</v>
      </c>
      <c r="J7104" t="n">
        <v>0</v>
      </c>
      <c r="K7104" t="n">
        <v>0</v>
      </c>
      <c r="L7104" t="n">
        <v>0</v>
      </c>
      <c r="M7104" t="n">
        <v>0</v>
      </c>
      <c r="N7104" t="n">
        <v>0</v>
      </c>
      <c r="O7104" t="n">
        <v>0</v>
      </c>
      <c r="P7104" t="n">
        <v>0</v>
      </c>
      <c r="Q7104" t="n">
        <v>0</v>
      </c>
      <c r="R7104" s="2" t="inlineStr"/>
    </row>
    <row r="7105" ht="15" customHeight="1">
      <c r="A7105" t="inlineStr">
        <is>
          <t>A 37626-2025</t>
        </is>
      </c>
      <c r="B7105" s="1" t="n">
        <v>45880.46145833333</v>
      </c>
      <c r="C7105" s="1" t="n">
        <v>45884</v>
      </c>
      <c r="D7105" t="inlineStr">
        <is>
          <t>KALMAR LÄN</t>
        </is>
      </c>
      <c r="E7105" t="inlineStr">
        <is>
          <t>TORSÅS</t>
        </is>
      </c>
      <c r="G7105" t="n">
        <v>4.9</v>
      </c>
      <c r="H7105" t="n">
        <v>0</v>
      </c>
      <c r="I7105" t="n">
        <v>0</v>
      </c>
      <c r="J7105" t="n">
        <v>0</v>
      </c>
      <c r="K7105" t="n">
        <v>0</v>
      </c>
      <c r="L7105" t="n">
        <v>0</v>
      </c>
      <c r="M7105" t="n">
        <v>0</v>
      </c>
      <c r="N7105" t="n">
        <v>0</v>
      </c>
      <c r="O7105" t="n">
        <v>0</v>
      </c>
      <c r="P7105" t="n">
        <v>0</v>
      </c>
      <c r="Q7105" t="n">
        <v>0</v>
      </c>
      <c r="R7105" s="2" t="inlineStr"/>
    </row>
    <row r="7106" ht="15" customHeight="1">
      <c r="A7106" t="inlineStr">
        <is>
          <t>A 32573-2025</t>
        </is>
      </c>
      <c r="B7106" s="1" t="n">
        <v>45838.5834837963</v>
      </c>
      <c r="C7106" s="1" t="n">
        <v>45884</v>
      </c>
      <c r="D7106" t="inlineStr">
        <is>
          <t>KALMAR LÄN</t>
        </is>
      </c>
      <c r="E7106" t="inlineStr">
        <is>
          <t>TORSÅS</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32663-2025</t>
        </is>
      </c>
      <c r="B7107" s="1" t="n">
        <v>45838.68266203703</v>
      </c>
      <c r="C7107" s="1" t="n">
        <v>45884</v>
      </c>
      <c r="D7107" t="inlineStr">
        <is>
          <t>KALMAR LÄN</t>
        </is>
      </c>
      <c r="E7107" t="inlineStr">
        <is>
          <t>HÖGSBY</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32922-2025</t>
        </is>
      </c>
      <c r="B7108" s="1" t="n">
        <v>45839.65097222223</v>
      </c>
      <c r="C7108" s="1" t="n">
        <v>45884</v>
      </c>
      <c r="D7108" t="inlineStr">
        <is>
          <t>KALMAR LÄN</t>
        </is>
      </c>
      <c r="E7108" t="inlineStr">
        <is>
          <t>TORSÅS</t>
        </is>
      </c>
      <c r="G7108" t="n">
        <v>0.6</v>
      </c>
      <c r="H7108" t="n">
        <v>0</v>
      </c>
      <c r="I7108" t="n">
        <v>0</v>
      </c>
      <c r="J7108" t="n">
        <v>0</v>
      </c>
      <c r="K7108" t="n">
        <v>0</v>
      </c>
      <c r="L7108" t="n">
        <v>0</v>
      </c>
      <c r="M7108" t="n">
        <v>0</v>
      </c>
      <c r="N7108" t="n">
        <v>0</v>
      </c>
      <c r="O7108" t="n">
        <v>0</v>
      </c>
      <c r="P7108" t="n">
        <v>0</v>
      </c>
      <c r="Q7108" t="n">
        <v>0</v>
      </c>
      <c r="R7108" s="2" t="inlineStr"/>
    </row>
    <row r="7109" ht="15" customHeight="1">
      <c r="A7109" t="inlineStr">
        <is>
          <t>A 36878-2025</t>
        </is>
      </c>
      <c r="B7109" s="1" t="n">
        <v>45873</v>
      </c>
      <c r="C7109" s="1" t="n">
        <v>45884</v>
      </c>
      <c r="D7109" t="inlineStr">
        <is>
          <t>KALMAR LÄN</t>
        </is>
      </c>
      <c r="E7109" t="inlineStr">
        <is>
          <t>NYBRO</t>
        </is>
      </c>
      <c r="G7109" t="n">
        <v>4.1</v>
      </c>
      <c r="H7109" t="n">
        <v>0</v>
      </c>
      <c r="I7109" t="n">
        <v>0</v>
      </c>
      <c r="J7109" t="n">
        <v>0</v>
      </c>
      <c r="K7109" t="n">
        <v>0</v>
      </c>
      <c r="L7109" t="n">
        <v>0</v>
      </c>
      <c r="M7109" t="n">
        <v>0</v>
      </c>
      <c r="N7109" t="n">
        <v>0</v>
      </c>
      <c r="O7109" t="n">
        <v>0</v>
      </c>
      <c r="P7109" t="n">
        <v>0</v>
      </c>
      <c r="Q7109" t="n">
        <v>0</v>
      </c>
      <c r="R7109" s="2" t="inlineStr"/>
    </row>
    <row r="7110" ht="15" customHeight="1">
      <c r="A7110" t="inlineStr">
        <is>
          <t>A 32380-2025</t>
        </is>
      </c>
      <c r="B7110" s="1" t="n">
        <v>45837.77701388889</v>
      </c>
      <c r="C7110" s="1" t="n">
        <v>45884</v>
      </c>
      <c r="D7110" t="inlineStr">
        <is>
          <t>KALMAR LÄN</t>
        </is>
      </c>
      <c r="E7110" t="inlineStr">
        <is>
          <t>VIMMERBY</t>
        </is>
      </c>
      <c r="G7110" t="n">
        <v>3.1</v>
      </c>
      <c r="H7110" t="n">
        <v>0</v>
      </c>
      <c r="I7110" t="n">
        <v>0</v>
      </c>
      <c r="J7110" t="n">
        <v>0</v>
      </c>
      <c r="K7110" t="n">
        <v>0</v>
      </c>
      <c r="L7110" t="n">
        <v>0</v>
      </c>
      <c r="M7110" t="n">
        <v>0</v>
      </c>
      <c r="N7110" t="n">
        <v>0</v>
      </c>
      <c r="O7110" t="n">
        <v>0</v>
      </c>
      <c r="P7110" t="n">
        <v>0</v>
      </c>
      <c r="Q7110" t="n">
        <v>0</v>
      </c>
      <c r="R7110" s="2" t="inlineStr"/>
    </row>
    <row r="7111" ht="15" customHeight="1">
      <c r="A7111" t="inlineStr">
        <is>
          <t>A 37941-2025</t>
        </is>
      </c>
      <c r="B7111" s="1" t="n">
        <v>45881.60173611111</v>
      </c>
      <c r="C7111" s="1" t="n">
        <v>45884</v>
      </c>
      <c r="D7111" t="inlineStr">
        <is>
          <t>KALMAR LÄN</t>
        </is>
      </c>
      <c r="E7111" t="inlineStr">
        <is>
          <t>HULTSFRED</t>
        </is>
      </c>
      <c r="G7111" t="n">
        <v>3.9</v>
      </c>
      <c r="H7111" t="n">
        <v>0</v>
      </c>
      <c r="I7111" t="n">
        <v>0</v>
      </c>
      <c r="J7111" t="n">
        <v>0</v>
      </c>
      <c r="K7111" t="n">
        <v>0</v>
      </c>
      <c r="L7111" t="n">
        <v>0</v>
      </c>
      <c r="M7111" t="n">
        <v>0</v>
      </c>
      <c r="N7111" t="n">
        <v>0</v>
      </c>
      <c r="O7111" t="n">
        <v>0</v>
      </c>
      <c r="P7111" t="n">
        <v>0</v>
      </c>
      <c r="Q7111" t="n">
        <v>0</v>
      </c>
      <c r="R7111" s="2" t="inlineStr"/>
    </row>
    <row r="7112" ht="15" customHeight="1">
      <c r="A7112" t="inlineStr">
        <is>
          <t>A 37578-2025</t>
        </is>
      </c>
      <c r="B7112" s="1" t="n">
        <v>45880.38380787037</v>
      </c>
      <c r="C7112" s="1" t="n">
        <v>45884</v>
      </c>
      <c r="D7112" t="inlineStr">
        <is>
          <t>KALMAR LÄN</t>
        </is>
      </c>
      <c r="E7112" t="inlineStr">
        <is>
          <t>VIMMERBY</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37623-2025</t>
        </is>
      </c>
      <c r="B7113" s="1" t="n">
        <v>45880.45743055556</v>
      </c>
      <c r="C7113" s="1" t="n">
        <v>45884</v>
      </c>
      <c r="D7113" t="inlineStr">
        <is>
          <t>KALMAR LÄN</t>
        </is>
      </c>
      <c r="E7113" t="inlineStr">
        <is>
          <t>TORSÅS</t>
        </is>
      </c>
      <c r="G7113" t="n">
        <v>2.5</v>
      </c>
      <c r="H7113" t="n">
        <v>0</v>
      </c>
      <c r="I7113" t="n">
        <v>0</v>
      </c>
      <c r="J7113" t="n">
        <v>0</v>
      </c>
      <c r="K7113" t="n">
        <v>0</v>
      </c>
      <c r="L7113" t="n">
        <v>0</v>
      </c>
      <c r="M7113" t="n">
        <v>0</v>
      </c>
      <c r="N7113" t="n">
        <v>0</v>
      </c>
      <c r="O7113" t="n">
        <v>0</v>
      </c>
      <c r="P7113" t="n">
        <v>0</v>
      </c>
      <c r="Q7113" t="n">
        <v>0</v>
      </c>
      <c r="R7113" s="2" t="inlineStr"/>
    </row>
    <row r="7114" ht="15" customHeight="1">
      <c r="A7114" t="inlineStr">
        <is>
          <t>A 32344-2025</t>
        </is>
      </c>
      <c r="B7114" s="1" t="n">
        <v>45837.43159722222</v>
      </c>
      <c r="C7114" s="1" t="n">
        <v>45884</v>
      </c>
      <c r="D7114" t="inlineStr">
        <is>
          <t>KALMAR LÄN</t>
        </is>
      </c>
      <c r="E7114" t="inlineStr">
        <is>
          <t>NYBRO</t>
        </is>
      </c>
      <c r="G7114" t="n">
        <v>0.9</v>
      </c>
      <c r="H7114" t="n">
        <v>0</v>
      </c>
      <c r="I7114" t="n">
        <v>0</v>
      </c>
      <c r="J7114" t="n">
        <v>0</v>
      </c>
      <c r="K7114" t="n">
        <v>0</v>
      </c>
      <c r="L7114" t="n">
        <v>0</v>
      </c>
      <c r="M7114" t="n">
        <v>0</v>
      </c>
      <c r="N7114" t="n">
        <v>0</v>
      </c>
      <c r="O7114" t="n">
        <v>0</v>
      </c>
      <c r="P7114" t="n">
        <v>0</v>
      </c>
      <c r="Q7114" t="n">
        <v>0</v>
      </c>
      <c r="R7114" s="2" t="inlineStr"/>
    </row>
    <row r="7115" ht="15" customHeight="1">
      <c r="A7115" t="inlineStr">
        <is>
          <t>A 32347-2025</t>
        </is>
      </c>
      <c r="B7115" s="1" t="n">
        <v>45837.45643518519</v>
      </c>
      <c r="C7115" s="1" t="n">
        <v>45884</v>
      </c>
      <c r="D7115" t="inlineStr">
        <is>
          <t>KALMAR LÄN</t>
        </is>
      </c>
      <c r="E7115" t="inlineStr">
        <is>
          <t>NYBRO</t>
        </is>
      </c>
      <c r="G7115" t="n">
        <v>1.3</v>
      </c>
      <c r="H7115" t="n">
        <v>0</v>
      </c>
      <c r="I7115" t="n">
        <v>0</v>
      </c>
      <c r="J7115" t="n">
        <v>0</v>
      </c>
      <c r="K7115" t="n">
        <v>0</v>
      </c>
      <c r="L7115" t="n">
        <v>0</v>
      </c>
      <c r="M7115" t="n">
        <v>0</v>
      </c>
      <c r="N7115" t="n">
        <v>0</v>
      </c>
      <c r="O7115" t="n">
        <v>0</v>
      </c>
      <c r="P7115" t="n">
        <v>0</v>
      </c>
      <c r="Q7115" t="n">
        <v>0</v>
      </c>
      <c r="R7115" s="2" t="inlineStr"/>
    </row>
    <row r="7116" ht="15" customHeight="1">
      <c r="A7116" t="inlineStr">
        <is>
          <t>A 32495-2025</t>
        </is>
      </c>
      <c r="B7116" s="1" t="n">
        <v>45838.4546875</v>
      </c>
      <c r="C7116" s="1" t="n">
        <v>45884</v>
      </c>
      <c r="D7116" t="inlineStr">
        <is>
          <t>KALMAR LÄN</t>
        </is>
      </c>
      <c r="E7116" t="inlineStr">
        <is>
          <t>VÄSTERVIK</t>
        </is>
      </c>
      <c r="G7116" t="n">
        <v>0.5</v>
      </c>
      <c r="H7116" t="n">
        <v>0</v>
      </c>
      <c r="I7116" t="n">
        <v>0</v>
      </c>
      <c r="J7116" t="n">
        <v>0</v>
      </c>
      <c r="K7116" t="n">
        <v>0</v>
      </c>
      <c r="L7116" t="n">
        <v>0</v>
      </c>
      <c r="M7116" t="n">
        <v>0</v>
      </c>
      <c r="N7116" t="n">
        <v>0</v>
      </c>
      <c r="O7116" t="n">
        <v>0</v>
      </c>
      <c r="P7116" t="n">
        <v>0</v>
      </c>
      <c r="Q7116" t="n">
        <v>0</v>
      </c>
      <c r="R7116" s="2" t="inlineStr"/>
    </row>
    <row r="7117" ht="15" customHeight="1">
      <c r="A7117" t="inlineStr">
        <is>
          <t>A 33186-2025</t>
        </is>
      </c>
      <c r="B7117" s="1" t="n">
        <v>45840.59474537037</v>
      </c>
      <c r="C7117" s="1" t="n">
        <v>45884</v>
      </c>
      <c r="D7117" t="inlineStr">
        <is>
          <t>KALMAR LÄN</t>
        </is>
      </c>
      <c r="E7117" t="inlineStr">
        <is>
          <t>VIMMERBY</t>
        </is>
      </c>
      <c r="G7117" t="n">
        <v>2.6</v>
      </c>
      <c r="H7117" t="n">
        <v>0</v>
      </c>
      <c r="I7117" t="n">
        <v>0</v>
      </c>
      <c r="J7117" t="n">
        <v>0</v>
      </c>
      <c r="K7117" t="n">
        <v>0</v>
      </c>
      <c r="L7117" t="n">
        <v>0</v>
      </c>
      <c r="M7117" t="n">
        <v>0</v>
      </c>
      <c r="N7117" t="n">
        <v>0</v>
      </c>
      <c r="O7117" t="n">
        <v>0</v>
      </c>
      <c r="P7117" t="n">
        <v>0</v>
      </c>
      <c r="Q7117" t="n">
        <v>0</v>
      </c>
      <c r="R7117" s="2" t="inlineStr"/>
    </row>
    <row r="7118" ht="15" customHeight="1">
      <c r="A7118" t="inlineStr">
        <is>
          <t>A 33188-2025</t>
        </is>
      </c>
      <c r="B7118" s="1" t="n">
        <v>45840.59853009259</v>
      </c>
      <c r="C7118" s="1" t="n">
        <v>45884</v>
      </c>
      <c r="D7118" t="inlineStr">
        <is>
          <t>KALMAR LÄN</t>
        </is>
      </c>
      <c r="E7118" t="inlineStr">
        <is>
          <t>VIMMERBY</t>
        </is>
      </c>
      <c r="G7118" t="n">
        <v>1.3</v>
      </c>
      <c r="H7118" t="n">
        <v>0</v>
      </c>
      <c r="I7118" t="n">
        <v>0</v>
      </c>
      <c r="J7118" t="n">
        <v>0</v>
      </c>
      <c r="K7118" t="n">
        <v>0</v>
      </c>
      <c r="L7118" t="n">
        <v>0</v>
      </c>
      <c r="M7118" t="n">
        <v>0</v>
      </c>
      <c r="N7118" t="n">
        <v>0</v>
      </c>
      <c r="O7118" t="n">
        <v>0</v>
      </c>
      <c r="P7118" t="n">
        <v>0</v>
      </c>
      <c r="Q7118" t="n">
        <v>0</v>
      </c>
      <c r="R7118" s="2" t="inlineStr"/>
    </row>
    <row r="7119" ht="15" customHeight="1">
      <c r="A7119" t="inlineStr">
        <is>
          <t>A 33141-2025</t>
        </is>
      </c>
      <c r="B7119" s="1" t="n">
        <v>45840.52256944445</v>
      </c>
      <c r="C7119" s="1" t="n">
        <v>45884</v>
      </c>
      <c r="D7119" t="inlineStr">
        <is>
          <t>KALMAR LÄN</t>
        </is>
      </c>
      <c r="E7119" t="inlineStr">
        <is>
          <t>KALMAR</t>
        </is>
      </c>
      <c r="G7119" t="n">
        <v>0.8</v>
      </c>
      <c r="H7119" t="n">
        <v>0</v>
      </c>
      <c r="I7119" t="n">
        <v>0</v>
      </c>
      <c r="J7119" t="n">
        <v>0</v>
      </c>
      <c r="K7119" t="n">
        <v>0</v>
      </c>
      <c r="L7119" t="n">
        <v>0</v>
      </c>
      <c r="M7119" t="n">
        <v>0</v>
      </c>
      <c r="N7119" t="n">
        <v>0</v>
      </c>
      <c r="O7119" t="n">
        <v>0</v>
      </c>
      <c r="P7119" t="n">
        <v>0</v>
      </c>
      <c r="Q7119" t="n">
        <v>0</v>
      </c>
      <c r="R7119" s="2" t="inlineStr"/>
    </row>
    <row r="7120" ht="15" customHeight="1">
      <c r="A7120" t="inlineStr">
        <is>
          <t>A 33695-2025</t>
        </is>
      </c>
      <c r="B7120" s="1" t="n">
        <v>45841.70569444444</v>
      </c>
      <c r="C7120" s="1" t="n">
        <v>45884</v>
      </c>
      <c r="D7120" t="inlineStr">
        <is>
          <t>KALMAR LÄN</t>
        </is>
      </c>
      <c r="E7120" t="inlineStr">
        <is>
          <t>VIMMERBY</t>
        </is>
      </c>
      <c r="G7120" t="n">
        <v>2.7</v>
      </c>
      <c r="H7120" t="n">
        <v>0</v>
      </c>
      <c r="I7120" t="n">
        <v>0</v>
      </c>
      <c r="J7120" t="n">
        <v>0</v>
      </c>
      <c r="K7120" t="n">
        <v>0</v>
      </c>
      <c r="L7120" t="n">
        <v>0</v>
      </c>
      <c r="M7120" t="n">
        <v>0</v>
      </c>
      <c r="N7120" t="n">
        <v>0</v>
      </c>
      <c r="O7120" t="n">
        <v>0</v>
      </c>
      <c r="P7120" t="n">
        <v>0</v>
      </c>
      <c r="Q7120" t="n">
        <v>0</v>
      </c>
      <c r="R7120" s="2" t="inlineStr"/>
    </row>
    <row r="7121" ht="15" customHeight="1">
      <c r="A7121" t="inlineStr">
        <is>
          <t>A 33698-2025</t>
        </is>
      </c>
      <c r="B7121" s="1" t="n">
        <v>45841.70868055556</v>
      </c>
      <c r="C7121" s="1" t="n">
        <v>45884</v>
      </c>
      <c r="D7121" t="inlineStr">
        <is>
          <t>KALMAR LÄN</t>
        </is>
      </c>
      <c r="E7121" t="inlineStr">
        <is>
          <t>VIMMERBY</t>
        </is>
      </c>
      <c r="G7121" t="n">
        <v>3.7</v>
      </c>
      <c r="H7121" t="n">
        <v>0</v>
      </c>
      <c r="I7121" t="n">
        <v>0</v>
      </c>
      <c r="J7121" t="n">
        <v>0</v>
      </c>
      <c r="K7121" t="n">
        <v>0</v>
      </c>
      <c r="L7121" t="n">
        <v>0</v>
      </c>
      <c r="M7121" t="n">
        <v>0</v>
      </c>
      <c r="N7121" t="n">
        <v>0</v>
      </c>
      <c r="O7121" t="n">
        <v>0</v>
      </c>
      <c r="P7121" t="n">
        <v>0</v>
      </c>
      <c r="Q7121" t="n">
        <v>0</v>
      </c>
      <c r="R7121" s="2" t="inlineStr"/>
    </row>
    <row r="7122" ht="15" customHeight="1">
      <c r="A7122" t="inlineStr">
        <is>
          <t>A 33317-2025</t>
        </is>
      </c>
      <c r="B7122" s="1" t="n">
        <v>45841.34291666667</v>
      </c>
      <c r="C7122" s="1" t="n">
        <v>45884</v>
      </c>
      <c r="D7122" t="inlineStr">
        <is>
          <t>KALMAR LÄN</t>
        </is>
      </c>
      <c r="E7122" t="inlineStr">
        <is>
          <t>NYBRO</t>
        </is>
      </c>
      <c r="G7122" t="n">
        <v>1.8</v>
      </c>
      <c r="H7122" t="n">
        <v>0</v>
      </c>
      <c r="I7122" t="n">
        <v>0</v>
      </c>
      <c r="J7122" t="n">
        <v>0</v>
      </c>
      <c r="K7122" t="n">
        <v>0</v>
      </c>
      <c r="L7122" t="n">
        <v>0</v>
      </c>
      <c r="M7122" t="n">
        <v>0</v>
      </c>
      <c r="N7122" t="n">
        <v>0</v>
      </c>
      <c r="O7122" t="n">
        <v>0</v>
      </c>
      <c r="P7122" t="n">
        <v>0</v>
      </c>
      <c r="Q7122" t="n">
        <v>0</v>
      </c>
      <c r="R7122" s="2" t="inlineStr"/>
    </row>
    <row r="7123" ht="15" customHeight="1">
      <c r="A7123" t="inlineStr">
        <is>
          <t>A 38442-2025</t>
        </is>
      </c>
      <c r="B7123" s="1" t="n">
        <v>45883.65376157407</v>
      </c>
      <c r="C7123" s="1" t="n">
        <v>45884</v>
      </c>
      <c r="D7123" t="inlineStr">
        <is>
          <t>KALMAR LÄN</t>
        </is>
      </c>
      <c r="E7123" t="inlineStr">
        <is>
          <t>VÄSTERVIK</t>
        </is>
      </c>
      <c r="G7123" t="n">
        <v>3.5</v>
      </c>
      <c r="H7123" t="n">
        <v>0</v>
      </c>
      <c r="I7123" t="n">
        <v>0</v>
      </c>
      <c r="J7123" t="n">
        <v>0</v>
      </c>
      <c r="K7123" t="n">
        <v>0</v>
      </c>
      <c r="L7123" t="n">
        <v>0</v>
      </c>
      <c r="M7123" t="n">
        <v>0</v>
      </c>
      <c r="N7123" t="n">
        <v>0</v>
      </c>
      <c r="O7123" t="n">
        <v>0</v>
      </c>
      <c r="P7123" t="n">
        <v>0</v>
      </c>
      <c r="Q7123" t="n">
        <v>0</v>
      </c>
      <c r="R7123" s="2" t="inlineStr"/>
    </row>
    <row r="7124" ht="15" customHeight="1">
      <c r="A7124" t="inlineStr">
        <is>
          <t>A 33292-2025</t>
        </is>
      </c>
      <c r="B7124" s="1" t="n">
        <v>45840.8866087963</v>
      </c>
      <c r="C7124" s="1" t="n">
        <v>45884</v>
      </c>
      <c r="D7124" t="inlineStr">
        <is>
          <t>KALMAR LÄN</t>
        </is>
      </c>
      <c r="E7124" t="inlineStr">
        <is>
          <t>NYBRO</t>
        </is>
      </c>
      <c r="G7124" t="n">
        <v>1.7</v>
      </c>
      <c r="H7124" t="n">
        <v>0</v>
      </c>
      <c r="I7124" t="n">
        <v>0</v>
      </c>
      <c r="J7124" t="n">
        <v>0</v>
      </c>
      <c r="K7124" t="n">
        <v>0</v>
      </c>
      <c r="L7124" t="n">
        <v>0</v>
      </c>
      <c r="M7124" t="n">
        <v>0</v>
      </c>
      <c r="N7124" t="n">
        <v>0</v>
      </c>
      <c r="O7124" t="n">
        <v>0</v>
      </c>
      <c r="P7124" t="n">
        <v>0</v>
      </c>
      <c r="Q7124" t="n">
        <v>0</v>
      </c>
      <c r="R7124" s="2" t="inlineStr"/>
    </row>
    <row r="7125" ht="15" customHeight="1">
      <c r="A7125" t="inlineStr">
        <is>
          <t>A 33345-2025</t>
        </is>
      </c>
      <c r="B7125" s="1" t="n">
        <v>45841.36670138889</v>
      </c>
      <c r="C7125" s="1" t="n">
        <v>45884</v>
      </c>
      <c r="D7125" t="inlineStr">
        <is>
          <t>KALMAR LÄN</t>
        </is>
      </c>
      <c r="E7125" t="inlineStr">
        <is>
          <t>EMMABODA</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38345-2025</t>
        </is>
      </c>
      <c r="B7126" s="1" t="n">
        <v>45883.50762731482</v>
      </c>
      <c r="C7126" s="1" t="n">
        <v>45884</v>
      </c>
      <c r="D7126" t="inlineStr">
        <is>
          <t>KALMAR LÄN</t>
        </is>
      </c>
      <c r="E7126" t="inlineStr">
        <is>
          <t>KALMAR</t>
        </is>
      </c>
      <c r="G7126" t="n">
        <v>2.3</v>
      </c>
      <c r="H7126" t="n">
        <v>0</v>
      </c>
      <c r="I7126" t="n">
        <v>0</v>
      </c>
      <c r="J7126" t="n">
        <v>0</v>
      </c>
      <c r="K7126" t="n">
        <v>0</v>
      </c>
      <c r="L7126" t="n">
        <v>0</v>
      </c>
      <c r="M7126" t="n">
        <v>0</v>
      </c>
      <c r="N7126" t="n">
        <v>0</v>
      </c>
      <c r="O7126" t="n">
        <v>0</v>
      </c>
      <c r="P7126" t="n">
        <v>0</v>
      </c>
      <c r="Q7126" t="n">
        <v>0</v>
      </c>
      <c r="R7126" s="2" t="inlineStr"/>
    </row>
    <row r="7127" ht="15" customHeight="1">
      <c r="A7127" t="inlineStr">
        <is>
          <t>A 38267-2025</t>
        </is>
      </c>
      <c r="B7127" s="1" t="n">
        <v>45883.40609953704</v>
      </c>
      <c r="C7127" s="1" t="n">
        <v>45884</v>
      </c>
      <c r="D7127" t="inlineStr">
        <is>
          <t>KALMAR LÄN</t>
        </is>
      </c>
      <c r="E7127" t="inlineStr">
        <is>
          <t>HÖGSBY</t>
        </is>
      </c>
      <c r="G7127" t="n">
        <v>1.6</v>
      </c>
      <c r="H7127" t="n">
        <v>0</v>
      </c>
      <c r="I7127" t="n">
        <v>0</v>
      </c>
      <c r="J7127" t="n">
        <v>0</v>
      </c>
      <c r="K7127" t="n">
        <v>0</v>
      </c>
      <c r="L7127" t="n">
        <v>0</v>
      </c>
      <c r="M7127" t="n">
        <v>0</v>
      </c>
      <c r="N7127" t="n">
        <v>0</v>
      </c>
      <c r="O7127" t="n">
        <v>0</v>
      </c>
      <c r="P7127" t="n">
        <v>0</v>
      </c>
      <c r="Q7127" t="n">
        <v>0</v>
      </c>
      <c r="R7127" s="2" t="inlineStr"/>
    </row>
    <row r="7128" ht="15" customHeight="1">
      <c r="A7128" t="inlineStr">
        <is>
          <t>A 38203-2025</t>
        </is>
      </c>
      <c r="B7128" s="1" t="n">
        <v>45882.68247685185</v>
      </c>
      <c r="C7128" s="1" t="n">
        <v>45884</v>
      </c>
      <c r="D7128" t="inlineStr">
        <is>
          <t>KALMAR LÄN</t>
        </is>
      </c>
      <c r="E7128" t="inlineStr">
        <is>
          <t>NYBRO</t>
        </is>
      </c>
      <c r="G7128" t="n">
        <v>3.3</v>
      </c>
      <c r="H7128" t="n">
        <v>0</v>
      </c>
      <c r="I7128" t="n">
        <v>0</v>
      </c>
      <c r="J7128" t="n">
        <v>0</v>
      </c>
      <c r="K7128" t="n">
        <v>0</v>
      </c>
      <c r="L7128" t="n">
        <v>0</v>
      </c>
      <c r="M7128" t="n">
        <v>0</v>
      </c>
      <c r="N7128" t="n">
        <v>0</v>
      </c>
      <c r="O7128" t="n">
        <v>0</v>
      </c>
      <c r="P7128" t="n">
        <v>0</v>
      </c>
      <c r="Q7128" t="n">
        <v>0</v>
      </c>
      <c r="R7128" s="2" t="inlineStr"/>
    </row>
    <row r="7129" ht="15" customHeight="1">
      <c r="A7129" t="inlineStr">
        <is>
          <t>A 33111-2025</t>
        </is>
      </c>
      <c r="B7129" s="1" t="n">
        <v>45840.48699074074</v>
      </c>
      <c r="C7129" s="1" t="n">
        <v>45884</v>
      </c>
      <c r="D7129" t="inlineStr">
        <is>
          <t>KALMAR LÄN</t>
        </is>
      </c>
      <c r="E7129" t="inlineStr">
        <is>
          <t>MÖNSTERÅS</t>
        </is>
      </c>
      <c r="G7129" t="n">
        <v>2.4</v>
      </c>
      <c r="H7129" t="n">
        <v>0</v>
      </c>
      <c r="I7129" t="n">
        <v>0</v>
      </c>
      <c r="J7129" t="n">
        <v>0</v>
      </c>
      <c r="K7129" t="n">
        <v>0</v>
      </c>
      <c r="L7129" t="n">
        <v>0</v>
      </c>
      <c r="M7129" t="n">
        <v>0</v>
      </c>
      <c r="N7129" t="n">
        <v>0</v>
      </c>
      <c r="O7129" t="n">
        <v>0</v>
      </c>
      <c r="P7129" t="n">
        <v>0</v>
      </c>
      <c r="Q7129" t="n">
        <v>0</v>
      </c>
      <c r="R7129" s="2" t="inlineStr"/>
    </row>
    <row r="7130" ht="15" customHeight="1">
      <c r="A7130" t="inlineStr">
        <is>
          <t>A 20679-2025</t>
        </is>
      </c>
      <c r="B7130" s="1" t="n">
        <v>45776</v>
      </c>
      <c r="C7130" s="1" t="n">
        <v>45884</v>
      </c>
      <c r="D7130" t="inlineStr">
        <is>
          <t>KALMAR LÄN</t>
        </is>
      </c>
      <c r="E7130" t="inlineStr">
        <is>
          <t>EMMABODA</t>
        </is>
      </c>
      <c r="G7130" t="n">
        <v>3.6</v>
      </c>
      <c r="H7130" t="n">
        <v>0</v>
      </c>
      <c r="I7130" t="n">
        <v>0</v>
      </c>
      <c r="J7130" t="n">
        <v>0</v>
      </c>
      <c r="K7130" t="n">
        <v>0</v>
      </c>
      <c r="L7130" t="n">
        <v>0</v>
      </c>
      <c r="M7130" t="n">
        <v>0</v>
      </c>
      <c r="N7130" t="n">
        <v>0</v>
      </c>
      <c r="O7130" t="n">
        <v>0</v>
      </c>
      <c r="P7130" t="n">
        <v>0</v>
      </c>
      <c r="Q7130" t="n">
        <v>0</v>
      </c>
      <c r="R7130" s="2" t="inlineStr"/>
    </row>
    <row r="7131" ht="15" customHeight="1">
      <c r="A7131" t="inlineStr">
        <is>
          <t>A 20682-2025</t>
        </is>
      </c>
      <c r="B7131" s="1" t="n">
        <v>45776</v>
      </c>
      <c r="C7131" s="1" t="n">
        <v>45884</v>
      </c>
      <c r="D7131" t="inlineStr">
        <is>
          <t>KALMAR LÄN</t>
        </is>
      </c>
      <c r="E7131" t="inlineStr">
        <is>
          <t>EMMABODA</t>
        </is>
      </c>
      <c r="G7131" t="n">
        <v>2.2</v>
      </c>
      <c r="H7131" t="n">
        <v>0</v>
      </c>
      <c r="I7131" t="n">
        <v>0</v>
      </c>
      <c r="J7131" t="n">
        <v>0</v>
      </c>
      <c r="K7131" t="n">
        <v>0</v>
      </c>
      <c r="L7131" t="n">
        <v>0</v>
      </c>
      <c r="M7131" t="n">
        <v>0</v>
      </c>
      <c r="N7131" t="n">
        <v>0</v>
      </c>
      <c r="O7131" t="n">
        <v>0</v>
      </c>
      <c r="P7131" t="n">
        <v>0</v>
      </c>
      <c r="Q7131" t="n">
        <v>0</v>
      </c>
      <c r="R7131" s="2" t="inlineStr"/>
    </row>
    <row r="7132" ht="15" customHeight="1">
      <c r="A7132" t="inlineStr">
        <is>
          <t>A 30977-2025</t>
        </is>
      </c>
      <c r="B7132" s="1" t="n">
        <v>45832.46649305556</v>
      </c>
      <c r="C7132" s="1" t="n">
        <v>45884</v>
      </c>
      <c r="D7132" t="inlineStr">
        <is>
          <t>KALMAR LÄN</t>
        </is>
      </c>
      <c r="E7132" t="inlineStr">
        <is>
          <t>VIMMERBY</t>
        </is>
      </c>
      <c r="G7132" t="n">
        <v>0.6</v>
      </c>
      <c r="H7132" t="n">
        <v>0</v>
      </c>
      <c r="I7132" t="n">
        <v>0</v>
      </c>
      <c r="J7132" t="n">
        <v>0</v>
      </c>
      <c r="K7132" t="n">
        <v>0</v>
      </c>
      <c r="L7132" t="n">
        <v>0</v>
      </c>
      <c r="M7132" t="n">
        <v>0</v>
      </c>
      <c r="N7132" t="n">
        <v>0</v>
      </c>
      <c r="O7132" t="n">
        <v>0</v>
      </c>
      <c r="P7132" t="n">
        <v>0</v>
      </c>
      <c r="Q7132" t="n">
        <v>0</v>
      </c>
      <c r="R7132" s="2" t="inlineStr"/>
    </row>
    <row r="7133" ht="15" customHeight="1">
      <c r="A7133" t="inlineStr">
        <is>
          <t>A 38068-2025</t>
        </is>
      </c>
      <c r="B7133" s="1" t="n">
        <v>45882.43810185185</v>
      </c>
      <c r="C7133" s="1" t="n">
        <v>45884</v>
      </c>
      <c r="D7133" t="inlineStr">
        <is>
          <t>KALMAR LÄN</t>
        </is>
      </c>
      <c r="E7133" t="inlineStr">
        <is>
          <t>HÖGSBY</t>
        </is>
      </c>
      <c r="F7133" t="inlineStr">
        <is>
          <t>Sveaskog</t>
        </is>
      </c>
      <c r="G7133" t="n">
        <v>1.5</v>
      </c>
      <c r="H7133" t="n">
        <v>0</v>
      </c>
      <c r="I7133" t="n">
        <v>0</v>
      </c>
      <c r="J7133" t="n">
        <v>0</v>
      </c>
      <c r="K7133" t="n">
        <v>0</v>
      </c>
      <c r="L7133" t="n">
        <v>0</v>
      </c>
      <c r="M7133" t="n">
        <v>0</v>
      </c>
      <c r="N7133" t="n">
        <v>0</v>
      </c>
      <c r="O7133" t="n">
        <v>0</v>
      </c>
      <c r="P7133" t="n">
        <v>0</v>
      </c>
      <c r="Q7133" t="n">
        <v>0</v>
      </c>
      <c r="R7133" s="2" t="inlineStr"/>
    </row>
    <row r="7134" ht="15" customHeight="1">
      <c r="A7134" t="inlineStr">
        <is>
          <t>A 26111-2025</t>
        </is>
      </c>
      <c r="B7134" s="1" t="n">
        <v>45805</v>
      </c>
      <c r="C7134" s="1" t="n">
        <v>45884</v>
      </c>
      <c r="D7134" t="inlineStr">
        <is>
          <t>KALMAR LÄN</t>
        </is>
      </c>
      <c r="E7134" t="inlineStr">
        <is>
          <t>EMMABODA</t>
        </is>
      </c>
      <c r="G7134" t="n">
        <v>12.5</v>
      </c>
      <c r="H7134" t="n">
        <v>0</v>
      </c>
      <c r="I7134" t="n">
        <v>0</v>
      </c>
      <c r="J7134" t="n">
        <v>0</v>
      </c>
      <c r="K7134" t="n">
        <v>0</v>
      </c>
      <c r="L7134" t="n">
        <v>0</v>
      </c>
      <c r="M7134" t="n">
        <v>0</v>
      </c>
      <c r="N7134" t="n">
        <v>0</v>
      </c>
      <c r="O7134" t="n">
        <v>0</v>
      </c>
      <c r="P7134" t="n">
        <v>0</v>
      </c>
      <c r="Q7134" t="n">
        <v>0</v>
      </c>
      <c r="R7134" s="2" t="inlineStr"/>
    </row>
    <row r="7135" ht="15" customHeight="1">
      <c r="A7135" t="inlineStr">
        <is>
          <t>A 26118-2025</t>
        </is>
      </c>
      <c r="B7135" s="1" t="n">
        <v>45805</v>
      </c>
      <c r="C7135" s="1" t="n">
        <v>45884</v>
      </c>
      <c r="D7135" t="inlineStr">
        <is>
          <t>KALMAR LÄN</t>
        </is>
      </c>
      <c r="E7135" t="inlineStr">
        <is>
          <t>EMMABODA</t>
        </is>
      </c>
      <c r="G7135" t="n">
        <v>10.7</v>
      </c>
      <c r="H7135" t="n">
        <v>0</v>
      </c>
      <c r="I7135" t="n">
        <v>0</v>
      </c>
      <c r="J7135" t="n">
        <v>0</v>
      </c>
      <c r="K7135" t="n">
        <v>0</v>
      </c>
      <c r="L7135" t="n">
        <v>0</v>
      </c>
      <c r="M7135" t="n">
        <v>0</v>
      </c>
      <c r="N7135" t="n">
        <v>0</v>
      </c>
      <c r="O7135" t="n">
        <v>0</v>
      </c>
      <c r="P7135" t="n">
        <v>0</v>
      </c>
      <c r="Q7135" t="n">
        <v>0</v>
      </c>
      <c r="R7135" s="2" t="inlineStr"/>
    </row>
    <row r="7136" ht="15" customHeight="1">
      <c r="A7136" t="inlineStr">
        <is>
          <t>A 33696-2025</t>
        </is>
      </c>
      <c r="B7136" s="1" t="n">
        <v>45841.7072337963</v>
      </c>
      <c r="C7136" s="1" t="n">
        <v>45884</v>
      </c>
      <c r="D7136" t="inlineStr">
        <is>
          <t>KALMAR LÄN</t>
        </is>
      </c>
      <c r="E7136" t="inlineStr">
        <is>
          <t>VIMMERBY</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33655-2025</t>
        </is>
      </c>
      <c r="B7137" s="1" t="n">
        <v>45841.65936342593</v>
      </c>
      <c r="C7137" s="1" t="n">
        <v>45884</v>
      </c>
      <c r="D7137" t="inlineStr">
        <is>
          <t>KALMAR LÄN</t>
        </is>
      </c>
      <c r="E7137" t="inlineStr">
        <is>
          <t>EMMABODA</t>
        </is>
      </c>
      <c r="G7137" t="n">
        <v>4.9</v>
      </c>
      <c r="H7137" t="n">
        <v>0</v>
      </c>
      <c r="I7137" t="n">
        <v>0</v>
      </c>
      <c r="J7137" t="n">
        <v>0</v>
      </c>
      <c r="K7137" t="n">
        <v>0</v>
      </c>
      <c r="L7137" t="n">
        <v>0</v>
      </c>
      <c r="M7137" t="n">
        <v>0</v>
      </c>
      <c r="N7137" t="n">
        <v>0</v>
      </c>
      <c r="O7137" t="n">
        <v>0</v>
      </c>
      <c r="P7137" t="n">
        <v>0</v>
      </c>
      <c r="Q7137" t="n">
        <v>0</v>
      </c>
      <c r="R7137" s="2" t="inlineStr"/>
    </row>
    <row r="7138" ht="15" customHeight="1">
      <c r="A7138" t="inlineStr">
        <is>
          <t>A 33010-2025</t>
        </is>
      </c>
      <c r="B7138" s="1" t="n">
        <v>45840.36429398148</v>
      </c>
      <c r="C7138" s="1" t="n">
        <v>45884</v>
      </c>
      <c r="D7138" t="inlineStr">
        <is>
          <t>KALMAR LÄN</t>
        </is>
      </c>
      <c r="E7138" t="inlineStr">
        <is>
          <t>NYBRO</t>
        </is>
      </c>
      <c r="G7138" t="n">
        <v>2.6</v>
      </c>
      <c r="H7138" t="n">
        <v>0</v>
      </c>
      <c r="I7138" t="n">
        <v>0</v>
      </c>
      <c r="J7138" t="n">
        <v>0</v>
      </c>
      <c r="K7138" t="n">
        <v>0</v>
      </c>
      <c r="L7138" t="n">
        <v>0</v>
      </c>
      <c r="M7138" t="n">
        <v>0</v>
      </c>
      <c r="N7138" t="n">
        <v>0</v>
      </c>
      <c r="O7138" t="n">
        <v>0</v>
      </c>
      <c r="P7138" t="n">
        <v>0</v>
      </c>
      <c r="Q7138" t="n">
        <v>0</v>
      </c>
      <c r="R7138" s="2" t="inlineStr"/>
    </row>
    <row r="7139" ht="15" customHeight="1">
      <c r="A7139" t="inlineStr">
        <is>
          <t>A 33113-2025</t>
        </is>
      </c>
      <c r="B7139" s="1" t="n">
        <v>45840.48972222222</v>
      </c>
      <c r="C7139" s="1" t="n">
        <v>45884</v>
      </c>
      <c r="D7139" t="inlineStr">
        <is>
          <t>KALMAR LÄN</t>
        </is>
      </c>
      <c r="E7139" t="inlineStr">
        <is>
          <t>OSKARSHAMN</t>
        </is>
      </c>
      <c r="G7139" t="n">
        <v>2.7</v>
      </c>
      <c r="H7139" t="n">
        <v>0</v>
      </c>
      <c r="I7139" t="n">
        <v>0</v>
      </c>
      <c r="J7139" t="n">
        <v>0</v>
      </c>
      <c r="K7139" t="n">
        <v>0</v>
      </c>
      <c r="L7139" t="n">
        <v>0</v>
      </c>
      <c r="M7139" t="n">
        <v>0</v>
      </c>
      <c r="N7139" t="n">
        <v>0</v>
      </c>
      <c r="O7139" t="n">
        <v>0</v>
      </c>
      <c r="P7139" t="n">
        <v>0</v>
      </c>
      <c r="Q7139" t="n">
        <v>0</v>
      </c>
      <c r="R7139" s="2" t="inlineStr"/>
    </row>
    <row r="7140" ht="15" customHeight="1">
      <c r="A7140" t="inlineStr">
        <is>
          <t>A 33425-2025</t>
        </is>
      </c>
      <c r="B7140" s="1" t="n">
        <v>45841.44533564815</v>
      </c>
      <c r="C7140" s="1" t="n">
        <v>45884</v>
      </c>
      <c r="D7140" t="inlineStr">
        <is>
          <t>KALMAR LÄN</t>
        </is>
      </c>
      <c r="E7140" t="inlineStr">
        <is>
          <t>EMMABODA</t>
        </is>
      </c>
      <c r="G7140" t="n">
        <v>2.9</v>
      </c>
      <c r="H7140" t="n">
        <v>0</v>
      </c>
      <c r="I7140" t="n">
        <v>0</v>
      </c>
      <c r="J7140" t="n">
        <v>0</v>
      </c>
      <c r="K7140" t="n">
        <v>0</v>
      </c>
      <c r="L7140" t="n">
        <v>0</v>
      </c>
      <c r="M7140" t="n">
        <v>0</v>
      </c>
      <c r="N7140" t="n">
        <v>0</v>
      </c>
      <c r="O7140" t="n">
        <v>0</v>
      </c>
      <c r="P7140" t="n">
        <v>0</v>
      </c>
      <c r="Q7140" t="n">
        <v>0</v>
      </c>
      <c r="R7140" s="2" t="inlineStr"/>
    </row>
    <row r="7141" ht="15" customHeight="1">
      <c r="A7141" t="inlineStr">
        <is>
          <t>A 33429-2025</t>
        </is>
      </c>
      <c r="B7141" s="1" t="n">
        <v>45841.44762731482</v>
      </c>
      <c r="C7141" s="1" t="n">
        <v>45884</v>
      </c>
      <c r="D7141" t="inlineStr">
        <is>
          <t>KALMAR LÄN</t>
        </is>
      </c>
      <c r="E7141" t="inlineStr">
        <is>
          <t>EMMABODA</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38399-2025</t>
        </is>
      </c>
      <c r="B7142" s="1" t="n">
        <v>45883.58712962963</v>
      </c>
      <c r="C7142" s="1" t="n">
        <v>45884</v>
      </c>
      <c r="D7142" t="inlineStr">
        <is>
          <t>KALMAR LÄN</t>
        </is>
      </c>
      <c r="E7142" t="inlineStr">
        <is>
          <t>NYBRO</t>
        </is>
      </c>
      <c r="G7142" t="n">
        <v>3.5</v>
      </c>
      <c r="H7142" t="n">
        <v>0</v>
      </c>
      <c r="I7142" t="n">
        <v>0</v>
      </c>
      <c r="J7142" t="n">
        <v>0</v>
      </c>
      <c r="K7142" t="n">
        <v>0</v>
      </c>
      <c r="L7142" t="n">
        <v>0</v>
      </c>
      <c r="M7142" t="n">
        <v>0</v>
      </c>
      <c r="N7142" t="n">
        <v>0</v>
      </c>
      <c r="O7142" t="n">
        <v>0</v>
      </c>
      <c r="P7142" t="n">
        <v>0</v>
      </c>
      <c r="Q7142" t="n">
        <v>0</v>
      </c>
      <c r="R7142" s="2" t="inlineStr"/>
    </row>
    <row r="7143" ht="15" customHeight="1">
      <c r="A7143" t="inlineStr">
        <is>
          <t>A 38413-2025</t>
        </is>
      </c>
      <c r="B7143" s="1" t="n">
        <v>45883.60289351852</v>
      </c>
      <c r="C7143" s="1" t="n">
        <v>45884</v>
      </c>
      <c r="D7143" t="inlineStr">
        <is>
          <t>KALMAR LÄN</t>
        </is>
      </c>
      <c r="E7143" t="inlineStr">
        <is>
          <t>NYBRO</t>
        </is>
      </c>
      <c r="G7143" t="n">
        <v>4.8</v>
      </c>
      <c r="H7143" t="n">
        <v>0</v>
      </c>
      <c r="I7143" t="n">
        <v>0</v>
      </c>
      <c r="J7143" t="n">
        <v>0</v>
      </c>
      <c r="K7143" t="n">
        <v>0</v>
      </c>
      <c r="L7143" t="n">
        <v>0</v>
      </c>
      <c r="M7143" t="n">
        <v>0</v>
      </c>
      <c r="N7143" t="n">
        <v>0</v>
      </c>
      <c r="O7143" t="n">
        <v>0</v>
      </c>
      <c r="P7143" t="n">
        <v>0</v>
      </c>
      <c r="Q7143" t="n">
        <v>0</v>
      </c>
      <c r="R7143" s="2" t="inlineStr"/>
    </row>
    <row r="7144">
      <c r="A7144" t="inlineStr">
        <is>
          <t>A 38202-2025</t>
        </is>
      </c>
      <c r="B7144" s="1" t="n">
        <v>45882.68072916667</v>
      </c>
      <c r="C7144" s="1" t="n">
        <v>45884</v>
      </c>
      <c r="D7144" t="inlineStr">
        <is>
          <t>KALMAR LÄN</t>
        </is>
      </c>
      <c r="E7144" t="inlineStr">
        <is>
          <t>NYBRO</t>
        </is>
      </c>
      <c r="G7144" t="n">
        <v>3.3</v>
      </c>
      <c r="H7144" t="n">
        <v>0</v>
      </c>
      <c r="I7144" t="n">
        <v>0</v>
      </c>
      <c r="J7144" t="n">
        <v>0</v>
      </c>
      <c r="K7144" t="n">
        <v>0</v>
      </c>
      <c r="L7144" t="n">
        <v>0</v>
      </c>
      <c r="M7144" t="n">
        <v>0</v>
      </c>
      <c r="N7144" t="n">
        <v>0</v>
      </c>
      <c r="O7144" t="n">
        <v>0</v>
      </c>
      <c r="P7144" t="n">
        <v>0</v>
      </c>
      <c r="Q7144" t="n">
        <v>0</v>
      </c>
      <c r="R71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2025-08-15T08:26:50Z</dcterms:created>
  <dcterms:modified xmlns:dcterms="http://purl.org/dc/terms/" xmlns:xsi="http://www.w3.org/2001/XMLSchema-instance" xsi:type="dcterms:W3CDTF">2025-08-15T08:26:56Z</dcterms:modified>
</cp:coreProperties>
</file>